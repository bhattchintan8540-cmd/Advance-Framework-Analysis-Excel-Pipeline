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Lists" sheetId="2" state="hidden" r:id="rId2"/>
    <sheet name="Parameters" sheetId="3" state="visible" r:id="rId3"/>
    <sheet name="Raw_Data" sheetId="4" state="visible" r:id="rId4"/>
    <sheet name="Lookup_Maps" sheetId="5" state="visible" r:id="rId5"/>
    <sheet name="Cleaned_Data" sheetId="6" state="visible" r:id="rId6"/>
    <sheet name="Chart_Data" sheetId="7" state="visible" r:id="rId7"/>
    <sheet name="Analysis" sheetId="8" state="visible" r:id="rId8"/>
    <sheet name="Dashboard" sheetId="9" state="visible" r:id="rId9"/>
    <sheet name="Insights" sheetId="10" state="visible" r:id="rId10"/>
    <sheet name="QA_Tests" sheetId="11" state="visible" r:id="rId11"/>
    <sheet name="Rejected_Rows" sheetId="12" state="visible" r:id="rId12"/>
    <sheet name="Data_Dictionary" sheetId="13" state="visible" r:id="rId13"/>
    <sheet name="Cleaning_Log" sheetId="14" state="visible" r:id="rId14"/>
  </sheets>
  <definedNames>
    <definedName name="lstRegion">Lists!$A$1:$A$5</definedName>
    <definedName name="lstChannel">Lists!$B$1:$B$4</definedName>
    <definedName name="lstCategory">Lists!$C$1:$C$5</definedName>
    <definedName name="lstYesNo">Lists!$D$1:$D$2</definedName>
    <definedName name="pLateDays">Parameters!$C$5</definedName>
    <definedName name="pLowMargin">Parameters!$C$6</definedName>
    <definedName name="pHighCutoff">Parameters!$C$8</definedName>
    <definedName name="pRegion">Dashboard!$C$5</definedName>
    <definedName name="pChannel">Dashboard!$E$5</definedName>
    <definedName name="pCategory">Dashboard!$G$5</definedName>
    <definedName name="pIncludeCancelled">Dashboard!$I$5</definedName>
    <definedName name="pStart">Dashboard!$K$5</definedName>
    <definedName name="pEnd">Dashboard!$M$5</definedName>
    <definedName name="_xlnm._FilterDatabase" localSheetId="2" hidden="1">'Parameters'!$B$4:$E$12</definedName>
    <definedName name="_xlnm._FilterDatabase" localSheetId="3" hidden="1">'Raw_Data'!$A$1:$N$1650</definedName>
    <definedName name="_xlnm._FilterDatabase" localSheetId="5" hidden="1">'Cleaned_Data'!$A$1:$Y$1619</definedName>
    <definedName name="_xlnm._FilterDatabase" localSheetId="11" hidden="1">'Rejected_Rows'!$A$1:$G$32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"/>
    <numFmt numFmtId="166" formatCode="yyyy-mm-dd h:mm:ss"/>
    <numFmt numFmtId="167" formatCode="&quot;$&quot;#,##0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rgb="001C2430"/>
      <sz val="11"/>
    </font>
    <font>
      <name val="Calibri"/>
      <b val="1"/>
      <color rgb="001E3A5F"/>
      <sz val="12"/>
    </font>
    <font>
      <name val="Calibri"/>
      <b val="1"/>
      <color rgb="001E3A5F"/>
      <sz val="13"/>
    </font>
    <font>
      <name val="Calibri"/>
      <b val="1"/>
      <color rgb="005E6A75"/>
      <sz val="10"/>
    </font>
    <font>
      <name val="Calibri"/>
      <b val="1"/>
      <color rgb="001C2430"/>
      <sz val="12"/>
    </font>
    <font>
      <name val="Calibri"/>
      <i val="1"/>
      <color rgb="005E6A75"/>
      <sz val="9"/>
    </font>
    <font>
      <name val="Calibri"/>
      <b val="1"/>
      <color rgb="001E3A5F"/>
      <sz val="18"/>
    </font>
    <font>
      <name val="Calibri"/>
      <color rgb="001C2430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F6F64"/>
      </patternFill>
    </fill>
    <fill>
      <patternFill patternType="solid">
        <fgColor rgb="00FFFFFF"/>
      </patternFill>
    </fill>
    <fill>
      <patternFill patternType="solid">
        <fgColor rgb="00F7F4EE"/>
      </patternFill>
    </fill>
    <fill>
      <patternFill patternType="solid">
        <fgColor rgb="00E7F0EE"/>
      </patternFill>
    </fill>
    <fill>
      <patternFill patternType="solid">
        <fgColor rgb="00F8F1DE"/>
      </patternFill>
    </fill>
    <fill>
      <patternFill patternType="solid">
        <fgColor rgb="00F8E6E4"/>
      </patternFill>
    </fill>
  </fills>
  <borders count="5">
    <border>
      <left/>
      <right/>
      <top/>
      <bottom/>
      <diagonal/>
    </border>
    <border>
      <left style="thin">
        <color rgb="00D5D0C6"/>
      </left>
      <right style="thin">
        <color rgb="00D5D0C6"/>
      </right>
      <top style="thin">
        <color rgb="00D5D0C6"/>
      </top>
      <bottom style="thin">
        <color rgb="00D5D0C6"/>
      </bottom>
    </border>
    <border>
      <left/>
      <right/>
      <top style="thin">
        <color rgb="00D5D0C6"/>
      </top>
      <bottom/>
      <diagonal/>
    </border>
    <border>
      <left/>
      <right style="thin">
        <color rgb="00D5D0C6"/>
      </right>
      <top style="thin">
        <color rgb="00D5D0C6"/>
      </top>
      <bottom/>
      <diagonal/>
    </border>
    <border>
      <left/>
      <right style="thin">
        <color rgb="00D5D0C6"/>
      </right>
      <top style="thin">
        <color rgb="00D5D0C6"/>
      </top>
      <bottom style="thin">
        <color rgb="00D5D0C6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0" fontId="4" fillId="4" borderId="1" applyAlignment="1" pivotButton="0" quotePrefix="0" xfId="0">
      <alignment horizontal="left" vertical="center" wrapText="1"/>
    </xf>
    <xf numFmtId="9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0" fontId="4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0" fontId="4" fillId="4" borderId="1" pivotButton="0" quotePrefix="0" xfId="0"/>
    <xf numFmtId="167" fontId="4" fillId="4" borderId="1" pivotButton="0" quotePrefix="0" xfId="0"/>
    <xf numFmtId="168" fontId="4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8" fontId="4" fillId="0" borderId="1" pivotButton="0" quotePrefix="0" xfId="0"/>
    <xf numFmtId="0" fontId="7" fillId="5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5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167" fontId="10" fillId="6" borderId="0" applyAlignment="1" pivotButton="0" quotePrefix="0" xfId="0">
      <alignment horizontal="center" vertical="center" wrapText="1"/>
    </xf>
    <xf numFmtId="3" fontId="10" fillId="5" borderId="0" applyAlignment="1" pivotButton="0" quotePrefix="0" xfId="0">
      <alignment horizontal="center" vertical="center" wrapText="1"/>
    </xf>
    <xf numFmtId="168" fontId="10" fillId="7" borderId="0" applyAlignment="1" pivotButton="0" quotePrefix="0" xfId="0">
      <alignment horizontal="center" vertical="center" wrapText="1"/>
    </xf>
    <xf numFmtId="168" fontId="10" fillId="6" borderId="0" applyAlignment="1" pivotButton="0" quotePrefix="0" xfId="0">
      <alignment horizontal="center" vertical="center" wrapText="1"/>
    </xf>
    <xf numFmtId="168" fontId="10" fillId="5" borderId="0" applyAlignment="1" pivotButton="0" quotePrefix="0" xfId="0">
      <alignment horizontal="center" vertical="center" wrapText="1"/>
    </xf>
    <xf numFmtId="3" fontId="10" fillId="7" borderId="0" applyAlignment="1" pivotButton="0" quotePrefix="0" xfId="0">
      <alignment horizontal="center" vertical="center" wrapText="1"/>
    </xf>
    <xf numFmtId="3" fontId="10" fillId="8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8E6E4"/>
        </patternFill>
      </fill>
    </dxf>
    <dxf>
      <fill>
        <patternFill patternType="solid">
          <fgColor rgb="00F8F1DE"/>
        </patternFill>
      </fill>
    </dxf>
    <dxf>
      <fill>
        <patternFill patternType="solid">
          <fgColor rgb="00D9EF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'Chart_Data'!B3</f>
            </strRef>
          </tx>
          <spPr>
            <a:solidFill>
              <a:srgbClr val="1E3A5F"/>
            </a:solidFill>
            <a:ln>
              <a:prstDash val="solid"/>
            </a:ln>
          </spPr>
          <cat>
            <numRef>
              <f>'Chart_Data'!$A$4:$A$7</f>
            </numRef>
          </cat>
          <val>
            <numRef>
              <f>'Chart_Data'!$B$4:$B$7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Orders by channel</a:t>
            </a:r>
          </a:p>
        </rich>
      </tx>
    </title>
    <plotArea>
      <pieChart>
        <varyColors val="1"/>
        <ser>
          <idx val="0"/>
          <order val="0"/>
          <tx>
            <strRef>
              <f>'Chart_Data'!B9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E3A5F"/>
              </a:solidFill>
              <a:ln>
                <a:prstDash val="solid"/>
              </a:ln>
            </spPr>
          </dPt>
          <dPt>
            <idx val="1"/>
            <spPr>
              <a:solidFill>
                <a:srgbClr val="1F6F64"/>
              </a:solidFill>
              <a:ln>
                <a:prstDash val="solid"/>
              </a:ln>
            </spPr>
          </dPt>
          <dPt>
            <idx val="2"/>
            <spPr>
              <a:solidFill>
                <a:srgbClr val="B0893E"/>
              </a:solidFill>
              <a:ln>
                <a:prstDash val="solid"/>
              </a:ln>
            </spPr>
          </dPt>
          <dPt>
            <idx val="3"/>
            <spPr>
              <a:solidFill>
                <a:srgbClr val="A33B32"/>
              </a:solidFill>
              <a:ln>
                <a:prstDash val="solid"/>
              </a:ln>
            </spPr>
          </dPt>
          <dPt>
            <idx val="4"/>
            <spPr>
              <a:solidFill>
                <a:srgbClr val="6E7F8D"/>
              </a:solidFill>
              <a:ln>
                <a:prstDash val="solid"/>
              </a:ln>
            </spPr>
          </dPt>
          <cat>
            <numRef>
              <f>'Chart_Data'!$A$10:$A$12</f>
            </numRef>
          </cat>
          <val>
            <numRef>
              <f>'Chart_Data'!$B$10:$B$12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'Chart_Data'!B14</f>
            </strRef>
          </tx>
          <spPr>
            <a:solidFill>
              <a:srgbClr val="1E3A5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'Chart_Data'!$A$15:$A$35</f>
            </numRef>
          </cat>
          <val>
            <numRef>
              <f>'Chart_Data'!$B$15:$B$35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by category and region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'Chart_Data'!B37</f>
            </strRef>
          </tx>
          <spPr>
            <a:solidFill>
              <a:srgbClr val="1E3A5F"/>
            </a:solidFill>
            <a:ln>
              <a:prstDash val="solid"/>
            </a:ln>
          </spPr>
          <cat>
            <numRef>
              <f>'Chart_Data'!$A$38:$A$41</f>
            </numRef>
          </cat>
          <val>
            <numRef>
              <f>'Chart_Data'!$B$38:$B$41</f>
            </numRef>
          </val>
        </ser>
        <ser>
          <idx val="1"/>
          <order val="1"/>
          <tx>
            <strRef>
              <f>'Chart_Data'!C37</f>
            </strRef>
          </tx>
          <spPr>
            <a:solidFill>
              <a:srgbClr val="1F6F64"/>
            </a:solidFill>
            <a:ln>
              <a:prstDash val="solid"/>
            </a:ln>
          </spPr>
          <cat>
            <numRef>
              <f>'Chart_Data'!$A$38:$A$41</f>
            </numRef>
          </cat>
          <val>
            <numRef>
              <f>'Chart_Data'!$C$38:$C$41</f>
            </numRef>
          </val>
        </ser>
        <ser>
          <idx val="2"/>
          <order val="2"/>
          <tx>
            <strRef>
              <f>'Chart_Data'!D37</f>
            </strRef>
          </tx>
          <spPr>
            <a:solidFill>
              <a:srgbClr val="B0893E"/>
            </a:solidFill>
            <a:ln>
              <a:prstDash val="solid"/>
            </a:ln>
          </spPr>
          <cat>
            <numRef>
              <f>'Chart_Data'!$A$38:$A$41</f>
            </numRef>
          </cat>
          <val>
            <numRef>
              <f>'Chart_Data'!$D$38:$D$41</f>
            </numRef>
          </val>
        </ser>
        <ser>
          <idx val="3"/>
          <order val="3"/>
          <tx>
            <strRef>
              <f>'Chart_Data'!E37</f>
            </strRef>
          </tx>
          <spPr>
            <a:solidFill>
              <a:srgbClr val="A33B32"/>
            </a:solidFill>
            <a:ln>
              <a:prstDash val="solid"/>
            </a:ln>
          </spPr>
          <cat>
            <numRef>
              <f>'Chart_Data'!$A$38:$A$41</f>
            </numRef>
          </cat>
          <val>
            <numRef>
              <f>'Chart_Data'!$E$38:$E$41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Unweighted average margin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'Chart_Data'!D3</f>
            </strRef>
          </tx>
          <spPr>
            <a:solidFill>
              <a:srgbClr val="1E3A5F"/>
            </a:solidFill>
            <a:ln>
              <a:prstDash val="solid"/>
            </a:ln>
          </spPr>
          <cat>
            <numRef>
              <f>'Chart_Data'!$A$4:$A$7</f>
            </numRef>
          </cat>
          <val>
            <numRef>
              <f>'Chart_Data'!$D$4:$D$7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net revenue</a:t>
            </a:r>
          </a:p>
        </rich>
      </tx>
    </title>
    <plotArea>
      <areaChart>
        <grouping val="standard"/>
        <ser>
          <idx val="0"/>
          <order val="0"/>
          <tx>
            <strRef>
              <f>'Chart_Data'!B43</f>
            </strRef>
          </tx>
          <spPr>
            <a:solidFill>
              <a:srgbClr val="1F6F64"/>
            </a:solidFill>
            <a:ln>
              <a:prstDash val="solid"/>
            </a:ln>
          </spPr>
          <cat>
            <numRef>
              <f>'Chart_Data'!$A$44:$A$50</f>
            </numRef>
          </cat>
          <val>
            <numRef>
              <f>'Chart_Data'!$B$44:$B$50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'Chart_Data'!B52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6F64"/>
              </a:solidFill>
              <a:ln>
                <a:prstDash val="solid"/>
              </a:ln>
            </spPr>
          </dPt>
          <dPt>
            <idx val="1"/>
            <spPr>
              <a:solidFill>
                <a:srgbClr val="B0893E"/>
              </a:solidFill>
              <a:ln>
                <a:prstDash val="solid"/>
              </a:ln>
            </spPr>
          </dPt>
          <dPt>
            <idx val="2"/>
            <spPr>
              <a:solidFill>
                <a:srgbClr val="A33B32"/>
              </a:solidFill>
              <a:ln>
                <a:prstDash val="solid"/>
              </a:ln>
            </spPr>
          </dPt>
          <cat>
            <numRef>
              <f>'Chart_Data'!$A$53:$A$55</f>
            </numRef>
          </cat>
          <val>
            <numRef>
              <f>'Chart_Data'!$B$53:$B$55</f>
            </numRef>
          </val>
        </ser>
        <dLbls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Return rate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'Chart_Data'!B57</f>
            </strRef>
          </tx>
          <spPr>
            <a:solidFill>
              <a:srgbClr val="1E3A5F"/>
            </a:solidFill>
            <a:ln>
              <a:prstDash val="solid"/>
            </a:ln>
          </spPr>
          <cat>
            <numRef>
              <f>'Chart_Data'!$A$58:$A$61</f>
            </numRef>
          </cat>
          <val>
            <numRef>
              <f>'Chart_Data'!$B$58:$B$61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orders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'Chart_Data'!B63</f>
            </strRef>
          </tx>
          <spPr>
            <a:solidFill>
              <a:srgbClr val="1E3A5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'Chart_Data'!$A$64:$A$84</f>
            </numRef>
          </cat>
          <val>
            <numRef>
              <f>'Chart_Data'!$B$64:$B$84</f>
            </numRef>
          </val>
        </ser>
        <ser>
          <idx val="1"/>
          <order val="1"/>
          <tx>
            <strRef>
              <f>'Chart_Data'!C63</f>
            </strRef>
          </tx>
          <spPr>
            <a:solidFill>
              <a:srgbClr val="1F6F64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'Chart_Data'!$A$64:$A$84</f>
            </numRef>
          </cat>
          <val>
            <numRef>
              <f>'Chart_Data'!$C$64:$C$84</f>
            </numRef>
          </val>
        </ser>
        <ser>
          <idx val="2"/>
          <order val="2"/>
          <tx>
            <strRef>
              <f>'Chart_Data'!D63</f>
            </strRef>
          </tx>
          <spPr>
            <a:solidFill>
              <a:srgbClr val="B0893E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'Chart_Data'!$A$64:$A$84</f>
            </numRef>
          </cat>
          <val>
            <numRef>
              <f>'Chart_Data'!$D$64:$D$84</f>
            </numRef>
          </val>
        </ser>
        <ser>
          <idx val="3"/>
          <order val="3"/>
          <tx>
            <strRef>
              <f>'Chart_Data'!E63</f>
            </strRef>
          </tx>
          <spPr>
            <a:solidFill>
              <a:srgbClr val="A33B32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'Chart_Data'!$A$64:$A$84</f>
            </numRef>
          </cat>
          <val>
            <numRef>
              <f>'Chart_Data'!$E$64:$E$84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order value by region and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'Chart_Data'!B86</f>
            </strRef>
          </tx>
          <spPr>
            <a:solidFill>
              <a:srgbClr val="1E3A5F"/>
            </a:solidFill>
            <a:ln>
              <a:prstDash val="solid"/>
            </a:ln>
          </spPr>
          <cat>
            <numRef>
              <f>'Chart_Data'!$A$87:$A$90</f>
            </numRef>
          </cat>
          <val>
            <numRef>
              <f>'Chart_Data'!$B$87:$B$90</f>
            </numRef>
          </val>
        </ser>
        <ser>
          <idx val="1"/>
          <order val="1"/>
          <tx>
            <strRef>
              <f>'Chart_Data'!C86</f>
            </strRef>
          </tx>
          <spPr>
            <a:solidFill>
              <a:srgbClr val="1F6F64"/>
            </a:solidFill>
            <a:ln>
              <a:prstDash val="solid"/>
            </a:ln>
          </spPr>
          <cat>
            <numRef>
              <f>'Chart_Data'!$A$87:$A$90</f>
            </numRef>
          </cat>
          <val>
            <numRef>
              <f>'Chart_Data'!$C$87:$C$90</f>
            </numRef>
          </val>
        </ser>
        <ser>
          <idx val="2"/>
          <order val="2"/>
          <tx>
            <strRef>
              <f>'Chart_Data'!D86</f>
            </strRef>
          </tx>
          <spPr>
            <a:solidFill>
              <a:srgbClr val="B0893E"/>
            </a:solidFill>
            <a:ln>
              <a:prstDash val="solid"/>
            </a:ln>
          </spPr>
          <cat>
            <numRef>
              <f>'Chart_Data'!$A$87:$A$90</f>
            </numRef>
          </cat>
          <val>
            <numRef>
              <f>'Chart_Data'!$D$87:$D$90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42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58</row>
      <rowOff>0</rowOff>
    </from>
    <ext cx="432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58</row>
      <rowOff>0</rowOff>
    </from>
    <ext cx="432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74</row>
      <rowOff>0</rowOff>
    </from>
    <ext cx="432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8</col>
      <colOff>0</colOff>
      <row>74</row>
      <rowOff>0</rowOff>
    </from>
    <ext cx="432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" displayName="RawData" ref="A1:N1650" headerRowCount="1">
  <autoFilter ref="A1:N1650"/>
  <tableColumns count="14">
    <tableColumn id="1" name="OrderID"/>
    <tableColumn id="2" name="OrderDate"/>
    <tableColumn id="3" name="Region"/>
    <tableColumn id="4" name="Channel"/>
    <tableColumn id="5" name="Category"/>
    <tableColumn id="6" name="Product"/>
    <tableColumn id="7" name="Segment"/>
    <tableColumn id="8" name="Quantity"/>
    <tableColumn id="9" name="UnitPrice"/>
    <tableColumn id="10" name="Discount"/>
    <tableColumn id="11" name="UnitCost"/>
    <tableColumn id="12" name="ShipDays"/>
    <tableColumn id="13" name="Status"/>
    <tableColumn id="14" name="SalesRep"/>
  </tableColumns>
  <tableStyleInfo name="TableStyleMedium2" showRowStripes="1"/>
</table>
</file>

<file path=xl/tables/table2.xml><?xml version="1.0" encoding="utf-8"?>
<table xmlns="http://schemas.openxmlformats.org/spreadsheetml/2006/main" id="2" name="CleanData" displayName="CleanData" ref="A1:Y1619" headerRowCount="1">
  <autoFilter ref="A1:Y1619"/>
  <tableColumns count="25">
    <tableColumn id="1" name="OrderID"/>
    <tableColumn id="2" name="OrderDate"/>
    <tableColumn id="3" name="Region"/>
    <tableColumn id="4" name="Channel"/>
    <tableColumn id="5" name="Category"/>
    <tableColumn id="6" name="Product"/>
    <tableColumn id="7" name="Segment"/>
    <tableColumn id="8" name="Quantity"/>
    <tableColumn id="9" name="UnitPrice"/>
    <tableColumn id="10" name="Discount"/>
    <tableColumn id="11" name="UnitCost"/>
    <tableColumn id="12" name="ShipDays"/>
    <tableColumn id="13" name="Status"/>
    <tableColumn id="14" name="SalesRep"/>
    <tableColumn id="15" name="QtyAdjusted"/>
    <tableColumn id="16" name="GrossRevenue"/>
    <tableColumn id="17" name="NetRevenue"/>
    <tableColumn id="18" name="TotalCost"/>
    <tableColumn id="19" name="Margin"/>
    <tableColumn id="20" name="Year"/>
    <tableColumn id="21" name="Quarter"/>
    <tableColumn id="22" name="YearMonth"/>
    <tableColumn id="23" name="LateFlag"/>
    <tableColumn id="24" name="HighValueFlag"/>
    <tableColumn id="25" name="ReturnFlag"/>
  </tableColumns>
  <tableStyleInfo name="TableStyleMedium9" showRowStripes="1"/>
</table>
</file>

<file path=xl/tables/table3.xml><?xml version="1.0" encoding="utf-8"?>
<table xmlns="http://schemas.openxmlformats.org/spreadsheetml/2006/main" id="3" name="RejectedData" displayName="RejectedData" ref="A1:G32" headerRowCount="1">
  <autoFilter ref="A1:G32"/>
  <tableColumns count="7">
    <tableColumn id="1" name="OrderID"/>
    <tableColumn id="2" name="Reason"/>
    <tableColumn id="3" name="Detail"/>
    <tableColumn id="4" name="OrderDate"/>
    <tableColumn id="5" name="Region"/>
    <tableColumn id="6" name="Status"/>
    <tableColumn id="7" name="SourceRo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Harbor &amp; Co. advanced data analysis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Excel pipeline  ·  extract, clean, analyze, dashboard, test</t>
        </is>
      </c>
      <c r="B2" s="4" t="n"/>
      <c r="C2" s="4" t="n"/>
      <c r="D2" s="4" t="n"/>
      <c r="E2" s="4" t="n"/>
      <c r="F2" s="4" t="n"/>
    </row>
    <row r="4">
      <c r="B4" s="5" t="inlineStr">
        <is>
          <t>Objective</t>
        </is>
      </c>
      <c r="C4" s="4" t="n"/>
      <c r="D4" s="4" t="n"/>
      <c r="E4" s="4" t="n"/>
      <c r="F4" s="4" t="n"/>
    </row>
    <row r="5" ht="22" customHeight="1">
      <c r="B5" s="6" t="inlineStr">
        <is>
          <t>Turn a dirty order extract into a decision-ready sales view: what sold, where, through which channel, and which orders are late, returned, or thin on margin.</t>
        </is>
      </c>
    </row>
    <row r="6" ht="36" customHeight="1"/>
    <row r="8">
      <c r="B8" s="5" t="inlineStr">
        <is>
          <t>Pipeline</t>
        </is>
      </c>
      <c r="C8" s="4" t="n"/>
      <c r="D8" s="4" t="n"/>
      <c r="E8" s="4" t="n"/>
      <c r="F8" s="4" t="n"/>
    </row>
    <row r="9" ht="22" customHeight="1">
      <c r="B9" s="6" t="inlineStr">
        <is>
          <t>1. Raw_Data holds the dirty extract.
2. pipeline/clean.py standardizes aliases, dates, numbers, duplicates, and invalid rows.
3. Cleaned_Data stores the surviving orders. Revenue, margin, and flags are Excel formulas.
4. Chart_Data and Dashboard aggregate with SUMIFS / COUNTIFS / AVERAGEIFS so filters recalculate in Excel.
5. QA_Tests checks those formulas against the values locked by the Python run.</t>
        </is>
      </c>
    </row>
    <row r="10" ht="36" customHeight="1"/>
    <row r="13">
      <c r="B13" s="5" t="inlineStr">
        <is>
          <t>Default window</t>
        </is>
      </c>
      <c r="C13" s="4" t="n"/>
      <c r="D13" s="4" t="n"/>
      <c r="E13" s="4" t="n"/>
      <c r="F13" s="4" t="n"/>
    </row>
    <row r="14" ht="22" customHeight="1">
      <c r="B14" s="6" t="inlineStr">
        <is>
          <t>2024-01-01 to 2025-09-30. Cancelled orders are excluded from sales KPIs. Seed 42. Raw rows 1,649. Clean rows 1,618.</t>
        </is>
      </c>
    </row>
    <row r="15" ht="36" customHeight="1"/>
    <row r="16">
      <c r="B16" s="5" t="inlineStr">
        <is>
          <t>Headline result</t>
        </is>
      </c>
      <c r="C16" s="4" t="n"/>
      <c r="D16" s="4" t="n"/>
      <c r="E16" s="4" t="n"/>
      <c r="F16" s="4" t="n"/>
    </row>
    <row r="17" ht="22" customHeight="1">
      <c r="B17" s="6" t="inlineStr">
        <is>
          <t>Net revenue $2,220,660  ·  Orders 1,558  ·  AOV $1,425  ·  Gross margin 29.4%  ·  Return rate 7.1%  ·  On time 75.5%.</t>
        </is>
      </c>
    </row>
    <row r="18" ht="36" customHeight="1"/>
    <row r="19">
      <c r="B19" s="5" t="inlineStr">
        <is>
          <t>How to use the dashboard</t>
        </is>
      </c>
      <c r="C19" s="4" t="n"/>
      <c r="D19" s="4" t="n"/>
      <c r="E19" s="4" t="n"/>
      <c r="F19" s="4" t="n"/>
    </row>
    <row r="20" ht="22" customHeight="1">
      <c r="B20" s="6" t="inlineStr">
        <is>
          <t>Open Dashboard. Pick Region, Channel, Category, the cancelled switch, and the date window. Excel recalculates the KPI cards and all ten charts. Comparison charts keep their breakdown: the region chart does not collapse when you pick one region.</t>
        </is>
      </c>
    </row>
    <row r="21" ht="36" customHeight="1"/>
  </sheetData>
  <mergeCells count="12">
    <mergeCell ref="B4:F4"/>
    <mergeCell ref="A2:F2"/>
    <mergeCell ref="B16:F16"/>
    <mergeCell ref="A1:F1"/>
    <mergeCell ref="B17:F18"/>
    <mergeCell ref="B20:F21"/>
    <mergeCell ref="B19:F19"/>
    <mergeCell ref="B5:F6"/>
    <mergeCell ref="B8:F8"/>
    <mergeCell ref="B14:F15"/>
    <mergeCell ref="B13:F13"/>
    <mergeCell ref="B9:F10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Yes</t>
        </is>
      </c>
    </row>
    <row r="2">
      <c r="A2" t="inlineStr">
        <is>
          <t>North</t>
        </is>
      </c>
      <c r="B2" t="inlineStr">
        <is>
          <t>Store</t>
        </is>
      </c>
      <c r="C2" t="inlineStr">
        <is>
          <t>Furniture</t>
        </is>
      </c>
      <c r="D2" t="inlineStr">
        <is>
          <t>No</t>
        </is>
      </c>
    </row>
    <row r="3">
      <c r="A3" t="inlineStr">
        <is>
          <t>South</t>
        </is>
      </c>
      <c r="B3" t="inlineStr">
        <is>
          <t>Online</t>
        </is>
      </c>
      <c r="C3" t="inlineStr">
        <is>
          <t>Lighting</t>
        </is>
      </c>
    </row>
    <row r="4">
      <c r="A4" t="inlineStr">
        <is>
          <t>East</t>
        </is>
      </c>
      <c r="B4" t="inlineStr">
        <is>
          <t>Wholesale</t>
        </is>
      </c>
      <c r="C4" t="inlineStr">
        <is>
          <t>Textiles</t>
        </is>
      </c>
    </row>
    <row r="5">
      <c r="A5" t="inlineStr">
        <is>
          <t>West</t>
        </is>
      </c>
      <c r="C5" t="inlineStr">
        <is>
          <t>Kitchen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62" customWidth="1" min="4" max="4"/>
    <col width="62" customWidth="1" min="5" max="5"/>
  </cols>
  <sheetData>
    <row r="1" ht="32" customHeight="1">
      <c r="A1" s="1" t="inlineStr">
        <is>
          <t>Model parameters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Dashboard dropdowns are the filters. Thresholds below drive late-shipment and margin flags.</t>
        </is>
      </c>
      <c r="B2" s="4" t="n"/>
      <c r="C2" s="4" t="n"/>
      <c r="D2" s="4" t="n"/>
      <c r="E2" s="4" t="n"/>
      <c r="F2" s="4" t="n"/>
    </row>
    <row r="4">
      <c r="B4" s="7" t="inlineStr">
        <is>
          <t>Parameter</t>
        </is>
      </c>
      <c r="C4" s="7" t="inlineStr">
        <is>
          <t>Value</t>
        </is>
      </c>
      <c r="D4" s="7" t="inlineStr">
        <is>
          <t>What it controls</t>
        </is>
      </c>
      <c r="E4" s="7" t="inlineStr">
        <is>
          <t>Limitation</t>
        </is>
      </c>
    </row>
    <row r="5" ht="36" customHeight="1">
      <c r="B5" s="8" t="inlineStr">
        <is>
          <t>Late shipment threshold (days)</t>
        </is>
      </c>
      <c r="C5" s="8" t="n">
        <v>7</v>
      </c>
      <c r="D5" s="8" t="inlineStr">
        <is>
          <t>LateFlag and the on-time KPI. Edit this cell and Excel recalculates.</t>
        </is>
      </c>
      <c r="E5" s="8" t="inlineStr">
        <is>
          <t>Does not rewrite history; it only changes the cutoff.</t>
        </is>
      </c>
    </row>
    <row r="6" ht="36" customHeight="1">
      <c r="B6" s="8" t="inlineStr">
        <is>
          <t>Low-margin threshold</t>
        </is>
      </c>
      <c r="C6" s="9" t="n">
        <v>0.15</v>
      </c>
      <c r="D6" s="8" t="inlineStr">
        <is>
          <t>Low-margin KPI. Stored as a fraction (0.15 = 15%).</t>
        </is>
      </c>
      <c r="E6" s="8" t="inlineStr">
        <is>
          <t>Compared with each order's margin, not the weighted regional margin.</t>
        </is>
      </c>
    </row>
    <row r="7" ht="36" customHeight="1">
      <c r="B7" s="8" t="inlineStr">
        <is>
          <t>High-value percentile</t>
        </is>
      </c>
      <c r="C7" s="10" t="n">
        <v>0.9</v>
      </c>
      <c r="D7" s="8" t="inlineStr">
        <is>
          <t>Documented percentile used when the pipeline computed the cutoff.</t>
        </is>
      </c>
      <c r="E7" s="8" t="inlineStr">
        <is>
          <t>Changing this cell does not recompute the cutoff. Rerun the pipeline.</t>
        </is>
      </c>
    </row>
    <row r="8" ht="36" customHeight="1">
      <c r="B8" s="8" t="inlineStr">
        <is>
          <t>High-value cutoff</t>
        </is>
      </c>
      <c r="C8" s="11" t="n">
        <v>3064.63</v>
      </c>
      <c r="D8" s="8" t="inlineStr">
        <is>
          <t>HighValueFlag. Orders at or above this net revenue count as high value.</t>
        </is>
      </c>
      <c r="E8" s="8" t="inlineStr">
        <is>
          <t>Cutoff is fixed for the saved parameter set and the All/All/All filter. Dropdowns do not rebuild the percentile.</t>
        </is>
      </c>
    </row>
    <row r="9" ht="36" customHeight="1">
      <c r="B9" s="8" t="inlineStr">
        <is>
          <t>Random seed</t>
        </is>
      </c>
      <c r="C9" s="8" t="n">
        <v>42</v>
      </c>
      <c r="D9" s="8" t="inlineStr">
        <is>
          <t>Makes the synthetic extract reproducible.</t>
        </is>
      </c>
      <c r="E9" s="8" t="inlineStr">
        <is>
          <t>The extract is synthetic. It is not a client ledger.</t>
        </is>
      </c>
    </row>
    <row r="10" ht="36" customHeight="1">
      <c r="B10" s="8" t="inlineStr">
        <is>
          <t>Include cancelled (echo)</t>
        </is>
      </c>
      <c r="C10" s="8">
        <f>pIncludeCancelled</f>
        <v/>
      </c>
      <c r="D10" s="8" t="inlineStr">
        <is>
          <t>Mirrors the dashboard switch.</t>
        </is>
      </c>
      <c r="E10" s="8" t="inlineStr">
        <is>
          <t>Yes includes cancelled orders in sales KPIs. Return rate and on-time still exclude them.</t>
        </is>
      </c>
    </row>
    <row r="11" ht="36" customHeight="1">
      <c r="B11" s="8" t="inlineStr">
        <is>
          <t>Analysis start (echo)</t>
        </is>
      </c>
      <c r="C11" s="12">
        <f>pStart</f>
        <v/>
      </c>
      <c r="D11" s="8" t="inlineStr">
        <is>
          <t>Mirrors the dashboard date.</t>
        </is>
      </c>
      <c r="E11" s="8" t="inlineStr">
        <is>
          <t>Rows outside the window stay on Cleaned_Data and drop out of every SUMIFS.</t>
        </is>
      </c>
    </row>
    <row r="12" ht="36" customHeight="1">
      <c r="B12" s="8" t="inlineStr">
        <is>
          <t>Analysis end (echo)</t>
        </is>
      </c>
      <c r="C12" s="12">
        <f>pEnd</f>
        <v/>
      </c>
      <c r="D12" s="8" t="inlineStr">
        <is>
          <t>Mirrors the dashboard date.</t>
        </is>
      </c>
      <c r="E12" s="8" t="inlineStr">
        <is>
          <t>Same window rule as the start date.</t>
        </is>
      </c>
    </row>
  </sheetData>
  <autoFilter ref="B4:E12"/>
  <mergeCells count="2">
    <mergeCell ref="A2:F2"/>
    <mergeCell ref="A1:F1"/>
  </mergeCells>
  <conditionalFormatting sqref="C6">
    <cfRule type="cellIs" priority="1" operator="greaterThan" dxfId="0">
      <formula>1</formula>
    </cfRule>
  </conditionalFormatting>
  <conditionalFormatting sqref="C5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33B32"/>
    <outlinePr summaryBelow="1" summaryRight="1"/>
    <pageSetUpPr/>
  </sheetPr>
  <dimension ref="A1:N1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2" customHeight="1">
      <c r="A1" s="7" t="inlineStr">
        <is>
          <t>OrderID</t>
        </is>
      </c>
      <c r="B1" s="7" t="inlineStr">
        <is>
          <t>OrderDate</t>
        </is>
      </c>
      <c r="C1" s="7" t="inlineStr">
        <is>
          <t>Region</t>
        </is>
      </c>
      <c r="D1" s="7" t="inlineStr">
        <is>
          <t>Channel</t>
        </is>
      </c>
      <c r="E1" s="7" t="inlineStr">
        <is>
          <t>Category</t>
        </is>
      </c>
      <c r="F1" s="7" t="inlineStr">
        <is>
          <t>Product</t>
        </is>
      </c>
      <c r="G1" s="7" t="inlineStr">
        <is>
          <t>Segment</t>
        </is>
      </c>
      <c r="H1" s="7" t="inlineStr">
        <is>
          <t>Quantity</t>
        </is>
      </c>
      <c r="I1" s="7" t="inlineStr">
        <is>
          <t>UnitPrice</t>
        </is>
      </c>
      <c r="J1" s="7" t="inlineStr">
        <is>
          <t>Discount</t>
        </is>
      </c>
      <c r="K1" s="7" t="inlineStr">
        <is>
          <t>UnitCost</t>
        </is>
      </c>
      <c r="L1" s="7" t="inlineStr">
        <is>
          <t>ShipDays</t>
        </is>
      </c>
      <c r="M1" s="7" t="inlineStr">
        <is>
          <t>Status</t>
        </is>
      </c>
      <c r="N1" s="7" t="inlineStr">
        <is>
          <t>SalesRep</t>
        </is>
      </c>
    </row>
    <row r="2">
      <c r="A2" s="13" t="inlineStr">
        <is>
          <t>HC-100000</t>
        </is>
      </c>
      <c r="B2" s="13" t="inlineStr">
        <is>
          <t>05/21/2025</t>
        </is>
      </c>
      <c r="C2" s="13" t="inlineStr">
        <is>
          <t>West</t>
        </is>
      </c>
      <c r="D2" s="13" t="inlineStr">
        <is>
          <t>Online</t>
        </is>
      </c>
      <c r="E2" s="13" t="inlineStr">
        <is>
          <t>Furniture</t>
        </is>
      </c>
      <c r="F2" s="13" t="inlineStr">
        <is>
          <t>Linen Sofa</t>
        </is>
      </c>
      <c r="G2" s="13" t="inlineStr">
        <is>
          <t>Consumer</t>
        </is>
      </c>
      <c r="H2" s="13" t="inlineStr">
        <is>
          <t>2</t>
        </is>
      </c>
      <c r="I2" s="14" t="inlineStr">
        <is>
          <t>$1,307.21</t>
        </is>
      </c>
      <c r="J2" s="15" t="inlineStr">
        <is>
          <t>0.14</t>
        </is>
      </c>
      <c r="K2" s="14" t="inlineStr">
        <is>
          <t>862.76</t>
        </is>
      </c>
      <c r="L2" s="13" t="inlineStr">
        <is>
          <t>4</t>
        </is>
      </c>
      <c r="M2" s="13" t="inlineStr">
        <is>
          <t>Completed</t>
        </is>
      </c>
      <c r="N2" s="13" t="inlineStr">
        <is>
          <t>J. Patel</t>
        </is>
      </c>
    </row>
    <row r="3">
      <c r="A3" s="13" t="inlineStr">
        <is>
          <t>HC-100001</t>
        </is>
      </c>
      <c r="B3" s="13" t="inlineStr">
        <is>
          <t>03-Sep-24</t>
        </is>
      </c>
      <c r="C3" s="13" t="inlineStr">
        <is>
          <t>West</t>
        </is>
      </c>
      <c r="D3" s="13" t="inlineStr">
        <is>
          <t>Online</t>
        </is>
      </c>
      <c r="E3" s="13" t="inlineStr">
        <is>
          <t>Furniture</t>
        </is>
      </c>
      <c r="F3" s="13" t="inlineStr">
        <is>
          <t>Lounge Chair</t>
        </is>
      </c>
      <c r="G3" s="13" t="inlineStr">
        <is>
          <t>Home Office</t>
        </is>
      </c>
      <c r="H3" s="13" t="inlineStr">
        <is>
          <t>2</t>
        </is>
      </c>
      <c r="I3" s="14" t="inlineStr">
        <is>
          <t>453.45</t>
        </is>
      </c>
      <c r="J3" s="15" t="inlineStr">
        <is>
          <t>0.03</t>
        </is>
      </c>
      <c r="K3" s="14" t="inlineStr">
        <is>
          <t>272.07</t>
        </is>
      </c>
      <c r="L3" s="13" t="inlineStr">
        <is>
          <t>10</t>
        </is>
      </c>
      <c r="M3" s="13" t="inlineStr">
        <is>
          <t>Completed</t>
        </is>
      </c>
      <c r="N3" s="13" t="inlineStr">
        <is>
          <t>R. Ibarra</t>
        </is>
      </c>
    </row>
    <row r="4">
      <c r="A4" s="13" t="inlineStr">
        <is>
          <t>HC-100002</t>
        </is>
      </c>
      <c r="B4" s="13" t="inlineStr">
        <is>
          <t>2025/03/04</t>
        </is>
      </c>
      <c r="C4" s="13" t="inlineStr">
        <is>
          <t>West</t>
        </is>
      </c>
      <c r="D4" s="13" t="inlineStr">
        <is>
          <t>Online</t>
        </is>
      </c>
      <c r="E4" s="13" t="inlineStr">
        <is>
          <t>Lighting</t>
        </is>
      </c>
      <c r="F4" s="13" t="inlineStr">
        <is>
          <t>Arc Lamp</t>
        </is>
      </c>
      <c r="G4" s="13" t="inlineStr">
        <is>
          <t>Corporate</t>
        </is>
      </c>
      <c r="H4" s="13" t="inlineStr">
        <is>
          <t>3</t>
        </is>
      </c>
      <c r="I4" s="14" t="inlineStr">
        <is>
          <t>292.13</t>
        </is>
      </c>
      <c r="J4" s="15" t="inlineStr">
        <is>
          <t>0.13</t>
        </is>
      </c>
      <c r="K4" s="14" t="inlineStr">
        <is>
          <t>140.22</t>
        </is>
      </c>
      <c r="L4" s="13" t="inlineStr">
        <is>
          <t>6</t>
        </is>
      </c>
      <c r="M4" s="13" t="inlineStr">
        <is>
          <t>Completed</t>
        </is>
      </c>
      <c r="N4" s="13" t="inlineStr">
        <is>
          <t>L. Berger</t>
        </is>
      </c>
    </row>
    <row r="5">
      <c r="A5" s="13" t="inlineStr">
        <is>
          <t>HC-100003</t>
        </is>
      </c>
      <c r="B5" s="13" t="inlineStr">
        <is>
          <t>18.05.2025</t>
        </is>
      </c>
      <c r="C5" s="13" t="inlineStr">
        <is>
          <t>Eas</t>
        </is>
      </c>
      <c r="D5" s="13" t="inlineStr">
        <is>
          <t>Online</t>
        </is>
      </c>
      <c r="E5" s="13" t="inlineStr">
        <is>
          <t>FURNITURE</t>
        </is>
      </c>
      <c r="F5" s="13" t="inlineStr">
        <is>
          <t>Walnut Shelf</t>
        </is>
      </c>
      <c r="G5" s="13" t="inlineStr">
        <is>
          <t>Consumer</t>
        </is>
      </c>
      <c r="H5" s="13" t="inlineStr">
        <is>
          <t>2</t>
        </is>
      </c>
      <c r="I5" s="14" t="inlineStr">
        <is>
          <t>188.96</t>
        </is>
      </c>
      <c r="J5" s="15" t="inlineStr">
        <is>
          <t>0.09</t>
        </is>
      </c>
      <c r="K5" s="14" t="inlineStr">
        <is>
          <t>103.93</t>
        </is>
      </c>
      <c r="L5" s="13" t="inlineStr">
        <is>
          <t>6</t>
        </is>
      </c>
      <c r="M5" s="13" t="inlineStr">
        <is>
          <t>Completed</t>
        </is>
      </c>
      <c r="N5" s="13" t="inlineStr">
        <is>
          <t>A. Shah</t>
        </is>
      </c>
    </row>
    <row r="6">
      <c r="A6" s="13" t="inlineStr">
        <is>
          <t>HC-100004</t>
        </is>
      </c>
      <c r="B6" s="13" t="inlineStr">
        <is>
          <t>03/09/2024</t>
        </is>
      </c>
      <c r="C6" s="13" t="inlineStr">
        <is>
          <t>West</t>
        </is>
      </c>
      <c r="D6" s="13" t="inlineStr">
        <is>
          <t>web</t>
        </is>
      </c>
      <c r="E6" s="13" t="inlineStr">
        <is>
          <t>Furniture</t>
        </is>
      </c>
      <c r="F6" s="13" t="inlineStr">
        <is>
          <t>Lounge Chair</t>
        </is>
      </c>
      <c r="G6" s="13" t="inlineStr">
        <is>
          <t>Consumer</t>
        </is>
      </c>
      <c r="H6" s="13" t="inlineStr">
        <is>
          <t>2</t>
        </is>
      </c>
      <c r="I6" s="14" t="inlineStr">
        <is>
          <t>495.08</t>
        </is>
      </c>
      <c r="J6" s="15" t="inlineStr">
        <is>
          <t>0.04</t>
        </is>
      </c>
      <c r="K6" s="14" t="inlineStr">
        <is>
          <t>297.05</t>
        </is>
      </c>
      <c r="L6" s="13" t="inlineStr">
        <is>
          <t>5</t>
        </is>
      </c>
      <c r="M6" s="13" t="inlineStr">
        <is>
          <t>complete</t>
        </is>
      </c>
      <c r="N6" s="13" t="inlineStr">
        <is>
          <t>P. Rossi</t>
        </is>
      </c>
    </row>
    <row r="7">
      <c r="A7" s="13" t="inlineStr">
        <is>
          <t>HC-100005</t>
        </is>
      </c>
      <c r="B7" s="13" t="inlineStr">
        <is>
          <t>30-Jul-24</t>
        </is>
      </c>
      <c r="C7" s="13" t="inlineStr">
        <is>
          <t>North</t>
        </is>
      </c>
      <c r="D7" s="13" t="inlineStr">
        <is>
          <t>Wholesale</t>
        </is>
      </c>
      <c r="E7" s="13" t="inlineStr">
        <is>
          <t>Lighting</t>
        </is>
      </c>
      <c r="F7" s="13" t="inlineStr">
        <is>
          <t>Brass Sconce</t>
        </is>
      </c>
      <c r="G7" s="13" t="inlineStr">
        <is>
          <t>Corporate</t>
        </is>
      </c>
      <c r="H7" s="13" t="inlineStr">
        <is>
          <t>13</t>
        </is>
      </c>
      <c r="I7" s="14" t="inlineStr">
        <is>
          <t>141.77</t>
        </is>
      </c>
      <c r="J7" s="15" t="inlineStr">
        <is>
          <t>18%</t>
        </is>
      </c>
      <c r="K7" s="14" t="inlineStr">
        <is>
          <t>65.22</t>
        </is>
      </c>
      <c r="L7" s="13" t="inlineStr">
        <is>
          <t>3</t>
        </is>
      </c>
      <c r="M7" s="13" t="inlineStr">
        <is>
          <t>Completed</t>
        </is>
      </c>
      <c r="N7" s="13" t="inlineStr">
        <is>
          <t>R. Ibarra</t>
        </is>
      </c>
    </row>
    <row r="8">
      <c r="A8" s="13" t="inlineStr">
        <is>
          <t>HC-100006</t>
        </is>
      </c>
      <c r="B8" s="13" t="inlineStr">
        <is>
          <t>2024/04/22</t>
        </is>
      </c>
      <c r="C8" s="13" t="inlineStr">
        <is>
          <t>North</t>
        </is>
      </c>
      <c r="D8" s="13" t="inlineStr">
        <is>
          <t>web</t>
        </is>
      </c>
      <c r="E8" s="13" t="inlineStr">
        <is>
          <t>Furniture</t>
        </is>
      </c>
      <c r="F8" s="13" t="inlineStr">
        <is>
          <t>Linen Sofa</t>
        </is>
      </c>
      <c r="G8" s="13" t="inlineStr">
        <is>
          <t>Home Office</t>
        </is>
      </c>
      <c r="H8" s="13" t="inlineStr">
        <is>
          <t>3</t>
        </is>
      </c>
      <c r="I8" s="14" t="inlineStr">
        <is>
          <t>1219.37</t>
        </is>
      </c>
      <c r="J8" s="15" t="inlineStr">
        <is>
          <t>0.11</t>
        </is>
      </c>
      <c r="K8" s="14" t="inlineStr">
        <is>
          <t>804.79</t>
        </is>
      </c>
      <c r="L8" s="13" t="inlineStr">
        <is>
          <t>5</t>
        </is>
      </c>
      <c r="M8" s="13" t="inlineStr">
        <is>
          <t>Completed</t>
        </is>
      </c>
      <c r="N8" s="13" t="inlineStr">
        <is>
          <t>R. Ibarra</t>
        </is>
      </c>
    </row>
    <row r="9">
      <c r="A9" s="13" t="inlineStr">
        <is>
          <t>HC-100007</t>
        </is>
      </c>
      <c r="B9" s="13" t="inlineStr">
        <is>
          <t>09.10.2024</t>
        </is>
      </c>
      <c r="C9" s="13" t="inlineStr">
        <is>
          <t>West</t>
        </is>
      </c>
      <c r="D9" s="13" t="inlineStr">
        <is>
          <t>B2B</t>
        </is>
      </c>
      <c r="E9" s="13" t="inlineStr">
        <is>
          <t>Furniture</t>
        </is>
      </c>
      <c r="F9" s="13" t="inlineStr">
        <is>
          <t>Oak Desk</t>
        </is>
      </c>
      <c r="G9" s="13" t="inlineStr"/>
      <c r="H9" s="13" t="inlineStr">
        <is>
          <t>16</t>
        </is>
      </c>
      <c r="I9" s="14" t="inlineStr">
        <is>
          <t>863.15</t>
        </is>
      </c>
      <c r="J9" s="15" t="inlineStr">
        <is>
          <t>0.14</t>
        </is>
      </c>
      <c r="K9" s="14" t="inlineStr">
        <is>
          <t>535.15</t>
        </is>
      </c>
      <c r="L9" s="13" t="inlineStr">
        <is>
          <t>6</t>
        </is>
      </c>
      <c r="M9" s="13" t="inlineStr">
        <is>
          <t>Completed</t>
        </is>
      </c>
      <c r="N9" s="13" t="inlineStr">
        <is>
          <t>S. Nguyen</t>
        </is>
      </c>
    </row>
    <row r="10">
      <c r="A10" s="13" t="inlineStr">
        <is>
          <t>HC-100008</t>
        </is>
      </c>
      <c r="B10" s="13" t="inlineStr">
        <is>
          <t>08/29/2024</t>
        </is>
      </c>
      <c r="C10" s="13" t="inlineStr">
        <is>
          <t>West</t>
        </is>
      </c>
      <c r="D10" s="13" t="inlineStr">
        <is>
          <t>Store</t>
        </is>
      </c>
      <c r="E10" s="13" t="inlineStr">
        <is>
          <t>Lighting</t>
        </is>
      </c>
      <c r="F10" s="13" t="inlineStr">
        <is>
          <t>Brass Sconce</t>
        </is>
      </c>
      <c r="G10" s="13" t="inlineStr">
        <is>
          <t>Home Office</t>
        </is>
      </c>
      <c r="H10" s="13" t="inlineStr">
        <is>
          <t>2</t>
        </is>
      </c>
      <c r="I10" s="14" t="inlineStr">
        <is>
          <t>132.49</t>
        </is>
      </c>
      <c r="J10" s="15" t="inlineStr">
        <is>
          <t>0.11</t>
        </is>
      </c>
      <c r="K10" s="14" t="inlineStr">
        <is>
          <t>60.94</t>
        </is>
      </c>
      <c r="L10" s="13" t="inlineStr">
        <is>
          <t>3</t>
        </is>
      </c>
      <c r="M10" s="13" t="inlineStr">
        <is>
          <t>Completed</t>
        </is>
      </c>
      <c r="N10" s="13" t="inlineStr">
        <is>
          <t>M. Okonkwo</t>
        </is>
      </c>
    </row>
    <row r="11">
      <c r="A11" s="13" t="inlineStr">
        <is>
          <t>HC-100009</t>
        </is>
      </c>
      <c r="B11" s="13" t="inlineStr">
        <is>
          <t>28-Jul-24</t>
        </is>
      </c>
      <c r="C11" s="13" t="inlineStr">
        <is>
          <t>West</t>
        </is>
      </c>
      <c r="D11" s="13" t="inlineStr">
        <is>
          <t>Store</t>
        </is>
      </c>
      <c r="E11" s="13" t="inlineStr">
        <is>
          <t>Furniture</t>
        </is>
      </c>
      <c r="F11" s="13" t="inlineStr">
        <is>
          <t>Oak Desk</t>
        </is>
      </c>
      <c r="G11" s="13" t="inlineStr"/>
      <c r="H11" s="13" t="inlineStr">
        <is>
          <t>4</t>
        </is>
      </c>
      <c r="I11" s="14" t="inlineStr">
        <is>
          <t>796.89</t>
        </is>
      </c>
      <c r="J11" s="15" t="inlineStr">
        <is>
          <t>0.02</t>
        </is>
      </c>
      <c r="K11" s="14" t="inlineStr">
        <is>
          <t>494.07</t>
        </is>
      </c>
      <c r="L11" s="13" t="inlineStr">
        <is>
          <t>3</t>
        </is>
      </c>
      <c r="M11" s="13" t="inlineStr">
        <is>
          <t>COMPLETED</t>
        </is>
      </c>
      <c r="N11" s="13" t="inlineStr">
        <is>
          <t>J. Patel</t>
        </is>
      </c>
    </row>
    <row r="12">
      <c r="A12" s="13" t="inlineStr">
        <is>
          <t>HC-100010</t>
        </is>
      </c>
      <c r="B12" s="13" t="inlineStr">
        <is>
          <t>2025/03/24</t>
        </is>
      </c>
      <c r="C12" s="13" t="inlineStr">
        <is>
          <t>North</t>
        </is>
      </c>
      <c r="D12" s="13" t="inlineStr">
        <is>
          <t>Online</t>
        </is>
      </c>
      <c r="E12" s="13" t="inlineStr">
        <is>
          <t>Textiles</t>
        </is>
      </c>
      <c r="F12" s="13" t="inlineStr">
        <is>
          <t>Cotton Duvet</t>
        </is>
      </c>
      <c r="G12" s="13" t="inlineStr">
        <is>
          <t>Consumer</t>
        </is>
      </c>
      <c r="H12" s="13" t="inlineStr">
        <is>
          <t>one</t>
        </is>
      </c>
      <c r="I12" s="14" t="inlineStr">
        <is>
          <t>112.78</t>
        </is>
      </c>
      <c r="J12" s="15" t="inlineStr">
        <is>
          <t>0.04</t>
        </is>
      </c>
      <c r="K12" s="14" t="inlineStr">
        <is>
          <t>49.62</t>
        </is>
      </c>
      <c r="L12" s="13" t="inlineStr">
        <is>
          <t>5</t>
        </is>
      </c>
      <c r="M12" s="13" t="inlineStr">
        <is>
          <t>Returned</t>
        </is>
      </c>
      <c r="N12" s="13" t="inlineStr">
        <is>
          <t>P. Rossi</t>
        </is>
      </c>
    </row>
    <row r="13">
      <c r="A13" s="13" t="inlineStr">
        <is>
          <t>HC-100011</t>
        </is>
      </c>
      <c r="B13" s="13" t="inlineStr">
        <is>
          <t>05.09.2025</t>
        </is>
      </c>
      <c r="C13" s="13" t="inlineStr">
        <is>
          <t>West</t>
        </is>
      </c>
      <c r="D13" s="13" t="inlineStr">
        <is>
          <t>Online</t>
        </is>
      </c>
      <c r="E13" s="13" t="inlineStr">
        <is>
          <t>Lighting</t>
        </is>
      </c>
      <c r="F13" s="13" t="inlineStr">
        <is>
          <t>Pendant Light</t>
        </is>
      </c>
      <c r="G13" s="13" t="inlineStr">
        <is>
          <t>Consumer</t>
        </is>
      </c>
      <c r="H13" s="13" t="inlineStr">
        <is>
          <t>2</t>
        </is>
      </c>
      <c r="I13" s="14" t="inlineStr">
        <is>
          <t>168.74</t>
        </is>
      </c>
      <c r="J13" s="15" t="inlineStr">
        <is>
          <t>0.02</t>
        </is>
      </c>
      <c r="K13" s="14" t="inlineStr">
        <is>
          <t>84.37</t>
        </is>
      </c>
      <c r="L13" s="13" t="inlineStr">
        <is>
          <t>4</t>
        </is>
      </c>
      <c r="M13" s="13" t="inlineStr">
        <is>
          <t>Completed</t>
        </is>
      </c>
      <c r="N13" s="13" t="inlineStr">
        <is>
          <t>K. Mensah</t>
        </is>
      </c>
    </row>
    <row r="14">
      <c r="A14" s="13" t="inlineStr">
        <is>
          <t>HC-100012</t>
        </is>
      </c>
      <c r="B14" s="13" t="inlineStr">
        <is>
          <t>06/09/2024</t>
        </is>
      </c>
      <c r="C14" s="13" t="inlineStr">
        <is>
          <t>West</t>
        </is>
      </c>
      <c r="D14" s="13" t="inlineStr">
        <is>
          <t>Online</t>
        </is>
      </c>
      <c r="E14" s="13" t="inlineStr">
        <is>
          <t>Furniture</t>
        </is>
      </c>
      <c r="F14" s="13" t="inlineStr">
        <is>
          <t>Oak Desk</t>
        </is>
      </c>
      <c r="G14" s="13" t="inlineStr">
        <is>
          <t>consumer</t>
        </is>
      </c>
      <c r="H14" s="13" t="inlineStr">
        <is>
          <t>3</t>
        </is>
      </c>
      <c r="I14" s="14" t="inlineStr">
        <is>
          <t>792.45</t>
        </is>
      </c>
      <c r="J14" s="15" t="inlineStr">
        <is>
          <t>12%</t>
        </is>
      </c>
      <c r="K14" s="14" t="inlineStr">
        <is>
          <t>491.32</t>
        </is>
      </c>
      <c r="L14" s="13" t="inlineStr">
        <is>
          <t>4</t>
        </is>
      </c>
      <c r="M14" s="13" t="inlineStr">
        <is>
          <t>complete</t>
        </is>
      </c>
      <c r="N14" s="13" t="inlineStr">
        <is>
          <t>A. Shah</t>
        </is>
      </c>
    </row>
    <row r="15">
      <c r="A15" s="13" t="inlineStr">
        <is>
          <t>HC-100013</t>
        </is>
      </c>
      <c r="B15" s="13" t="inlineStr">
        <is>
          <t>25-Sep-24</t>
        </is>
      </c>
      <c r="C15" s="13" t="inlineStr">
        <is>
          <t>South</t>
        </is>
      </c>
      <c r="D15" s="13" t="inlineStr">
        <is>
          <t>Wholesale</t>
        </is>
      </c>
      <c r="E15" s="13" t="inlineStr">
        <is>
          <t>Kitchen</t>
        </is>
      </c>
      <c r="F15" s="13" t="inlineStr">
        <is>
          <t>Ceramic Set</t>
        </is>
      </c>
      <c r="G15" s="13" t="inlineStr">
        <is>
          <t>consumer</t>
        </is>
      </c>
      <c r="H15" s="13" t="inlineStr">
        <is>
          <t>23</t>
        </is>
      </c>
      <c r="I15" s="14" t="inlineStr">
        <is>
          <t>82.38</t>
        </is>
      </c>
      <c r="J15" s="15" t="inlineStr">
        <is>
          <t>0.16</t>
        </is>
      </c>
      <c r="K15" s="14" t="inlineStr">
        <is>
          <t>31.30</t>
        </is>
      </c>
      <c r="L15" s="13" t="inlineStr">
        <is>
          <t>9</t>
        </is>
      </c>
      <c r="M15" s="13" t="inlineStr">
        <is>
          <t>complete</t>
        </is>
      </c>
      <c r="N15" s="13" t="inlineStr">
        <is>
          <t>A. Shah</t>
        </is>
      </c>
    </row>
    <row r="16">
      <c r="A16" s="13" t="inlineStr">
        <is>
          <t>HC-100014</t>
        </is>
      </c>
      <c r="B16" s="13" t="inlineStr">
        <is>
          <t>2025/09/10</t>
        </is>
      </c>
      <c r="C16" s="13" t="inlineStr">
        <is>
          <t>West</t>
        </is>
      </c>
      <c r="D16" s="13" t="inlineStr">
        <is>
          <t>Online</t>
        </is>
      </c>
      <c r="E16" s="13" t="inlineStr">
        <is>
          <t>Textiles</t>
        </is>
      </c>
      <c r="F16" s="13" t="inlineStr">
        <is>
          <t>Linen Curtain</t>
        </is>
      </c>
      <c r="G16" s="13" t="inlineStr">
        <is>
          <t>Consumer</t>
        </is>
      </c>
      <c r="H16" s="13" t="inlineStr">
        <is>
          <t>3</t>
        </is>
      </c>
      <c r="I16" s="14" t="inlineStr">
        <is>
          <t>95.22</t>
        </is>
      </c>
      <c r="J16" s="15" t="inlineStr">
        <is>
          <t>0.11</t>
        </is>
      </c>
      <c r="K16" s="14" t="inlineStr">
        <is>
          <t>42.85</t>
        </is>
      </c>
      <c r="L16" s="13" t="inlineStr">
        <is>
          <t>1</t>
        </is>
      </c>
      <c r="M16" s="13" t="inlineStr">
        <is>
          <t>RETURNED</t>
        </is>
      </c>
      <c r="N16" s="13" t="inlineStr">
        <is>
          <t>M. Okonkwo</t>
        </is>
      </c>
    </row>
    <row r="17">
      <c r="A17" s="13" t="inlineStr">
        <is>
          <t>HC-100015</t>
        </is>
      </c>
      <c r="B17" s="13" t="inlineStr">
        <is>
          <t>15.07.2024</t>
        </is>
      </c>
      <c r="C17" s="13" t="inlineStr">
        <is>
          <t>WEST</t>
        </is>
      </c>
      <c r="D17" s="13" t="inlineStr">
        <is>
          <t>Wholesale</t>
        </is>
      </c>
      <c r="E17" s="13" t="inlineStr">
        <is>
          <t>Lighting</t>
        </is>
      </c>
      <c r="F17" s="13" t="inlineStr">
        <is>
          <t>Brass Sconce</t>
        </is>
      </c>
      <c r="G17" s="13" t="inlineStr">
        <is>
          <t>Consumer</t>
        </is>
      </c>
      <c r="H17" s="13" t="inlineStr">
        <is>
          <t>17</t>
        </is>
      </c>
      <c r="I17" s="14" t="inlineStr">
        <is>
          <t>147.81</t>
        </is>
      </c>
      <c r="J17" s="15" t="inlineStr">
        <is>
          <t>0.23</t>
        </is>
      </c>
      <c r="K17" s="14" t="inlineStr">
        <is>
          <t>67.99</t>
        </is>
      </c>
      <c r="L17" s="13" t="inlineStr">
        <is>
          <t>7</t>
        </is>
      </c>
      <c r="M17" s="13" t="inlineStr">
        <is>
          <t>Completed</t>
        </is>
      </c>
      <c r="N17" s="13" t="inlineStr">
        <is>
          <t>K. Mensah</t>
        </is>
      </c>
    </row>
    <row r="18">
      <c r="A18" s="13" t="inlineStr">
        <is>
          <t>HC-100016</t>
        </is>
      </c>
      <c r="B18" s="13" t="inlineStr">
        <is>
          <t>03/17/2024</t>
        </is>
      </c>
      <c r="C18" s="13" t="inlineStr">
        <is>
          <t>north</t>
        </is>
      </c>
      <c r="D18" s="13" t="inlineStr">
        <is>
          <t>B2B</t>
        </is>
      </c>
      <c r="E18" s="13" t="inlineStr">
        <is>
          <t>Kitchen</t>
        </is>
      </c>
      <c r="F18" s="13" t="inlineStr">
        <is>
          <t>Cast Skillet</t>
        </is>
      </c>
      <c r="G18" s="13" t="inlineStr">
        <is>
          <t>Consumer</t>
        </is>
      </c>
      <c r="H18" s="13" t="inlineStr">
        <is>
          <t>19</t>
        </is>
      </c>
      <c r="I18" s="14" t="inlineStr">
        <is>
          <t>56.55</t>
        </is>
      </c>
      <c r="J18" s="15" t="inlineStr">
        <is>
          <t>0.28</t>
        </is>
      </c>
      <c r="K18" s="14" t="inlineStr">
        <is>
          <t>22.62</t>
        </is>
      </c>
      <c r="L18" s="13" t="inlineStr">
        <is>
          <t>6</t>
        </is>
      </c>
      <c r="M18" s="13" t="inlineStr">
        <is>
          <t>Returned</t>
        </is>
      </c>
      <c r="N18" s="13" t="inlineStr">
        <is>
          <t>S. Nguyen</t>
        </is>
      </c>
    </row>
    <row r="19">
      <c r="A19" s="13" t="inlineStr">
        <is>
          <t>HC-100017</t>
        </is>
      </c>
      <c r="B19" s="13" t="inlineStr">
        <is>
          <t>05-Dec-24</t>
        </is>
      </c>
      <c r="C19" s="13" t="inlineStr">
        <is>
          <t>North</t>
        </is>
      </c>
      <c r="D19" s="13" t="inlineStr">
        <is>
          <t>Store</t>
        </is>
      </c>
      <c r="E19" s="13" t="inlineStr">
        <is>
          <t>Furniture</t>
        </is>
      </c>
      <c r="F19" s="13" t="inlineStr">
        <is>
          <t>Lounge Chair</t>
        </is>
      </c>
      <c r="G19" s="13" t="inlineStr">
        <is>
          <t>Home Office</t>
        </is>
      </c>
      <c r="H19" s="13" t="inlineStr">
        <is>
          <t>3</t>
        </is>
      </c>
      <c r="I19" s="14" t="inlineStr">
        <is>
          <t>501.07</t>
        </is>
      </c>
      <c r="J19" s="15" t="inlineStr">
        <is>
          <t>0.05</t>
        </is>
      </c>
      <c r="K19" s="14" t="inlineStr">
        <is>
          <t>300.64</t>
        </is>
      </c>
      <c r="L19" s="13" t="inlineStr">
        <is>
          <t>8</t>
        </is>
      </c>
      <c r="M19" s="13" t="inlineStr">
        <is>
          <t>Completed</t>
        </is>
      </c>
      <c r="N19" s="13" t="inlineStr">
        <is>
          <t>P. Rossi</t>
        </is>
      </c>
    </row>
    <row r="20">
      <c r="A20" s="13" t="inlineStr">
        <is>
          <t>HC-100018</t>
        </is>
      </c>
      <c r="B20" s="13" t="inlineStr">
        <is>
          <t>2024/12/30</t>
        </is>
      </c>
      <c r="C20" s="13" t="inlineStr">
        <is>
          <t>west</t>
        </is>
      </c>
      <c r="D20" s="13" t="inlineStr">
        <is>
          <t>Online</t>
        </is>
      </c>
      <c r="E20" s="13" t="inlineStr">
        <is>
          <t>Lighting</t>
        </is>
      </c>
      <c r="F20" s="13" t="inlineStr">
        <is>
          <t>Brass Sconce</t>
        </is>
      </c>
      <c r="G20" s="13" t="inlineStr">
        <is>
          <t>Corporate</t>
        </is>
      </c>
      <c r="H20" s="13" t="inlineStr">
        <is>
          <t>3</t>
        </is>
      </c>
      <c r="I20" s="14" t="inlineStr">
        <is>
          <t>150.11</t>
        </is>
      </c>
      <c r="J20" s="15" t="inlineStr">
        <is>
          <t>0.13</t>
        </is>
      </c>
      <c r="K20" s="14" t="inlineStr">
        <is>
          <t>69.05</t>
        </is>
      </c>
      <c r="L20" s="13" t="inlineStr">
        <is>
          <t>10</t>
        </is>
      </c>
      <c r="M20" s="13" t="inlineStr">
        <is>
          <t>Compleated</t>
        </is>
      </c>
      <c r="N20" s="13" t="inlineStr">
        <is>
          <t>J. Patel</t>
        </is>
      </c>
    </row>
    <row r="21">
      <c r="A21" s="13" t="inlineStr">
        <is>
          <t>HC-100019</t>
        </is>
      </c>
      <c r="B21" s="13" t="inlineStr">
        <is>
          <t>17.05.2025</t>
        </is>
      </c>
      <c r="C21" s="13" t="inlineStr">
        <is>
          <t>West</t>
        </is>
      </c>
      <c r="D21" s="13" t="inlineStr">
        <is>
          <t>Wholesale</t>
        </is>
      </c>
      <c r="E21" s="13" t="inlineStr">
        <is>
          <t>FURNITURE</t>
        </is>
      </c>
      <c r="F21" s="13" t="inlineStr">
        <is>
          <t>Oak Desk</t>
        </is>
      </c>
      <c r="G21" s="13" t="inlineStr">
        <is>
          <t>Consumer</t>
        </is>
      </c>
      <c r="H21" s="13" t="inlineStr">
        <is>
          <t>29</t>
        </is>
      </c>
      <c r="I21" s="14" t="inlineStr">
        <is>
          <t>907.08</t>
        </is>
      </c>
      <c r="J21" s="15" t="inlineStr">
        <is>
          <t>0.14</t>
        </is>
      </c>
      <c r="K21" s="14" t="inlineStr">
        <is>
          <t>562.39</t>
        </is>
      </c>
      <c r="L21" s="13" t="inlineStr">
        <is>
          <t>6</t>
        </is>
      </c>
      <c r="M21" s="13" t="inlineStr">
        <is>
          <t>Completed</t>
        </is>
      </c>
      <c r="N21" s="13" t="inlineStr">
        <is>
          <t>K. Mensah</t>
        </is>
      </c>
    </row>
    <row r="22">
      <c r="A22" s="13" t="inlineStr">
        <is>
          <t>HC-100020</t>
        </is>
      </c>
      <c r="B22" s="13" t="inlineStr">
        <is>
          <t>02/24/2024</t>
        </is>
      </c>
      <c r="C22" s="13" t="inlineStr">
        <is>
          <t>west</t>
        </is>
      </c>
      <c r="D22" s="13" t="inlineStr">
        <is>
          <t>Store</t>
        </is>
      </c>
      <c r="E22" s="13" t="inlineStr">
        <is>
          <t>Kitchen</t>
        </is>
      </c>
      <c r="F22" s="13" t="inlineStr">
        <is>
          <t>Chef Knife</t>
        </is>
      </c>
      <c r="G22" s="13" t="inlineStr">
        <is>
          <t>Corporate</t>
        </is>
      </c>
      <c r="H22" s="13" t="inlineStr">
        <is>
          <t>1</t>
        </is>
      </c>
      <c r="I22" s="14" t="inlineStr">
        <is>
          <t>68.38</t>
        </is>
      </c>
      <c r="J22" s="15" t="inlineStr">
        <is>
          <t>0.10</t>
        </is>
      </c>
      <c r="K22" s="14" t="inlineStr">
        <is>
          <t>24.62</t>
        </is>
      </c>
      <c r="L22" s="13" t="inlineStr">
        <is>
          <t>8</t>
        </is>
      </c>
      <c r="M22" s="13" t="inlineStr">
        <is>
          <t>Completed</t>
        </is>
      </c>
      <c r="N22" s="13" t="inlineStr">
        <is>
          <t>A. Shah</t>
        </is>
      </c>
    </row>
    <row r="23">
      <c r="A23" s="13" t="inlineStr">
        <is>
          <t>HC-100021</t>
        </is>
      </c>
      <c r="B23" s="13" t="inlineStr">
        <is>
          <t>17-Mar-25</t>
        </is>
      </c>
      <c r="C23" s="13" t="inlineStr">
        <is>
          <t>East</t>
        </is>
      </c>
      <c r="D23" s="13" t="inlineStr">
        <is>
          <t>Store</t>
        </is>
      </c>
      <c r="E23" s="13" t="inlineStr">
        <is>
          <t>Textiles</t>
        </is>
      </c>
      <c r="F23" s="13" t="inlineStr">
        <is>
          <t>Linen Curtain</t>
        </is>
      </c>
      <c r="G23" s="13" t="inlineStr">
        <is>
          <t>Consumer</t>
        </is>
      </c>
      <c r="H23" s="13" t="inlineStr">
        <is>
          <t>1</t>
        </is>
      </c>
      <c r="I23" s="14" t="inlineStr">
        <is>
          <t>88.37</t>
        </is>
      </c>
      <c r="J23" s="15" t="inlineStr">
        <is>
          <t>0.11</t>
        </is>
      </c>
      <c r="K23" s="14" t="inlineStr">
        <is>
          <t>39.77</t>
        </is>
      </c>
      <c r="L23" s="13" t="inlineStr">
        <is>
          <t>7</t>
        </is>
      </c>
      <c r="M23" s="13" t="inlineStr">
        <is>
          <t>Completed</t>
        </is>
      </c>
      <c r="N23" s="13" t="inlineStr">
        <is>
          <t>A. Shah</t>
        </is>
      </c>
    </row>
    <row r="24">
      <c r="A24" s="13" t="inlineStr">
        <is>
          <t>HC-100022</t>
        </is>
      </c>
      <c r="B24" s="13" t="inlineStr">
        <is>
          <t>2025/02/13</t>
        </is>
      </c>
      <c r="C24" s="13" t="inlineStr">
        <is>
          <t>North</t>
        </is>
      </c>
      <c r="D24" s="13" t="inlineStr">
        <is>
          <t>Online</t>
        </is>
      </c>
      <c r="E24" s="13" t="inlineStr">
        <is>
          <t>Lighting</t>
        </is>
      </c>
      <c r="F24" s="13" t="inlineStr">
        <is>
          <t>Brass Sconce</t>
        </is>
      </c>
      <c r="G24" s="13" t="inlineStr">
        <is>
          <t>Consumer</t>
        </is>
      </c>
      <c r="H24" s="13" t="inlineStr">
        <is>
          <t>3</t>
        </is>
      </c>
      <c r="I24" s="14" t="inlineStr">
        <is>
          <t>131.80</t>
        </is>
      </c>
      <c r="J24" s="15" t="inlineStr">
        <is>
          <t>4%</t>
        </is>
      </c>
      <c r="K24" s="14" t="inlineStr">
        <is>
          <t>60.63</t>
        </is>
      </c>
      <c r="L24" s="13" t="inlineStr">
        <is>
          <t>8</t>
        </is>
      </c>
      <c r="M24" s="13" t="inlineStr">
        <is>
          <t>Completed</t>
        </is>
      </c>
      <c r="N24" s="13" t="inlineStr">
        <is>
          <t>R. Ibarra</t>
        </is>
      </c>
    </row>
    <row r="25">
      <c r="A25" s="13" t="inlineStr">
        <is>
          <t>HC-100023</t>
        </is>
      </c>
      <c r="B25" s="13" t="inlineStr">
        <is>
          <t>03.06.2024</t>
        </is>
      </c>
      <c r="C25" s="13" t="inlineStr">
        <is>
          <t>East</t>
        </is>
      </c>
      <c r="D25" s="13" t="inlineStr">
        <is>
          <t>Online</t>
        </is>
      </c>
      <c r="E25" s="13" t="inlineStr">
        <is>
          <t>Textiles</t>
        </is>
      </c>
      <c r="F25" s="13" t="inlineStr">
        <is>
          <t>Cotton Duvet</t>
        </is>
      </c>
      <c r="G25" s="13" t="inlineStr">
        <is>
          <t>Corporate</t>
        </is>
      </c>
      <c r="H25" s="13" t="inlineStr">
        <is>
          <t>2</t>
        </is>
      </c>
      <c r="I25" s="14" t="inlineStr">
        <is>
          <t>112.97</t>
        </is>
      </c>
      <c r="J25" s="15" t="inlineStr">
        <is>
          <t>0.07</t>
        </is>
      </c>
      <c r="K25" s="14" t="inlineStr">
        <is>
          <t>49.71</t>
        </is>
      </c>
      <c r="L25" s="13" t="inlineStr">
        <is>
          <t>6</t>
        </is>
      </c>
      <c r="M25" s="13" t="inlineStr">
        <is>
          <t>Completed</t>
        </is>
      </c>
      <c r="N25" s="13" t="inlineStr">
        <is>
          <t>P. Rossi</t>
        </is>
      </c>
    </row>
    <row r="26">
      <c r="A26" s="13" t="inlineStr">
        <is>
          <t>HC-100024</t>
        </is>
      </c>
      <c r="B26" s="13" t="inlineStr">
        <is>
          <t>11/02/2024</t>
        </is>
      </c>
      <c r="C26" s="13" t="inlineStr">
        <is>
          <t>North</t>
        </is>
      </c>
      <c r="D26" s="13" t="inlineStr">
        <is>
          <t>Online</t>
        </is>
      </c>
      <c r="E26" s="13" t="inlineStr">
        <is>
          <t>Furniture</t>
        </is>
      </c>
      <c r="F26" s="13" t="inlineStr">
        <is>
          <t>Oak Desk</t>
        </is>
      </c>
      <c r="G26" s="13" t="inlineStr">
        <is>
          <t>Consumer</t>
        </is>
      </c>
      <c r="H26" s="13" t="inlineStr">
        <is>
          <t>2</t>
        </is>
      </c>
      <c r="I26" s="14" t="inlineStr">
        <is>
          <t>796.05</t>
        </is>
      </c>
      <c r="J26" s="15" t="inlineStr">
        <is>
          <t>0.07</t>
        </is>
      </c>
      <c r="K26" s="14" t="inlineStr">
        <is>
          <t>493.55</t>
        </is>
      </c>
      <c r="L26" s="13" t="inlineStr">
        <is>
          <t>2</t>
        </is>
      </c>
      <c r="M26" s="13" t="inlineStr">
        <is>
          <t>Completed</t>
        </is>
      </c>
      <c r="N26" s="13" t="inlineStr">
        <is>
          <t>L. Berger</t>
        </is>
      </c>
    </row>
    <row r="27">
      <c r="A27" s="13" t="inlineStr">
        <is>
          <t>HC-100025</t>
        </is>
      </c>
      <c r="B27" s="13" t="inlineStr">
        <is>
          <t>24-Aug-24</t>
        </is>
      </c>
      <c r="C27" s="13" t="inlineStr">
        <is>
          <t>West</t>
        </is>
      </c>
      <c r="D27" s="13" t="inlineStr">
        <is>
          <t>Store</t>
        </is>
      </c>
      <c r="E27" s="13" t="inlineStr">
        <is>
          <t>Textiles</t>
        </is>
      </c>
      <c r="F27" s="13" t="inlineStr">
        <is>
          <t>Linen Curtain</t>
        </is>
      </c>
      <c r="G27" s="13" t="inlineStr">
        <is>
          <t>Corporate</t>
        </is>
      </c>
      <c r="H27" s="13" t="inlineStr">
        <is>
          <t>2</t>
        </is>
      </c>
      <c r="I27" s="14" t="inlineStr">
        <is>
          <t>95.38</t>
        </is>
      </c>
      <c r="J27" s="15" t="inlineStr">
        <is>
          <t>0.03</t>
        </is>
      </c>
      <c r="K27" s="14" t="inlineStr">
        <is>
          <t>42.92</t>
        </is>
      </c>
      <c r="L27" s="13" t="inlineStr">
        <is>
          <t>4</t>
        </is>
      </c>
      <c r="M27" s="13" t="inlineStr">
        <is>
          <t>Completed</t>
        </is>
      </c>
      <c r="N27" s="13" t="inlineStr">
        <is>
          <t>A. Shah</t>
        </is>
      </c>
    </row>
    <row r="28">
      <c r="A28" s="13" t="inlineStr">
        <is>
          <t>HC-100026</t>
        </is>
      </c>
      <c r="B28" s="13" t="inlineStr">
        <is>
          <t>2024/11/28</t>
        </is>
      </c>
      <c r="C28" s="13" t="inlineStr">
        <is>
          <t xml:space="preserve"> North </t>
        </is>
      </c>
      <c r="D28" s="13" t="inlineStr">
        <is>
          <t>Wholesale</t>
        </is>
      </c>
      <c r="E28" s="13" t="inlineStr">
        <is>
          <t>Furniture</t>
        </is>
      </c>
      <c r="F28" s="13" t="inlineStr">
        <is>
          <t>Oak Desk</t>
        </is>
      </c>
      <c r="G28" s="13" t="inlineStr">
        <is>
          <t>Consumer</t>
        </is>
      </c>
      <c r="H28" s="13" t="inlineStr">
        <is>
          <t>29</t>
        </is>
      </c>
      <c r="I28" s="14" t="inlineStr">
        <is>
          <t>$838.68</t>
        </is>
      </c>
      <c r="J28" s="15" t="inlineStr">
        <is>
          <t>0.18</t>
        </is>
      </c>
      <c r="K28" s="14" t="inlineStr">
        <is>
          <t>519.98</t>
        </is>
      </c>
      <c r="L28" s="13" t="inlineStr">
        <is>
          <t>1</t>
        </is>
      </c>
      <c r="M28" s="13" t="inlineStr">
        <is>
          <t>Completed</t>
        </is>
      </c>
      <c r="N28" s="13" t="inlineStr">
        <is>
          <t>M. Okonkwo</t>
        </is>
      </c>
    </row>
    <row r="29">
      <c r="A29" s="13" t="inlineStr">
        <is>
          <t>HC-100027</t>
        </is>
      </c>
      <c r="B29" s="13" t="inlineStr">
        <is>
          <t>26.06.2025</t>
        </is>
      </c>
      <c r="C29" s="13" t="inlineStr">
        <is>
          <t>south</t>
        </is>
      </c>
      <c r="D29" s="13" t="inlineStr">
        <is>
          <t>Online</t>
        </is>
      </c>
      <c r="E29" s="13" t="inlineStr">
        <is>
          <t>Kitchen</t>
        </is>
      </c>
      <c r="F29" s="13" t="inlineStr">
        <is>
          <t>Chef Knife</t>
        </is>
      </c>
      <c r="G29" s="13" t="inlineStr">
        <is>
          <t>Consumer</t>
        </is>
      </c>
      <c r="H29" s="13" t="inlineStr">
        <is>
          <t>2</t>
        </is>
      </c>
      <c r="I29" s="14" t="inlineStr">
        <is>
          <t>64.89</t>
        </is>
      </c>
      <c r="J29" s="15" t="inlineStr">
        <is>
          <t>17%</t>
        </is>
      </c>
      <c r="K29" s="14" t="inlineStr">
        <is>
          <t>23.36</t>
        </is>
      </c>
      <c r="L29" s="13" t="inlineStr">
        <is>
          <t>3</t>
        </is>
      </c>
      <c r="M29" s="13" t="inlineStr">
        <is>
          <t>Completed</t>
        </is>
      </c>
      <c r="N29" s="13" t="inlineStr">
        <is>
          <t>K. Mensah</t>
        </is>
      </c>
    </row>
    <row r="30">
      <c r="A30" s="13" t="inlineStr">
        <is>
          <t>HC-100028</t>
        </is>
      </c>
      <c r="B30" s="13" t="inlineStr">
        <is>
          <t>08/05/2024</t>
        </is>
      </c>
      <c r="C30" s="13" t="inlineStr">
        <is>
          <t>North</t>
        </is>
      </c>
      <c r="D30" s="13" t="inlineStr">
        <is>
          <t>Store</t>
        </is>
      </c>
      <c r="E30" s="13" t="inlineStr">
        <is>
          <t>Textiles</t>
        </is>
      </c>
      <c r="F30" s="13" t="inlineStr">
        <is>
          <t>Cotton Duvet</t>
        </is>
      </c>
      <c r="G30" s="13" t="inlineStr">
        <is>
          <t>Home Office</t>
        </is>
      </c>
      <c r="H30" s="13" t="inlineStr">
        <is>
          <t>3</t>
        </is>
      </c>
      <c r="I30" s="14" t="inlineStr">
        <is>
          <t>122.31</t>
        </is>
      </c>
      <c r="J30" s="15" t="inlineStr">
        <is>
          <t>0.12</t>
        </is>
      </c>
      <c r="K30" s="14" t="inlineStr">
        <is>
          <t>53.82</t>
        </is>
      </c>
      <c r="L30" s="13" t="inlineStr">
        <is>
          <t>5</t>
        </is>
      </c>
      <c r="M30" s="13" t="inlineStr">
        <is>
          <t>Completed</t>
        </is>
      </c>
      <c r="N30" s="13" t="inlineStr">
        <is>
          <t>P. Rossi</t>
        </is>
      </c>
    </row>
    <row r="31">
      <c r="A31" s="13" t="inlineStr">
        <is>
          <t>HC-100029</t>
        </is>
      </c>
      <c r="B31" s="13" t="inlineStr">
        <is>
          <t>05-Sep-25</t>
        </is>
      </c>
      <c r="C31" s="13" t="inlineStr">
        <is>
          <t>West</t>
        </is>
      </c>
      <c r="D31" s="13" t="inlineStr">
        <is>
          <t>Online</t>
        </is>
      </c>
      <c r="E31" s="13" t="inlineStr">
        <is>
          <t>Lighting</t>
        </is>
      </c>
      <c r="F31" s="13" t="inlineStr">
        <is>
          <t>Arc Lamp</t>
        </is>
      </c>
      <c r="G31" s="13" t="inlineStr">
        <is>
          <t>Consumer</t>
        </is>
      </c>
      <c r="H31" s="13" t="inlineStr">
        <is>
          <t>1</t>
        </is>
      </c>
      <c r="I31" s="14" t="inlineStr">
        <is>
          <t>323.76</t>
        </is>
      </c>
      <c r="J31" s="15" t="inlineStr">
        <is>
          <t>0.03</t>
        </is>
      </c>
      <c r="K31" s="14" t="inlineStr">
        <is>
          <t>155.40</t>
        </is>
      </c>
      <c r="L31" s="13" t="inlineStr">
        <is>
          <t>7</t>
        </is>
      </c>
      <c r="M31" s="13" t="inlineStr">
        <is>
          <t>Completed</t>
        </is>
      </c>
      <c r="N31" s="13" t="inlineStr">
        <is>
          <t>A. Shah</t>
        </is>
      </c>
    </row>
    <row r="32">
      <c r="A32" s="13" t="inlineStr">
        <is>
          <t>HC-100030</t>
        </is>
      </c>
      <c r="B32" s="13" t="inlineStr">
        <is>
          <t>2024/02/11</t>
        </is>
      </c>
      <c r="C32" s="13" t="inlineStr">
        <is>
          <t>East</t>
        </is>
      </c>
      <c r="D32" s="13" t="inlineStr">
        <is>
          <t>e-commerce</t>
        </is>
      </c>
      <c r="E32" s="13" t="inlineStr">
        <is>
          <t>Textiles</t>
        </is>
      </c>
      <c r="F32" s="13" t="inlineStr">
        <is>
          <t>Wool Throw</t>
        </is>
      </c>
      <c r="G32" s="13" t="inlineStr"/>
      <c r="H32" s="13" t="inlineStr">
        <is>
          <t>1</t>
        </is>
      </c>
      <c r="I32" s="14" t="inlineStr">
        <is>
          <t>70.75</t>
        </is>
      </c>
      <c r="J32" s="15" t="inlineStr">
        <is>
          <t>0.14</t>
        </is>
      </c>
      <c r="K32" s="14" t="inlineStr">
        <is>
          <t>29.71</t>
        </is>
      </c>
      <c r="L32" s="13" t="inlineStr">
        <is>
          <t>7</t>
        </is>
      </c>
      <c r="M32" s="13" t="inlineStr">
        <is>
          <t>Completed</t>
        </is>
      </c>
      <c r="N32" s="13" t="inlineStr">
        <is>
          <t>K. Mensah</t>
        </is>
      </c>
    </row>
    <row r="33">
      <c r="A33" s="13" t="inlineStr">
        <is>
          <t>HC-100031</t>
        </is>
      </c>
      <c r="B33" s="13" t="inlineStr">
        <is>
          <t>16.08.2024</t>
        </is>
      </c>
      <c r="C33" s="13" t="inlineStr">
        <is>
          <t>West</t>
        </is>
      </c>
      <c r="D33" s="13" t="inlineStr">
        <is>
          <t>Store</t>
        </is>
      </c>
      <c r="E33" s="13" t="inlineStr">
        <is>
          <t>Textiles</t>
        </is>
      </c>
      <c r="F33" s="13" t="inlineStr">
        <is>
          <t>Cotton Duvet</t>
        </is>
      </c>
      <c r="G33" s="13" t="inlineStr">
        <is>
          <t>Consumer</t>
        </is>
      </c>
      <c r="H33" s="13" t="inlineStr">
        <is>
          <t>2</t>
        </is>
      </c>
      <c r="I33" s="14" t="inlineStr">
        <is>
          <t>127.42</t>
        </is>
      </c>
      <c r="J33" s="15" t="inlineStr">
        <is>
          <t>0.03</t>
        </is>
      </c>
      <c r="K33" s="14" t="inlineStr">
        <is>
          <t>56.07</t>
        </is>
      </c>
      <c r="L33" s="13" t="inlineStr">
        <is>
          <t>7</t>
        </is>
      </c>
      <c r="M33" s="13" t="inlineStr">
        <is>
          <t>Completed</t>
        </is>
      </c>
      <c r="N33" s="13" t="inlineStr">
        <is>
          <t>R. Ibarra</t>
        </is>
      </c>
    </row>
    <row r="34">
      <c r="A34" s="13" t="inlineStr">
        <is>
          <t>HC-100032</t>
        </is>
      </c>
      <c r="B34" s="13" t="inlineStr">
        <is>
          <t>08/23/2025</t>
        </is>
      </c>
      <c r="C34" s="13" t="inlineStr">
        <is>
          <t>South</t>
        </is>
      </c>
      <c r="D34" s="13" t="inlineStr">
        <is>
          <t>Store</t>
        </is>
      </c>
      <c r="E34" s="13" t="inlineStr">
        <is>
          <t>Lighting</t>
        </is>
      </c>
      <c r="F34" s="13" t="inlineStr">
        <is>
          <t>Arc Lamp</t>
        </is>
      </c>
      <c r="G34" s="13" t="inlineStr">
        <is>
          <t>Consumer</t>
        </is>
      </c>
      <c r="H34" s="13" t="inlineStr">
        <is>
          <t>1</t>
        </is>
      </c>
      <c r="I34" s="14" t="inlineStr">
        <is>
          <t>286.08</t>
        </is>
      </c>
      <c r="J34" s="15" t="inlineStr">
        <is>
          <t>0.02</t>
        </is>
      </c>
      <c r="K34" s="14" t="inlineStr">
        <is>
          <t>137.32</t>
        </is>
      </c>
      <c r="L34" s="13" t="inlineStr">
        <is>
          <t>6</t>
        </is>
      </c>
      <c r="M34" s="13" t="inlineStr">
        <is>
          <t>Completed</t>
        </is>
      </c>
      <c r="N34" s="13" t="inlineStr">
        <is>
          <t>R. Ibarra</t>
        </is>
      </c>
    </row>
    <row r="35">
      <c r="A35" s="13" t="inlineStr">
        <is>
          <t>HC-100033</t>
        </is>
      </c>
      <c r="B35" s="13" t="inlineStr">
        <is>
          <t>14-Dec-24</t>
        </is>
      </c>
      <c r="C35" s="13" t="inlineStr">
        <is>
          <t>East</t>
        </is>
      </c>
      <c r="D35" s="13" t="inlineStr">
        <is>
          <t>Store</t>
        </is>
      </c>
      <c r="E35" s="13" t="inlineStr">
        <is>
          <t>Furniture</t>
        </is>
      </c>
      <c r="F35" s="13" t="inlineStr">
        <is>
          <t>Linen Sofa</t>
        </is>
      </c>
      <c r="G35" s="13" t="inlineStr">
        <is>
          <t>Corporate</t>
        </is>
      </c>
      <c r="H35" s="13" t="inlineStr">
        <is>
          <t>3</t>
        </is>
      </c>
      <c r="I35" s="14" t="inlineStr">
        <is>
          <t>1192.38</t>
        </is>
      </c>
      <c r="J35" s="15" t="inlineStr">
        <is>
          <t>0.02</t>
        </is>
      </c>
      <c r="K35" s="14" t="inlineStr">
        <is>
          <t>786.97</t>
        </is>
      </c>
      <c r="L35" s="13" t="inlineStr">
        <is>
          <t>9</t>
        </is>
      </c>
      <c r="M35" s="13" t="inlineStr">
        <is>
          <t>Completed</t>
        </is>
      </c>
      <c r="N35" s="13" t="inlineStr">
        <is>
          <t>S. Nguyen</t>
        </is>
      </c>
    </row>
    <row r="36">
      <c r="A36" s="13" t="inlineStr">
        <is>
          <t>HC-100034</t>
        </is>
      </c>
      <c r="B36" s="13" t="inlineStr">
        <is>
          <t>2025/02/22</t>
        </is>
      </c>
      <c r="C36" s="13" t="inlineStr">
        <is>
          <t>West</t>
        </is>
      </c>
      <c r="D36" s="13" t="inlineStr">
        <is>
          <t>Online</t>
        </is>
      </c>
      <c r="E36" s="13" t="inlineStr">
        <is>
          <t>Lighting</t>
        </is>
      </c>
      <c r="F36" s="13" t="inlineStr">
        <is>
          <t>Arc Lamp</t>
        </is>
      </c>
      <c r="G36" s="13" t="inlineStr">
        <is>
          <t>Consumer</t>
        </is>
      </c>
      <c r="H36" s="13" t="inlineStr">
        <is>
          <t>1</t>
        </is>
      </c>
      <c r="I36" s="14" t="inlineStr">
        <is>
          <t>290.31</t>
        </is>
      </c>
      <c r="J36" s="15" t="inlineStr">
        <is>
          <t>0.17</t>
        </is>
      </c>
      <c r="K36" s="14" t="inlineStr">
        <is>
          <t>139.35</t>
        </is>
      </c>
      <c r="L36" s="13" t="inlineStr">
        <is>
          <t>1</t>
        </is>
      </c>
      <c r="M36" s="13" t="inlineStr">
        <is>
          <t>complete</t>
        </is>
      </c>
      <c r="N36" s="13" t="inlineStr">
        <is>
          <t>J. Patel</t>
        </is>
      </c>
    </row>
    <row r="37">
      <c r="A37" s="13" t="inlineStr">
        <is>
          <t>HC-100035</t>
        </is>
      </c>
      <c r="B37" s="13" t="inlineStr">
        <is>
          <t>05.10.2024</t>
        </is>
      </c>
      <c r="C37" s="13" t="inlineStr">
        <is>
          <t>NORTH</t>
        </is>
      </c>
      <c r="D37" s="13" t="inlineStr">
        <is>
          <t>Wholesale</t>
        </is>
      </c>
      <c r="E37" s="13" t="inlineStr">
        <is>
          <t>Furniture</t>
        </is>
      </c>
      <c r="F37" s="13" t="inlineStr">
        <is>
          <t>Oak Desk</t>
        </is>
      </c>
      <c r="G37" s="13" t="inlineStr">
        <is>
          <t>Corporate</t>
        </is>
      </c>
      <c r="H37" s="13" t="inlineStr">
        <is>
          <t>11</t>
        </is>
      </c>
      <c r="I37" s="14" t="inlineStr">
        <is>
          <t>817.57</t>
        </is>
      </c>
      <c r="J37" s="15" t="inlineStr">
        <is>
          <t>22%</t>
        </is>
      </c>
      <c r="K37" s="14" t="inlineStr">
        <is>
          <t>506.89</t>
        </is>
      </c>
      <c r="L37" s="13" t="inlineStr">
        <is>
          <t>5</t>
        </is>
      </c>
      <c r="M37" s="13" t="inlineStr">
        <is>
          <t>Completed</t>
        </is>
      </c>
      <c r="N37" s="13" t="inlineStr">
        <is>
          <t>S. Nguyen</t>
        </is>
      </c>
    </row>
    <row r="38">
      <c r="A38" s="13" t="inlineStr">
        <is>
          <t>HC-100036</t>
        </is>
      </c>
      <c r="B38" s="13" t="inlineStr">
        <is>
          <t>04/10/2024</t>
        </is>
      </c>
      <c r="C38" s="13" t="inlineStr">
        <is>
          <t>North</t>
        </is>
      </c>
      <c r="D38" s="13" t="inlineStr">
        <is>
          <t>Store</t>
        </is>
      </c>
      <c r="E38" s="13" t="inlineStr">
        <is>
          <t>Kitchen</t>
        </is>
      </c>
      <c r="F38" s="13" t="inlineStr">
        <is>
          <t>Ceramic Set</t>
        </is>
      </c>
      <c r="G38" s="13" t="inlineStr">
        <is>
          <t>Consumer</t>
        </is>
      </c>
      <c r="H38" s="13" t="inlineStr">
        <is>
          <t>1</t>
        </is>
      </c>
      <c r="I38" s="14" t="inlineStr">
        <is>
          <t>79.55</t>
        </is>
      </c>
      <c r="J38" s="15" t="inlineStr">
        <is>
          <t>0.02</t>
        </is>
      </c>
      <c r="K38" s="14" t="inlineStr">
        <is>
          <t>30.23</t>
        </is>
      </c>
      <c r="L38" s="13" t="inlineStr">
        <is>
          <t>1</t>
        </is>
      </c>
      <c r="M38" s="13" t="inlineStr">
        <is>
          <t>Compleated</t>
        </is>
      </c>
      <c r="N38" s="13" t="inlineStr">
        <is>
          <t>A. Shah</t>
        </is>
      </c>
    </row>
    <row r="39">
      <c r="A39" s="13" t="inlineStr">
        <is>
          <t>HC-100037</t>
        </is>
      </c>
      <c r="B39" s="13" t="inlineStr">
        <is>
          <t>30-Nov-24</t>
        </is>
      </c>
      <c r="C39" s="13" t="inlineStr">
        <is>
          <t xml:space="preserve"> west </t>
        </is>
      </c>
      <c r="D39" s="13" t="inlineStr">
        <is>
          <t>Store</t>
        </is>
      </c>
      <c r="E39" s="13" t="inlineStr">
        <is>
          <t>Kitchen</t>
        </is>
      </c>
      <c r="F39" s="13" t="inlineStr">
        <is>
          <t>Chef Knife</t>
        </is>
      </c>
      <c r="G39" s="13" t="inlineStr">
        <is>
          <t>Consumer</t>
        </is>
      </c>
      <c r="H39" s="13" t="inlineStr">
        <is>
          <t>2</t>
        </is>
      </c>
      <c r="I39" s="14" t="inlineStr">
        <is>
          <t>65.03</t>
        </is>
      </c>
      <c r="J39" s="15" t="inlineStr">
        <is>
          <t>0.10</t>
        </is>
      </c>
      <c r="K39" s="14" t="inlineStr">
        <is>
          <t>23.41</t>
        </is>
      </c>
      <c r="L39" s="13" t="inlineStr">
        <is>
          <t>7</t>
        </is>
      </c>
      <c r="M39" s="13" t="inlineStr">
        <is>
          <t>Completed</t>
        </is>
      </c>
      <c r="N39" s="13" t="inlineStr">
        <is>
          <t>L. Berger</t>
        </is>
      </c>
    </row>
    <row r="40">
      <c r="A40" s="13" t="inlineStr">
        <is>
          <t>HC-100038</t>
        </is>
      </c>
      <c r="B40" s="13" t="inlineStr">
        <is>
          <t>2024/04/24</t>
        </is>
      </c>
      <c r="C40" s="13" t="inlineStr">
        <is>
          <t>East</t>
        </is>
      </c>
      <c r="D40" s="13" t="inlineStr">
        <is>
          <t>Store</t>
        </is>
      </c>
      <c r="E40" s="13" t="inlineStr">
        <is>
          <t>Lighting</t>
        </is>
      </c>
      <c r="F40" s="13" t="inlineStr">
        <is>
          <t>Arc Lamp</t>
        </is>
      </c>
      <c r="G40" s="13" t="inlineStr">
        <is>
          <t>Consumer</t>
        </is>
      </c>
      <c r="H40" s="13" t="inlineStr">
        <is>
          <t>1</t>
        </is>
      </c>
      <c r="I40" s="14" t="inlineStr">
        <is>
          <t>257.42</t>
        </is>
      </c>
      <c r="J40" s="15" t="inlineStr">
        <is>
          <t>0.00</t>
        </is>
      </c>
      <c r="K40" s="14" t="inlineStr">
        <is>
          <t>123.56</t>
        </is>
      </c>
      <c r="L40" s="13" t="inlineStr">
        <is>
          <t>10</t>
        </is>
      </c>
      <c r="M40" s="13" t="inlineStr">
        <is>
          <t>Cancelled</t>
        </is>
      </c>
      <c r="N40" s="13" t="inlineStr">
        <is>
          <t>J. Patel</t>
        </is>
      </c>
    </row>
    <row r="41">
      <c r="A41" s="13" t="inlineStr">
        <is>
          <t>HC-100039</t>
        </is>
      </c>
      <c r="B41" s="13" t="inlineStr">
        <is>
          <t>02.01.2024</t>
        </is>
      </c>
      <c r="C41" s="13" t="inlineStr">
        <is>
          <t>North</t>
        </is>
      </c>
      <c r="D41" s="13" t="inlineStr">
        <is>
          <t>Wholesale</t>
        </is>
      </c>
      <c r="E41" s="13" t="inlineStr">
        <is>
          <t>FURNITURE</t>
        </is>
      </c>
      <c r="F41" s="13" t="inlineStr">
        <is>
          <t>Walnut Shelf</t>
        </is>
      </c>
      <c r="G41" s="13" t="inlineStr">
        <is>
          <t>consumer</t>
        </is>
      </c>
      <c r="H41" s="13" t="inlineStr">
        <is>
          <t>25</t>
        </is>
      </c>
      <c r="I41" s="14" t="inlineStr">
        <is>
          <t>216.35</t>
        </is>
      </c>
      <c r="J41" s="15" t="inlineStr">
        <is>
          <t>0.23</t>
        </is>
      </c>
      <c r="K41" s="14" t="inlineStr">
        <is>
          <t>118.99</t>
        </is>
      </c>
      <c r="L41" s="13" t="inlineStr">
        <is>
          <t>8</t>
        </is>
      </c>
      <c r="M41" s="13" t="inlineStr">
        <is>
          <t>Completed</t>
        </is>
      </c>
      <c r="N41" s="13" t="inlineStr">
        <is>
          <t>S. Nguyen</t>
        </is>
      </c>
    </row>
    <row r="42">
      <c r="A42" s="13" t="inlineStr">
        <is>
          <t>HC-100040</t>
        </is>
      </c>
      <c r="B42" s="13" t="inlineStr">
        <is>
          <t>07/21/2025</t>
        </is>
      </c>
      <c r="C42" s="13" t="inlineStr">
        <is>
          <t>East</t>
        </is>
      </c>
      <c r="D42" s="13" t="inlineStr">
        <is>
          <t>Store</t>
        </is>
      </c>
      <c r="E42" s="13" t="inlineStr">
        <is>
          <t>Kitchen</t>
        </is>
      </c>
      <c r="F42" s="13" t="inlineStr">
        <is>
          <t>Chef Knife</t>
        </is>
      </c>
      <c r="G42" s="13" t="inlineStr">
        <is>
          <t>Consumer</t>
        </is>
      </c>
      <c r="H42" s="13" t="inlineStr">
        <is>
          <t>2</t>
        </is>
      </c>
      <c r="I42" s="14" t="inlineStr">
        <is>
          <t>60.91</t>
        </is>
      </c>
      <c r="J42" s="15" t="inlineStr">
        <is>
          <t>0.02</t>
        </is>
      </c>
      <c r="K42" s="14" t="inlineStr">
        <is>
          <t>21.93</t>
        </is>
      </c>
      <c r="L42" s="13" t="inlineStr">
        <is>
          <t>6</t>
        </is>
      </c>
      <c r="M42" s="13" t="inlineStr">
        <is>
          <t>Completed</t>
        </is>
      </c>
      <c r="N42" s="13" t="inlineStr">
        <is>
          <t>M. Okonkwo</t>
        </is>
      </c>
    </row>
    <row r="43">
      <c r="A43" s="13" t="inlineStr">
        <is>
          <t>HC-100041</t>
        </is>
      </c>
      <c r="B43" s="13" t="inlineStr">
        <is>
          <t>27-Jul-25</t>
        </is>
      </c>
      <c r="C43" s="13" t="inlineStr">
        <is>
          <t>North</t>
        </is>
      </c>
      <c r="D43" s="13" t="inlineStr">
        <is>
          <t>Store</t>
        </is>
      </c>
      <c r="E43" s="13" t="inlineStr">
        <is>
          <t>Textiles</t>
        </is>
      </c>
      <c r="F43" s="13" t="inlineStr">
        <is>
          <t>Linen Curtain</t>
        </is>
      </c>
      <c r="G43" s="13" t="inlineStr">
        <is>
          <t>Consumer</t>
        </is>
      </c>
      <c r="H43" s="13" t="inlineStr">
        <is>
          <t>2</t>
        </is>
      </c>
      <c r="I43" s="14" t="inlineStr">
        <is>
          <t>93.13</t>
        </is>
      </c>
      <c r="J43" s="15" t="inlineStr">
        <is>
          <t>0.12</t>
        </is>
      </c>
      <c r="K43" s="14" t="inlineStr">
        <is>
          <t>41.91</t>
        </is>
      </c>
      <c r="L43" s="13" t="inlineStr">
        <is>
          <t>5</t>
        </is>
      </c>
      <c r="M43" s="13" t="inlineStr">
        <is>
          <t>Completed</t>
        </is>
      </c>
      <c r="N43" s="13" t="inlineStr">
        <is>
          <t>A. Shah</t>
        </is>
      </c>
    </row>
    <row r="44">
      <c r="A44" s="13" t="inlineStr">
        <is>
          <t>HC-100042</t>
        </is>
      </c>
      <c r="B44" s="13" t="inlineStr">
        <is>
          <t>2024/04/10</t>
        </is>
      </c>
      <c r="C44" s="13" t="inlineStr">
        <is>
          <t>east</t>
        </is>
      </c>
      <c r="D44" s="13" t="inlineStr">
        <is>
          <t>Store</t>
        </is>
      </c>
      <c r="E44" s="13" t="inlineStr">
        <is>
          <t>Kitchen</t>
        </is>
      </c>
      <c r="F44" s="13" t="inlineStr">
        <is>
          <t>Ceramic Set</t>
        </is>
      </c>
      <c r="G44" s="13" t="inlineStr">
        <is>
          <t>Consumer</t>
        </is>
      </c>
      <c r="H44" s="13" t="inlineStr">
        <is>
          <t>3</t>
        </is>
      </c>
      <c r="I44" s="14" t="inlineStr">
        <is>
          <t>80.54</t>
        </is>
      </c>
      <c r="J44" s="15" t="inlineStr">
        <is>
          <t>0.01</t>
        </is>
      </c>
      <c r="K44" s="14" t="inlineStr">
        <is>
          <t>30.60</t>
        </is>
      </c>
      <c r="L44" s="13" t="inlineStr">
        <is>
          <t>7</t>
        </is>
      </c>
      <c r="M44" s="13" t="inlineStr">
        <is>
          <t>Completed</t>
        </is>
      </c>
      <c r="N44" s="13" t="inlineStr">
        <is>
          <t>M. Okonkwo</t>
        </is>
      </c>
    </row>
    <row r="45">
      <c r="A45" s="13" t="inlineStr">
        <is>
          <t>HC-100043</t>
        </is>
      </c>
      <c r="B45" s="13" t="inlineStr">
        <is>
          <t>17.07.2024</t>
        </is>
      </c>
      <c r="C45" s="13" t="inlineStr">
        <is>
          <t>WEST</t>
        </is>
      </c>
      <c r="D45" s="13" t="inlineStr">
        <is>
          <t>Wholesale</t>
        </is>
      </c>
      <c r="E45" s="13" t="inlineStr">
        <is>
          <t>Kitchen</t>
        </is>
      </c>
      <c r="F45" s="13" t="inlineStr">
        <is>
          <t>Ceramic Set</t>
        </is>
      </c>
      <c r="G45" s="13" t="inlineStr">
        <is>
          <t>Consumer</t>
        </is>
      </c>
      <c r="H45" s="13" t="inlineStr">
        <is>
          <t>35</t>
        </is>
      </c>
      <c r="I45" s="14" t="inlineStr">
        <is>
          <t>92.23</t>
        </is>
      </c>
      <c r="J45" s="15" t="inlineStr">
        <is>
          <t>0.32</t>
        </is>
      </c>
      <c r="K45" s="14" t="inlineStr">
        <is>
          <t>35.05</t>
        </is>
      </c>
      <c r="L45" s="13" t="inlineStr">
        <is>
          <t>6</t>
        </is>
      </c>
      <c r="M45" s="13" t="inlineStr">
        <is>
          <t>Completed</t>
        </is>
      </c>
      <c r="N45" s="13" t="inlineStr">
        <is>
          <t>M. Okonkwo</t>
        </is>
      </c>
    </row>
    <row r="46">
      <c r="A46" s="13" t="inlineStr">
        <is>
          <t>HC-100044</t>
        </is>
      </c>
      <c r="B46" s="13" t="inlineStr">
        <is>
          <t>04/23/2025</t>
        </is>
      </c>
      <c r="C46" s="13" t="inlineStr">
        <is>
          <t>South</t>
        </is>
      </c>
      <c r="D46" s="13" t="inlineStr">
        <is>
          <t>In-Store</t>
        </is>
      </c>
      <c r="E46" s="13" t="inlineStr">
        <is>
          <t>Textiles</t>
        </is>
      </c>
      <c r="F46" s="13" t="inlineStr">
        <is>
          <t>Wool Throw</t>
        </is>
      </c>
      <c r="G46" s="13" t="inlineStr">
        <is>
          <t>Consumer</t>
        </is>
      </c>
      <c r="H46" s="13" t="inlineStr">
        <is>
          <t>1</t>
        </is>
      </c>
      <c r="I46" s="14" t="inlineStr">
        <is>
          <t>80.30</t>
        </is>
      </c>
      <c r="J46" s="15" t="inlineStr">
        <is>
          <t>0.02</t>
        </is>
      </c>
      <c r="K46" s="14" t="inlineStr">
        <is>
          <t>33.73</t>
        </is>
      </c>
      <c r="L46" s="13" t="inlineStr">
        <is>
          <t>5</t>
        </is>
      </c>
      <c r="M46" s="13" t="inlineStr">
        <is>
          <t>Completed</t>
        </is>
      </c>
      <c r="N46" s="13" t="inlineStr">
        <is>
          <t>K. Mensah</t>
        </is>
      </c>
    </row>
    <row r="47">
      <c r="A47" s="13" t="inlineStr">
        <is>
          <t>HC-100045</t>
        </is>
      </c>
      <c r="B47" s="13" t="inlineStr">
        <is>
          <t>10-Jun-24</t>
        </is>
      </c>
      <c r="C47" s="13" t="inlineStr">
        <is>
          <t>NORTH</t>
        </is>
      </c>
      <c r="D47" s="13" t="inlineStr">
        <is>
          <t>Wholesale</t>
        </is>
      </c>
      <c r="E47" s="13" t="inlineStr">
        <is>
          <t>Kitchen</t>
        </is>
      </c>
      <c r="F47" s="13" t="inlineStr">
        <is>
          <t>Ceramic Set</t>
        </is>
      </c>
      <c r="G47" s="13" t="inlineStr">
        <is>
          <t>Consumer</t>
        </is>
      </c>
      <c r="H47" s="13" t="inlineStr">
        <is>
          <t>8</t>
        </is>
      </c>
      <c r="I47" s="14" t="inlineStr">
        <is>
          <t>85.87</t>
        </is>
      </c>
      <c r="J47" s="15" t="inlineStr">
        <is>
          <t>0.22</t>
        </is>
      </c>
      <c r="K47" s="14" t="inlineStr">
        <is>
          <t>32.63</t>
        </is>
      </c>
      <c r="L47" s="13" t="inlineStr">
        <is>
          <t>6</t>
        </is>
      </c>
      <c r="M47" s="13" t="inlineStr">
        <is>
          <t>Completed</t>
        </is>
      </c>
      <c r="N47" s="13" t="inlineStr">
        <is>
          <t>K. Mensah</t>
        </is>
      </c>
    </row>
    <row r="48">
      <c r="A48" s="13" t="inlineStr">
        <is>
          <t>HC-100046</t>
        </is>
      </c>
      <c r="B48" s="13" t="inlineStr">
        <is>
          <t>2025/08/04</t>
        </is>
      </c>
      <c r="C48" s="13" t="inlineStr">
        <is>
          <t>SOUTH</t>
        </is>
      </c>
      <c r="D48" s="13" t="inlineStr">
        <is>
          <t>Online</t>
        </is>
      </c>
      <c r="E48" s="13" t="inlineStr">
        <is>
          <t>Lighting</t>
        </is>
      </c>
      <c r="F48" s="13" t="inlineStr">
        <is>
          <t>Brass Sconce</t>
        </is>
      </c>
      <c r="G48" s="13" t="inlineStr">
        <is>
          <t>Corporate</t>
        </is>
      </c>
      <c r="H48" s="13" t="inlineStr">
        <is>
          <t>2</t>
        </is>
      </c>
      <c r="I48" s="14" t="inlineStr">
        <is>
          <t>132.99</t>
        </is>
      </c>
      <c r="J48" s="15" t="inlineStr">
        <is>
          <t>0.11</t>
        </is>
      </c>
      <c r="K48" s="14" t="inlineStr">
        <is>
          <t>61.18</t>
        </is>
      </c>
      <c r="L48" s="13" t="inlineStr">
        <is>
          <t>6</t>
        </is>
      </c>
      <c r="M48" s="13" t="inlineStr">
        <is>
          <t>Cancelled</t>
        </is>
      </c>
      <c r="N48" s="13" t="inlineStr">
        <is>
          <t>L. Berger</t>
        </is>
      </c>
    </row>
    <row r="49">
      <c r="A49" s="13" t="inlineStr">
        <is>
          <t>HC-100047</t>
        </is>
      </c>
      <c r="B49" s="13" t="inlineStr">
        <is>
          <t>17.08.2025</t>
        </is>
      </c>
      <c r="C49" s="13" t="inlineStr">
        <is>
          <t>East</t>
        </is>
      </c>
      <c r="D49" s="13" t="inlineStr">
        <is>
          <t>Store</t>
        </is>
      </c>
      <c r="E49" s="13" t="inlineStr">
        <is>
          <t>Kitchen</t>
        </is>
      </c>
      <c r="F49" s="13" t="inlineStr">
        <is>
          <t>Chef Knife</t>
        </is>
      </c>
      <c r="G49" s="13" t="inlineStr">
        <is>
          <t>Corporate</t>
        </is>
      </c>
      <c r="H49" s="13" t="inlineStr">
        <is>
          <t>2</t>
        </is>
      </c>
      <c r="I49" s="14" t="inlineStr">
        <is>
          <t>57.22</t>
        </is>
      </c>
      <c r="J49" s="15" t="inlineStr">
        <is>
          <t>0.01</t>
        </is>
      </c>
      <c r="K49" s="14" t="inlineStr">
        <is>
          <t>20.60</t>
        </is>
      </c>
      <c r="L49" s="13" t="inlineStr">
        <is>
          <t>8</t>
        </is>
      </c>
      <c r="M49" s="13" t="inlineStr">
        <is>
          <t>Completed</t>
        </is>
      </c>
      <c r="N49" s="13" t="inlineStr">
        <is>
          <t>L. Berger</t>
        </is>
      </c>
    </row>
    <row r="50">
      <c r="A50" s="13" t="inlineStr">
        <is>
          <t>HC-100048</t>
        </is>
      </c>
      <c r="B50" s="13" t="inlineStr">
        <is>
          <t>05/03/2024</t>
        </is>
      </c>
      <c r="C50" s="13" t="inlineStr">
        <is>
          <t>West</t>
        </is>
      </c>
      <c r="D50" s="13" t="inlineStr">
        <is>
          <t>Store</t>
        </is>
      </c>
      <c r="E50" s="13" t="inlineStr">
        <is>
          <t>Lighting</t>
        </is>
      </c>
      <c r="F50" s="13" t="inlineStr">
        <is>
          <t>Brass Sconce</t>
        </is>
      </c>
      <c r="G50" s="13" t="inlineStr">
        <is>
          <t>Consumer</t>
        </is>
      </c>
      <c r="H50" s="13" t="inlineStr">
        <is>
          <t>2</t>
        </is>
      </c>
      <c r="I50" s="14" t="inlineStr">
        <is>
          <t>151.02</t>
        </is>
      </c>
      <c r="J50" s="15" t="inlineStr">
        <is>
          <t>0.09</t>
        </is>
      </c>
      <c r="K50" s="14" t="inlineStr">
        <is>
          <t>69.47</t>
        </is>
      </c>
      <c r="L50" s="13" t="inlineStr">
        <is>
          <t>5</t>
        </is>
      </c>
      <c r="M50" s="13" t="inlineStr">
        <is>
          <t>Completed</t>
        </is>
      </c>
      <c r="N50" s="13" t="inlineStr">
        <is>
          <t>J. Patel</t>
        </is>
      </c>
    </row>
    <row r="51">
      <c r="A51" s="13" t="inlineStr">
        <is>
          <t>HC-100049</t>
        </is>
      </c>
      <c r="B51" s="13" t="inlineStr">
        <is>
          <t>22-Aug-24</t>
        </is>
      </c>
      <c r="C51" s="13" t="inlineStr">
        <is>
          <t>South</t>
        </is>
      </c>
      <c r="D51" s="13" t="inlineStr">
        <is>
          <t>Store</t>
        </is>
      </c>
      <c r="E51" s="13" t="inlineStr">
        <is>
          <t>Furniture</t>
        </is>
      </c>
      <c r="F51" s="13" t="inlineStr">
        <is>
          <t>Linen Sofa</t>
        </is>
      </c>
      <c r="G51" s="13" t="inlineStr">
        <is>
          <t>Consumer</t>
        </is>
      </c>
      <c r="H51" s="13" t="inlineStr">
        <is>
          <t>2</t>
        </is>
      </c>
      <c r="I51" s="14" t="inlineStr">
        <is>
          <t>1282.58</t>
        </is>
      </c>
      <c r="J51" s="15" t="inlineStr">
        <is>
          <t>0.08</t>
        </is>
      </c>
      <c r="K51" s="14" t="inlineStr">
        <is>
          <t>846.50</t>
        </is>
      </c>
      <c r="L51" s="13" t="inlineStr">
        <is>
          <t>3</t>
        </is>
      </c>
      <c r="M51" s="13" t="inlineStr">
        <is>
          <t>Completed</t>
        </is>
      </c>
      <c r="N51" s="13" t="inlineStr">
        <is>
          <t>P. Rossi</t>
        </is>
      </c>
    </row>
    <row r="52">
      <c r="A52" s="13" t="inlineStr">
        <is>
          <t>HC-100050</t>
        </is>
      </c>
      <c r="B52" s="13" t="inlineStr">
        <is>
          <t>2024/06/29</t>
        </is>
      </c>
      <c r="C52" s="13" t="inlineStr">
        <is>
          <t>WEST</t>
        </is>
      </c>
      <c r="D52" s="13" t="inlineStr">
        <is>
          <t>Wholesale</t>
        </is>
      </c>
      <c r="E52" s="13" t="inlineStr">
        <is>
          <t>Textiles</t>
        </is>
      </c>
      <c r="F52" s="13" t="inlineStr">
        <is>
          <t>Cotton Duvet</t>
        </is>
      </c>
      <c r="G52" s="13" t="inlineStr">
        <is>
          <t>Corporate</t>
        </is>
      </c>
      <c r="H52" s="13" t="inlineStr">
        <is>
          <t>28</t>
        </is>
      </c>
      <c r="I52" s="14" t="inlineStr">
        <is>
          <t>116.55</t>
        </is>
      </c>
      <c r="J52" s="15" t="inlineStr">
        <is>
          <t>0.25</t>
        </is>
      </c>
      <c r="K52" s="14" t="inlineStr">
        <is>
          <t>51.28</t>
        </is>
      </c>
      <c r="L52" s="13" t="inlineStr">
        <is>
          <t>6</t>
        </is>
      </c>
      <c r="M52" s="13" t="inlineStr">
        <is>
          <t>Cancelled</t>
        </is>
      </c>
      <c r="N52" s="13" t="inlineStr">
        <is>
          <t>L. Berger</t>
        </is>
      </c>
    </row>
    <row r="53">
      <c r="A53" s="13" t="inlineStr">
        <is>
          <t>HC-100051</t>
        </is>
      </c>
      <c r="B53" s="13" t="inlineStr">
        <is>
          <t>13.01.2025</t>
        </is>
      </c>
      <c r="C53" s="13" t="inlineStr">
        <is>
          <t>South</t>
        </is>
      </c>
      <c r="D53" s="13" t="inlineStr">
        <is>
          <t>Store</t>
        </is>
      </c>
      <c r="E53" s="13" t="inlineStr">
        <is>
          <t>Kitchen</t>
        </is>
      </c>
      <c r="F53" s="13" t="inlineStr">
        <is>
          <t>Cast Skillet</t>
        </is>
      </c>
      <c r="G53" s="13" t="inlineStr">
        <is>
          <t>Corporate</t>
        </is>
      </c>
      <c r="H53" s="13" t="inlineStr">
        <is>
          <t>4</t>
        </is>
      </c>
      <c r="I53" s="14" t="inlineStr">
        <is>
          <t>58.13</t>
        </is>
      </c>
      <c r="J53" s="15" t="inlineStr">
        <is>
          <t>0.10</t>
        </is>
      </c>
      <c r="K53" s="14" t="inlineStr">
        <is>
          <t>23.25</t>
        </is>
      </c>
      <c r="L53" s="13" t="inlineStr">
        <is>
          <t>5</t>
        </is>
      </c>
      <c r="M53" s="13" t="inlineStr">
        <is>
          <t>Completed</t>
        </is>
      </c>
      <c r="N53" s="13" t="inlineStr">
        <is>
          <t>A. Shah</t>
        </is>
      </c>
    </row>
    <row r="54">
      <c r="A54" s="13" t="inlineStr">
        <is>
          <t>HC-100052</t>
        </is>
      </c>
      <c r="B54" s="13" t="inlineStr">
        <is>
          <t>05/15/2024</t>
        </is>
      </c>
      <c r="C54" s="13" t="inlineStr">
        <is>
          <t>North</t>
        </is>
      </c>
      <c r="D54" s="13" t="inlineStr">
        <is>
          <t>Store</t>
        </is>
      </c>
      <c r="E54" s="13" t="inlineStr">
        <is>
          <t>Kitchen</t>
        </is>
      </c>
      <c r="F54" s="13" t="inlineStr">
        <is>
          <t>Ceramic Set</t>
        </is>
      </c>
      <c r="G54" s="13" t="inlineStr">
        <is>
          <t>Home Office</t>
        </is>
      </c>
      <c r="H54" s="13" t="inlineStr">
        <is>
          <t>4</t>
        </is>
      </c>
      <c r="I54" s="14" t="inlineStr">
        <is>
          <t>89.77</t>
        </is>
      </c>
      <c r="J54" s="15" t="inlineStr">
        <is>
          <t>0.02</t>
        </is>
      </c>
      <c r="K54" s="14" t="inlineStr">
        <is>
          <t>34.11</t>
        </is>
      </c>
      <c r="L54" s="13" t="inlineStr">
        <is>
          <t>5</t>
        </is>
      </c>
      <c r="M54" s="13" t="inlineStr">
        <is>
          <t>Completed</t>
        </is>
      </c>
      <c r="N54" s="13" t="inlineStr">
        <is>
          <t>L. Berger</t>
        </is>
      </c>
    </row>
    <row r="55">
      <c r="A55" s="13" t="inlineStr">
        <is>
          <t>HC-100053</t>
        </is>
      </c>
      <c r="B55" s="13" t="inlineStr">
        <is>
          <t>13-Feb-25</t>
        </is>
      </c>
      <c r="C55" s="13" t="inlineStr">
        <is>
          <t>West</t>
        </is>
      </c>
      <c r="D55" s="13" t="inlineStr">
        <is>
          <t>In-Store</t>
        </is>
      </c>
      <c r="E55" s="13" t="inlineStr">
        <is>
          <t>Lighting</t>
        </is>
      </c>
      <c r="F55" s="13" t="inlineStr">
        <is>
          <t>Arc Lamp</t>
        </is>
      </c>
      <c r="G55" s="13" t="inlineStr">
        <is>
          <t>Home Office</t>
        </is>
      </c>
      <c r="H55" s="13" t="inlineStr">
        <is>
          <t>3</t>
        </is>
      </c>
      <c r="I55" s="14" t="inlineStr">
        <is>
          <t>$319.23</t>
        </is>
      </c>
      <c r="J55" s="15" t="inlineStr">
        <is>
          <t>0.06</t>
        </is>
      </c>
      <c r="K55" s="14" t="inlineStr">
        <is>
          <t>153.23</t>
        </is>
      </c>
      <c r="L55" s="13" t="inlineStr">
        <is>
          <t>4</t>
        </is>
      </c>
      <c r="M55" s="13" t="inlineStr">
        <is>
          <t>Completed</t>
        </is>
      </c>
      <c r="N55" s="13" t="inlineStr">
        <is>
          <t>S. Nguyen</t>
        </is>
      </c>
    </row>
    <row r="56">
      <c r="A56" s="13" t="inlineStr">
        <is>
          <t>HC-100054</t>
        </is>
      </c>
      <c r="B56" s="13" t="inlineStr">
        <is>
          <t>2025/06/22</t>
        </is>
      </c>
      <c r="C56" s="13" t="inlineStr">
        <is>
          <t>West</t>
        </is>
      </c>
      <c r="D56" s="13" t="inlineStr">
        <is>
          <t>Store</t>
        </is>
      </c>
      <c r="E56" s="13" t="inlineStr">
        <is>
          <t>Furniture</t>
        </is>
      </c>
      <c r="F56" s="13" t="inlineStr">
        <is>
          <t>Oak Desk</t>
        </is>
      </c>
      <c r="G56" s="13" t="inlineStr"/>
      <c r="H56" s="13" t="inlineStr">
        <is>
          <t>3</t>
        </is>
      </c>
      <c r="I56" s="14" t="inlineStr">
        <is>
          <t>838.83</t>
        </is>
      </c>
      <c r="J56" s="15" t="inlineStr">
        <is>
          <t>10%</t>
        </is>
      </c>
      <c r="K56" s="14" t="inlineStr">
        <is>
          <t>520.07</t>
        </is>
      </c>
      <c r="L56" s="13" t="inlineStr">
        <is>
          <t>6</t>
        </is>
      </c>
      <c r="M56" s="13" t="inlineStr">
        <is>
          <t>Compleated</t>
        </is>
      </c>
      <c r="N56" s="13" t="inlineStr">
        <is>
          <t>J. Patel</t>
        </is>
      </c>
    </row>
    <row r="57">
      <c r="A57" s="13" t="inlineStr">
        <is>
          <t>HC-100055</t>
        </is>
      </c>
      <c r="B57" s="13" t="inlineStr">
        <is>
          <t>02.05.2024</t>
        </is>
      </c>
      <c r="C57" s="13" t="inlineStr">
        <is>
          <t>North</t>
        </is>
      </c>
      <c r="D57" s="13" t="inlineStr">
        <is>
          <t>Wholesale</t>
        </is>
      </c>
      <c r="E57" s="13" t="inlineStr">
        <is>
          <t>KITCHEN</t>
        </is>
      </c>
      <c r="F57" s="13" t="inlineStr">
        <is>
          <t>Chef Knife</t>
        </is>
      </c>
      <c r="G57" s="13" t="inlineStr">
        <is>
          <t>Consumer</t>
        </is>
      </c>
      <c r="H57" s="13" t="inlineStr">
        <is>
          <t>23</t>
        </is>
      </c>
      <c r="I57" s="14" t="inlineStr">
        <is>
          <t>59.83</t>
        </is>
      </c>
      <c r="J57" s="15" t="inlineStr">
        <is>
          <t>0.28</t>
        </is>
      </c>
      <c r="K57" s="14" t="inlineStr">
        <is>
          <t>21.54</t>
        </is>
      </c>
      <c r="L57" s="13" t="inlineStr">
        <is>
          <t>8</t>
        </is>
      </c>
      <c r="M57" s="13" t="inlineStr">
        <is>
          <t>Completed</t>
        </is>
      </c>
      <c r="N57" s="13" t="inlineStr">
        <is>
          <t>L. Berger</t>
        </is>
      </c>
    </row>
    <row r="58">
      <c r="A58" s="13" t="inlineStr">
        <is>
          <t>HC-100056</t>
        </is>
      </c>
      <c r="B58" s="13" t="inlineStr">
        <is>
          <t>05/24/2024</t>
        </is>
      </c>
      <c r="C58" s="13" t="inlineStr">
        <is>
          <t>North</t>
        </is>
      </c>
      <c r="D58" s="13" t="inlineStr">
        <is>
          <t>e-commerce</t>
        </is>
      </c>
      <c r="E58" s="13" t="inlineStr">
        <is>
          <t>Lighting</t>
        </is>
      </c>
      <c r="F58" s="13" t="inlineStr">
        <is>
          <t>Brass Sconce</t>
        </is>
      </c>
      <c r="G58" s="13" t="inlineStr">
        <is>
          <t>Home Office</t>
        </is>
      </c>
      <c r="H58" s="13" t="inlineStr">
        <is>
          <t>3</t>
        </is>
      </c>
      <c r="I58" s="14" t="inlineStr">
        <is>
          <t>143.44</t>
        </is>
      </c>
      <c r="J58" s="15" t="inlineStr">
        <is>
          <t>0.04</t>
        </is>
      </c>
      <c r="K58" s="14" t="inlineStr">
        <is>
          <t>65.98</t>
        </is>
      </c>
      <c r="L58" s="13" t="inlineStr">
        <is>
          <t>6</t>
        </is>
      </c>
      <c r="M58" s="13" t="inlineStr">
        <is>
          <t>Completed</t>
        </is>
      </c>
      <c r="N58" s="13" t="inlineStr">
        <is>
          <t>J. Patel</t>
        </is>
      </c>
    </row>
    <row r="59">
      <c r="A59" s="13" t="inlineStr">
        <is>
          <t>HC-100057</t>
        </is>
      </c>
      <c r="B59" s="13" t="inlineStr">
        <is>
          <t>17-Jan-24</t>
        </is>
      </c>
      <c r="C59" s="13" t="inlineStr">
        <is>
          <t>East</t>
        </is>
      </c>
      <c r="D59" s="13" t="inlineStr">
        <is>
          <t>Online</t>
        </is>
      </c>
      <c r="E59" s="13" t="inlineStr">
        <is>
          <t>Furniture</t>
        </is>
      </c>
      <c r="F59" s="13" t="inlineStr">
        <is>
          <t>Oak Desk</t>
        </is>
      </c>
      <c r="G59" s="13" t="inlineStr">
        <is>
          <t>consumer</t>
        </is>
      </c>
      <c r="H59" s="13" t="inlineStr">
        <is>
          <t>One</t>
        </is>
      </c>
      <c r="I59" s="14" t="inlineStr">
        <is>
          <t>795.51</t>
        </is>
      </c>
      <c r="J59" s="15" t="inlineStr">
        <is>
          <t>0.14</t>
        </is>
      </c>
      <c r="K59" s="14" t="inlineStr">
        <is>
          <t>493.21</t>
        </is>
      </c>
      <c r="L59" s="13" t="inlineStr">
        <is>
          <t>9</t>
        </is>
      </c>
      <c r="M59" s="13" t="inlineStr">
        <is>
          <t>Completed</t>
        </is>
      </c>
      <c r="N59" s="13" t="inlineStr">
        <is>
          <t>R. Ibarra</t>
        </is>
      </c>
    </row>
    <row r="60">
      <c r="A60" s="13" t="inlineStr">
        <is>
          <t>HC-100058</t>
        </is>
      </c>
      <c r="B60" s="13" t="inlineStr">
        <is>
          <t>2024/11/25</t>
        </is>
      </c>
      <c r="C60" s="13" t="inlineStr">
        <is>
          <t>West</t>
        </is>
      </c>
      <c r="D60" s="13" t="inlineStr">
        <is>
          <t>Store</t>
        </is>
      </c>
      <c r="E60" s="13" t="inlineStr">
        <is>
          <t>Furniture</t>
        </is>
      </c>
      <c r="F60" s="13" t="inlineStr">
        <is>
          <t>Linen Sofa</t>
        </is>
      </c>
      <c r="G60" s="13" t="inlineStr">
        <is>
          <t>Consumer</t>
        </is>
      </c>
      <c r="H60" s="13" t="inlineStr">
        <is>
          <t>3</t>
        </is>
      </c>
      <c r="I60" s="14" t="inlineStr">
        <is>
          <t>1285.91</t>
        </is>
      </c>
      <c r="J60" s="15" t="inlineStr">
        <is>
          <t>0.02</t>
        </is>
      </c>
      <c r="K60" s="14" t="inlineStr">
        <is>
          <t>848.70</t>
        </is>
      </c>
      <c r="L60" s="13" t="inlineStr">
        <is>
          <t>3</t>
        </is>
      </c>
      <c r="M60" s="13" t="inlineStr">
        <is>
          <t>Completed</t>
        </is>
      </c>
      <c r="N60" s="13" t="inlineStr">
        <is>
          <t>S. Nguyen</t>
        </is>
      </c>
    </row>
    <row r="61">
      <c r="A61" s="13" t="inlineStr">
        <is>
          <t>HC-100059</t>
        </is>
      </c>
      <c r="B61" s="13" t="inlineStr">
        <is>
          <t>05.07.2025</t>
        </is>
      </c>
      <c r="C61" s="13" t="inlineStr">
        <is>
          <t>West</t>
        </is>
      </c>
      <c r="D61" s="13" t="inlineStr">
        <is>
          <t>retail</t>
        </is>
      </c>
      <c r="E61" s="13" t="inlineStr">
        <is>
          <t>Furniture</t>
        </is>
      </c>
      <c r="F61" s="13" t="inlineStr">
        <is>
          <t>Oak Desk</t>
        </is>
      </c>
      <c r="G61" s="13" t="inlineStr">
        <is>
          <t>Corporate</t>
        </is>
      </c>
      <c r="H61" s="13" t="inlineStr">
        <is>
          <t>1</t>
        </is>
      </c>
      <c r="I61" s="14" t="inlineStr">
        <is>
          <t>789.19</t>
        </is>
      </c>
      <c r="J61" s="15" t="inlineStr">
        <is>
          <t>0.07</t>
        </is>
      </c>
      <c r="K61" s="14" t="inlineStr">
        <is>
          <t>489.30</t>
        </is>
      </c>
      <c r="L61" s="13" t="inlineStr">
        <is>
          <t>5</t>
        </is>
      </c>
      <c r="M61" s="13" t="inlineStr">
        <is>
          <t>Completed</t>
        </is>
      </c>
      <c r="N61" s="13" t="inlineStr">
        <is>
          <t>P. Rossi</t>
        </is>
      </c>
    </row>
    <row r="62">
      <c r="A62" s="13" t="inlineStr">
        <is>
          <t>HC-100060</t>
        </is>
      </c>
      <c r="B62" s="13" t="inlineStr">
        <is>
          <t>11/09/2024</t>
        </is>
      </c>
      <c r="C62" s="13" t="inlineStr">
        <is>
          <t>South</t>
        </is>
      </c>
      <c r="D62" s="13" t="inlineStr">
        <is>
          <t>Store</t>
        </is>
      </c>
      <c r="E62" s="13" t="inlineStr">
        <is>
          <t>Textiles</t>
        </is>
      </c>
      <c r="F62" s="13" t="inlineStr">
        <is>
          <t>Linen Curtain</t>
        </is>
      </c>
      <c r="G62" s="13" t="inlineStr">
        <is>
          <t>Consumer</t>
        </is>
      </c>
      <c r="H62" s="13" t="inlineStr">
        <is>
          <t>3</t>
        </is>
      </c>
      <c r="I62" s="14" t="inlineStr">
        <is>
          <t>90.34</t>
        </is>
      </c>
      <c r="J62" s="15" t="inlineStr">
        <is>
          <t>0.04</t>
        </is>
      </c>
      <c r="K62" s="14" t="inlineStr">
        <is>
          <t>40.65</t>
        </is>
      </c>
      <c r="L62" s="13" t="inlineStr">
        <is>
          <t>8</t>
        </is>
      </c>
      <c r="M62" s="13" t="inlineStr">
        <is>
          <t>Completed</t>
        </is>
      </c>
      <c r="N62" s="13" t="inlineStr">
        <is>
          <t>M. Okonkwo</t>
        </is>
      </c>
    </row>
    <row r="63">
      <c r="A63" s="13" t="inlineStr">
        <is>
          <t>HC-100061</t>
        </is>
      </c>
      <c r="B63" s="13" t="inlineStr">
        <is>
          <t>09-Nov-24</t>
        </is>
      </c>
      <c r="C63" s="13" t="inlineStr">
        <is>
          <t>East</t>
        </is>
      </c>
      <c r="D63" s="13" t="inlineStr">
        <is>
          <t>Store</t>
        </is>
      </c>
      <c r="E63" s="13" t="inlineStr">
        <is>
          <t>Lighting</t>
        </is>
      </c>
      <c r="F63" s="13" t="inlineStr">
        <is>
          <t>Pendant Light</t>
        </is>
      </c>
      <c r="G63" s="13" t="inlineStr">
        <is>
          <t>Consumer</t>
        </is>
      </c>
      <c r="H63" s="13" t="inlineStr">
        <is>
          <t>2</t>
        </is>
      </c>
      <c r="I63" s="14" t="inlineStr">
        <is>
          <t>153.34</t>
        </is>
      </c>
      <c r="J63" s="15" t="inlineStr">
        <is>
          <t>1%</t>
        </is>
      </c>
      <c r="K63" s="14" t="inlineStr">
        <is>
          <t>76.67</t>
        </is>
      </c>
      <c r="L63" s="13" t="inlineStr">
        <is>
          <t>9</t>
        </is>
      </c>
      <c r="M63" s="13" t="inlineStr">
        <is>
          <t>Completed</t>
        </is>
      </c>
      <c r="N63" s="13" t="inlineStr">
        <is>
          <t>R. Ibarra</t>
        </is>
      </c>
    </row>
    <row r="64">
      <c r="A64" s="13" t="inlineStr">
        <is>
          <t>HC-100062</t>
        </is>
      </c>
      <c r="B64" s="13" t="inlineStr">
        <is>
          <t>2025/08/29</t>
        </is>
      </c>
      <c r="C64" s="13" t="inlineStr">
        <is>
          <t>north</t>
        </is>
      </c>
      <c r="D64" s="13" t="inlineStr">
        <is>
          <t>Store</t>
        </is>
      </c>
      <c r="E64" s="13" t="inlineStr">
        <is>
          <t>Textiles</t>
        </is>
      </c>
      <c r="F64" s="13" t="inlineStr">
        <is>
          <t>Cotton Duvet</t>
        </is>
      </c>
      <c r="G64" s="13" t="inlineStr">
        <is>
          <t>Consumer</t>
        </is>
      </c>
      <c r="H64" s="13" t="inlineStr">
        <is>
          <t>4</t>
        </is>
      </c>
      <c r="I64" s="14" t="inlineStr">
        <is>
          <t>124.67</t>
        </is>
      </c>
      <c r="J64" s="15" t="inlineStr">
        <is>
          <t>0.00</t>
        </is>
      </c>
      <c r="K64" s="14" t="inlineStr">
        <is>
          <t>54.86</t>
        </is>
      </c>
      <c r="L64" s="13" t="inlineStr">
        <is>
          <t>1</t>
        </is>
      </c>
      <c r="M64" s="13" t="inlineStr">
        <is>
          <t>Returned</t>
        </is>
      </c>
      <c r="N64" s="13" t="inlineStr">
        <is>
          <t>S. Nguyen</t>
        </is>
      </c>
    </row>
    <row r="65">
      <c r="A65" s="13" t="inlineStr">
        <is>
          <t>HC-100063</t>
        </is>
      </c>
      <c r="B65" s="13" t="inlineStr">
        <is>
          <t>24.09.2025</t>
        </is>
      </c>
      <c r="C65" s="13" t="inlineStr">
        <is>
          <t>West</t>
        </is>
      </c>
      <c r="D65" s="13" t="inlineStr">
        <is>
          <t>Wholesale</t>
        </is>
      </c>
      <c r="E65" s="13" t="inlineStr">
        <is>
          <t>Furniture</t>
        </is>
      </c>
      <c r="F65" s="13" t="inlineStr">
        <is>
          <t>Lounge Chair</t>
        </is>
      </c>
      <c r="G65" s="13" t="inlineStr">
        <is>
          <t>Consumer</t>
        </is>
      </c>
      <c r="H65" s="13" t="inlineStr">
        <is>
          <t>24</t>
        </is>
      </c>
      <c r="I65" s="14" t="inlineStr">
        <is>
          <t>470.36</t>
        </is>
      </c>
      <c r="J65" s="15" t="inlineStr">
        <is>
          <t>0.30</t>
        </is>
      </c>
      <c r="K65" s="14" t="inlineStr">
        <is>
          <t>282.22</t>
        </is>
      </c>
      <c r="L65" s="13" t="inlineStr">
        <is>
          <t>7</t>
        </is>
      </c>
      <c r="M65" s="13" t="inlineStr">
        <is>
          <t>Completed</t>
        </is>
      </c>
      <c r="N65" s="13" t="inlineStr">
        <is>
          <t>M. Okonkwo</t>
        </is>
      </c>
    </row>
    <row r="66">
      <c r="A66" s="13" t="inlineStr">
        <is>
          <t>HC-100064</t>
        </is>
      </c>
      <c r="B66" s="13" t="inlineStr">
        <is>
          <t>07/18/2024</t>
        </is>
      </c>
      <c r="C66" s="13" t="inlineStr">
        <is>
          <t>West</t>
        </is>
      </c>
      <c r="D66" s="13" t="inlineStr">
        <is>
          <t>Store</t>
        </is>
      </c>
      <c r="E66" s="13" t="inlineStr">
        <is>
          <t>Textiles</t>
        </is>
      </c>
      <c r="F66" s="13" t="inlineStr">
        <is>
          <t>Cotton Duvet</t>
        </is>
      </c>
      <c r="G66" s="13" t="inlineStr">
        <is>
          <t>Consumer</t>
        </is>
      </c>
      <c r="H66" s="13" t="inlineStr">
        <is>
          <t>2</t>
        </is>
      </c>
      <c r="I66" s="14" t="inlineStr">
        <is>
          <t>113.54</t>
        </is>
      </c>
      <c r="J66" s="15" t="inlineStr">
        <is>
          <t>0.08</t>
        </is>
      </c>
      <c r="K66" s="14" t="inlineStr">
        <is>
          <t>49.96</t>
        </is>
      </c>
      <c r="L66" s="13" t="inlineStr">
        <is>
          <t>5</t>
        </is>
      </c>
      <c r="M66" s="13" t="inlineStr">
        <is>
          <t>Completed</t>
        </is>
      </c>
      <c r="N66" s="13" t="inlineStr">
        <is>
          <t>M. Okonkwo</t>
        </is>
      </c>
    </row>
    <row r="67">
      <c r="A67" s="13" t="inlineStr">
        <is>
          <t>HC-100065</t>
        </is>
      </c>
      <c r="B67" s="13" t="inlineStr">
        <is>
          <t>02-Sep-25</t>
        </is>
      </c>
      <c r="C67" s="13" t="inlineStr">
        <is>
          <t xml:space="preserve"> North </t>
        </is>
      </c>
      <c r="D67" s="13" t="inlineStr">
        <is>
          <t>Online</t>
        </is>
      </c>
      <c r="E67" s="13" t="inlineStr">
        <is>
          <t>Kitchen</t>
        </is>
      </c>
      <c r="F67" s="13" t="inlineStr">
        <is>
          <t>Cast Skillet</t>
        </is>
      </c>
      <c r="G67" s="13" t="inlineStr">
        <is>
          <t>home office</t>
        </is>
      </c>
      <c r="H67" s="13" t="inlineStr">
        <is>
          <t>2</t>
        </is>
      </c>
      <c r="I67" s="14" t="inlineStr">
        <is>
          <t>53.40</t>
        </is>
      </c>
      <c r="J67" s="15" t="inlineStr">
        <is>
          <t>0.09</t>
        </is>
      </c>
      <c r="K67" s="14" t="inlineStr">
        <is>
          <t>21.36</t>
        </is>
      </c>
      <c r="L67" s="13" t="inlineStr">
        <is>
          <t>4</t>
        </is>
      </c>
      <c r="M67" s="13" t="inlineStr">
        <is>
          <t>Completed</t>
        </is>
      </c>
      <c r="N67" s="13" t="inlineStr">
        <is>
          <t>R. Ibarra</t>
        </is>
      </c>
    </row>
    <row r="68">
      <c r="A68" s="13" t="inlineStr">
        <is>
          <t>HC-100066</t>
        </is>
      </c>
      <c r="B68" s="13" t="inlineStr">
        <is>
          <t>2024/05/23</t>
        </is>
      </c>
      <c r="C68" s="13" t="inlineStr">
        <is>
          <t>West</t>
        </is>
      </c>
      <c r="D68" s="13" t="inlineStr">
        <is>
          <t>e-commerce</t>
        </is>
      </c>
      <c r="E68" s="13" t="inlineStr">
        <is>
          <t>Lighting</t>
        </is>
      </c>
      <c r="F68" s="13" t="inlineStr">
        <is>
          <t>Pendant Light</t>
        </is>
      </c>
      <c r="G68" s="13" t="inlineStr">
        <is>
          <t>Consumer</t>
        </is>
      </c>
      <c r="H68" s="13" t="inlineStr">
        <is>
          <t>3</t>
        </is>
      </c>
      <c r="I68" s="14" t="inlineStr">
        <is>
          <t>193.50</t>
        </is>
      </c>
      <c r="J68" s="15" t="inlineStr">
        <is>
          <t>0.03</t>
        </is>
      </c>
      <c r="K68" s="14" t="inlineStr">
        <is>
          <t>96.75</t>
        </is>
      </c>
      <c r="L68" s="13" t="inlineStr">
        <is>
          <t>5</t>
        </is>
      </c>
      <c r="M68" s="13" t="inlineStr">
        <is>
          <t>Completed</t>
        </is>
      </c>
      <c r="N68" s="13" t="inlineStr">
        <is>
          <t>R. Ibarra</t>
        </is>
      </c>
    </row>
    <row r="69">
      <c r="A69" s="13" t="inlineStr">
        <is>
          <t>HC-100067</t>
        </is>
      </c>
      <c r="B69" s="13" t="inlineStr">
        <is>
          <t>27.12.2024</t>
        </is>
      </c>
      <c r="C69" s="13" t="inlineStr">
        <is>
          <t>West</t>
        </is>
      </c>
      <c r="D69" s="13" t="inlineStr">
        <is>
          <t>Wholesale</t>
        </is>
      </c>
      <c r="E69" s="13" t="inlineStr">
        <is>
          <t>Textiles</t>
        </is>
      </c>
      <c r="F69" s="13" t="inlineStr">
        <is>
          <t>Linen Curtain</t>
        </is>
      </c>
      <c r="G69" s="13" t="inlineStr">
        <is>
          <t>consumer</t>
        </is>
      </c>
      <c r="H69" s="13" t="inlineStr">
        <is>
          <t>25</t>
        </is>
      </c>
      <c r="I69" s="14" t="inlineStr">
        <is>
          <t>93.27</t>
        </is>
      </c>
      <c r="J69" s="15" t="inlineStr">
        <is>
          <t>0.21</t>
        </is>
      </c>
      <c r="K69" s="14" t="inlineStr">
        <is>
          <t>41.97</t>
        </is>
      </c>
      <c r="L69" s="13" t="inlineStr">
        <is>
          <t>6</t>
        </is>
      </c>
      <c r="M69" s="13" t="inlineStr">
        <is>
          <t>Completed</t>
        </is>
      </c>
      <c r="N69" s="13" t="inlineStr">
        <is>
          <t>P. Rossi</t>
        </is>
      </c>
    </row>
    <row r="70">
      <c r="A70" s="13" t="inlineStr">
        <is>
          <t>HC-100068</t>
        </is>
      </c>
      <c r="B70" s="13" t="inlineStr">
        <is>
          <t>11/03/2024</t>
        </is>
      </c>
      <c r="C70" s="13" t="inlineStr">
        <is>
          <t>West</t>
        </is>
      </c>
      <c r="D70" s="13" t="inlineStr">
        <is>
          <t>B2B</t>
        </is>
      </c>
      <c r="E70" s="13" t="inlineStr">
        <is>
          <t>Furniture</t>
        </is>
      </c>
      <c r="F70" s="13" t="inlineStr">
        <is>
          <t>Walnut Shelf</t>
        </is>
      </c>
      <c r="G70" s="13" t="inlineStr">
        <is>
          <t>Home Office</t>
        </is>
      </c>
      <c r="H70" s="13" t="inlineStr">
        <is>
          <t>13</t>
        </is>
      </c>
      <c r="I70" s="14" t="inlineStr">
        <is>
          <t>204.63</t>
        </is>
      </c>
      <c r="J70" s="15" t="inlineStr">
        <is>
          <t>0.15</t>
        </is>
      </c>
      <c r="K70" s="14" t="inlineStr">
        <is>
          <t>112.55</t>
        </is>
      </c>
      <c r="L70" s="13" t="inlineStr">
        <is>
          <t>7</t>
        </is>
      </c>
      <c r="M70" s="13" t="inlineStr">
        <is>
          <t>Completed</t>
        </is>
      </c>
      <c r="N70" s="13" t="inlineStr">
        <is>
          <t>L. Berger</t>
        </is>
      </c>
    </row>
    <row r="71">
      <c r="A71" s="13" t="inlineStr">
        <is>
          <t>HC-100069</t>
        </is>
      </c>
      <c r="B71" s="13" t="inlineStr">
        <is>
          <t>20-Oct-24</t>
        </is>
      </c>
      <c r="C71" s="13" t="inlineStr">
        <is>
          <t>South</t>
        </is>
      </c>
      <c r="D71" s="13" t="inlineStr">
        <is>
          <t>e-commerce</t>
        </is>
      </c>
      <c r="E71" s="13" t="inlineStr">
        <is>
          <t>Textiles</t>
        </is>
      </c>
      <c r="F71" s="13" t="inlineStr">
        <is>
          <t>Linen Curtain</t>
        </is>
      </c>
      <c r="G71" s="13" t="inlineStr">
        <is>
          <t>Consumer</t>
        </is>
      </c>
      <c r="H71" s="13" t="inlineStr">
        <is>
          <t>2</t>
        </is>
      </c>
      <c r="I71" s="14" t="inlineStr">
        <is>
          <t>97.33</t>
        </is>
      </c>
      <c r="J71" s="15" t="inlineStr">
        <is>
          <t>0.07</t>
        </is>
      </c>
      <c r="K71" s="14" t="inlineStr">
        <is>
          <t>43.80</t>
        </is>
      </c>
      <c r="L71" s="13" t="inlineStr">
        <is>
          <t>7</t>
        </is>
      </c>
      <c r="M71" s="13" t="inlineStr">
        <is>
          <t>COMPLETED</t>
        </is>
      </c>
      <c r="N71" s="13" t="inlineStr">
        <is>
          <t>M. Okonkwo</t>
        </is>
      </c>
    </row>
    <row r="72">
      <c r="A72" s="13" t="inlineStr">
        <is>
          <t>HC-100070</t>
        </is>
      </c>
      <c r="B72" s="13" t="inlineStr">
        <is>
          <t>2024/11/28</t>
        </is>
      </c>
      <c r="C72" s="13" t="inlineStr">
        <is>
          <t xml:space="preserve"> North </t>
        </is>
      </c>
      <c r="D72" s="13" t="inlineStr">
        <is>
          <t>Online</t>
        </is>
      </c>
      <c r="E72" s="13" t="inlineStr">
        <is>
          <t>Furniture</t>
        </is>
      </c>
      <c r="F72" s="13" t="inlineStr">
        <is>
          <t>Linen Sofa</t>
        </is>
      </c>
      <c r="G72" s="13" t="inlineStr">
        <is>
          <t>Consumer</t>
        </is>
      </c>
      <c r="H72" s="13" t="inlineStr">
        <is>
          <t>4</t>
        </is>
      </c>
      <c r="I72" s="14" t="inlineStr">
        <is>
          <t>1346.28</t>
        </is>
      </c>
      <c r="J72" s="15" t="inlineStr">
        <is>
          <t>0.03</t>
        </is>
      </c>
      <c r="K72" s="14" t="inlineStr">
        <is>
          <t>888.54</t>
        </is>
      </c>
      <c r="L72" s="13" t="inlineStr">
        <is>
          <t>5</t>
        </is>
      </c>
      <c r="M72" s="13" t="inlineStr">
        <is>
          <t>Completed</t>
        </is>
      </c>
      <c r="N72" s="13" t="inlineStr">
        <is>
          <t>P. Rossi</t>
        </is>
      </c>
    </row>
    <row r="73">
      <c r="A73" s="13" t="inlineStr">
        <is>
          <t>HC-100071</t>
        </is>
      </c>
      <c r="B73" s="13" t="inlineStr">
        <is>
          <t>25.09.2025</t>
        </is>
      </c>
      <c r="C73" s="13" t="inlineStr">
        <is>
          <t>South</t>
        </is>
      </c>
      <c r="D73" s="13" t="inlineStr">
        <is>
          <t>Store</t>
        </is>
      </c>
      <c r="E73" s="13" t="inlineStr">
        <is>
          <t>Kitchen</t>
        </is>
      </c>
      <c r="F73" s="13" t="inlineStr">
        <is>
          <t>Chef Knife</t>
        </is>
      </c>
      <c r="G73" s="13" t="inlineStr">
        <is>
          <t>Consumer</t>
        </is>
      </c>
      <c r="H73" s="13" t="inlineStr">
        <is>
          <t>3</t>
        </is>
      </c>
      <c r="I73" s="14" t="inlineStr">
        <is>
          <t>63.59</t>
        </is>
      </c>
      <c r="J73" s="15" t="inlineStr">
        <is>
          <t>0.09</t>
        </is>
      </c>
      <c r="K73" s="14" t="inlineStr">
        <is>
          <t>22.89</t>
        </is>
      </c>
      <c r="L73" s="13" t="inlineStr">
        <is>
          <t>2</t>
        </is>
      </c>
      <c r="M73" s="13" t="inlineStr">
        <is>
          <t>Completed</t>
        </is>
      </c>
      <c r="N73" s="13" t="inlineStr">
        <is>
          <t>R. Ibarra</t>
        </is>
      </c>
    </row>
    <row r="74">
      <c r="A74" s="13" t="inlineStr">
        <is>
          <t>HC-100072</t>
        </is>
      </c>
      <c r="B74" s="13" t="inlineStr">
        <is>
          <t>07/07/2025</t>
        </is>
      </c>
      <c r="C74" s="13" t="inlineStr">
        <is>
          <t>West</t>
        </is>
      </c>
      <c r="D74" s="13" t="inlineStr">
        <is>
          <t>web</t>
        </is>
      </c>
      <c r="E74" s="13" t="inlineStr">
        <is>
          <t>Furniture</t>
        </is>
      </c>
      <c r="F74" s="13" t="inlineStr">
        <is>
          <t>Lounge Chair</t>
        </is>
      </c>
      <c r="G74" s="13" t="inlineStr">
        <is>
          <t>Consumer</t>
        </is>
      </c>
      <c r="H74" s="13" t="inlineStr">
        <is>
          <t>2</t>
        </is>
      </c>
      <c r="I74" s="14" t="inlineStr">
        <is>
          <t>452.92</t>
        </is>
      </c>
      <c r="J74" s="15" t="inlineStr">
        <is>
          <t>0.10</t>
        </is>
      </c>
      <c r="K74" s="14" t="inlineStr">
        <is>
          <t>271.75</t>
        </is>
      </c>
      <c r="L74" s="13" t="inlineStr">
        <is>
          <t>4</t>
        </is>
      </c>
      <c r="M74" s="13" t="inlineStr">
        <is>
          <t>Completed</t>
        </is>
      </c>
      <c r="N74" s="13" t="inlineStr">
        <is>
          <t>P. Rossi</t>
        </is>
      </c>
    </row>
    <row r="75">
      <c r="A75" s="13" t="inlineStr">
        <is>
          <t>HC-100073</t>
        </is>
      </c>
      <c r="B75" s="13" t="inlineStr">
        <is>
          <t>08-May-24</t>
        </is>
      </c>
      <c r="C75" s="13" t="inlineStr">
        <is>
          <t>south</t>
        </is>
      </c>
      <c r="D75" s="13" t="inlineStr">
        <is>
          <t>Store</t>
        </is>
      </c>
      <c r="E75" s="13" t="inlineStr">
        <is>
          <t>Textiles</t>
        </is>
      </c>
      <c r="F75" s="13" t="inlineStr">
        <is>
          <t>Cotton Duvet</t>
        </is>
      </c>
      <c r="G75" s="13" t="inlineStr">
        <is>
          <t>Consumer</t>
        </is>
      </c>
      <c r="H75" s="13" t="inlineStr">
        <is>
          <t>1</t>
        </is>
      </c>
      <c r="I75" s="14" t="inlineStr">
        <is>
          <t>112.91</t>
        </is>
      </c>
      <c r="J75" s="15" t="inlineStr">
        <is>
          <t>0.03</t>
        </is>
      </c>
      <c r="K75" s="14" t="inlineStr">
        <is>
          <t>49.68</t>
        </is>
      </c>
      <c r="L75" s="13" t="inlineStr">
        <is>
          <t>7</t>
        </is>
      </c>
      <c r="M75" s="13" t="inlineStr">
        <is>
          <t>Completed</t>
        </is>
      </c>
      <c r="N75" s="13" t="inlineStr">
        <is>
          <t>L. Berger</t>
        </is>
      </c>
    </row>
    <row r="76">
      <c r="A76" s="13" t="inlineStr">
        <is>
          <t>HC-100074</t>
        </is>
      </c>
      <c r="B76" s="13" t="inlineStr">
        <is>
          <t>2024/11/23</t>
        </is>
      </c>
      <c r="C76" s="13" t="inlineStr">
        <is>
          <t>North</t>
        </is>
      </c>
      <c r="D76" s="13" t="inlineStr">
        <is>
          <t>Store</t>
        </is>
      </c>
      <c r="E76" s="13" t="inlineStr">
        <is>
          <t>Lighting</t>
        </is>
      </c>
      <c r="F76" s="13" t="inlineStr">
        <is>
          <t>Pendant Light</t>
        </is>
      </c>
      <c r="G76" s="13" t="inlineStr">
        <is>
          <t>Consumer</t>
        </is>
      </c>
      <c r="H76" s="13" t="inlineStr">
        <is>
          <t>3</t>
        </is>
      </c>
      <c r="I76" s="14" t="inlineStr">
        <is>
          <t>181.96</t>
        </is>
      </c>
      <c r="J76" s="15" t="inlineStr">
        <is>
          <t>0.05</t>
        </is>
      </c>
      <c r="K76" s="14" t="inlineStr">
        <is>
          <t>90.98</t>
        </is>
      </c>
      <c r="L76" s="13" t="inlineStr">
        <is>
          <t>3</t>
        </is>
      </c>
      <c r="M76" s="13" t="inlineStr">
        <is>
          <t>Completed</t>
        </is>
      </c>
      <c r="N76" s="13" t="inlineStr">
        <is>
          <t>P. Rossi</t>
        </is>
      </c>
    </row>
    <row r="77">
      <c r="A77" s="13" t="inlineStr">
        <is>
          <t>HC-100075</t>
        </is>
      </c>
      <c r="B77" s="13" t="inlineStr">
        <is>
          <t>07.08.2024</t>
        </is>
      </c>
      <c r="C77" s="13" t="inlineStr">
        <is>
          <t>East</t>
        </is>
      </c>
      <c r="D77" s="13" t="inlineStr">
        <is>
          <t>Store</t>
        </is>
      </c>
      <c r="E77" s="13" t="inlineStr">
        <is>
          <t>Furniture</t>
        </is>
      </c>
      <c r="F77" s="13" t="inlineStr">
        <is>
          <t>Oak Desk</t>
        </is>
      </c>
      <c r="G77" s="13" t="inlineStr">
        <is>
          <t>Corporate</t>
        </is>
      </c>
      <c r="H77" s="13" t="inlineStr">
        <is>
          <t>1</t>
        </is>
      </c>
      <c r="I77" s="14" t="inlineStr">
        <is>
          <t>810.35</t>
        </is>
      </c>
      <c r="J77" s="15" t="inlineStr">
        <is>
          <t>0.01</t>
        </is>
      </c>
      <c r="K77" s="14" t="inlineStr">
        <is>
          <t>502.41</t>
        </is>
      </c>
      <c r="L77" s="13" t="inlineStr">
        <is>
          <t>6</t>
        </is>
      </c>
      <c r="M77" s="13" t="inlineStr">
        <is>
          <t>Completed</t>
        </is>
      </c>
      <c r="N77" s="13" t="inlineStr">
        <is>
          <t>P. Rossi</t>
        </is>
      </c>
    </row>
    <row r="78">
      <c r="A78" s="13" t="inlineStr">
        <is>
          <t>HC-100076</t>
        </is>
      </c>
      <c r="B78" s="13" t="inlineStr">
        <is>
          <t>07/01/2024</t>
        </is>
      </c>
      <c r="C78" s="13" t="inlineStr">
        <is>
          <t>South</t>
        </is>
      </c>
      <c r="D78" s="13" t="inlineStr">
        <is>
          <t>Store</t>
        </is>
      </c>
      <c r="E78" s="13" t="inlineStr">
        <is>
          <t>Textiles</t>
        </is>
      </c>
      <c r="F78" s="13" t="inlineStr">
        <is>
          <t>Cotton Duvet</t>
        </is>
      </c>
      <c r="G78" s="13" t="inlineStr">
        <is>
          <t>Consumer</t>
        </is>
      </c>
      <c r="H78" s="13" t="inlineStr">
        <is>
          <t>3</t>
        </is>
      </c>
      <c r="I78" s="14" t="inlineStr">
        <is>
          <t>126.43</t>
        </is>
      </c>
      <c r="J78" s="15" t="inlineStr">
        <is>
          <t>0.05</t>
        </is>
      </c>
      <c r="K78" s="14" t="inlineStr">
        <is>
          <t>55.63</t>
        </is>
      </c>
      <c r="L78" s="13" t="inlineStr">
        <is>
          <t>6</t>
        </is>
      </c>
      <c r="M78" s="13" t="inlineStr">
        <is>
          <t>Completed</t>
        </is>
      </c>
      <c r="N78" s="13" t="inlineStr">
        <is>
          <t>K. Mensah</t>
        </is>
      </c>
    </row>
    <row r="79">
      <c r="A79" s="13" t="inlineStr">
        <is>
          <t>HC-100077</t>
        </is>
      </c>
      <c r="B79" s="13" t="inlineStr">
        <is>
          <t>07-Oct-24</t>
        </is>
      </c>
      <c r="C79" s="13" t="inlineStr">
        <is>
          <t>South</t>
        </is>
      </c>
      <c r="D79" s="13" t="inlineStr">
        <is>
          <t>B2B</t>
        </is>
      </c>
      <c r="E79" s="13" t="inlineStr">
        <is>
          <t>Textiles</t>
        </is>
      </c>
      <c r="F79" s="13" t="inlineStr">
        <is>
          <t>Linen Curtain</t>
        </is>
      </c>
      <c r="G79" s="13" t="inlineStr">
        <is>
          <t>Consumer</t>
        </is>
      </c>
      <c r="H79" s="13" t="inlineStr">
        <is>
          <t>27</t>
        </is>
      </c>
      <c r="I79" s="14" t="inlineStr">
        <is>
          <t>93.66</t>
        </is>
      </c>
      <c r="J79" s="15" t="inlineStr">
        <is>
          <t>0.32</t>
        </is>
      </c>
      <c r="K79" s="14" t="inlineStr">
        <is>
          <t>42.15</t>
        </is>
      </c>
      <c r="L79" s="13" t="inlineStr">
        <is>
          <t>6</t>
        </is>
      </c>
      <c r="M79" s="13" t="inlineStr">
        <is>
          <t>Completed</t>
        </is>
      </c>
      <c r="N79" s="13" t="inlineStr">
        <is>
          <t>J. Patel</t>
        </is>
      </c>
    </row>
    <row r="80">
      <c r="A80" s="13" t="inlineStr">
        <is>
          <t>HC-100078</t>
        </is>
      </c>
      <c r="B80" s="13" t="inlineStr">
        <is>
          <t>2025/05/20</t>
        </is>
      </c>
      <c r="C80" s="13" t="inlineStr">
        <is>
          <t>Nort</t>
        </is>
      </c>
      <c r="D80" s="13" t="inlineStr">
        <is>
          <t>Store</t>
        </is>
      </c>
      <c r="E80" s="13" t="inlineStr">
        <is>
          <t>Furniture</t>
        </is>
      </c>
      <c r="F80" s="13" t="inlineStr">
        <is>
          <t>Linen Sofa</t>
        </is>
      </c>
      <c r="G80" s="13" t="inlineStr">
        <is>
          <t>Consumer</t>
        </is>
      </c>
      <c r="H80" s="13" t="inlineStr">
        <is>
          <t>1</t>
        </is>
      </c>
      <c r="I80" s="14" t="inlineStr">
        <is>
          <t>1194.94</t>
        </is>
      </c>
      <c r="J80" s="15" t="inlineStr">
        <is>
          <t>5%</t>
        </is>
      </c>
      <c r="K80" s="14" t="inlineStr">
        <is>
          <t>788.66</t>
        </is>
      </c>
      <c r="L80" s="13" t="inlineStr">
        <is>
          <t>6</t>
        </is>
      </c>
      <c r="M80" s="13" t="inlineStr">
        <is>
          <t>Completed</t>
        </is>
      </c>
      <c r="N80" s="13" t="inlineStr">
        <is>
          <t>J. Patel</t>
        </is>
      </c>
    </row>
    <row r="81">
      <c r="A81" s="13" t="inlineStr">
        <is>
          <t>HC-100079</t>
        </is>
      </c>
      <c r="B81" s="13" t="inlineStr">
        <is>
          <t>20.01.2025</t>
        </is>
      </c>
      <c r="C81" s="13" t="inlineStr">
        <is>
          <t>West</t>
        </is>
      </c>
      <c r="D81" s="13" t="inlineStr">
        <is>
          <t>Store</t>
        </is>
      </c>
      <c r="E81" s="13" t="inlineStr">
        <is>
          <t>Textiles</t>
        </is>
      </c>
      <c r="F81" s="13" t="inlineStr">
        <is>
          <t>Wool Throw</t>
        </is>
      </c>
      <c r="G81" s="13" t="inlineStr">
        <is>
          <t>Corporate</t>
        </is>
      </c>
      <c r="H81" s="13" t="inlineStr">
        <is>
          <t>4</t>
        </is>
      </c>
      <c r="I81" s="14" t="inlineStr">
        <is>
          <t>74.29</t>
        </is>
      </c>
      <c r="J81" s="15" t="inlineStr">
        <is>
          <t>0.09</t>
        </is>
      </c>
      <c r="K81" s="14" t="inlineStr">
        <is>
          <t>31.20</t>
        </is>
      </c>
      <c r="L81" s="13" t="inlineStr">
        <is>
          <t>5</t>
        </is>
      </c>
      <c r="M81" s="13" t="inlineStr">
        <is>
          <t>retrned</t>
        </is>
      </c>
      <c r="N81" s="13" t="inlineStr">
        <is>
          <t>A. Shah</t>
        </is>
      </c>
    </row>
    <row r="82">
      <c r="A82" s="13" t="inlineStr">
        <is>
          <t>HC-100080</t>
        </is>
      </c>
      <c r="B82" s="13" t="inlineStr">
        <is>
          <t>06/24/2024</t>
        </is>
      </c>
      <c r="C82" s="13" t="inlineStr">
        <is>
          <t>East</t>
        </is>
      </c>
      <c r="D82" s="13" t="inlineStr">
        <is>
          <t>Online</t>
        </is>
      </c>
      <c r="E82" s="13" t="inlineStr">
        <is>
          <t>Furniture</t>
        </is>
      </c>
      <c r="F82" s="13" t="inlineStr">
        <is>
          <t>Walnut Shelf</t>
        </is>
      </c>
      <c r="G82" s="13" t="inlineStr">
        <is>
          <t>Consumer</t>
        </is>
      </c>
      <c r="H82" s="13" t="inlineStr">
        <is>
          <t>2</t>
        </is>
      </c>
      <c r="I82" s="14" t="inlineStr">
        <is>
          <t>205.03</t>
        </is>
      </c>
      <c r="J82" s="15" t="inlineStr">
        <is>
          <t>0.17</t>
        </is>
      </c>
      <c r="K82" s="14" t="inlineStr">
        <is>
          <t>112.77</t>
        </is>
      </c>
      <c r="L82" s="13" t="inlineStr">
        <is>
          <t>13</t>
        </is>
      </c>
      <c r="M82" s="13" t="inlineStr">
        <is>
          <t>Completed</t>
        </is>
      </c>
      <c r="N82" s="13" t="inlineStr">
        <is>
          <t>K. Mensah</t>
        </is>
      </c>
    </row>
    <row r="83">
      <c r="A83" s="13" t="inlineStr">
        <is>
          <t>HC-100081</t>
        </is>
      </c>
      <c r="B83" s="13" t="inlineStr">
        <is>
          <t>25-Jul-25</t>
        </is>
      </c>
      <c r="C83" s="13" t="inlineStr">
        <is>
          <t>West</t>
        </is>
      </c>
      <c r="D83" s="13" t="inlineStr">
        <is>
          <t>retail</t>
        </is>
      </c>
      <c r="E83" s="13" t="inlineStr">
        <is>
          <t>Textiles</t>
        </is>
      </c>
      <c r="F83" s="13" t="inlineStr">
        <is>
          <t>Wool Throw</t>
        </is>
      </c>
      <c r="G83" s="13" t="inlineStr"/>
      <c r="H83" s="13" t="inlineStr">
        <is>
          <t>2</t>
        </is>
      </c>
      <c r="I83" s="14" t="inlineStr">
        <is>
          <t>69.29</t>
        </is>
      </c>
      <c r="J83" s="15" t="inlineStr">
        <is>
          <t>10%</t>
        </is>
      </c>
      <c r="K83" s="14" t="inlineStr">
        <is>
          <t>29.10</t>
        </is>
      </c>
      <c r="L83" s="13" t="inlineStr">
        <is>
          <t>3</t>
        </is>
      </c>
      <c r="M83" s="13" t="inlineStr">
        <is>
          <t>Completed</t>
        </is>
      </c>
      <c r="N83" s="13" t="inlineStr">
        <is>
          <t>P. Rossi</t>
        </is>
      </c>
    </row>
    <row r="84">
      <c r="A84" s="13" t="inlineStr">
        <is>
          <t>HC-100082</t>
        </is>
      </c>
      <c r="B84" s="13" t="inlineStr">
        <is>
          <t>2025/07/11</t>
        </is>
      </c>
      <c r="C84" s="13" t="inlineStr">
        <is>
          <t>West</t>
        </is>
      </c>
      <c r="D84" s="13" t="inlineStr">
        <is>
          <t>Wholesale</t>
        </is>
      </c>
      <c r="E84" s="13" t="inlineStr">
        <is>
          <t>Furniture</t>
        </is>
      </c>
      <c r="F84" s="13" t="inlineStr">
        <is>
          <t>Walnut Shelf</t>
        </is>
      </c>
      <c r="G84" s="13" t="inlineStr">
        <is>
          <t>Home Office</t>
        </is>
      </c>
      <c r="H84" s="13" t="inlineStr">
        <is>
          <t>22</t>
        </is>
      </c>
      <c r="I84" s="14" t="inlineStr">
        <is>
          <t>211.05</t>
        </is>
      </c>
      <c r="J84" s="15" t="inlineStr">
        <is>
          <t>0.28</t>
        </is>
      </c>
      <c r="K84" s="14" t="inlineStr">
        <is>
          <t>116.08</t>
        </is>
      </c>
      <c r="L84" s="13" t="inlineStr">
        <is>
          <t>6</t>
        </is>
      </c>
      <c r="M84" s="13" t="inlineStr">
        <is>
          <t>Completed</t>
        </is>
      </c>
      <c r="N84" s="13" t="inlineStr">
        <is>
          <t>R. Ibarra</t>
        </is>
      </c>
    </row>
    <row r="85">
      <c r="A85" s="13" t="inlineStr">
        <is>
          <t>HC-100083</t>
        </is>
      </c>
      <c r="B85" s="13" t="inlineStr">
        <is>
          <t>23.08.2024</t>
        </is>
      </c>
      <c r="C85" s="13" t="inlineStr">
        <is>
          <t>East</t>
        </is>
      </c>
      <c r="D85" s="13" t="inlineStr">
        <is>
          <t>Store</t>
        </is>
      </c>
      <c r="E85" s="13" t="inlineStr">
        <is>
          <t>Kitchen</t>
        </is>
      </c>
      <c r="F85" s="13" t="inlineStr">
        <is>
          <t>Ceramic Set</t>
        </is>
      </c>
      <c r="G85" s="13" t="inlineStr">
        <is>
          <t>Consumer</t>
        </is>
      </c>
      <c r="H85" s="13" t="inlineStr">
        <is>
          <t>4</t>
        </is>
      </c>
      <c r="I85" s="14" t="inlineStr">
        <is>
          <t>75.32</t>
        </is>
      </c>
      <c r="J85" s="15" t="inlineStr">
        <is>
          <t>0.11</t>
        </is>
      </c>
      <c r="K85" s="14" t="inlineStr">
        <is>
          <t>28.62</t>
        </is>
      </c>
      <c r="L85" s="13" t="inlineStr">
        <is>
          <t>6</t>
        </is>
      </c>
      <c r="M85" s="13" t="inlineStr">
        <is>
          <t>Completed</t>
        </is>
      </c>
      <c r="N85" s="13" t="inlineStr">
        <is>
          <t>M. Okonkwo</t>
        </is>
      </c>
    </row>
    <row r="86">
      <c r="A86" s="13" t="inlineStr">
        <is>
          <t>HC-100084</t>
        </is>
      </c>
      <c r="B86" s="13" t="inlineStr">
        <is>
          <t>03/05/2025</t>
        </is>
      </c>
      <c r="C86" s="13" t="inlineStr">
        <is>
          <t>South</t>
        </is>
      </c>
      <c r="D86" s="13" t="inlineStr">
        <is>
          <t>Store</t>
        </is>
      </c>
      <c r="E86" s="13" t="inlineStr">
        <is>
          <t>Lighting</t>
        </is>
      </c>
      <c r="F86" s="13" t="inlineStr">
        <is>
          <t>Arc Lamp</t>
        </is>
      </c>
      <c r="G86" s="13" t="inlineStr">
        <is>
          <t>Corporate</t>
        </is>
      </c>
      <c r="H86" s="13" t="inlineStr">
        <is>
          <t>1</t>
        </is>
      </c>
      <c r="I86" s="14" t="inlineStr">
        <is>
          <t>298.13</t>
        </is>
      </c>
      <c r="J86" s="15" t="inlineStr">
        <is>
          <t>0.10</t>
        </is>
      </c>
      <c r="K86" s="14" t="inlineStr">
        <is>
          <t>143.10</t>
        </is>
      </c>
      <c r="L86" s="13" t="inlineStr">
        <is>
          <t>8</t>
        </is>
      </c>
      <c r="M86" s="13" t="inlineStr">
        <is>
          <t>complete</t>
        </is>
      </c>
      <c r="N86" s="13" t="inlineStr">
        <is>
          <t>P. Rossi</t>
        </is>
      </c>
    </row>
    <row r="87">
      <c r="A87" s="13" t="inlineStr">
        <is>
          <t>HC-100085</t>
        </is>
      </c>
      <c r="B87" s="13" t="inlineStr">
        <is>
          <t>11-Jul-24</t>
        </is>
      </c>
      <c r="C87" s="13" t="inlineStr">
        <is>
          <t>East</t>
        </is>
      </c>
      <c r="D87" s="13" t="inlineStr">
        <is>
          <t>e-commerce</t>
        </is>
      </c>
      <c r="E87" s="13" t="inlineStr">
        <is>
          <t>Textiles</t>
        </is>
      </c>
      <c r="F87" s="13" t="inlineStr">
        <is>
          <t>Cotton Duvet</t>
        </is>
      </c>
      <c r="G87" s="13" t="inlineStr">
        <is>
          <t>Consumer</t>
        </is>
      </c>
      <c r="H87" s="13" t="inlineStr">
        <is>
          <t>3</t>
        </is>
      </c>
      <c r="I87" s="14" t="inlineStr">
        <is>
          <t>111.02</t>
        </is>
      </c>
      <c r="J87" s="15" t="inlineStr">
        <is>
          <t>0.13</t>
        </is>
      </c>
      <c r="K87" s="14" t="inlineStr">
        <is>
          <t>48.85</t>
        </is>
      </c>
      <c r="L87" s="13" t="inlineStr">
        <is>
          <t>6</t>
        </is>
      </c>
      <c r="M87" s="13" t="inlineStr">
        <is>
          <t>Completed</t>
        </is>
      </c>
      <c r="N87" s="13" t="inlineStr">
        <is>
          <t>M. Okonkwo</t>
        </is>
      </c>
    </row>
    <row r="88">
      <c r="A88" s="13" t="inlineStr">
        <is>
          <t>HC-100086</t>
        </is>
      </c>
      <c r="B88" s="13" t="inlineStr">
        <is>
          <t>2025/01/07</t>
        </is>
      </c>
      <c r="C88" s="13" t="inlineStr">
        <is>
          <t>West</t>
        </is>
      </c>
      <c r="D88" s="13" t="inlineStr">
        <is>
          <t>Online</t>
        </is>
      </c>
      <c r="E88" s="13" t="inlineStr">
        <is>
          <t>Textiles</t>
        </is>
      </c>
      <c r="F88" s="13" t="inlineStr">
        <is>
          <t>Cotton Duvet</t>
        </is>
      </c>
      <c r="G88" s="13" t="inlineStr">
        <is>
          <t>Home Office</t>
        </is>
      </c>
      <c r="H88" s="13" t="inlineStr">
        <is>
          <t>2</t>
        </is>
      </c>
      <c r="I88" s="14" t="inlineStr">
        <is>
          <t>$111.78</t>
        </is>
      </c>
      <c r="J88" s="15" t="inlineStr">
        <is>
          <t>0.14</t>
        </is>
      </c>
      <c r="K88" s="14" t="inlineStr">
        <is>
          <t>49.18</t>
        </is>
      </c>
      <c r="L88" s="13" t="inlineStr">
        <is>
          <t>1</t>
        </is>
      </c>
      <c r="M88" s="13" t="inlineStr">
        <is>
          <t>Completed</t>
        </is>
      </c>
      <c r="N88" s="13" t="inlineStr">
        <is>
          <t>L. Berger</t>
        </is>
      </c>
    </row>
    <row r="89">
      <c r="A89" s="13" t="inlineStr">
        <is>
          <t>HC-100087</t>
        </is>
      </c>
      <c r="B89" s="13" t="inlineStr">
        <is>
          <t>16.01.2024</t>
        </is>
      </c>
      <c r="C89" s="13" t="inlineStr">
        <is>
          <t>East</t>
        </is>
      </c>
      <c r="D89" s="13" t="inlineStr">
        <is>
          <t>Store</t>
        </is>
      </c>
      <c r="E89" s="13" t="inlineStr">
        <is>
          <t>Kitchen</t>
        </is>
      </c>
      <c r="F89" s="13" t="inlineStr">
        <is>
          <t>Cast Skillet</t>
        </is>
      </c>
      <c r="G89" s="13" t="inlineStr">
        <is>
          <t>Corporate</t>
        </is>
      </c>
      <c r="H89" s="13" t="inlineStr">
        <is>
          <t>1</t>
        </is>
      </c>
      <c r="I89" s="14" t="inlineStr">
        <is>
          <t>47.25</t>
        </is>
      </c>
      <c r="J89" s="15" t="inlineStr">
        <is>
          <t>0.08</t>
        </is>
      </c>
      <c r="K89" s="14" t="inlineStr">
        <is>
          <t>18.90</t>
        </is>
      </c>
      <c r="L89" s="13" t="inlineStr">
        <is>
          <t>8</t>
        </is>
      </c>
      <c r="M89" s="13" t="inlineStr">
        <is>
          <t>Completed</t>
        </is>
      </c>
      <c r="N89" s="13" t="inlineStr">
        <is>
          <t>M. Okonkwo</t>
        </is>
      </c>
    </row>
    <row r="90">
      <c r="A90" s="13" t="inlineStr">
        <is>
          <t>HC-100088</t>
        </is>
      </c>
      <c r="B90" s="13" t="inlineStr">
        <is>
          <t>09/07/2025</t>
        </is>
      </c>
      <c r="C90" s="13" t="inlineStr">
        <is>
          <t>West</t>
        </is>
      </c>
      <c r="D90" s="13" t="inlineStr">
        <is>
          <t>Online</t>
        </is>
      </c>
      <c r="E90" s="13" t="inlineStr">
        <is>
          <t>Textiles</t>
        </is>
      </c>
      <c r="F90" s="13" t="inlineStr">
        <is>
          <t>Linen Curtain</t>
        </is>
      </c>
      <c r="G90" s="13" t="inlineStr">
        <is>
          <t>Consumer</t>
        </is>
      </c>
      <c r="H90" s="13" t="inlineStr">
        <is>
          <t>3</t>
        </is>
      </c>
      <c r="I90" s="14" t="inlineStr">
        <is>
          <t>90.50</t>
        </is>
      </c>
      <c r="J90" s="15" t="inlineStr">
        <is>
          <t>0.17</t>
        </is>
      </c>
      <c r="K90" s="14" t="inlineStr">
        <is>
          <t>40.72</t>
        </is>
      </c>
      <c r="L90" s="13" t="inlineStr">
        <is>
          <t>4</t>
        </is>
      </c>
      <c r="M90" s="13" t="inlineStr">
        <is>
          <t>Completed</t>
        </is>
      </c>
      <c r="N90" s="13" t="inlineStr">
        <is>
          <t>J. Patel</t>
        </is>
      </c>
    </row>
    <row r="91">
      <c r="A91" s="13" t="inlineStr">
        <is>
          <t>HC-100089</t>
        </is>
      </c>
      <c r="B91" s="13" t="inlineStr">
        <is>
          <t>14-Oct-24</t>
        </is>
      </c>
      <c r="C91" s="13" t="inlineStr">
        <is>
          <t>WEST</t>
        </is>
      </c>
      <c r="D91" s="13" t="inlineStr">
        <is>
          <t>Store</t>
        </is>
      </c>
      <c r="E91" s="13" t="inlineStr">
        <is>
          <t>Furniture</t>
        </is>
      </c>
      <c r="F91" s="13" t="inlineStr">
        <is>
          <t>Walnut Shelf</t>
        </is>
      </c>
      <c r="G91" s="13" t="inlineStr">
        <is>
          <t>corporate</t>
        </is>
      </c>
      <c r="H91" s="13" t="inlineStr">
        <is>
          <t>1</t>
        </is>
      </c>
      <c r="I91" s="14" t="inlineStr">
        <is>
          <t>232.34</t>
        </is>
      </c>
      <c r="J91" s="15" t="inlineStr">
        <is>
          <t>2%</t>
        </is>
      </c>
      <c r="K91" s="14" t="inlineStr">
        <is>
          <t>127.79</t>
        </is>
      </c>
      <c r="L91" s="13" t="inlineStr">
        <is>
          <t>1</t>
        </is>
      </c>
      <c r="M91" s="13" t="inlineStr">
        <is>
          <t>complete</t>
        </is>
      </c>
      <c r="N91" s="13" t="inlineStr">
        <is>
          <t>J. Patel</t>
        </is>
      </c>
    </row>
    <row r="92">
      <c r="A92" s="13" t="inlineStr">
        <is>
          <t>HC-100090</t>
        </is>
      </c>
      <c r="B92" s="13" t="inlineStr">
        <is>
          <t>2025/01/21</t>
        </is>
      </c>
      <c r="C92" s="13" t="inlineStr">
        <is>
          <t>South</t>
        </is>
      </c>
      <c r="D92" s="13" t="inlineStr">
        <is>
          <t>Store</t>
        </is>
      </c>
      <c r="E92" s="13" t="inlineStr">
        <is>
          <t>Furniture</t>
        </is>
      </c>
      <c r="F92" s="13" t="inlineStr">
        <is>
          <t>Linen Sofa</t>
        </is>
      </c>
      <c r="G92" s="13" t="inlineStr">
        <is>
          <t>Consumer</t>
        </is>
      </c>
      <c r="H92" s="13" t="inlineStr">
        <is>
          <t>4</t>
        </is>
      </c>
      <c r="I92" s="14" t="inlineStr">
        <is>
          <t>1152.20</t>
        </is>
      </c>
      <c r="J92" s="15" t="inlineStr">
        <is>
          <t>0.11</t>
        </is>
      </c>
      <c r="K92" s="14" t="inlineStr">
        <is>
          <t>760.45</t>
        </is>
      </c>
      <c r="L92" s="13" t="inlineStr">
        <is>
          <t>7</t>
        </is>
      </c>
      <c r="M92" s="13" t="inlineStr">
        <is>
          <t>Completed</t>
        </is>
      </c>
      <c r="N92" s="13" t="inlineStr">
        <is>
          <t>P. Rossi</t>
        </is>
      </c>
    </row>
    <row r="93">
      <c r="A93" s="13" t="inlineStr">
        <is>
          <t>HC-100091</t>
        </is>
      </c>
      <c r="B93" s="13" t="inlineStr">
        <is>
          <t>04.02.2024</t>
        </is>
      </c>
      <c r="C93" s="13" t="inlineStr">
        <is>
          <t>West</t>
        </is>
      </c>
      <c r="D93" s="13" t="inlineStr">
        <is>
          <t>Store</t>
        </is>
      </c>
      <c r="E93" s="13" t="inlineStr">
        <is>
          <t>Lighting</t>
        </is>
      </c>
      <c r="F93" s="13" t="inlineStr">
        <is>
          <t>Pendant Light</t>
        </is>
      </c>
      <c r="G93" s="13" t="inlineStr">
        <is>
          <t>Consumer</t>
        </is>
      </c>
      <c r="H93" s="13" t="inlineStr">
        <is>
          <t>3</t>
        </is>
      </c>
      <c r="I93" s="14" t="inlineStr">
        <is>
          <t>187.97</t>
        </is>
      </c>
      <c r="J93" s="15" t="inlineStr">
        <is>
          <t>0.07</t>
        </is>
      </c>
      <c r="K93" s="14" t="inlineStr">
        <is>
          <t>93.98</t>
        </is>
      </c>
      <c r="L93" s="13" t="inlineStr">
        <is>
          <t>7</t>
        </is>
      </c>
      <c r="M93" s="13" t="inlineStr">
        <is>
          <t>Completed</t>
        </is>
      </c>
      <c r="N93" s="13" t="inlineStr">
        <is>
          <t>P. Rossi</t>
        </is>
      </c>
    </row>
    <row r="94">
      <c r="A94" s="13" t="inlineStr">
        <is>
          <t>HC-100092</t>
        </is>
      </c>
      <c r="B94" s="13" t="inlineStr">
        <is>
          <t>06/19/2024</t>
        </is>
      </c>
      <c r="C94" s="13" t="inlineStr">
        <is>
          <t>North</t>
        </is>
      </c>
      <c r="D94" s="13" t="inlineStr">
        <is>
          <t>Wholesale</t>
        </is>
      </c>
      <c r="E94" s="13" t="inlineStr">
        <is>
          <t>Kitchen</t>
        </is>
      </c>
      <c r="F94" s="13" t="inlineStr">
        <is>
          <t>Cast Skillet</t>
        </is>
      </c>
      <c r="G94" s="13" t="inlineStr">
        <is>
          <t>Consumer</t>
        </is>
      </c>
      <c r="H94" s="13" t="inlineStr">
        <is>
          <t>22</t>
        </is>
      </c>
      <c r="I94" s="14" t="inlineStr">
        <is>
          <t>58.06</t>
        </is>
      </c>
      <c r="J94" s="15" t="inlineStr">
        <is>
          <t>0.27</t>
        </is>
      </c>
      <c r="K94" s="14" t="inlineStr">
        <is>
          <t>23.23</t>
        </is>
      </c>
      <c r="L94" s="13" t="inlineStr">
        <is>
          <t>4</t>
        </is>
      </c>
      <c r="M94" s="13" t="inlineStr">
        <is>
          <t>Completed</t>
        </is>
      </c>
      <c r="N94" s="13" t="inlineStr">
        <is>
          <t>A. Shah</t>
        </is>
      </c>
    </row>
    <row r="95">
      <c r="A95" s="13" t="inlineStr">
        <is>
          <t>HC-100093</t>
        </is>
      </c>
      <c r="B95" s="13" t="inlineStr">
        <is>
          <t>26-Jun-25</t>
        </is>
      </c>
      <c r="C95" s="13" t="inlineStr">
        <is>
          <t>South</t>
        </is>
      </c>
      <c r="D95" s="13" t="inlineStr">
        <is>
          <t>e-commerce</t>
        </is>
      </c>
      <c r="E95" s="13" t="inlineStr">
        <is>
          <t>Furniture</t>
        </is>
      </c>
      <c r="F95" s="13" t="inlineStr">
        <is>
          <t>Lounge Chair</t>
        </is>
      </c>
      <c r="G95" s="13" t="inlineStr">
        <is>
          <t>Consumer</t>
        </is>
      </c>
      <c r="H95" s="13" t="inlineStr">
        <is>
          <t>3</t>
        </is>
      </c>
      <c r="I95" s="14" t="inlineStr">
        <is>
          <t>469.94</t>
        </is>
      </c>
      <c r="J95" s="15" t="inlineStr">
        <is>
          <t>0.14</t>
        </is>
      </c>
      <c r="K95" s="14" t="inlineStr">
        <is>
          <t>281.96</t>
        </is>
      </c>
      <c r="L95" s="13" t="inlineStr">
        <is>
          <t>2</t>
        </is>
      </c>
      <c r="M95" s="13" t="inlineStr">
        <is>
          <t>Completed</t>
        </is>
      </c>
      <c r="N95" s="13" t="inlineStr">
        <is>
          <t>S. Nguyen</t>
        </is>
      </c>
    </row>
    <row r="96">
      <c r="A96" s="13" t="inlineStr">
        <is>
          <t>HC-100094</t>
        </is>
      </c>
      <c r="B96" s="13" t="inlineStr">
        <is>
          <t>2025/09/17</t>
        </is>
      </c>
      <c r="C96" s="13" t="inlineStr">
        <is>
          <t>North</t>
        </is>
      </c>
      <c r="D96" s="13" t="inlineStr">
        <is>
          <t>Online</t>
        </is>
      </c>
      <c r="E96" s="13" t="inlineStr">
        <is>
          <t>Furniture</t>
        </is>
      </c>
      <c r="F96" s="13" t="inlineStr">
        <is>
          <t>Oak Desk</t>
        </is>
      </c>
      <c r="G96" s="13" t="inlineStr">
        <is>
          <t>Corporate</t>
        </is>
      </c>
      <c r="H96" s="13" t="inlineStr">
        <is>
          <t>1</t>
        </is>
      </c>
      <c r="I96" s="14" t="inlineStr">
        <is>
          <t>874.11</t>
        </is>
      </c>
      <c r="J96" s="15" t="inlineStr">
        <is>
          <t>0.10</t>
        </is>
      </c>
      <c r="K96" s="14" t="inlineStr">
        <is>
          <t>541.95</t>
        </is>
      </c>
      <c r="L96" s="13" t="inlineStr">
        <is>
          <t>2</t>
        </is>
      </c>
      <c r="M96" s="13" t="inlineStr">
        <is>
          <t>Completed</t>
        </is>
      </c>
      <c r="N96" s="13" t="inlineStr">
        <is>
          <t>A. Shah</t>
        </is>
      </c>
    </row>
    <row r="97">
      <c r="A97" s="13" t="inlineStr">
        <is>
          <t>HC-100095</t>
        </is>
      </c>
      <c r="B97" s="13" t="inlineStr">
        <is>
          <t>05.03.2025</t>
        </is>
      </c>
      <c r="C97" s="13" t="inlineStr">
        <is>
          <t>South</t>
        </is>
      </c>
      <c r="D97" s="13" t="inlineStr">
        <is>
          <t>retail</t>
        </is>
      </c>
      <c r="E97" s="13" t="inlineStr">
        <is>
          <t>LIGHTING</t>
        </is>
      </c>
      <c r="F97" s="13" t="inlineStr">
        <is>
          <t>Arc Lamp</t>
        </is>
      </c>
      <c r="G97" s="13" t="inlineStr">
        <is>
          <t>Consumer</t>
        </is>
      </c>
      <c r="H97" s="13" t="inlineStr">
        <is>
          <t>3</t>
        </is>
      </c>
      <c r="I97" s="14" t="inlineStr">
        <is>
          <t>299.07</t>
        </is>
      </c>
      <c r="J97" s="15" t="inlineStr">
        <is>
          <t>0.06</t>
        </is>
      </c>
      <c r="K97" s="14" t="inlineStr">
        <is>
          <t>143.55</t>
        </is>
      </c>
      <c r="L97" s="13" t="inlineStr">
        <is>
          <t>9</t>
        </is>
      </c>
      <c r="M97" s="13" t="inlineStr">
        <is>
          <t>Completed</t>
        </is>
      </c>
      <c r="N97" s="13" t="inlineStr">
        <is>
          <t>R. Ibarra</t>
        </is>
      </c>
    </row>
    <row r="98">
      <c r="A98" s="13" t="inlineStr">
        <is>
          <t>HC-100096</t>
        </is>
      </c>
      <c r="B98" s="13" t="inlineStr">
        <is>
          <t>11/01/2024</t>
        </is>
      </c>
      <c r="C98" s="13" t="inlineStr">
        <is>
          <t>South</t>
        </is>
      </c>
      <c r="D98" s="13" t="inlineStr">
        <is>
          <t>Store</t>
        </is>
      </c>
      <c r="E98" s="13" t="inlineStr">
        <is>
          <t>FURNITURE</t>
        </is>
      </c>
      <c r="F98" s="13" t="inlineStr">
        <is>
          <t>Oak Desk</t>
        </is>
      </c>
      <c r="G98" s="13" t="inlineStr">
        <is>
          <t>Consumer</t>
        </is>
      </c>
      <c r="H98" s="13" t="inlineStr">
        <is>
          <t>5</t>
        </is>
      </c>
      <c r="I98" s="14" t="inlineStr">
        <is>
          <t>775.79</t>
        </is>
      </c>
      <c r="J98" s="15" t="inlineStr">
        <is>
          <t>0.11</t>
        </is>
      </c>
      <c r="K98" s="14" t="inlineStr">
        <is>
          <t>480.99</t>
        </is>
      </c>
      <c r="L98" s="13" t="inlineStr">
        <is>
          <t>6</t>
        </is>
      </c>
      <c r="M98" s="13" t="inlineStr">
        <is>
          <t>Completed</t>
        </is>
      </c>
      <c r="N98" s="13" t="inlineStr">
        <is>
          <t>K. Mensah</t>
        </is>
      </c>
    </row>
    <row r="99">
      <c r="A99" s="13" t="inlineStr">
        <is>
          <t>HC-100097</t>
        </is>
      </c>
      <c r="B99" s="13" t="inlineStr">
        <is>
          <t>24-Nov-24</t>
        </is>
      </c>
      <c r="C99" s="13" t="inlineStr">
        <is>
          <t>WEST</t>
        </is>
      </c>
      <c r="D99" s="13" t="inlineStr">
        <is>
          <t>Store</t>
        </is>
      </c>
      <c r="E99" s="13" t="inlineStr">
        <is>
          <t>Lighting</t>
        </is>
      </c>
      <c r="F99" s="13" t="inlineStr">
        <is>
          <t>Arc Lamp</t>
        </is>
      </c>
      <c r="G99" s="13" t="inlineStr">
        <is>
          <t>Consumer</t>
        </is>
      </c>
      <c r="H99" s="13" t="inlineStr">
        <is>
          <t>5</t>
        </is>
      </c>
      <c r="I99" s="14" t="inlineStr">
        <is>
          <t>291.69</t>
        </is>
      </c>
      <c r="J99" s="15" t="inlineStr">
        <is>
          <t>0.06</t>
        </is>
      </c>
      <c r="K99" s="14" t="inlineStr">
        <is>
          <t>140.01</t>
        </is>
      </c>
      <c r="L99" s="13" t="inlineStr">
        <is>
          <t>9</t>
        </is>
      </c>
      <c r="M99" s="13" t="inlineStr">
        <is>
          <t>Completed</t>
        </is>
      </c>
      <c r="N99" s="13" t="inlineStr">
        <is>
          <t>K. Mensah</t>
        </is>
      </c>
    </row>
    <row r="100">
      <c r="A100" s="13" t="inlineStr">
        <is>
          <t>HC-100098</t>
        </is>
      </c>
      <c r="B100" s="13" t="inlineStr">
        <is>
          <t>2025/06/26</t>
        </is>
      </c>
      <c r="C100" s="13" t="inlineStr">
        <is>
          <t>South</t>
        </is>
      </c>
      <c r="D100" s="13" t="inlineStr">
        <is>
          <t>Wholesale</t>
        </is>
      </c>
      <c r="E100" s="13" t="inlineStr">
        <is>
          <t>Furniture</t>
        </is>
      </c>
      <c r="F100" s="13" t="inlineStr">
        <is>
          <t>Linen Sofa</t>
        </is>
      </c>
      <c r="G100" s="13" t="inlineStr">
        <is>
          <t>Consumer</t>
        </is>
      </c>
      <c r="H100" s="13" t="inlineStr">
        <is>
          <t>27</t>
        </is>
      </c>
      <c r="I100" s="14" t="inlineStr">
        <is>
          <t>1228.37</t>
        </is>
      </c>
      <c r="J100" s="15" t="inlineStr">
        <is>
          <t>0.13</t>
        </is>
      </c>
      <c r="K100" s="14" t="inlineStr">
        <is>
          <t>810.72</t>
        </is>
      </c>
      <c r="L100" s="13" t="inlineStr">
        <is>
          <t>5</t>
        </is>
      </c>
      <c r="M100" s="13" t="inlineStr">
        <is>
          <t>Completed</t>
        </is>
      </c>
      <c r="N100" s="13" t="inlineStr">
        <is>
          <t>L. Berger</t>
        </is>
      </c>
    </row>
    <row r="101">
      <c r="A101" s="13" t="inlineStr">
        <is>
          <t>HC-100099</t>
        </is>
      </c>
      <c r="B101" s="13" t="inlineStr">
        <is>
          <t>02.06.2024</t>
        </is>
      </c>
      <c r="C101" s="13" t="inlineStr">
        <is>
          <t>South</t>
        </is>
      </c>
      <c r="D101" s="13" t="inlineStr">
        <is>
          <t>Store</t>
        </is>
      </c>
      <c r="E101" s="13" t="inlineStr">
        <is>
          <t>Lighting</t>
        </is>
      </c>
      <c r="F101" s="13" t="inlineStr">
        <is>
          <t>Brass Sconce</t>
        </is>
      </c>
      <c r="G101" s="13" t="inlineStr">
        <is>
          <t>Home Office</t>
        </is>
      </c>
      <c r="H101" s="13" t="inlineStr">
        <is>
          <t>3</t>
        </is>
      </c>
      <c r="I101" s="14" t="inlineStr">
        <is>
          <t>145.54</t>
        </is>
      </c>
      <c r="J101" s="15" t="inlineStr">
        <is>
          <t>0.03</t>
        </is>
      </c>
      <c r="K101" s="14" t="inlineStr">
        <is>
          <t>66.95</t>
        </is>
      </c>
      <c r="L101" s="13" t="inlineStr">
        <is>
          <t>7</t>
        </is>
      </c>
      <c r="M101" s="13" t="inlineStr">
        <is>
          <t>Completed</t>
        </is>
      </c>
      <c r="N101" s="13" t="inlineStr">
        <is>
          <t>A. Shah</t>
        </is>
      </c>
    </row>
    <row r="102">
      <c r="A102" s="13" t="inlineStr">
        <is>
          <t>HC-100100</t>
        </is>
      </c>
      <c r="B102" s="13" t="inlineStr">
        <is>
          <t>01/03/2024</t>
        </is>
      </c>
      <c r="C102" s="13" t="inlineStr">
        <is>
          <t>North</t>
        </is>
      </c>
      <c r="D102" s="13" t="inlineStr">
        <is>
          <t>Store</t>
        </is>
      </c>
      <c r="E102" s="13" t="inlineStr">
        <is>
          <t>Furniture</t>
        </is>
      </c>
      <c r="F102" s="13" t="inlineStr">
        <is>
          <t>Lounge Chair</t>
        </is>
      </c>
      <c r="G102" s="13" t="inlineStr">
        <is>
          <t>consumer</t>
        </is>
      </c>
      <c r="H102" s="13" t="inlineStr">
        <is>
          <t>4</t>
        </is>
      </c>
      <c r="I102" s="14" t="inlineStr">
        <is>
          <t>444.12</t>
        </is>
      </c>
      <c r="J102" s="15" t="inlineStr">
        <is>
          <t>0.03</t>
        </is>
      </c>
      <c r="K102" s="14" t="inlineStr">
        <is>
          <t>266.47</t>
        </is>
      </c>
      <c r="L102" s="13" t="inlineStr">
        <is>
          <t>3</t>
        </is>
      </c>
      <c r="M102" s="13" t="inlineStr">
        <is>
          <t>Completed</t>
        </is>
      </c>
      <c r="N102" s="13" t="inlineStr">
        <is>
          <t>M. Okonkwo</t>
        </is>
      </c>
    </row>
    <row r="103">
      <c r="A103" s="13" t="inlineStr">
        <is>
          <t>HC-100101</t>
        </is>
      </c>
      <c r="B103" s="13" t="inlineStr">
        <is>
          <t>29-Dec-24</t>
        </is>
      </c>
      <c r="C103" s="13" t="inlineStr">
        <is>
          <t xml:space="preserve"> west </t>
        </is>
      </c>
      <c r="D103" s="13" t="inlineStr">
        <is>
          <t>Online</t>
        </is>
      </c>
      <c r="E103" s="13" t="inlineStr">
        <is>
          <t>KITCHEN</t>
        </is>
      </c>
      <c r="F103" s="13" t="inlineStr">
        <is>
          <t>Ceramic Set</t>
        </is>
      </c>
      <c r="G103" s="13" t="inlineStr">
        <is>
          <t>home office</t>
        </is>
      </c>
      <c r="H103" s="13" t="inlineStr">
        <is>
          <t>3</t>
        </is>
      </c>
      <c r="I103" s="14" t="inlineStr">
        <is>
          <t>89.67</t>
        </is>
      </c>
      <c r="J103" s="15" t="inlineStr">
        <is>
          <t>0.09</t>
        </is>
      </c>
      <c r="K103" s="14" t="inlineStr">
        <is>
          <t>34.08</t>
        </is>
      </c>
      <c r="L103" s="13" t="inlineStr">
        <is>
          <t>7</t>
        </is>
      </c>
      <c r="M103" s="13" t="inlineStr">
        <is>
          <t>COMPLETED</t>
        </is>
      </c>
      <c r="N103" s="13" t="inlineStr">
        <is>
          <t>J. Patel</t>
        </is>
      </c>
    </row>
    <row r="104">
      <c r="A104" s="13" t="inlineStr">
        <is>
          <t>HC-100102</t>
        </is>
      </c>
      <c r="B104" s="13" t="inlineStr">
        <is>
          <t>2024/07/31</t>
        </is>
      </c>
      <c r="C104" s="13" t="inlineStr">
        <is>
          <t>North</t>
        </is>
      </c>
      <c r="D104" s="13" t="inlineStr">
        <is>
          <t>Store</t>
        </is>
      </c>
      <c r="E104" s="13" t="inlineStr">
        <is>
          <t>Furniture</t>
        </is>
      </c>
      <c r="F104" s="13" t="inlineStr">
        <is>
          <t>Linen Sofa</t>
        </is>
      </c>
      <c r="G104" s="13" t="inlineStr">
        <is>
          <t>Consumer</t>
        </is>
      </c>
      <c r="H104" s="13" t="inlineStr">
        <is>
          <t>4</t>
        </is>
      </c>
      <c r="I104" s="14" t="inlineStr">
        <is>
          <t>1325.88</t>
        </is>
      </c>
      <c r="J104" s="15" t="inlineStr">
        <is>
          <t>0.05</t>
        </is>
      </c>
      <c r="K104" s="14" t="inlineStr">
        <is>
          <t>875.08</t>
        </is>
      </c>
      <c r="L104" s="13" t="inlineStr">
        <is>
          <t>6</t>
        </is>
      </c>
      <c r="M104" s="13" t="inlineStr">
        <is>
          <t>Completed</t>
        </is>
      </c>
      <c r="N104" s="13" t="inlineStr">
        <is>
          <t>R. Ibarra</t>
        </is>
      </c>
    </row>
    <row r="105">
      <c r="A105" s="13" t="inlineStr">
        <is>
          <t>HC-100103</t>
        </is>
      </c>
      <c r="B105" s="13" t="inlineStr">
        <is>
          <t>21.07.2024</t>
        </is>
      </c>
      <c r="C105" s="13" t="inlineStr">
        <is>
          <t>West</t>
        </is>
      </c>
      <c r="D105" s="13" t="inlineStr">
        <is>
          <t>Wholesale</t>
        </is>
      </c>
      <c r="E105" s="13" t="inlineStr">
        <is>
          <t>Kitchen</t>
        </is>
      </c>
      <c r="F105" s="13" t="inlineStr">
        <is>
          <t>Cast Skillet</t>
        </is>
      </c>
      <c r="G105" s="13" t="inlineStr">
        <is>
          <t>Consumer</t>
        </is>
      </c>
      <c r="H105" s="13" t="inlineStr">
        <is>
          <t>12</t>
        </is>
      </c>
      <c r="I105" s="14" t="inlineStr">
        <is>
          <t>$51.15</t>
        </is>
      </c>
      <c r="J105" s="15" t="inlineStr">
        <is>
          <t>0.23</t>
        </is>
      </c>
      <c r="K105" s="14" t="inlineStr">
        <is>
          <t>20.46</t>
        </is>
      </c>
      <c r="L105" s="13" t="inlineStr">
        <is>
          <t>8</t>
        </is>
      </c>
      <c r="M105" s="13" t="inlineStr">
        <is>
          <t>Completed</t>
        </is>
      </c>
      <c r="N105" s="13" t="inlineStr">
        <is>
          <t>M. Okonkwo</t>
        </is>
      </c>
    </row>
    <row r="106">
      <c r="A106" s="13" t="inlineStr">
        <is>
          <t>HC-100104</t>
        </is>
      </c>
      <c r="B106" s="13" t="inlineStr">
        <is>
          <t>04/17/2024</t>
        </is>
      </c>
      <c r="C106" s="13" t="inlineStr">
        <is>
          <t>West</t>
        </is>
      </c>
      <c r="D106" s="13" t="inlineStr">
        <is>
          <t>Wholesale</t>
        </is>
      </c>
      <c r="E106" s="13" t="inlineStr">
        <is>
          <t>Furniture</t>
        </is>
      </c>
      <c r="F106" s="13" t="inlineStr">
        <is>
          <t>Linen Sofa</t>
        </is>
      </c>
      <c r="G106" s="13" t="inlineStr">
        <is>
          <t>Consumer</t>
        </is>
      </c>
      <c r="H106" s="13" t="inlineStr">
        <is>
          <t>17</t>
        </is>
      </c>
      <c r="I106" s="14" t="inlineStr">
        <is>
          <t>1293.61</t>
        </is>
      </c>
      <c r="J106" s="15" t="inlineStr">
        <is>
          <t>0.24</t>
        </is>
      </c>
      <c r="K106" s="14" t="inlineStr">
        <is>
          <t>853.78</t>
        </is>
      </c>
      <c r="L106" s="13" t="inlineStr">
        <is>
          <t>4</t>
        </is>
      </c>
      <c r="M106" s="13" t="inlineStr">
        <is>
          <t>Completed</t>
        </is>
      </c>
      <c r="N106" s="13" t="inlineStr">
        <is>
          <t>P. Rossi</t>
        </is>
      </c>
    </row>
    <row r="107">
      <c r="A107" s="13" t="inlineStr">
        <is>
          <t>HC-100105</t>
        </is>
      </c>
      <c r="B107" s="13" t="inlineStr">
        <is>
          <t>30-Sep-24</t>
        </is>
      </c>
      <c r="C107" s="13" t="inlineStr">
        <is>
          <t>South</t>
        </is>
      </c>
      <c r="D107" s="13" t="inlineStr">
        <is>
          <t>retail</t>
        </is>
      </c>
      <c r="E107" s="13" t="inlineStr">
        <is>
          <t>Furniture</t>
        </is>
      </c>
      <c r="F107" s="13" t="inlineStr">
        <is>
          <t>Walnut Shelf</t>
        </is>
      </c>
      <c r="G107" s="13" t="inlineStr">
        <is>
          <t>Corporate</t>
        </is>
      </c>
      <c r="H107" s="13" t="inlineStr">
        <is>
          <t>4</t>
        </is>
      </c>
      <c r="I107" s="14" t="inlineStr">
        <is>
          <t>227.23</t>
        </is>
      </c>
      <c r="J107" s="15" t="inlineStr">
        <is>
          <t>0.03</t>
        </is>
      </c>
      <c r="K107" s="14" t="inlineStr">
        <is>
          <t>124.97</t>
        </is>
      </c>
      <c r="L107" s="13" t="inlineStr">
        <is>
          <t>7</t>
        </is>
      </c>
      <c r="M107" s="13" t="inlineStr">
        <is>
          <t>Completed</t>
        </is>
      </c>
      <c r="N107" s="13" t="inlineStr">
        <is>
          <t>A. Shah</t>
        </is>
      </c>
    </row>
    <row r="108">
      <c r="A108" s="13" t="inlineStr">
        <is>
          <t>HC-100106</t>
        </is>
      </c>
      <c r="B108" s="13" t="inlineStr">
        <is>
          <t>2024/02/14</t>
        </is>
      </c>
      <c r="C108" s="13" t="inlineStr">
        <is>
          <t>North</t>
        </is>
      </c>
      <c r="D108" s="13" t="inlineStr">
        <is>
          <t>Store</t>
        </is>
      </c>
      <c r="E108" s="13" t="inlineStr">
        <is>
          <t>Furniture</t>
        </is>
      </c>
      <c r="F108" s="13" t="inlineStr">
        <is>
          <t>Linen Sofa</t>
        </is>
      </c>
      <c r="G108" s="13" t="inlineStr">
        <is>
          <t>Corporate</t>
        </is>
      </c>
      <c r="H108" s="13" t="inlineStr">
        <is>
          <t>3</t>
        </is>
      </c>
      <c r="I108" s="14" t="inlineStr">
        <is>
          <t>$1,227.63</t>
        </is>
      </c>
      <c r="J108" s="15" t="inlineStr">
        <is>
          <t>0.08</t>
        </is>
      </c>
      <c r="K108" s="14" t="inlineStr">
        <is>
          <t>810.24</t>
        </is>
      </c>
      <c r="L108" s="13" t="inlineStr">
        <is>
          <t>4</t>
        </is>
      </c>
      <c r="M108" s="13" t="inlineStr">
        <is>
          <t>Completed</t>
        </is>
      </c>
      <c r="N108" s="13" t="inlineStr">
        <is>
          <t>L. Berger</t>
        </is>
      </c>
    </row>
    <row r="109">
      <c r="A109" s="13" t="inlineStr">
        <is>
          <t>HC-100107</t>
        </is>
      </c>
      <c r="B109" s="13" t="inlineStr">
        <is>
          <t>01.11.2024</t>
        </is>
      </c>
      <c r="C109" s="13" t="inlineStr">
        <is>
          <t>East</t>
        </is>
      </c>
      <c r="D109" s="13" t="inlineStr">
        <is>
          <t>Store</t>
        </is>
      </c>
      <c r="E109" s="13" t="inlineStr">
        <is>
          <t>Textiles</t>
        </is>
      </c>
      <c r="F109" s="13" t="inlineStr">
        <is>
          <t>Wool Throw</t>
        </is>
      </c>
      <c r="G109" s="13" t="inlineStr">
        <is>
          <t>Corporate</t>
        </is>
      </c>
      <c r="H109" s="13" t="inlineStr">
        <is>
          <t>2</t>
        </is>
      </c>
      <c r="I109" s="14" t="inlineStr">
        <is>
          <t>71.49</t>
        </is>
      </c>
      <c r="J109" s="15" t="inlineStr">
        <is>
          <t>0.09</t>
        </is>
      </c>
      <c r="K109" s="14" t="inlineStr">
        <is>
          <t>30.03</t>
        </is>
      </c>
      <c r="L109" s="13" t="inlineStr">
        <is>
          <t>7</t>
        </is>
      </c>
      <c r="M109" s="13" t="inlineStr">
        <is>
          <t>Completed</t>
        </is>
      </c>
      <c r="N109" s="13" t="inlineStr">
        <is>
          <t>S. Nguyen</t>
        </is>
      </c>
    </row>
    <row r="110">
      <c r="A110" s="13" t="inlineStr">
        <is>
          <t>HC-100108</t>
        </is>
      </c>
      <c r="B110" s="13" t="inlineStr">
        <is>
          <t>06/17/2024</t>
        </is>
      </c>
      <c r="C110" s="13" t="inlineStr">
        <is>
          <t>NORTH</t>
        </is>
      </c>
      <c r="D110" s="13" t="inlineStr">
        <is>
          <t>Wholesale</t>
        </is>
      </c>
      <c r="E110" s="13" t="inlineStr">
        <is>
          <t>Textiles</t>
        </is>
      </c>
      <c r="F110" s="13" t="inlineStr">
        <is>
          <t>Wool Throw</t>
        </is>
      </c>
      <c r="G110" s="13" t="inlineStr">
        <is>
          <t>Consumer</t>
        </is>
      </c>
      <c r="H110" s="13" t="inlineStr">
        <is>
          <t>13</t>
        </is>
      </c>
      <c r="I110" s="14" t="inlineStr">
        <is>
          <t>80.66</t>
        </is>
      </c>
      <c r="J110" s="15" t="inlineStr">
        <is>
          <t>0.18</t>
        </is>
      </c>
      <c r="K110" s="14" t="inlineStr">
        <is>
          <t>33.88</t>
        </is>
      </c>
      <c r="L110" s="13" t="inlineStr">
        <is>
          <t>3</t>
        </is>
      </c>
      <c r="M110" s="13" t="inlineStr">
        <is>
          <t>COMPLETED</t>
        </is>
      </c>
      <c r="N110" s="13" t="inlineStr">
        <is>
          <t>S. Nguyen</t>
        </is>
      </c>
    </row>
    <row r="111">
      <c r="A111" s="13" t="inlineStr">
        <is>
          <t>HC-100109</t>
        </is>
      </c>
      <c r="B111" s="13" t="inlineStr">
        <is>
          <t>01-Aug-24</t>
        </is>
      </c>
      <c r="C111" s="13" t="inlineStr">
        <is>
          <t>SOUTH</t>
        </is>
      </c>
      <c r="D111" s="13" t="inlineStr">
        <is>
          <t>Store</t>
        </is>
      </c>
      <c r="E111" s="13" t="inlineStr">
        <is>
          <t>Textiles</t>
        </is>
      </c>
      <c r="F111" s="13" t="inlineStr">
        <is>
          <t>Cotton Duvet</t>
        </is>
      </c>
      <c r="G111" s="13" t="inlineStr">
        <is>
          <t>consumer</t>
        </is>
      </c>
      <c r="H111" s="13" t="inlineStr">
        <is>
          <t>4</t>
        </is>
      </c>
      <c r="I111" s="14" t="inlineStr">
        <is>
          <t>111.91</t>
        </is>
      </c>
      <c r="J111" s="15" t="inlineStr">
        <is>
          <t>0.12</t>
        </is>
      </c>
      <c r="K111" s="14" t="inlineStr">
        <is>
          <t>49.24</t>
        </is>
      </c>
      <c r="L111" s="13" t="inlineStr">
        <is>
          <t>5</t>
        </is>
      </c>
      <c r="M111" s="13" t="inlineStr">
        <is>
          <t>Completed</t>
        </is>
      </c>
      <c r="N111" s="13" t="inlineStr">
        <is>
          <t>M. Okonkwo</t>
        </is>
      </c>
    </row>
    <row r="112">
      <c r="A112" s="13" t="inlineStr">
        <is>
          <t>HC-100110</t>
        </is>
      </c>
      <c r="B112" s="13" t="inlineStr">
        <is>
          <t>2024/06/04</t>
        </is>
      </c>
      <c r="C112" s="13" t="inlineStr">
        <is>
          <t>East</t>
        </is>
      </c>
      <c r="D112" s="13" t="inlineStr">
        <is>
          <t>Online</t>
        </is>
      </c>
      <c r="E112" s="13" t="inlineStr">
        <is>
          <t>Textiles</t>
        </is>
      </c>
      <c r="F112" s="13" t="inlineStr">
        <is>
          <t>Wool Throw</t>
        </is>
      </c>
      <c r="G112" s="13" t="inlineStr">
        <is>
          <t>Home Office</t>
        </is>
      </c>
      <c r="H112" s="13" t="inlineStr">
        <is>
          <t>1</t>
        </is>
      </c>
      <c r="I112" s="14" t="inlineStr">
        <is>
          <t>63.60</t>
        </is>
      </c>
      <c r="J112" s="15" t="inlineStr">
        <is>
          <t>0.15</t>
        </is>
      </c>
      <c r="K112" s="14" t="inlineStr">
        <is>
          <t>26.71</t>
        </is>
      </c>
      <c r="L112" s="13" t="inlineStr">
        <is>
          <t>9</t>
        </is>
      </c>
      <c r="M112" s="13" t="inlineStr">
        <is>
          <t>complete</t>
        </is>
      </c>
      <c r="N112" s="13" t="inlineStr">
        <is>
          <t>R. Ibarra</t>
        </is>
      </c>
    </row>
    <row r="113">
      <c r="A113" s="13" t="inlineStr">
        <is>
          <t>HC-100111</t>
        </is>
      </c>
      <c r="B113" s="13" t="inlineStr">
        <is>
          <t>06.03.2024</t>
        </is>
      </c>
      <c r="C113" s="13" t="inlineStr">
        <is>
          <t xml:space="preserve"> North </t>
        </is>
      </c>
      <c r="D113" s="13" t="inlineStr">
        <is>
          <t>Store</t>
        </is>
      </c>
      <c r="E113" s="13" t="inlineStr">
        <is>
          <t>Kitchen</t>
        </is>
      </c>
      <c r="F113" s="13" t="inlineStr">
        <is>
          <t>Cast Skillet</t>
        </is>
      </c>
      <c r="G113" s="13" t="inlineStr">
        <is>
          <t>Consumer</t>
        </is>
      </c>
      <c r="H113" s="13" t="inlineStr">
        <is>
          <t>1</t>
        </is>
      </c>
      <c r="I113" s="14" t="inlineStr">
        <is>
          <t>53.36</t>
        </is>
      </c>
      <c r="J113" s="15" t="inlineStr">
        <is>
          <t>0.07</t>
        </is>
      </c>
      <c r="K113" s="14" t="inlineStr">
        <is>
          <t>21.35</t>
        </is>
      </c>
      <c r="L113" s="13" t="inlineStr">
        <is>
          <t>9</t>
        </is>
      </c>
      <c r="M113" s="13" t="inlineStr">
        <is>
          <t>complete</t>
        </is>
      </c>
      <c r="N113" s="13" t="inlineStr">
        <is>
          <t>J. Patel</t>
        </is>
      </c>
    </row>
    <row r="114">
      <c r="A114" s="13" t="inlineStr">
        <is>
          <t>HC-100112</t>
        </is>
      </c>
      <c r="B114" s="13" t="inlineStr">
        <is>
          <t>11/15/2024</t>
        </is>
      </c>
      <c r="C114" s="13" t="inlineStr">
        <is>
          <t>Sout</t>
        </is>
      </c>
      <c r="D114" s="13" t="inlineStr">
        <is>
          <t>retail</t>
        </is>
      </c>
      <c r="E114" s="13" t="inlineStr">
        <is>
          <t>Furniture</t>
        </is>
      </c>
      <c r="F114" s="13" t="inlineStr">
        <is>
          <t>Lounge Chair</t>
        </is>
      </c>
      <c r="G114" s="13" t="inlineStr">
        <is>
          <t>Corporate</t>
        </is>
      </c>
      <c r="H114" s="13" t="inlineStr">
        <is>
          <t>3</t>
        </is>
      </c>
      <c r="I114" s="14" t="inlineStr">
        <is>
          <t>508.58</t>
        </is>
      </c>
      <c r="J114" s="15" t="inlineStr">
        <is>
          <t>0.02</t>
        </is>
      </c>
      <c r="K114" s="14" t="inlineStr">
        <is>
          <t>305.15</t>
        </is>
      </c>
      <c r="L114" s="13" t="inlineStr">
        <is>
          <t>6</t>
        </is>
      </c>
      <c r="M114" s="13" t="inlineStr">
        <is>
          <t>Completed</t>
        </is>
      </c>
      <c r="N114" s="13" t="inlineStr">
        <is>
          <t>J. Patel</t>
        </is>
      </c>
    </row>
    <row r="115">
      <c r="A115" s="13" t="inlineStr">
        <is>
          <t>HC-100113</t>
        </is>
      </c>
      <c r="B115" s="13" t="inlineStr">
        <is>
          <t>17-Sep-24</t>
        </is>
      </c>
      <c r="C115" s="13" t="inlineStr">
        <is>
          <t>East</t>
        </is>
      </c>
      <c r="D115" s="13" t="inlineStr">
        <is>
          <t>Wholesale</t>
        </is>
      </c>
      <c r="E115" s="13" t="inlineStr">
        <is>
          <t>Furniture</t>
        </is>
      </c>
      <c r="F115" s="13" t="inlineStr">
        <is>
          <t>Oak Desk</t>
        </is>
      </c>
      <c r="G115" s="13" t="inlineStr">
        <is>
          <t>Corporate</t>
        </is>
      </c>
      <c r="H115" s="13" t="inlineStr">
        <is>
          <t>19</t>
        </is>
      </c>
      <c r="I115" s="14" t="inlineStr">
        <is>
          <t>762.68</t>
        </is>
      </c>
      <c r="J115" s="15" t="inlineStr">
        <is>
          <t>0.14</t>
        </is>
      </c>
      <c r="K115" s="14" t="inlineStr">
        <is>
          <t>472.86</t>
        </is>
      </c>
      <c r="L115" s="13" t="inlineStr">
        <is>
          <t>10</t>
        </is>
      </c>
      <c r="M115" s="13" t="inlineStr">
        <is>
          <t>Completed</t>
        </is>
      </c>
      <c r="N115" s="13" t="inlineStr">
        <is>
          <t>M. Okonkwo</t>
        </is>
      </c>
    </row>
    <row r="116">
      <c r="A116" s="13" t="inlineStr">
        <is>
          <t>HC-100114</t>
        </is>
      </c>
      <c r="B116" s="13" t="inlineStr">
        <is>
          <t>2024/10/07</t>
        </is>
      </c>
      <c r="C116" s="13" t="inlineStr">
        <is>
          <t>South</t>
        </is>
      </c>
      <c r="D116" s="13" t="inlineStr">
        <is>
          <t>Store</t>
        </is>
      </c>
      <c r="E116" s="13" t="inlineStr">
        <is>
          <t>Furniture</t>
        </is>
      </c>
      <c r="F116" s="13" t="inlineStr">
        <is>
          <t>Walnut Shelf</t>
        </is>
      </c>
      <c r="G116" s="13" t="inlineStr">
        <is>
          <t>Corporate</t>
        </is>
      </c>
      <c r="H116" s="13" t="inlineStr">
        <is>
          <t>4</t>
        </is>
      </c>
      <c r="I116" s="14" t="inlineStr">
        <is>
          <t>235.19</t>
        </is>
      </c>
      <c r="J116" s="15" t="inlineStr">
        <is>
          <t>0.01</t>
        </is>
      </c>
      <c r="K116" s="14" t="inlineStr">
        <is>
          <t>129.35</t>
        </is>
      </c>
      <c r="L116" s="13" t="inlineStr">
        <is>
          <t>5</t>
        </is>
      </c>
      <c r="M116" s="13" t="inlineStr">
        <is>
          <t>COMPLETED</t>
        </is>
      </c>
      <c r="N116" s="13" t="inlineStr">
        <is>
          <t>S. Nguyen</t>
        </is>
      </c>
    </row>
    <row r="117">
      <c r="A117" s="13" t="inlineStr">
        <is>
          <t>HC-100115</t>
        </is>
      </c>
      <c r="B117" s="13" t="inlineStr">
        <is>
          <t>06.03.2025</t>
        </is>
      </c>
      <c r="C117" s="13" t="inlineStr">
        <is>
          <t>East</t>
        </is>
      </c>
      <c r="D117" s="13" t="inlineStr">
        <is>
          <t>web</t>
        </is>
      </c>
      <c r="E117" s="13" t="inlineStr">
        <is>
          <t>Lighting</t>
        </is>
      </c>
      <c r="F117" s="13" t="inlineStr">
        <is>
          <t>Brass Sconce</t>
        </is>
      </c>
      <c r="G117" s="13" t="inlineStr">
        <is>
          <t>Consumer</t>
        </is>
      </c>
      <c r="H117" s="13" t="inlineStr">
        <is>
          <t>3</t>
        </is>
      </c>
      <c r="I117" s="14" t="inlineStr">
        <is>
          <t>119.15</t>
        </is>
      </c>
      <c r="J117" s="15" t="inlineStr">
        <is>
          <t>0.18</t>
        </is>
      </c>
      <c r="K117" s="14" t="inlineStr">
        <is>
          <t>54.81</t>
        </is>
      </c>
      <c r="L117" s="13" t="inlineStr">
        <is>
          <t>9</t>
        </is>
      </c>
      <c r="M117" s="13" t="inlineStr">
        <is>
          <t>Completed</t>
        </is>
      </c>
      <c r="N117" s="13" t="inlineStr">
        <is>
          <t>K. Mensah</t>
        </is>
      </c>
    </row>
    <row r="118">
      <c r="A118" s="13" t="inlineStr">
        <is>
          <t>HC-100116</t>
        </is>
      </c>
      <c r="B118" s="13" t="inlineStr">
        <is>
          <t>01/13/2025</t>
        </is>
      </c>
      <c r="C118" s="13" t="inlineStr">
        <is>
          <t>North</t>
        </is>
      </c>
      <c r="D118" s="13" t="inlineStr">
        <is>
          <t>Store</t>
        </is>
      </c>
      <c r="E118" s="13" t="inlineStr">
        <is>
          <t>Textiles</t>
        </is>
      </c>
      <c r="F118" s="13" t="inlineStr">
        <is>
          <t>Linen Curtain</t>
        </is>
      </c>
      <c r="G118" s="13" t="inlineStr">
        <is>
          <t>Corporate</t>
        </is>
      </c>
      <c r="H118" s="13" t="inlineStr">
        <is>
          <t>4</t>
        </is>
      </c>
      <c r="I118" s="14" t="inlineStr">
        <is>
          <t>88.77</t>
        </is>
      </c>
      <c r="J118" s="15" t="inlineStr">
        <is>
          <t>0.08</t>
        </is>
      </c>
      <c r="K118" s="14" t="inlineStr">
        <is>
          <t>39.95</t>
        </is>
      </c>
      <c r="L118" s="13" t="inlineStr">
        <is>
          <t>2</t>
        </is>
      </c>
      <c r="M118" s="13" t="inlineStr">
        <is>
          <t>Completed</t>
        </is>
      </c>
      <c r="N118" s="13" t="inlineStr">
        <is>
          <t>J. Patel</t>
        </is>
      </c>
    </row>
    <row r="119">
      <c r="A119" s="13" t="inlineStr">
        <is>
          <t>HC-100117</t>
        </is>
      </c>
      <c r="B119" s="13" t="inlineStr">
        <is>
          <t>26-May-24</t>
        </is>
      </c>
      <c r="C119" s="13" t="inlineStr">
        <is>
          <t>Sout</t>
        </is>
      </c>
      <c r="D119" s="13" t="inlineStr">
        <is>
          <t>Wholesale</t>
        </is>
      </c>
      <c r="E119" s="13" t="inlineStr">
        <is>
          <t>Lighting</t>
        </is>
      </c>
      <c r="F119" s="13" t="inlineStr">
        <is>
          <t>Brass Sconce</t>
        </is>
      </c>
      <c r="G119" s="13" t="inlineStr">
        <is>
          <t>corporate</t>
        </is>
      </c>
      <c r="H119" s="13" t="inlineStr">
        <is>
          <t>14</t>
        </is>
      </c>
      <c r="I119" s="14" t="inlineStr">
        <is>
          <t>136.38</t>
        </is>
      </c>
      <c r="J119" s="15" t="inlineStr">
        <is>
          <t>0.14</t>
        </is>
      </c>
      <c r="K119" s="14" t="inlineStr">
        <is>
          <t>62.73</t>
        </is>
      </c>
      <c r="L119" s="13" t="inlineStr">
        <is>
          <t>6</t>
        </is>
      </c>
      <c r="M119" s="13" t="inlineStr">
        <is>
          <t>Completed</t>
        </is>
      </c>
      <c r="N119" s="13" t="inlineStr">
        <is>
          <t>K. Mensah</t>
        </is>
      </c>
    </row>
    <row r="120">
      <c r="A120" s="13" t="inlineStr">
        <is>
          <t>HC-100118</t>
        </is>
      </c>
      <c r="B120" s="13" t="inlineStr">
        <is>
          <t>2024/06/23</t>
        </is>
      </c>
      <c r="C120" s="13" t="inlineStr">
        <is>
          <t>South</t>
        </is>
      </c>
      <c r="D120" s="13" t="inlineStr">
        <is>
          <t>Store</t>
        </is>
      </c>
      <c r="E120" s="13" t="inlineStr">
        <is>
          <t>Textiles</t>
        </is>
      </c>
      <c r="F120" s="13" t="inlineStr">
        <is>
          <t>Linen Curtain</t>
        </is>
      </c>
      <c r="G120" s="13" t="inlineStr">
        <is>
          <t>Home Office</t>
        </is>
      </c>
      <c r="H120" s="13" t="inlineStr">
        <is>
          <t>4</t>
        </is>
      </c>
      <c r="I120" s="14" t="inlineStr">
        <is>
          <t>91.61</t>
        </is>
      </c>
      <c r="J120" s="15" t="inlineStr">
        <is>
          <t>0.10</t>
        </is>
      </c>
      <c r="K120" s="14" t="inlineStr">
        <is>
          <t>41.23</t>
        </is>
      </c>
      <c r="L120" s="13" t="inlineStr">
        <is>
          <t>7</t>
        </is>
      </c>
      <c r="M120" s="13" t="inlineStr">
        <is>
          <t>Completed</t>
        </is>
      </c>
      <c r="N120" s="13" t="inlineStr">
        <is>
          <t>J. Patel</t>
        </is>
      </c>
    </row>
    <row r="121">
      <c r="A121" s="13" t="inlineStr">
        <is>
          <t>HC-100119</t>
        </is>
      </c>
      <c r="B121" s="13" t="inlineStr">
        <is>
          <t>31.12.2024</t>
        </is>
      </c>
      <c r="C121" s="13" t="inlineStr">
        <is>
          <t>North</t>
        </is>
      </c>
      <c r="D121" s="13" t="inlineStr">
        <is>
          <t>Online</t>
        </is>
      </c>
      <c r="E121" s="13" t="inlineStr">
        <is>
          <t>LIGHTING</t>
        </is>
      </c>
      <c r="F121" s="13" t="inlineStr">
        <is>
          <t>Arc Lamp</t>
        </is>
      </c>
      <c r="G121" s="13" t="inlineStr">
        <is>
          <t>corporate</t>
        </is>
      </c>
      <c r="H121" s="13" t="inlineStr">
        <is>
          <t>4</t>
        </is>
      </c>
      <c r="I121" s="14" t="inlineStr">
        <is>
          <t>292.69</t>
        </is>
      </c>
      <c r="J121" s="15" t="inlineStr">
        <is>
          <t>0.17</t>
        </is>
      </c>
      <c r="K121" s="14" t="inlineStr">
        <is>
          <t>140.49</t>
        </is>
      </c>
      <c r="L121" s="13" t="inlineStr">
        <is>
          <t>7</t>
        </is>
      </c>
      <c r="M121" s="13" t="inlineStr">
        <is>
          <t>Completed</t>
        </is>
      </c>
      <c r="N121" s="13" t="inlineStr">
        <is>
          <t>P. Rossi</t>
        </is>
      </c>
    </row>
    <row r="122">
      <c r="A122" s="13" t="inlineStr">
        <is>
          <t>HC-100120</t>
        </is>
      </c>
      <c r="B122" s="13" t="inlineStr">
        <is>
          <t>11/10/2024</t>
        </is>
      </c>
      <c r="C122" s="13" t="inlineStr">
        <is>
          <t>South</t>
        </is>
      </c>
      <c r="D122" s="13" t="inlineStr">
        <is>
          <t>Store</t>
        </is>
      </c>
      <c r="E122" s="13" t="inlineStr">
        <is>
          <t>FURNITURE</t>
        </is>
      </c>
      <c r="F122" s="13" t="inlineStr">
        <is>
          <t>Walnut Shelf</t>
        </is>
      </c>
      <c r="G122" s="13" t="inlineStr">
        <is>
          <t>Consumer</t>
        </is>
      </c>
      <c r="H122" s="13" t="inlineStr">
        <is>
          <t>2</t>
        </is>
      </c>
      <c r="I122" s="14" t="inlineStr">
        <is>
          <t>$236.54</t>
        </is>
      </c>
      <c r="J122" s="15" t="inlineStr">
        <is>
          <t>0.05</t>
        </is>
      </c>
      <c r="K122" s="14" t="inlineStr">
        <is>
          <t>130.10</t>
        </is>
      </c>
      <c r="L122" s="13" t="inlineStr">
        <is>
          <t>7</t>
        </is>
      </c>
      <c r="M122" s="13" t="inlineStr">
        <is>
          <t>Completed</t>
        </is>
      </c>
      <c r="N122" s="13" t="inlineStr">
        <is>
          <t>S. Nguyen</t>
        </is>
      </c>
    </row>
    <row r="123">
      <c r="A123" s="13" t="inlineStr">
        <is>
          <t>HC-100121</t>
        </is>
      </c>
      <c r="B123" s="13" t="inlineStr">
        <is>
          <t>20-Jan-25</t>
        </is>
      </c>
      <c r="C123" s="13" t="inlineStr">
        <is>
          <t>West</t>
        </is>
      </c>
      <c r="D123" s="13" t="inlineStr">
        <is>
          <t>Online</t>
        </is>
      </c>
      <c r="E123" s="13" t="inlineStr">
        <is>
          <t>TEXTILES</t>
        </is>
      </c>
      <c r="F123" s="13" t="inlineStr">
        <is>
          <t>Linen Curtain</t>
        </is>
      </c>
      <c r="G123" s="13" t="inlineStr">
        <is>
          <t>Consumer</t>
        </is>
      </c>
      <c r="H123" s="13" t="inlineStr">
        <is>
          <t>1</t>
        </is>
      </c>
      <c r="I123" s="14" t="inlineStr">
        <is>
          <t>88.92</t>
        </is>
      </c>
      <c r="J123" s="15" t="inlineStr">
        <is>
          <t>0.03</t>
        </is>
      </c>
      <c r="K123" s="14" t="inlineStr">
        <is>
          <t>40.01</t>
        </is>
      </c>
      <c r="L123" s="13" t="inlineStr">
        <is>
          <t>7</t>
        </is>
      </c>
      <c r="M123" s="13" t="inlineStr">
        <is>
          <t>Completed</t>
        </is>
      </c>
      <c r="N123" s="13" t="inlineStr">
        <is>
          <t>R. Ibarra</t>
        </is>
      </c>
    </row>
    <row r="124">
      <c r="A124" s="13" t="inlineStr">
        <is>
          <t>HC-100122</t>
        </is>
      </c>
      <c r="B124" s="13" t="inlineStr">
        <is>
          <t>2025/06/11</t>
        </is>
      </c>
      <c r="C124" s="13" t="inlineStr">
        <is>
          <t>North</t>
        </is>
      </c>
      <c r="D124" s="13" t="inlineStr">
        <is>
          <t>In-Store</t>
        </is>
      </c>
      <c r="E124" s="13" t="inlineStr">
        <is>
          <t>Lighting</t>
        </is>
      </c>
      <c r="F124" s="13" t="inlineStr">
        <is>
          <t>Arc Lamp</t>
        </is>
      </c>
      <c r="G124" s="13" t="inlineStr">
        <is>
          <t>Home Office</t>
        </is>
      </c>
      <c r="H124" s="13" t="inlineStr">
        <is>
          <t>4</t>
        </is>
      </c>
      <c r="I124" s="14" t="inlineStr">
        <is>
          <t>307.57</t>
        </is>
      </c>
      <c r="J124" s="15" t="inlineStr">
        <is>
          <t>0.02</t>
        </is>
      </c>
      <c r="K124" s="14" t="inlineStr">
        <is>
          <t>147.64</t>
        </is>
      </c>
      <c r="L124" s="13" t="inlineStr">
        <is>
          <t>6</t>
        </is>
      </c>
      <c r="M124" s="13" t="inlineStr">
        <is>
          <t>Completed</t>
        </is>
      </c>
      <c r="N124" s="13" t="inlineStr">
        <is>
          <t>L. Berger</t>
        </is>
      </c>
    </row>
    <row r="125">
      <c r="A125" s="13" t="inlineStr">
        <is>
          <t>HC-100123</t>
        </is>
      </c>
      <c r="B125" s="13" t="inlineStr">
        <is>
          <t>09.04.2025</t>
        </is>
      </c>
      <c r="C125" s="13" t="inlineStr">
        <is>
          <t>Nort</t>
        </is>
      </c>
      <c r="D125" s="13" t="inlineStr">
        <is>
          <t>Store</t>
        </is>
      </c>
      <c r="E125" s="13" t="inlineStr">
        <is>
          <t>Textiles</t>
        </is>
      </c>
      <c r="F125" s="13" t="inlineStr">
        <is>
          <t>Linen Curtain</t>
        </is>
      </c>
      <c r="G125" s="13" t="inlineStr">
        <is>
          <t>Consumer</t>
        </is>
      </c>
      <c r="H125" s="13" t="inlineStr">
        <is>
          <t>1</t>
        </is>
      </c>
      <c r="I125" s="14" t="inlineStr">
        <is>
          <t>92.74</t>
        </is>
      </c>
      <c r="J125" s="15" t="inlineStr">
        <is>
          <t>0.08</t>
        </is>
      </c>
      <c r="K125" s="14" t="inlineStr">
        <is>
          <t>41.73</t>
        </is>
      </c>
      <c r="L125" s="13" t="inlineStr">
        <is>
          <t>5</t>
        </is>
      </c>
      <c r="M125" s="13" t="inlineStr">
        <is>
          <t>RETURNED</t>
        </is>
      </c>
      <c r="N125" s="13" t="inlineStr">
        <is>
          <t>L. Berger</t>
        </is>
      </c>
    </row>
    <row r="126">
      <c r="A126" s="13" t="inlineStr">
        <is>
          <t>HC-100124</t>
        </is>
      </c>
      <c r="B126" s="13" t="inlineStr">
        <is>
          <t>10/27/2024</t>
        </is>
      </c>
      <c r="C126" s="13" t="inlineStr">
        <is>
          <t>East</t>
        </is>
      </c>
      <c r="D126" s="13" t="inlineStr">
        <is>
          <t>retail</t>
        </is>
      </c>
      <c r="E126" s="13" t="inlineStr">
        <is>
          <t>Furniture</t>
        </is>
      </c>
      <c r="F126" s="13" t="inlineStr">
        <is>
          <t>Walnut Shelf</t>
        </is>
      </c>
      <c r="G126" s="13" t="inlineStr">
        <is>
          <t>Consumer</t>
        </is>
      </c>
      <c r="H126" s="13" t="inlineStr">
        <is>
          <t>1</t>
        </is>
      </c>
      <c r="I126" s="14" t="inlineStr">
        <is>
          <t>197.89</t>
        </is>
      </c>
      <c r="J126" s="15" t="inlineStr">
        <is>
          <t>0.01</t>
        </is>
      </c>
      <c r="K126" s="14" t="inlineStr">
        <is>
          <t>108.84</t>
        </is>
      </c>
      <c r="L126" s="13" t="inlineStr">
        <is>
          <t>8</t>
        </is>
      </c>
      <c r="M126" s="13" t="inlineStr">
        <is>
          <t>Completed</t>
        </is>
      </c>
      <c r="N126" s="13" t="inlineStr">
        <is>
          <t>M. Okonkwo</t>
        </is>
      </c>
    </row>
    <row r="127">
      <c r="A127" s="13" t="inlineStr">
        <is>
          <t>HC-100125</t>
        </is>
      </c>
      <c r="B127" s="13" t="inlineStr">
        <is>
          <t>28-Apr-25</t>
        </is>
      </c>
      <c r="C127" s="13" t="inlineStr">
        <is>
          <t>East</t>
        </is>
      </c>
      <c r="D127" s="13" t="inlineStr">
        <is>
          <t>e-commerce</t>
        </is>
      </c>
      <c r="E127" s="13" t="inlineStr">
        <is>
          <t>KITCHEN</t>
        </is>
      </c>
      <c r="F127" s="13" t="inlineStr">
        <is>
          <t>Cast Skillet</t>
        </is>
      </c>
      <c r="G127" s="13" t="inlineStr">
        <is>
          <t>Consumer</t>
        </is>
      </c>
      <c r="H127" s="13" t="inlineStr">
        <is>
          <t>1</t>
        </is>
      </c>
      <c r="I127" s="14" t="inlineStr">
        <is>
          <t>50.50</t>
        </is>
      </c>
      <c r="J127" s="15" t="inlineStr">
        <is>
          <t>0.15</t>
        </is>
      </c>
      <c r="K127" s="14" t="inlineStr">
        <is>
          <t>20.20</t>
        </is>
      </c>
      <c r="L127" s="13" t="inlineStr">
        <is>
          <t>11</t>
        </is>
      </c>
      <c r="M127" s="13" t="inlineStr">
        <is>
          <t>Completed</t>
        </is>
      </c>
      <c r="N127" s="13" t="inlineStr">
        <is>
          <t>R. Ibarra</t>
        </is>
      </c>
    </row>
    <row r="128">
      <c r="A128" s="13" t="inlineStr">
        <is>
          <t>HC-100126</t>
        </is>
      </c>
      <c r="B128" s="13" t="inlineStr">
        <is>
          <t>2024/12/07</t>
        </is>
      </c>
      <c r="C128" s="13" t="inlineStr">
        <is>
          <t>South</t>
        </is>
      </c>
      <c r="D128" s="13" t="inlineStr">
        <is>
          <t>Online</t>
        </is>
      </c>
      <c r="E128" s="13" t="inlineStr">
        <is>
          <t>Lighting</t>
        </is>
      </c>
      <c r="F128" s="13" t="inlineStr">
        <is>
          <t>Arc Lamp</t>
        </is>
      </c>
      <c r="G128" s="13" t="inlineStr">
        <is>
          <t>Corporate</t>
        </is>
      </c>
      <c r="H128" s="13" t="inlineStr">
        <is>
          <t>3</t>
        </is>
      </c>
      <c r="I128" s="14" t="inlineStr">
        <is>
          <t>314.07</t>
        </is>
      </c>
      <c r="J128" s="15" t="inlineStr">
        <is>
          <t>0.10</t>
        </is>
      </c>
      <c r="K128" s="14" t="inlineStr">
        <is>
          <t>150.75</t>
        </is>
      </c>
      <c r="L128" s="13" t="inlineStr">
        <is>
          <t>7</t>
        </is>
      </c>
      <c r="M128" s="13" t="inlineStr">
        <is>
          <t>Completed</t>
        </is>
      </c>
      <c r="N128" s="13" t="inlineStr">
        <is>
          <t>P. Rossi</t>
        </is>
      </c>
    </row>
    <row r="129">
      <c r="A129" s="13" t="inlineStr">
        <is>
          <t>HC-100127</t>
        </is>
      </c>
      <c r="B129" s="13" t="inlineStr">
        <is>
          <t>23.11.2024</t>
        </is>
      </c>
      <c r="C129" s="13" t="inlineStr">
        <is>
          <t>West</t>
        </is>
      </c>
      <c r="D129" s="13" t="inlineStr">
        <is>
          <t>Store</t>
        </is>
      </c>
      <c r="E129" s="13" t="inlineStr">
        <is>
          <t>Kitchen</t>
        </is>
      </c>
      <c r="F129" s="13" t="inlineStr">
        <is>
          <t>Ceramic Set</t>
        </is>
      </c>
      <c r="G129" s="13" t="inlineStr">
        <is>
          <t>Consumer</t>
        </is>
      </c>
      <c r="H129" s="13" t="inlineStr">
        <is>
          <t>5</t>
        </is>
      </c>
      <c r="I129" s="14" t="inlineStr">
        <is>
          <t>81.40</t>
        </is>
      </c>
      <c r="J129" s="15" t="inlineStr">
        <is>
          <t>0.10</t>
        </is>
      </c>
      <c r="K129" s="14" t="inlineStr">
        <is>
          <t>30.93</t>
        </is>
      </c>
      <c r="L129" s="13" t="inlineStr">
        <is>
          <t>5</t>
        </is>
      </c>
      <c r="M129" s="13" t="inlineStr">
        <is>
          <t>Completed</t>
        </is>
      </c>
      <c r="N129" s="13" t="inlineStr">
        <is>
          <t>J. Patel</t>
        </is>
      </c>
    </row>
    <row r="130">
      <c r="A130" s="13" t="inlineStr">
        <is>
          <t>HC-100128</t>
        </is>
      </c>
      <c r="B130" s="13" t="inlineStr">
        <is>
          <t>09/27/2025</t>
        </is>
      </c>
      <c r="C130" s="13" t="inlineStr">
        <is>
          <t>North</t>
        </is>
      </c>
      <c r="D130" s="13" t="inlineStr">
        <is>
          <t>Store</t>
        </is>
      </c>
      <c r="E130" s="13" t="inlineStr">
        <is>
          <t>FURNITURE</t>
        </is>
      </c>
      <c r="F130" s="13" t="inlineStr">
        <is>
          <t>Oak Desk</t>
        </is>
      </c>
      <c r="G130" s="13" t="inlineStr">
        <is>
          <t>Consumer</t>
        </is>
      </c>
      <c r="H130" s="13" t="inlineStr">
        <is>
          <t>4</t>
        </is>
      </c>
      <c r="I130" s="14" t="inlineStr">
        <is>
          <t>840.43</t>
        </is>
      </c>
      <c r="J130" s="15" t="inlineStr">
        <is>
          <t>0.03</t>
        </is>
      </c>
      <c r="K130" s="14" t="inlineStr">
        <is>
          <t>521.06</t>
        </is>
      </c>
      <c r="L130" s="13" t="inlineStr">
        <is>
          <t>6</t>
        </is>
      </c>
      <c r="M130" s="13" t="inlineStr">
        <is>
          <t>Cancelled</t>
        </is>
      </c>
      <c r="N130" s="13" t="inlineStr">
        <is>
          <t>S. Nguyen</t>
        </is>
      </c>
    </row>
    <row r="131">
      <c r="A131" s="13" t="inlineStr">
        <is>
          <t>HC-100129</t>
        </is>
      </c>
      <c r="B131" s="13" t="inlineStr">
        <is>
          <t>16-Jul-24</t>
        </is>
      </c>
      <c r="C131" s="13" t="inlineStr">
        <is>
          <t>Eas</t>
        </is>
      </c>
      <c r="D131" s="13" t="inlineStr">
        <is>
          <t>Store</t>
        </is>
      </c>
      <c r="E131" s="13" t="inlineStr">
        <is>
          <t>Furniture</t>
        </is>
      </c>
      <c r="F131" s="13" t="inlineStr">
        <is>
          <t>Walnut Shelf</t>
        </is>
      </c>
      <c r="G131" s="13" t="inlineStr">
        <is>
          <t>Consumer</t>
        </is>
      </c>
      <c r="H131" s="13" t="inlineStr">
        <is>
          <t>2</t>
        </is>
      </c>
      <c r="I131" s="14" t="inlineStr">
        <is>
          <t>198.94</t>
        </is>
      </c>
      <c r="J131" s="15" t="inlineStr">
        <is>
          <t>2%</t>
        </is>
      </c>
      <c r="K131" s="14" t="inlineStr">
        <is>
          <t>109.42</t>
        </is>
      </c>
      <c r="L131" s="13" t="inlineStr">
        <is>
          <t>10</t>
        </is>
      </c>
      <c r="M131" s="13" t="inlineStr">
        <is>
          <t>Completed</t>
        </is>
      </c>
      <c r="N131" s="13" t="inlineStr">
        <is>
          <t>L. Berger</t>
        </is>
      </c>
    </row>
    <row r="132">
      <c r="A132" s="13" t="inlineStr">
        <is>
          <t>HC-100130</t>
        </is>
      </c>
      <c r="B132" s="13" t="inlineStr">
        <is>
          <t>2025/06/04</t>
        </is>
      </c>
      <c r="C132" s="13" t="inlineStr">
        <is>
          <t>West</t>
        </is>
      </c>
      <c r="D132" s="13" t="inlineStr">
        <is>
          <t>web</t>
        </is>
      </c>
      <c r="E132" s="13" t="inlineStr">
        <is>
          <t>KITCHEN</t>
        </is>
      </c>
      <c r="F132" s="13" t="inlineStr">
        <is>
          <t>Ceramic Set</t>
        </is>
      </c>
      <c r="G132" s="13" t="inlineStr">
        <is>
          <t>Consumer</t>
        </is>
      </c>
      <c r="H132" s="13" t="inlineStr">
        <is>
          <t>2</t>
        </is>
      </c>
      <c r="I132" s="14" t="inlineStr">
        <is>
          <t>86.35</t>
        </is>
      </c>
      <c r="J132" s="15" t="inlineStr">
        <is>
          <t>0.13</t>
        </is>
      </c>
      <c r="K132" s="14" t="inlineStr">
        <is>
          <t>32.81</t>
        </is>
      </c>
      <c r="L132" s="13" t="inlineStr">
        <is>
          <t>4</t>
        </is>
      </c>
      <c r="M132" s="13" t="inlineStr">
        <is>
          <t>Completed</t>
        </is>
      </c>
      <c r="N132" s="13" t="inlineStr">
        <is>
          <t>P. Rossi</t>
        </is>
      </c>
    </row>
    <row r="133">
      <c r="A133" s="13" t="inlineStr">
        <is>
          <t>HC-100131</t>
        </is>
      </c>
      <c r="B133" s="13" t="inlineStr">
        <is>
          <t>29.04.2025</t>
        </is>
      </c>
      <c r="C133" s="13" t="inlineStr">
        <is>
          <t>South</t>
        </is>
      </c>
      <c r="D133" s="13" t="inlineStr">
        <is>
          <t>Online</t>
        </is>
      </c>
      <c r="E133" s="13" t="inlineStr">
        <is>
          <t>Lighting</t>
        </is>
      </c>
      <c r="F133" s="13" t="inlineStr">
        <is>
          <t>Arc Lamp</t>
        </is>
      </c>
      <c r="G133" s="13" t="inlineStr">
        <is>
          <t>Consumer</t>
        </is>
      </c>
      <c r="H133" s="13" t="inlineStr">
        <is>
          <t>1</t>
        </is>
      </c>
      <c r="I133" s="14" t="inlineStr">
        <is>
          <t>$291.00</t>
        </is>
      </c>
      <c r="J133" s="15" t="inlineStr">
        <is>
          <t>0.04</t>
        </is>
      </c>
      <c r="K133" s="14" t="inlineStr">
        <is>
          <t>139.68</t>
        </is>
      </c>
      <c r="L133" s="13" t="inlineStr">
        <is>
          <t>6</t>
        </is>
      </c>
      <c r="M133" s="13" t="inlineStr">
        <is>
          <t>Completed</t>
        </is>
      </c>
      <c r="N133" s="13" t="inlineStr">
        <is>
          <t>L. Berger</t>
        </is>
      </c>
    </row>
    <row r="134">
      <c r="A134" s="13" t="inlineStr">
        <is>
          <t>HC-100132</t>
        </is>
      </c>
      <c r="B134" s="13" t="inlineStr">
        <is>
          <t>12/07/2024</t>
        </is>
      </c>
      <c r="C134" s="13" t="inlineStr">
        <is>
          <t>East</t>
        </is>
      </c>
      <c r="D134" s="13" t="inlineStr">
        <is>
          <t>Store</t>
        </is>
      </c>
      <c r="E134" s="13" t="inlineStr">
        <is>
          <t>Textiles</t>
        </is>
      </c>
      <c r="F134" s="13" t="inlineStr">
        <is>
          <t>Linen Curtain</t>
        </is>
      </c>
      <c r="G134" s="13" t="inlineStr">
        <is>
          <t>consumer</t>
        </is>
      </c>
      <c r="H134" s="13" t="inlineStr">
        <is>
          <t>5</t>
        </is>
      </c>
      <c r="I134" s="14" t="inlineStr">
        <is>
          <t>85.40</t>
        </is>
      </c>
      <c r="J134" s="15" t="inlineStr">
        <is>
          <t>12%</t>
        </is>
      </c>
      <c r="K134" s="14" t="inlineStr">
        <is>
          <t>38.43</t>
        </is>
      </c>
      <c r="L134" s="13" t="inlineStr">
        <is>
          <t>N/A</t>
        </is>
      </c>
      <c r="M134" s="13" t="inlineStr">
        <is>
          <t>Completed</t>
        </is>
      </c>
      <c r="N134" s="13" t="inlineStr">
        <is>
          <t>L. Berger</t>
        </is>
      </c>
    </row>
    <row r="135">
      <c r="A135" s="13" t="inlineStr">
        <is>
          <t>HC-100133</t>
        </is>
      </c>
      <c r="B135" s="13" t="inlineStr">
        <is>
          <t>24-Jul-24</t>
        </is>
      </c>
      <c r="C135" s="13" t="inlineStr">
        <is>
          <t>Sout</t>
        </is>
      </c>
      <c r="D135" s="13" t="inlineStr">
        <is>
          <t>Wholesale</t>
        </is>
      </c>
      <c r="E135" s="13" t="inlineStr">
        <is>
          <t>Furniture</t>
        </is>
      </c>
      <c r="F135" s="13" t="inlineStr">
        <is>
          <t>Walnut Shelf</t>
        </is>
      </c>
      <c r="G135" s="13" t="inlineStr">
        <is>
          <t>Consumer</t>
        </is>
      </c>
      <c r="H135" s="13" t="inlineStr">
        <is>
          <t>26</t>
        </is>
      </c>
      <c r="I135" s="14" t="inlineStr">
        <is>
          <t>236.05</t>
        </is>
      </c>
      <c r="J135" s="15" t="inlineStr">
        <is>
          <t>0.13</t>
        </is>
      </c>
      <c r="K135" s="14" t="inlineStr">
        <is>
          <t>129.83</t>
        </is>
      </c>
      <c r="L135" s="13" t="inlineStr">
        <is>
          <t>4</t>
        </is>
      </c>
      <c r="M135" s="13" t="inlineStr">
        <is>
          <t>Cancelled</t>
        </is>
      </c>
      <c r="N135" s="13" t="inlineStr">
        <is>
          <t>P. Rossi</t>
        </is>
      </c>
    </row>
    <row r="136">
      <c r="A136" s="13" t="inlineStr">
        <is>
          <t>HC-100134</t>
        </is>
      </c>
      <c r="B136" s="13" t="inlineStr">
        <is>
          <t>2024/07/26</t>
        </is>
      </c>
      <c r="C136" s="13" t="inlineStr">
        <is>
          <t>South</t>
        </is>
      </c>
      <c r="D136" s="13" t="inlineStr">
        <is>
          <t>Store</t>
        </is>
      </c>
      <c r="E136" s="13" t="inlineStr">
        <is>
          <t>Textiles</t>
        </is>
      </c>
      <c r="F136" s="13" t="inlineStr">
        <is>
          <t>Cotton Duvet</t>
        </is>
      </c>
      <c r="G136" s="13" t="inlineStr">
        <is>
          <t>Consumer</t>
        </is>
      </c>
      <c r="H136" s="13" t="inlineStr">
        <is>
          <t>2</t>
        </is>
      </c>
      <c r="I136" s="14" t="inlineStr">
        <is>
          <t>115.11</t>
        </is>
      </c>
      <c r="J136" s="15" t="inlineStr">
        <is>
          <t>0.05</t>
        </is>
      </c>
      <c r="K136" s="14" t="inlineStr">
        <is>
          <t>50.65</t>
        </is>
      </c>
      <c r="L136" s="13" t="inlineStr">
        <is>
          <t>7</t>
        </is>
      </c>
      <c r="M136" s="13" t="inlineStr">
        <is>
          <t>Completed</t>
        </is>
      </c>
      <c r="N136" s="13" t="inlineStr">
        <is>
          <t>S. Nguyen</t>
        </is>
      </c>
    </row>
    <row r="137">
      <c r="A137" s="13" t="inlineStr">
        <is>
          <t>HC-100135</t>
        </is>
      </c>
      <c r="B137" s="13" t="inlineStr">
        <is>
          <t>02.04.2025</t>
        </is>
      </c>
      <c r="C137" s="13" t="inlineStr">
        <is>
          <t>Sout</t>
        </is>
      </c>
      <c r="D137" s="13" t="inlineStr">
        <is>
          <t>Store</t>
        </is>
      </c>
      <c r="E137" s="13" t="inlineStr">
        <is>
          <t>Textiles</t>
        </is>
      </c>
      <c r="F137" s="13" t="inlineStr">
        <is>
          <t>Wool Throw</t>
        </is>
      </c>
      <c r="G137" s="13" t="inlineStr"/>
      <c r="H137" s="13" t="inlineStr">
        <is>
          <t>2</t>
        </is>
      </c>
      <c r="I137" s="14" t="inlineStr">
        <is>
          <t>73.98</t>
        </is>
      </c>
      <c r="J137" s="15" t="inlineStr">
        <is>
          <t>0.01</t>
        </is>
      </c>
      <c r="K137" s="14" t="inlineStr">
        <is>
          <t>31.07</t>
        </is>
      </c>
      <c r="L137" s="13" t="inlineStr">
        <is>
          <t>7</t>
        </is>
      </c>
      <c r="M137" s="13" t="inlineStr">
        <is>
          <t>Completed</t>
        </is>
      </c>
      <c r="N137" s="13" t="inlineStr">
        <is>
          <t>L. Berger</t>
        </is>
      </c>
    </row>
    <row r="138">
      <c r="A138" s="13" t="inlineStr">
        <is>
          <t>HC-100136</t>
        </is>
      </c>
      <c r="B138" s="13" t="inlineStr">
        <is>
          <t>12/17/2024</t>
        </is>
      </c>
      <c r="C138" s="13" t="inlineStr">
        <is>
          <t>North</t>
        </is>
      </c>
      <c r="D138" s="13" t="inlineStr">
        <is>
          <t>Store</t>
        </is>
      </c>
      <c r="E138" s="13" t="inlineStr">
        <is>
          <t>Textiles</t>
        </is>
      </c>
      <c r="F138" s="13" t="inlineStr">
        <is>
          <t>Wool Throw</t>
        </is>
      </c>
      <c r="G138" s="13" t="inlineStr">
        <is>
          <t>Consumer</t>
        </is>
      </c>
      <c r="H138" s="13" t="inlineStr">
        <is>
          <t>3</t>
        </is>
      </c>
      <c r="I138" s="14" t="inlineStr">
        <is>
          <t>71.66</t>
        </is>
      </c>
      <c r="J138" s="15" t="inlineStr">
        <is>
          <t>0.07</t>
        </is>
      </c>
      <c r="K138" s="14" t="inlineStr">
        <is>
          <t>30.10</t>
        </is>
      </c>
      <c r="L138" s="13" t="inlineStr">
        <is>
          <t>7</t>
        </is>
      </c>
      <c r="M138" s="13" t="inlineStr">
        <is>
          <t>Completed</t>
        </is>
      </c>
      <c r="N138" s="13" t="inlineStr">
        <is>
          <t>L. Berger</t>
        </is>
      </c>
    </row>
    <row r="139">
      <c r="A139" s="13" t="inlineStr">
        <is>
          <t>HC-100137</t>
        </is>
      </c>
      <c r="B139" s="13" t="inlineStr">
        <is>
          <t>05-Sep-24</t>
        </is>
      </c>
      <c r="C139" s="13" t="inlineStr">
        <is>
          <t>WEST</t>
        </is>
      </c>
      <c r="D139" s="13" t="inlineStr">
        <is>
          <t>Store</t>
        </is>
      </c>
      <c r="E139" s="13" t="inlineStr">
        <is>
          <t>Kitchen</t>
        </is>
      </c>
      <c r="F139" s="13" t="inlineStr">
        <is>
          <t>Chef Knife</t>
        </is>
      </c>
      <c r="G139" s="13" t="inlineStr">
        <is>
          <t>Consumer</t>
        </is>
      </c>
      <c r="H139" s="13" t="inlineStr">
        <is>
          <t>2</t>
        </is>
      </c>
      <c r="I139" s="14" t="inlineStr">
        <is>
          <t>68.79</t>
        </is>
      </c>
      <c r="J139" s="15" t="inlineStr">
        <is>
          <t>8%</t>
        </is>
      </c>
      <c r="K139" s="14" t="inlineStr">
        <is>
          <t>24.76</t>
        </is>
      </c>
      <c r="L139" s="13" t="inlineStr">
        <is>
          <t>7</t>
        </is>
      </c>
      <c r="M139" s="13" t="inlineStr">
        <is>
          <t>Completed</t>
        </is>
      </c>
      <c r="N139" s="13" t="inlineStr">
        <is>
          <t>S. Nguyen</t>
        </is>
      </c>
    </row>
    <row r="140">
      <c r="A140" s="13" t="inlineStr">
        <is>
          <t>HC-100138</t>
        </is>
      </c>
      <c r="B140" s="13" t="inlineStr">
        <is>
          <t>2024/01/28</t>
        </is>
      </c>
      <c r="C140" s="13" t="inlineStr">
        <is>
          <t>East</t>
        </is>
      </c>
      <c r="D140" s="13" t="inlineStr">
        <is>
          <t>Store</t>
        </is>
      </c>
      <c r="E140" s="13" t="inlineStr">
        <is>
          <t>Textiles</t>
        </is>
      </c>
      <c r="F140" s="13" t="inlineStr">
        <is>
          <t>Wool Throw</t>
        </is>
      </c>
      <c r="G140" s="13" t="inlineStr">
        <is>
          <t>Consumer</t>
        </is>
      </c>
      <c r="H140" s="13" t="inlineStr">
        <is>
          <t>2</t>
        </is>
      </c>
      <c r="I140" s="14" t="inlineStr">
        <is>
          <t>66.04</t>
        </is>
      </c>
      <c r="J140" s="15" t="inlineStr">
        <is>
          <t>7%</t>
        </is>
      </c>
      <c r="K140" s="14" t="inlineStr">
        <is>
          <t>27.74</t>
        </is>
      </c>
      <c r="L140" s="13" t="inlineStr">
        <is>
          <t>6</t>
        </is>
      </c>
      <c r="M140" s="13" t="inlineStr">
        <is>
          <t>Completed</t>
        </is>
      </c>
      <c r="N140" s="13" t="inlineStr">
        <is>
          <t>P. Rossi</t>
        </is>
      </c>
    </row>
    <row r="141">
      <c r="A141" s="13" t="inlineStr">
        <is>
          <t>HC-100139</t>
        </is>
      </c>
      <c r="B141" s="13" t="inlineStr">
        <is>
          <t>30.06.2025</t>
        </is>
      </c>
      <c r="C141" s="13" t="inlineStr">
        <is>
          <t>South</t>
        </is>
      </c>
      <c r="D141" s="13" t="inlineStr">
        <is>
          <t>Store</t>
        </is>
      </c>
      <c r="E141" s="13" t="inlineStr">
        <is>
          <t>Furniture</t>
        </is>
      </c>
      <c r="F141" s="13" t="inlineStr">
        <is>
          <t>Oak Desk</t>
        </is>
      </c>
      <c r="G141" s="13" t="inlineStr">
        <is>
          <t>consumer</t>
        </is>
      </c>
      <c r="H141" s="13" t="inlineStr">
        <is>
          <t>3</t>
        </is>
      </c>
      <c r="I141" s="14" t="inlineStr">
        <is>
          <t>890.44</t>
        </is>
      </c>
      <c r="J141" s="15" t="inlineStr">
        <is>
          <t>0.11</t>
        </is>
      </c>
      <c r="K141" s="14" t="inlineStr">
        <is>
          <t>552.07</t>
        </is>
      </c>
      <c r="L141" s="13" t="inlineStr">
        <is>
          <t>7</t>
        </is>
      </c>
      <c r="M141" s="13" t="inlineStr">
        <is>
          <t>Completed</t>
        </is>
      </c>
      <c r="N141" s="13" t="inlineStr">
        <is>
          <t>K. Mensah</t>
        </is>
      </c>
    </row>
    <row r="142">
      <c r="A142" s="13" t="inlineStr">
        <is>
          <t>HC-100140</t>
        </is>
      </c>
      <c r="B142" s="13" t="inlineStr">
        <is>
          <t>12/04/2024</t>
        </is>
      </c>
      <c r="C142" s="13" t="inlineStr">
        <is>
          <t>East</t>
        </is>
      </c>
      <c r="D142" s="13" t="inlineStr">
        <is>
          <t>Store</t>
        </is>
      </c>
      <c r="E142" s="13" t="inlineStr">
        <is>
          <t>Furniture</t>
        </is>
      </c>
      <c r="F142" s="13" t="inlineStr">
        <is>
          <t>Linen Sofa</t>
        </is>
      </c>
      <c r="G142" s="13" t="inlineStr">
        <is>
          <t>Home Office</t>
        </is>
      </c>
      <c r="H142" s="13" t="inlineStr">
        <is>
          <t>2</t>
        </is>
      </c>
      <c r="I142" s="14" t="inlineStr">
        <is>
          <t>1119.44</t>
        </is>
      </c>
      <c r="J142" s="15" t="inlineStr">
        <is>
          <t>0.02</t>
        </is>
      </c>
      <c r="K142" s="14" t="inlineStr">
        <is>
          <t>738.83</t>
        </is>
      </c>
      <c r="L142" s="13" t="inlineStr">
        <is>
          <t>9</t>
        </is>
      </c>
      <c r="M142" s="13" t="inlineStr">
        <is>
          <t>Completed</t>
        </is>
      </c>
      <c r="N142" s="13" t="inlineStr">
        <is>
          <t>S. Nguyen</t>
        </is>
      </c>
    </row>
    <row r="143">
      <c r="A143" s="13" t="inlineStr">
        <is>
          <t>HC-100141</t>
        </is>
      </c>
      <c r="B143" s="13" t="inlineStr">
        <is>
          <t>24-Mar-24</t>
        </is>
      </c>
      <c r="C143" s="13" t="inlineStr">
        <is>
          <t>North</t>
        </is>
      </c>
      <c r="D143" s="13" t="inlineStr">
        <is>
          <t>Online</t>
        </is>
      </c>
      <c r="E143" s="13" t="inlineStr">
        <is>
          <t>FURNITURE</t>
        </is>
      </c>
      <c r="F143" s="13" t="inlineStr">
        <is>
          <t>Oak Desk</t>
        </is>
      </c>
      <c r="G143" s="13" t="inlineStr">
        <is>
          <t>Consumer</t>
        </is>
      </c>
      <c r="H143" s="13" t="inlineStr">
        <is>
          <t>1</t>
        </is>
      </c>
      <c r="I143" s="14" t="inlineStr">
        <is>
          <t>883.26</t>
        </is>
      </c>
      <c r="J143" s="15" t="inlineStr">
        <is>
          <t>0.15</t>
        </is>
      </c>
      <c r="K143" s="14" t="inlineStr">
        <is>
          <t>547.62</t>
        </is>
      </c>
      <c r="L143" s="13" t="inlineStr">
        <is>
          <t>7</t>
        </is>
      </c>
      <c r="M143" s="13" t="inlineStr">
        <is>
          <t>Completed</t>
        </is>
      </c>
      <c r="N143" s="13" t="inlineStr">
        <is>
          <t>S. Nguyen</t>
        </is>
      </c>
    </row>
    <row r="144">
      <c r="A144" s="13" t="inlineStr">
        <is>
          <t>HC-100142</t>
        </is>
      </c>
      <c r="B144" s="13" t="inlineStr">
        <is>
          <t>2025/05/21</t>
        </is>
      </c>
      <c r="C144" s="13" t="inlineStr">
        <is>
          <t>North</t>
        </is>
      </c>
      <c r="D144" s="13" t="inlineStr">
        <is>
          <t>retail</t>
        </is>
      </c>
      <c r="E144" s="13" t="inlineStr">
        <is>
          <t>Textiles</t>
        </is>
      </c>
      <c r="F144" s="13" t="inlineStr">
        <is>
          <t>Cotton Duvet</t>
        </is>
      </c>
      <c r="G144" s="13" t="inlineStr">
        <is>
          <t>Corporate</t>
        </is>
      </c>
      <c r="H144" s="13" t="inlineStr">
        <is>
          <t>2</t>
        </is>
      </c>
      <c r="I144" s="14" t="inlineStr">
        <is>
          <t>125.03</t>
        </is>
      </c>
      <c r="J144" s="15" t="inlineStr">
        <is>
          <t>0.11</t>
        </is>
      </c>
      <c r="K144" s="14" t="inlineStr">
        <is>
          <t>55.01</t>
        </is>
      </c>
      <c r="L144" s="13" t="inlineStr">
        <is>
          <t>6</t>
        </is>
      </c>
      <c r="M144" s="13" t="inlineStr">
        <is>
          <t>Completed</t>
        </is>
      </c>
      <c r="N144" s="13" t="inlineStr">
        <is>
          <t>L. Berger</t>
        </is>
      </c>
    </row>
    <row r="145">
      <c r="A145" s="13" t="inlineStr">
        <is>
          <t>HC-100143</t>
        </is>
      </c>
      <c r="B145" s="13" t="inlineStr">
        <is>
          <t>11.07.2025</t>
        </is>
      </c>
      <c r="C145" s="13" t="inlineStr">
        <is>
          <t>East</t>
        </is>
      </c>
      <c r="D145" s="13" t="inlineStr">
        <is>
          <t>Store</t>
        </is>
      </c>
      <c r="E145" s="13" t="inlineStr">
        <is>
          <t>Textiles</t>
        </is>
      </c>
      <c r="F145" s="13" t="inlineStr">
        <is>
          <t>Cotton Duvet</t>
        </is>
      </c>
      <c r="G145" s="13" t="inlineStr">
        <is>
          <t>Consumer</t>
        </is>
      </c>
      <c r="H145" s="13" t="inlineStr">
        <is>
          <t>1</t>
        </is>
      </c>
      <c r="I145" s="14" t="inlineStr">
        <is>
          <t>103.34</t>
        </is>
      </c>
      <c r="J145" s="15" t="inlineStr">
        <is>
          <t>0.03</t>
        </is>
      </c>
      <c r="K145" s="14" t="inlineStr">
        <is>
          <t>45.47</t>
        </is>
      </c>
      <c r="L145" s="13" t="inlineStr">
        <is>
          <t>7</t>
        </is>
      </c>
      <c r="M145" s="13" t="inlineStr">
        <is>
          <t>Cancelled</t>
        </is>
      </c>
      <c r="N145" s="13" t="inlineStr">
        <is>
          <t>J. Patel</t>
        </is>
      </c>
    </row>
    <row r="146">
      <c r="A146" s="13" t="inlineStr">
        <is>
          <t>HC-100144</t>
        </is>
      </c>
      <c r="B146" s="13" t="inlineStr">
        <is>
          <t>08/25/2025</t>
        </is>
      </c>
      <c r="C146" s="13" t="inlineStr">
        <is>
          <t>West</t>
        </is>
      </c>
      <c r="D146" s="13" t="inlineStr">
        <is>
          <t>Store</t>
        </is>
      </c>
      <c r="E146" s="13" t="inlineStr">
        <is>
          <t>Textiles</t>
        </is>
      </c>
      <c r="F146" s="13" t="inlineStr">
        <is>
          <t>Wool Throw</t>
        </is>
      </c>
      <c r="G146" s="13" t="inlineStr">
        <is>
          <t>Consumer</t>
        </is>
      </c>
      <c r="H146" s="13" t="inlineStr">
        <is>
          <t>1</t>
        </is>
      </c>
      <c r="I146" s="14" t="inlineStr">
        <is>
          <t>74.95</t>
        </is>
      </c>
      <c r="J146" s="15" t="inlineStr">
        <is>
          <t>0.07</t>
        </is>
      </c>
      <c r="K146" s="14" t="inlineStr">
        <is>
          <t>31.48</t>
        </is>
      </c>
      <c r="L146" s="13" t="inlineStr">
        <is>
          <t>6</t>
        </is>
      </c>
      <c r="M146" s="13" t="inlineStr">
        <is>
          <t>Completed</t>
        </is>
      </c>
      <c r="N146" s="13" t="inlineStr">
        <is>
          <t>K. Mensah</t>
        </is>
      </c>
    </row>
    <row r="147">
      <c r="A147" s="13" t="inlineStr">
        <is>
          <t>HC-100145</t>
        </is>
      </c>
      <c r="B147" s="13" t="inlineStr">
        <is>
          <t>19-Jan-24</t>
        </is>
      </c>
      <c r="C147" s="13" t="inlineStr">
        <is>
          <t>West</t>
        </is>
      </c>
      <c r="D147" s="13" t="inlineStr">
        <is>
          <t>Online</t>
        </is>
      </c>
      <c r="E147" s="13" t="inlineStr">
        <is>
          <t>Textiles</t>
        </is>
      </c>
      <c r="F147" s="13" t="inlineStr">
        <is>
          <t>Wool Throw</t>
        </is>
      </c>
      <c r="G147" s="13" t="inlineStr">
        <is>
          <t>Consumer</t>
        </is>
      </c>
      <c r="H147" s="13" t="inlineStr">
        <is>
          <t>3</t>
        </is>
      </c>
      <c r="I147" s="14" t="inlineStr">
        <is>
          <t>73.05</t>
        </is>
      </c>
      <c r="J147" s="15" t="inlineStr">
        <is>
          <t>0.17</t>
        </is>
      </c>
      <c r="K147" s="14" t="inlineStr">
        <is>
          <t>30.68</t>
        </is>
      </c>
      <c r="L147" s="13" t="inlineStr">
        <is>
          <t>8</t>
        </is>
      </c>
      <c r="M147" s="13" t="inlineStr">
        <is>
          <t>Completed</t>
        </is>
      </c>
      <c r="N147" s="13" t="inlineStr">
        <is>
          <t>M. Okonkwo</t>
        </is>
      </c>
    </row>
    <row r="148">
      <c r="A148" s="13" t="inlineStr">
        <is>
          <t>HC-100146</t>
        </is>
      </c>
      <c r="B148" s="13" t="inlineStr">
        <is>
          <t>2025/08/06</t>
        </is>
      </c>
      <c r="C148" s="13" t="inlineStr">
        <is>
          <t>West</t>
        </is>
      </c>
      <c r="D148" s="13" t="inlineStr">
        <is>
          <t>Online</t>
        </is>
      </c>
      <c r="E148" s="13" t="inlineStr">
        <is>
          <t>Furniture</t>
        </is>
      </c>
      <c r="F148" s="13" t="inlineStr">
        <is>
          <t>Lounge Chair</t>
        </is>
      </c>
      <c r="G148" s="13" t="inlineStr">
        <is>
          <t>Consumer</t>
        </is>
      </c>
      <c r="H148" s="13" t="inlineStr">
        <is>
          <t>1</t>
        </is>
      </c>
      <c r="I148" s="14" t="inlineStr">
        <is>
          <t>461.39</t>
        </is>
      </c>
      <c r="J148" s="15" t="inlineStr">
        <is>
          <t>0.08</t>
        </is>
      </c>
      <c r="K148" s="14" t="inlineStr">
        <is>
          <t>276.83</t>
        </is>
      </c>
      <c r="L148" s="13" t="inlineStr">
        <is>
          <t>7</t>
        </is>
      </c>
      <c r="M148" s="13" t="inlineStr">
        <is>
          <t>Completed</t>
        </is>
      </c>
      <c r="N148" s="13" t="inlineStr">
        <is>
          <t>A. Shah</t>
        </is>
      </c>
    </row>
    <row r="149">
      <c r="A149" s="13" t="inlineStr">
        <is>
          <t>HC-100147</t>
        </is>
      </c>
      <c r="B149" s="13" t="inlineStr">
        <is>
          <t>19.03.2025</t>
        </is>
      </c>
      <c r="C149" s="13" t="inlineStr">
        <is>
          <t>South</t>
        </is>
      </c>
      <c r="D149" s="13" t="inlineStr">
        <is>
          <t>e-commerce</t>
        </is>
      </c>
      <c r="E149" s="13" t="inlineStr">
        <is>
          <t>FURNITURE</t>
        </is>
      </c>
      <c r="F149" s="13" t="inlineStr">
        <is>
          <t>Walnut Shelf</t>
        </is>
      </c>
      <c r="G149" s="13" t="inlineStr">
        <is>
          <t>Consumer</t>
        </is>
      </c>
      <c r="H149" s="13" t="inlineStr">
        <is>
          <t>3</t>
        </is>
      </c>
      <c r="I149" s="14" t="inlineStr">
        <is>
          <t>212.00</t>
        </is>
      </c>
      <c r="J149" s="15" t="inlineStr">
        <is>
          <t>0.06</t>
        </is>
      </c>
      <c r="K149" s="14" t="inlineStr">
        <is>
          <t>116.60</t>
        </is>
      </c>
      <c r="L149" s="13" t="inlineStr">
        <is>
          <t>7</t>
        </is>
      </c>
      <c r="M149" s="13" t="inlineStr">
        <is>
          <t>Completed</t>
        </is>
      </c>
      <c r="N149" s="13" t="inlineStr">
        <is>
          <t>P. Rossi</t>
        </is>
      </c>
    </row>
    <row r="150">
      <c r="A150" s="13" t="inlineStr">
        <is>
          <t>HC-100148</t>
        </is>
      </c>
      <c r="B150" s="13" t="inlineStr">
        <is>
          <t>04/06/2025</t>
        </is>
      </c>
      <c r="C150" s="13" t="inlineStr">
        <is>
          <t>West</t>
        </is>
      </c>
      <c r="D150" s="13" t="inlineStr">
        <is>
          <t>Online</t>
        </is>
      </c>
      <c r="E150" s="13" t="inlineStr">
        <is>
          <t>Furniture</t>
        </is>
      </c>
      <c r="F150" s="13" t="inlineStr">
        <is>
          <t>Oak Desk</t>
        </is>
      </c>
      <c r="G150" s="13" t="inlineStr">
        <is>
          <t>Consumer</t>
        </is>
      </c>
      <c r="H150" s="13" t="inlineStr">
        <is>
          <t>three</t>
        </is>
      </c>
      <c r="I150" s="14" t="inlineStr">
        <is>
          <t>813.57</t>
        </is>
      </c>
      <c r="J150" s="15" t="inlineStr">
        <is>
          <t>0.08</t>
        </is>
      </c>
      <c r="K150" s="14" t="inlineStr">
        <is>
          <t>504.41</t>
        </is>
      </c>
      <c r="L150" s="13" t="inlineStr">
        <is>
          <t>10</t>
        </is>
      </c>
      <c r="M150" s="13" t="inlineStr">
        <is>
          <t>Completed</t>
        </is>
      </c>
      <c r="N150" s="13" t="inlineStr">
        <is>
          <t>L. Berger</t>
        </is>
      </c>
    </row>
    <row r="151">
      <c r="A151" s="13" t="inlineStr">
        <is>
          <t>HC-100149</t>
        </is>
      </c>
      <c r="B151" s="13" t="inlineStr">
        <is>
          <t>26-Mar-24</t>
        </is>
      </c>
      <c r="C151" s="13" t="inlineStr">
        <is>
          <t>North</t>
        </is>
      </c>
      <c r="D151" s="13" t="inlineStr">
        <is>
          <t>B2B</t>
        </is>
      </c>
      <c r="E151" s="13" t="inlineStr">
        <is>
          <t>Furniture</t>
        </is>
      </c>
      <c r="F151" s="13" t="inlineStr">
        <is>
          <t>Lounge Chair</t>
        </is>
      </c>
      <c r="G151" s="13" t="inlineStr">
        <is>
          <t>Corporate</t>
        </is>
      </c>
      <c r="H151" s="13" t="inlineStr">
        <is>
          <t>35</t>
        </is>
      </c>
      <c r="I151" s="14" t="inlineStr">
        <is>
          <t>452.55</t>
        </is>
      </c>
      <c r="J151" s="15" t="inlineStr">
        <is>
          <t>0.31</t>
        </is>
      </c>
      <c r="K151" s="14" t="inlineStr">
        <is>
          <t>271.53</t>
        </is>
      </c>
      <c r="L151" s="13" t="inlineStr">
        <is>
          <t>8</t>
        </is>
      </c>
      <c r="M151" s="13" t="inlineStr">
        <is>
          <t>Completed</t>
        </is>
      </c>
      <c r="N151" s="13" t="inlineStr">
        <is>
          <t>M. Okonkwo</t>
        </is>
      </c>
    </row>
    <row r="152">
      <c r="A152" s="13" t="inlineStr">
        <is>
          <t>HC-100150</t>
        </is>
      </c>
      <c r="B152" s="13" t="inlineStr">
        <is>
          <t>2024/09/19</t>
        </is>
      </c>
      <c r="C152" s="13" t="inlineStr">
        <is>
          <t xml:space="preserve"> North </t>
        </is>
      </c>
      <c r="D152" s="13" t="inlineStr">
        <is>
          <t>Online</t>
        </is>
      </c>
      <c r="E152" s="13" t="inlineStr">
        <is>
          <t>Kitchen</t>
        </is>
      </c>
      <c r="F152" s="13" t="inlineStr">
        <is>
          <t>Cast Skillet</t>
        </is>
      </c>
      <c r="G152" s="13" t="inlineStr">
        <is>
          <t>Corporate</t>
        </is>
      </c>
      <c r="H152" s="13" t="inlineStr">
        <is>
          <t>1</t>
        </is>
      </c>
      <c r="I152" s="14" t="inlineStr">
        <is>
          <t>51.18</t>
        </is>
      </c>
      <c r="J152" s="15" t="inlineStr">
        <is>
          <t>0.10</t>
        </is>
      </c>
      <c r="K152" s="14" t="inlineStr">
        <is>
          <t>20.47</t>
        </is>
      </c>
      <c r="L152" s="13" t="inlineStr">
        <is>
          <t>8</t>
        </is>
      </c>
      <c r="M152" s="13" t="inlineStr">
        <is>
          <t>Compleated</t>
        </is>
      </c>
      <c r="N152" s="13" t="inlineStr">
        <is>
          <t>M. Okonkwo</t>
        </is>
      </c>
    </row>
    <row r="153">
      <c r="A153" s="13" t="inlineStr">
        <is>
          <t>HC-100151</t>
        </is>
      </c>
      <c r="B153" s="13" t="inlineStr">
        <is>
          <t>01.08.2025</t>
        </is>
      </c>
      <c r="C153" s="13" t="inlineStr">
        <is>
          <t>West</t>
        </is>
      </c>
      <c r="D153" s="13" t="inlineStr">
        <is>
          <t>Wholesale</t>
        </is>
      </c>
      <c r="E153" s="13" t="inlineStr">
        <is>
          <t>Kitchen</t>
        </is>
      </c>
      <c r="F153" s="13" t="inlineStr">
        <is>
          <t>Cast Skillet</t>
        </is>
      </c>
      <c r="G153" s="13" t="inlineStr">
        <is>
          <t>Consumer</t>
        </is>
      </c>
      <c r="H153" s="13" t="inlineStr">
        <is>
          <t>26</t>
        </is>
      </c>
      <c r="I153" s="14" t="inlineStr">
        <is>
          <t>53.28</t>
        </is>
      </c>
      <c r="J153" s="15" t="inlineStr">
        <is>
          <t>0.31</t>
        </is>
      </c>
      <c r="K153" s="14" t="inlineStr">
        <is>
          <t>21.31</t>
        </is>
      </c>
      <c r="L153" s="13" t="inlineStr">
        <is>
          <t>N/A</t>
        </is>
      </c>
      <c r="M153" s="13" t="inlineStr">
        <is>
          <t>Completed</t>
        </is>
      </c>
      <c r="N153" s="13" t="inlineStr">
        <is>
          <t>J. Patel</t>
        </is>
      </c>
    </row>
    <row r="154">
      <c r="A154" s="13" t="inlineStr">
        <is>
          <t>HC-100152</t>
        </is>
      </c>
      <c r="B154" s="13" t="inlineStr">
        <is>
          <t>08/03/2024</t>
        </is>
      </c>
      <c r="C154" s="13" t="inlineStr">
        <is>
          <t>North</t>
        </is>
      </c>
      <c r="D154" s="13" t="inlineStr">
        <is>
          <t>web</t>
        </is>
      </c>
      <c r="E154" s="13" t="inlineStr">
        <is>
          <t>Textiles</t>
        </is>
      </c>
      <c r="F154" s="13" t="inlineStr">
        <is>
          <t>Wool Throw</t>
        </is>
      </c>
      <c r="G154" s="13" t="inlineStr">
        <is>
          <t>Corporate</t>
        </is>
      </c>
      <c r="H154" s="13" t="inlineStr">
        <is>
          <t>3</t>
        </is>
      </c>
      <c r="I154" s="14" t="inlineStr">
        <is>
          <t>78.69</t>
        </is>
      </c>
      <c r="J154" s="15" t="inlineStr">
        <is>
          <t>0.04</t>
        </is>
      </c>
      <c r="K154" s="14" t="inlineStr">
        <is>
          <t>33.05</t>
        </is>
      </c>
      <c r="L154" s="13" t="inlineStr">
        <is>
          <t>6</t>
        </is>
      </c>
      <c r="M154" s="13" t="inlineStr">
        <is>
          <t>Completed</t>
        </is>
      </c>
      <c r="N154" s="13" t="inlineStr">
        <is>
          <t>L. Berger</t>
        </is>
      </c>
    </row>
    <row r="155">
      <c r="A155" s="13" t="inlineStr">
        <is>
          <t>HC-100153</t>
        </is>
      </c>
      <c r="B155" s="13" t="inlineStr">
        <is>
          <t>30-Jul-25</t>
        </is>
      </c>
      <c r="C155" s="13" t="inlineStr">
        <is>
          <t>West</t>
        </is>
      </c>
      <c r="D155" s="13" t="inlineStr">
        <is>
          <t>Store</t>
        </is>
      </c>
      <c r="E155" s="13" t="inlineStr">
        <is>
          <t>FURNITURE</t>
        </is>
      </c>
      <c r="F155" s="13" t="inlineStr">
        <is>
          <t>Walnut Shelf</t>
        </is>
      </c>
      <c r="G155" s="13" t="inlineStr"/>
      <c r="H155" s="13" t="inlineStr">
        <is>
          <t>4</t>
        </is>
      </c>
      <c r="I155" s="14" t="inlineStr">
        <is>
          <t>230.63</t>
        </is>
      </c>
      <c r="J155" s="15" t="inlineStr">
        <is>
          <t>0.04</t>
        </is>
      </c>
      <c r="K155" s="14" t="inlineStr">
        <is>
          <t>126.84</t>
        </is>
      </c>
      <c r="L155" s="13" t="inlineStr">
        <is>
          <t>7</t>
        </is>
      </c>
      <c r="M155" s="13" t="inlineStr">
        <is>
          <t>Completed</t>
        </is>
      </c>
      <c r="N155" s="13" t="inlineStr">
        <is>
          <t>S. Nguyen</t>
        </is>
      </c>
    </row>
    <row r="156">
      <c r="A156" s="13" t="inlineStr">
        <is>
          <t>HC-100154</t>
        </is>
      </c>
      <c r="B156" s="13" t="inlineStr">
        <is>
          <t>2024/03/05</t>
        </is>
      </c>
      <c r="C156" s="13" t="inlineStr">
        <is>
          <t>North</t>
        </is>
      </c>
      <c r="D156" s="13" t="inlineStr">
        <is>
          <t>Online</t>
        </is>
      </c>
      <c r="E156" s="13" t="inlineStr">
        <is>
          <t>Furniture</t>
        </is>
      </c>
      <c r="F156" s="13" t="inlineStr">
        <is>
          <t>Walnut Shelf</t>
        </is>
      </c>
      <c r="G156" s="13" t="inlineStr">
        <is>
          <t>Home Office</t>
        </is>
      </c>
      <c r="H156" s="13" t="inlineStr">
        <is>
          <t>1</t>
        </is>
      </c>
      <c r="I156" s="14" t="inlineStr">
        <is>
          <t>229.27</t>
        </is>
      </c>
      <c r="J156" s="15" t="inlineStr">
        <is>
          <t>0.05</t>
        </is>
      </c>
      <c r="K156" s="14" t="inlineStr">
        <is>
          <t>126.10</t>
        </is>
      </c>
      <c r="L156" s="13" t="inlineStr">
        <is>
          <t>5</t>
        </is>
      </c>
      <c r="M156" s="13" t="inlineStr">
        <is>
          <t>Returned</t>
        </is>
      </c>
      <c r="N156" s="13" t="inlineStr">
        <is>
          <t>M. Okonkwo</t>
        </is>
      </c>
    </row>
    <row r="157">
      <c r="A157" s="13" t="inlineStr">
        <is>
          <t>HC-100155</t>
        </is>
      </c>
      <c r="B157" s="13" t="inlineStr">
        <is>
          <t>01.02.2024</t>
        </is>
      </c>
      <c r="C157" s="13" t="inlineStr">
        <is>
          <t>North</t>
        </is>
      </c>
      <c r="D157" s="13" t="inlineStr">
        <is>
          <t>Store</t>
        </is>
      </c>
      <c r="E157" s="13" t="inlineStr">
        <is>
          <t>Textiles</t>
        </is>
      </c>
      <c r="F157" s="13" t="inlineStr">
        <is>
          <t>Wool Throw</t>
        </is>
      </c>
      <c r="G157" s="13" t="inlineStr">
        <is>
          <t>Corporate</t>
        </is>
      </c>
      <c r="H157" s="13" t="inlineStr">
        <is>
          <t>1</t>
        </is>
      </c>
      <c r="I157" s="14" t="inlineStr">
        <is>
          <t>70.08</t>
        </is>
      </c>
      <c r="J157" s="15" t="inlineStr">
        <is>
          <t>5%</t>
        </is>
      </c>
      <c r="K157" s="14" t="inlineStr">
        <is>
          <t>29.43</t>
        </is>
      </c>
      <c r="L157" s="13" t="inlineStr">
        <is>
          <t>6</t>
        </is>
      </c>
      <c r="M157" s="13" t="inlineStr">
        <is>
          <t>Completed</t>
        </is>
      </c>
      <c r="N157" s="13" t="inlineStr">
        <is>
          <t>P. Rossi</t>
        </is>
      </c>
    </row>
    <row r="158">
      <c r="A158" s="13" t="inlineStr">
        <is>
          <t>HC-100156</t>
        </is>
      </c>
      <c r="B158" s="13" t="inlineStr">
        <is>
          <t>07/27/2024</t>
        </is>
      </c>
      <c r="C158" s="13" t="inlineStr">
        <is>
          <t>West</t>
        </is>
      </c>
      <c r="D158" s="13" t="inlineStr">
        <is>
          <t>Store</t>
        </is>
      </c>
      <c r="E158" s="13" t="inlineStr">
        <is>
          <t>Furniture</t>
        </is>
      </c>
      <c r="F158" s="13" t="inlineStr">
        <is>
          <t>Lounge Chair</t>
        </is>
      </c>
      <c r="G158" s="13" t="inlineStr">
        <is>
          <t>Consumer</t>
        </is>
      </c>
      <c r="H158" s="13" t="inlineStr">
        <is>
          <t>1</t>
        </is>
      </c>
      <c r="I158" s="14" t="inlineStr">
        <is>
          <t>$447.10</t>
        </is>
      </c>
      <c r="J158" s="15" t="inlineStr">
        <is>
          <t>0.07</t>
        </is>
      </c>
      <c r="K158" s="14" t="inlineStr">
        <is>
          <t>268.26</t>
        </is>
      </c>
      <c r="L158" s="13" t="inlineStr">
        <is>
          <t>5</t>
        </is>
      </c>
      <c r="M158" s="13" t="inlineStr">
        <is>
          <t>Returned</t>
        </is>
      </c>
      <c r="N158" s="13" t="inlineStr">
        <is>
          <t>A. Shah</t>
        </is>
      </c>
    </row>
    <row r="159">
      <c r="A159" s="13" t="inlineStr">
        <is>
          <t>HC-100157</t>
        </is>
      </c>
      <c r="B159" s="13" t="inlineStr">
        <is>
          <t>23-Dec-24</t>
        </is>
      </c>
      <c r="C159" s="13" t="inlineStr">
        <is>
          <t>West</t>
        </is>
      </c>
      <c r="D159" s="13" t="inlineStr">
        <is>
          <t>Store</t>
        </is>
      </c>
      <c r="E159" s="13" t="inlineStr">
        <is>
          <t>Kitchen</t>
        </is>
      </c>
      <c r="F159" s="13" t="inlineStr">
        <is>
          <t>Cast Skillet</t>
        </is>
      </c>
      <c r="G159" s="13" t="inlineStr">
        <is>
          <t>Consumer</t>
        </is>
      </c>
      <c r="H159" s="13" t="inlineStr">
        <is>
          <t>4</t>
        </is>
      </c>
      <c r="I159" s="14" t="inlineStr">
        <is>
          <t>57.84</t>
        </is>
      </c>
      <c r="J159" s="15" t="inlineStr">
        <is>
          <t>0.03</t>
        </is>
      </c>
      <c r="K159" s="14" t="inlineStr">
        <is>
          <t>23.13</t>
        </is>
      </c>
      <c r="L159" s="13" t="inlineStr">
        <is>
          <t>6</t>
        </is>
      </c>
      <c r="M159" s="13" t="inlineStr">
        <is>
          <t>Completed</t>
        </is>
      </c>
      <c r="N159" s="13" t="inlineStr">
        <is>
          <t>R. Ibarra</t>
        </is>
      </c>
    </row>
    <row r="160">
      <c r="A160" s="13" t="inlineStr">
        <is>
          <t>HC-100158</t>
        </is>
      </c>
      <c r="B160" s="13" t="inlineStr">
        <is>
          <t>2025/03/12</t>
        </is>
      </c>
      <c r="C160" s="13" t="inlineStr">
        <is>
          <t>West</t>
        </is>
      </c>
      <c r="D160" s="13" t="inlineStr">
        <is>
          <t>Online</t>
        </is>
      </c>
      <c r="E160" s="13" t="inlineStr">
        <is>
          <t>Textiles</t>
        </is>
      </c>
      <c r="F160" s="13" t="inlineStr">
        <is>
          <t>Wool Throw</t>
        </is>
      </c>
      <c r="G160" s="13" t="inlineStr">
        <is>
          <t>Consumer</t>
        </is>
      </c>
      <c r="H160" s="13" t="inlineStr">
        <is>
          <t>2</t>
        </is>
      </c>
      <c r="I160" s="14" t="inlineStr">
        <is>
          <t>70.39</t>
        </is>
      </c>
      <c r="J160" s="15" t="inlineStr">
        <is>
          <t>0.03</t>
        </is>
      </c>
      <c r="K160" s="14" t="inlineStr">
        <is>
          <t>29.57</t>
        </is>
      </c>
      <c r="L160" s="13" t="inlineStr">
        <is>
          <t>7</t>
        </is>
      </c>
      <c r="M160" s="13" t="inlineStr">
        <is>
          <t>Completed</t>
        </is>
      </c>
      <c r="N160" s="13" t="inlineStr">
        <is>
          <t>L. Berger</t>
        </is>
      </c>
    </row>
    <row r="161">
      <c r="A161" s="13" t="inlineStr">
        <is>
          <t>HC-100159</t>
        </is>
      </c>
      <c r="B161" s="13" t="inlineStr">
        <is>
          <t>12.03.2025</t>
        </is>
      </c>
      <c r="C161" s="13" t="inlineStr">
        <is>
          <t>East</t>
        </is>
      </c>
      <c r="D161" s="13" t="inlineStr">
        <is>
          <t>Store</t>
        </is>
      </c>
      <c r="E161" s="13" t="inlineStr">
        <is>
          <t>Lighting</t>
        </is>
      </c>
      <c r="F161" s="13" t="inlineStr">
        <is>
          <t>Arc Lamp</t>
        </is>
      </c>
      <c r="G161" s="13" t="inlineStr">
        <is>
          <t>Consumer</t>
        </is>
      </c>
      <c r="H161" s="13" t="inlineStr">
        <is>
          <t>4</t>
        </is>
      </c>
      <c r="I161" s="14" t="inlineStr">
        <is>
          <t>294.85</t>
        </is>
      </c>
      <c r="J161" s="15" t="inlineStr">
        <is>
          <t>0.00</t>
        </is>
      </c>
      <c r="K161" s="14" t="inlineStr">
        <is>
          <t>141.53</t>
        </is>
      </c>
      <c r="L161" s="13" t="inlineStr">
        <is>
          <t>8</t>
        </is>
      </c>
      <c r="M161" s="13" t="inlineStr">
        <is>
          <t>Completed</t>
        </is>
      </c>
      <c r="N161" s="13" t="inlineStr">
        <is>
          <t>S. Nguyen</t>
        </is>
      </c>
    </row>
    <row r="162">
      <c r="A162" s="13" t="inlineStr">
        <is>
          <t>HC-100160</t>
        </is>
      </c>
      <c r="B162" s="13" t="inlineStr">
        <is>
          <t>08/01/2025</t>
        </is>
      </c>
      <c r="C162" s="13" t="inlineStr">
        <is>
          <t>South</t>
        </is>
      </c>
      <c r="D162" s="13" t="inlineStr">
        <is>
          <t>Store</t>
        </is>
      </c>
      <c r="E162" s="13" t="inlineStr">
        <is>
          <t>Furniture</t>
        </is>
      </c>
      <c r="F162" s="13" t="inlineStr">
        <is>
          <t>Linen Sofa</t>
        </is>
      </c>
      <c r="G162" s="13" t="inlineStr">
        <is>
          <t>Consumer</t>
        </is>
      </c>
      <c r="H162" s="13" t="inlineStr">
        <is>
          <t>3</t>
        </is>
      </c>
      <c r="I162" s="14" t="inlineStr">
        <is>
          <t>1155.67</t>
        </is>
      </c>
      <c r="J162" s="15" t="inlineStr">
        <is>
          <t>0.12</t>
        </is>
      </c>
      <c r="K162" s="14" t="inlineStr">
        <is>
          <t>762.74</t>
        </is>
      </c>
      <c r="L162" s="13" t="inlineStr">
        <is>
          <t>8</t>
        </is>
      </c>
      <c r="M162" s="13" t="inlineStr">
        <is>
          <t>Completed</t>
        </is>
      </c>
      <c r="N162" s="13" t="inlineStr">
        <is>
          <t>P. Rossi</t>
        </is>
      </c>
    </row>
    <row r="163">
      <c r="A163" s="13" t="inlineStr">
        <is>
          <t>HC-100161</t>
        </is>
      </c>
      <c r="B163" s="13" t="inlineStr">
        <is>
          <t>22-Nov-24</t>
        </is>
      </c>
      <c r="C163" s="13" t="inlineStr">
        <is>
          <t>East</t>
        </is>
      </c>
      <c r="D163" s="13" t="inlineStr">
        <is>
          <t>Store</t>
        </is>
      </c>
      <c r="E163" s="13" t="inlineStr">
        <is>
          <t>Lighting</t>
        </is>
      </c>
      <c r="F163" s="13" t="inlineStr">
        <is>
          <t>Arc Lamp</t>
        </is>
      </c>
      <c r="G163" s="13" t="inlineStr">
        <is>
          <t>Consumer</t>
        </is>
      </c>
      <c r="H163" s="13" t="inlineStr">
        <is>
          <t>4</t>
        </is>
      </c>
      <c r="I163" s="14" t="inlineStr">
        <is>
          <t>267.04</t>
        </is>
      </c>
      <c r="J163" s="15" t="inlineStr">
        <is>
          <t>0.04</t>
        </is>
      </c>
      <c r="K163" s="14" t="inlineStr">
        <is>
          <t>128.18</t>
        </is>
      </c>
      <c r="L163" s="13" t="inlineStr">
        <is>
          <t>8</t>
        </is>
      </c>
      <c r="M163" s="13" t="inlineStr">
        <is>
          <t>Completed</t>
        </is>
      </c>
      <c r="N163" s="13" t="inlineStr">
        <is>
          <t>A. Shah</t>
        </is>
      </c>
    </row>
    <row r="164">
      <c r="A164" s="13" t="inlineStr">
        <is>
          <t>HC-100162</t>
        </is>
      </c>
      <c r="B164" s="13" t="inlineStr">
        <is>
          <t>2025/06/22</t>
        </is>
      </c>
      <c r="C164" s="13" t="inlineStr">
        <is>
          <t>Eas</t>
        </is>
      </c>
      <c r="D164" s="13" t="inlineStr">
        <is>
          <t>Wholesale</t>
        </is>
      </c>
      <c r="E164" s="13" t="inlineStr">
        <is>
          <t>Furniture</t>
        </is>
      </c>
      <c r="F164" s="13" t="inlineStr">
        <is>
          <t>Walnut Shelf</t>
        </is>
      </c>
      <c r="G164" s="13" t="inlineStr">
        <is>
          <t>Consumer</t>
        </is>
      </c>
      <c r="H164" s="13" t="inlineStr">
        <is>
          <t>28</t>
        </is>
      </c>
      <c r="I164" s="14" t="inlineStr">
        <is>
          <t>192.58</t>
        </is>
      </c>
      <c r="J164" s="15" t="inlineStr">
        <is>
          <t>0.23</t>
        </is>
      </c>
      <c r="K164" s="14" t="inlineStr">
        <is>
          <t>105.92</t>
        </is>
      </c>
      <c r="L164" s="13" t="inlineStr">
        <is>
          <t>8</t>
        </is>
      </c>
      <c r="M164" s="13" t="inlineStr">
        <is>
          <t>Completed</t>
        </is>
      </c>
      <c r="N164" s="13" t="inlineStr">
        <is>
          <t>A. Shah</t>
        </is>
      </c>
    </row>
    <row r="165">
      <c r="A165" s="13" t="inlineStr">
        <is>
          <t>HC-100163</t>
        </is>
      </c>
      <c r="B165" s="13" t="inlineStr">
        <is>
          <t>26.03.2025</t>
        </is>
      </c>
      <c r="C165" s="13" t="inlineStr">
        <is>
          <t>North</t>
        </is>
      </c>
      <c r="D165" s="13" t="inlineStr">
        <is>
          <t>retail</t>
        </is>
      </c>
      <c r="E165" s="13" t="inlineStr">
        <is>
          <t>Kitchen</t>
        </is>
      </c>
      <c r="F165" s="13" t="inlineStr">
        <is>
          <t>Chef Knife</t>
        </is>
      </c>
      <c r="G165" s="13" t="inlineStr">
        <is>
          <t>Consumer</t>
        </is>
      </c>
      <c r="H165" s="13" t="inlineStr">
        <is>
          <t>3</t>
        </is>
      </c>
      <c r="I165" s="14" t="inlineStr">
        <is>
          <t>68.12</t>
        </is>
      </c>
      <c r="J165" s="15" t="inlineStr">
        <is>
          <t>0.11</t>
        </is>
      </c>
      <c r="K165" s="14" t="inlineStr">
        <is>
          <t>24.52</t>
        </is>
      </c>
      <c r="L165" s="13" t="inlineStr">
        <is>
          <t>6</t>
        </is>
      </c>
      <c r="M165" s="13" t="inlineStr">
        <is>
          <t>Completed</t>
        </is>
      </c>
      <c r="N165" s="13" t="inlineStr">
        <is>
          <t>K. Mensah</t>
        </is>
      </c>
    </row>
    <row r="166">
      <c r="A166" s="13" t="inlineStr">
        <is>
          <t>HC-100164</t>
        </is>
      </c>
      <c r="B166" s="13" t="inlineStr">
        <is>
          <t>12/09/2024</t>
        </is>
      </c>
      <c r="C166" s="13" t="inlineStr">
        <is>
          <t>South</t>
        </is>
      </c>
      <c r="D166" s="13" t="inlineStr">
        <is>
          <t>Online</t>
        </is>
      </c>
      <c r="E166" s="13" t="inlineStr">
        <is>
          <t>Lighting</t>
        </is>
      </c>
      <c r="F166" s="13" t="inlineStr">
        <is>
          <t>Brass Sconce</t>
        </is>
      </c>
      <c r="G166" s="13" t="inlineStr">
        <is>
          <t>Corporate</t>
        </is>
      </c>
      <c r="H166" s="13" t="inlineStr">
        <is>
          <t>4</t>
        </is>
      </c>
      <c r="I166" s="14" t="inlineStr">
        <is>
          <t>149.68</t>
        </is>
      </c>
      <c r="J166" s="15" t="inlineStr">
        <is>
          <t>0.17</t>
        </is>
      </c>
      <c r="K166" s="14" t="inlineStr">
        <is>
          <t>68.85</t>
        </is>
      </c>
      <c r="L166" s="13" t="inlineStr">
        <is>
          <t>N/A</t>
        </is>
      </c>
      <c r="M166" s="13" t="inlineStr">
        <is>
          <t>Completed</t>
        </is>
      </c>
      <c r="N166" s="13" t="inlineStr">
        <is>
          <t>A. Shah</t>
        </is>
      </c>
    </row>
    <row r="167">
      <c r="A167" s="13" t="inlineStr">
        <is>
          <t>HC-100165</t>
        </is>
      </c>
      <c r="B167" s="13" t="inlineStr">
        <is>
          <t>26-Jan-25</t>
        </is>
      </c>
      <c r="C167" s="13" t="inlineStr">
        <is>
          <t>North</t>
        </is>
      </c>
      <c r="D167" s="13" t="inlineStr">
        <is>
          <t>Online</t>
        </is>
      </c>
      <c r="E167" s="13" t="inlineStr">
        <is>
          <t>Textiles</t>
        </is>
      </c>
      <c r="F167" s="13" t="inlineStr">
        <is>
          <t>Linen Curtain</t>
        </is>
      </c>
      <c r="G167" s="13" t="inlineStr">
        <is>
          <t>Consumer</t>
        </is>
      </c>
      <c r="H167" s="13" t="inlineStr">
        <is>
          <t>3</t>
        </is>
      </c>
      <c r="I167" s="14" t="inlineStr">
        <is>
          <t>100.38</t>
        </is>
      </c>
      <c r="J167" s="15" t="inlineStr">
        <is>
          <t>0.08</t>
        </is>
      </c>
      <c r="K167" s="14" t="inlineStr">
        <is>
          <t>45.17</t>
        </is>
      </c>
      <c r="L167" s="13" t="inlineStr">
        <is>
          <t>8</t>
        </is>
      </c>
      <c r="M167" s="13" t="inlineStr">
        <is>
          <t>Completed</t>
        </is>
      </c>
      <c r="N167" s="13" t="inlineStr">
        <is>
          <t>S. Nguyen</t>
        </is>
      </c>
    </row>
    <row r="168">
      <c r="A168" s="13" t="inlineStr">
        <is>
          <t>HC-100166</t>
        </is>
      </c>
      <c r="B168" s="13" t="inlineStr">
        <is>
          <t>2025/08/20</t>
        </is>
      </c>
      <c r="C168" s="13" t="inlineStr">
        <is>
          <t>West</t>
        </is>
      </c>
      <c r="D168" s="13" t="inlineStr">
        <is>
          <t>web</t>
        </is>
      </c>
      <c r="E168" s="13" t="inlineStr">
        <is>
          <t>Furniture</t>
        </is>
      </c>
      <c r="F168" s="13" t="inlineStr">
        <is>
          <t>Oak Desk</t>
        </is>
      </c>
      <c r="G168" s="13" t="inlineStr">
        <is>
          <t>consumer</t>
        </is>
      </c>
      <c r="H168" s="13" t="inlineStr">
        <is>
          <t>Two</t>
        </is>
      </c>
      <c r="I168" s="14" t="inlineStr">
        <is>
          <t>842.80</t>
        </is>
      </c>
      <c r="J168" s="15" t="inlineStr">
        <is>
          <t>0.14</t>
        </is>
      </c>
      <c r="K168" s="14" t="inlineStr">
        <is>
          <t>522.54</t>
        </is>
      </c>
      <c r="L168" s="13" t="inlineStr">
        <is>
          <t>9</t>
        </is>
      </c>
      <c r="M168" s="13" t="inlineStr">
        <is>
          <t>complete</t>
        </is>
      </c>
      <c r="N168" s="13" t="inlineStr">
        <is>
          <t>K. Mensah</t>
        </is>
      </c>
    </row>
    <row r="169">
      <c r="A169" s="13" t="inlineStr">
        <is>
          <t>HC-100167</t>
        </is>
      </c>
      <c r="B169" s="13" t="inlineStr">
        <is>
          <t>26.12.2024</t>
        </is>
      </c>
      <c r="C169" s="13" t="inlineStr">
        <is>
          <t xml:space="preserve"> North </t>
        </is>
      </c>
      <c r="D169" s="13" t="inlineStr">
        <is>
          <t>Store</t>
        </is>
      </c>
      <c r="E169" s="13" t="inlineStr">
        <is>
          <t>Kitchen</t>
        </is>
      </c>
      <c r="F169" s="13" t="inlineStr">
        <is>
          <t>Cast Skillet</t>
        </is>
      </c>
      <c r="G169" s="13" t="inlineStr">
        <is>
          <t>Consumer</t>
        </is>
      </c>
      <c r="H169" s="13" t="inlineStr">
        <is>
          <t>4</t>
        </is>
      </c>
      <c r="I169" s="14" t="inlineStr">
        <is>
          <t>51.63</t>
        </is>
      </c>
      <c r="J169" s="15" t="inlineStr">
        <is>
          <t>0.11</t>
        </is>
      </c>
      <c r="K169" s="14" t="inlineStr">
        <is>
          <t>20.65</t>
        </is>
      </c>
      <c r="L169" s="13" t="inlineStr">
        <is>
          <t>3</t>
        </is>
      </c>
      <c r="M169" s="13" t="inlineStr">
        <is>
          <t>Completed</t>
        </is>
      </c>
      <c r="N169" s="13" t="inlineStr">
        <is>
          <t>J. Patel</t>
        </is>
      </c>
    </row>
    <row r="170">
      <c r="A170" s="13" t="inlineStr">
        <is>
          <t>HC-100168</t>
        </is>
      </c>
      <c r="B170" s="13" t="inlineStr">
        <is>
          <t>01/14/2025</t>
        </is>
      </c>
      <c r="C170" s="13" t="inlineStr">
        <is>
          <t>West</t>
        </is>
      </c>
      <c r="D170" s="13" t="inlineStr">
        <is>
          <t>Online</t>
        </is>
      </c>
      <c r="E170" s="13" t="inlineStr">
        <is>
          <t>KITCHEN</t>
        </is>
      </c>
      <c r="F170" s="13" t="inlineStr">
        <is>
          <t>Chef Knife</t>
        </is>
      </c>
      <c r="G170" s="13" t="inlineStr">
        <is>
          <t>Corporate</t>
        </is>
      </c>
      <c r="H170" s="13" t="inlineStr">
        <is>
          <t>3</t>
        </is>
      </c>
      <c r="I170" s="14" t="inlineStr">
        <is>
          <t>67.20</t>
        </is>
      </c>
      <c r="J170" s="15" t="inlineStr">
        <is>
          <t>0.18</t>
        </is>
      </c>
      <c r="K170" s="14" t="inlineStr">
        <is>
          <t>24.19</t>
        </is>
      </c>
      <c r="L170" s="13" t="inlineStr">
        <is>
          <t>8</t>
        </is>
      </c>
      <c r="M170" s="13" t="inlineStr">
        <is>
          <t>Completed</t>
        </is>
      </c>
      <c r="N170" s="13" t="inlineStr">
        <is>
          <t>M. Okonkwo</t>
        </is>
      </c>
    </row>
    <row r="171">
      <c r="A171" s="13" t="inlineStr">
        <is>
          <t>HC-100169</t>
        </is>
      </c>
      <c r="B171" s="13" t="inlineStr">
        <is>
          <t>10-May-25</t>
        </is>
      </c>
      <c r="C171" s="13" t="inlineStr">
        <is>
          <t>West</t>
        </is>
      </c>
      <c r="D171" s="13" t="inlineStr">
        <is>
          <t>Store</t>
        </is>
      </c>
      <c r="E171" s="13" t="inlineStr">
        <is>
          <t>Textiles</t>
        </is>
      </c>
      <c r="F171" s="13" t="inlineStr">
        <is>
          <t>Cotton Duvet</t>
        </is>
      </c>
      <c r="G171" s="13" t="inlineStr">
        <is>
          <t>Consumer</t>
        </is>
      </c>
      <c r="H171" s="13" t="inlineStr">
        <is>
          <t>4</t>
        </is>
      </c>
      <c r="I171" s="14" t="inlineStr">
        <is>
          <t>117.90</t>
        </is>
      </c>
      <c r="J171" s="15" t="inlineStr">
        <is>
          <t>0.10</t>
        </is>
      </c>
      <c r="K171" s="14" t="inlineStr">
        <is>
          <t>51.87</t>
        </is>
      </c>
      <c r="L171" s="13" t="inlineStr">
        <is>
          <t>5</t>
        </is>
      </c>
      <c r="M171" s="13" t="inlineStr">
        <is>
          <t>COMPLETED</t>
        </is>
      </c>
      <c r="N171" s="13" t="inlineStr">
        <is>
          <t>R. Ibarra</t>
        </is>
      </c>
    </row>
    <row r="172">
      <c r="A172" s="13" t="inlineStr">
        <is>
          <t>HC-100170</t>
        </is>
      </c>
      <c r="B172" s="13" t="inlineStr">
        <is>
          <t>2024/04/01</t>
        </is>
      </c>
      <c r="C172" s="13" t="inlineStr">
        <is>
          <t>North</t>
        </is>
      </c>
      <c r="D172" s="13" t="inlineStr">
        <is>
          <t>Wholesale</t>
        </is>
      </c>
      <c r="E172" s="13" t="inlineStr">
        <is>
          <t>Furniture</t>
        </is>
      </c>
      <c r="F172" s="13" t="inlineStr">
        <is>
          <t>Walnut Shelf</t>
        </is>
      </c>
      <c r="G172" s="13" t="inlineStr">
        <is>
          <t>Consumer</t>
        </is>
      </c>
      <c r="H172" s="13" t="inlineStr">
        <is>
          <t>22</t>
        </is>
      </c>
      <c r="I172" s="14" t="inlineStr">
        <is>
          <t>209.40</t>
        </is>
      </c>
      <c r="J172" s="15" t="inlineStr">
        <is>
          <t>0.17</t>
        </is>
      </c>
      <c r="K172" s="14" t="inlineStr">
        <is>
          <t>115.17</t>
        </is>
      </c>
      <c r="L172" s="13" t="inlineStr">
        <is>
          <t>6</t>
        </is>
      </c>
      <c r="M172" s="13" t="inlineStr">
        <is>
          <t>Completed</t>
        </is>
      </c>
      <c r="N172" s="13" t="inlineStr">
        <is>
          <t>M. Okonkwo</t>
        </is>
      </c>
    </row>
    <row r="173">
      <c r="A173" s="13" t="inlineStr">
        <is>
          <t>HC-100171</t>
        </is>
      </c>
      <c r="B173" s="13" t="inlineStr">
        <is>
          <t>23.07.2024</t>
        </is>
      </c>
      <c r="C173" s="13" t="inlineStr">
        <is>
          <t>West</t>
        </is>
      </c>
      <c r="D173" s="13" t="inlineStr">
        <is>
          <t>Online</t>
        </is>
      </c>
      <c r="E173" s="13" t="inlineStr">
        <is>
          <t>TEXTILES</t>
        </is>
      </c>
      <c r="F173" s="13" t="inlineStr">
        <is>
          <t>Cotton Duvet</t>
        </is>
      </c>
      <c r="G173" s="13" t="inlineStr">
        <is>
          <t>Home Office</t>
        </is>
      </c>
      <c r="H173" s="13" t="inlineStr">
        <is>
          <t>3</t>
        </is>
      </c>
      <c r="I173" s="14" t="inlineStr">
        <is>
          <t>122.74</t>
        </is>
      </c>
      <c r="J173" s="15" t="inlineStr">
        <is>
          <t>0.13</t>
        </is>
      </c>
      <c r="K173" s="14" t="inlineStr">
        <is>
          <t>54.01</t>
        </is>
      </c>
      <c r="L173" s="13" t="inlineStr">
        <is>
          <t>9</t>
        </is>
      </c>
      <c r="M173" s="13" t="inlineStr">
        <is>
          <t>Completed</t>
        </is>
      </c>
      <c r="N173" s="13" t="inlineStr">
        <is>
          <t>J. Patel</t>
        </is>
      </c>
    </row>
    <row r="174">
      <c r="A174" s="13" t="inlineStr">
        <is>
          <t>HC-100172</t>
        </is>
      </c>
      <c r="B174" s="13" t="inlineStr">
        <is>
          <t>06/20/2025</t>
        </is>
      </c>
      <c r="C174" s="13" t="inlineStr">
        <is>
          <t>Nort</t>
        </is>
      </c>
      <c r="D174" s="13" t="inlineStr">
        <is>
          <t>Online</t>
        </is>
      </c>
      <c r="E174" s="13" t="inlineStr">
        <is>
          <t>Lighting</t>
        </is>
      </c>
      <c r="F174" s="13" t="inlineStr">
        <is>
          <t>Arc Lamp</t>
        </is>
      </c>
      <c r="G174" s="13" t="inlineStr">
        <is>
          <t>consumer</t>
        </is>
      </c>
      <c r="H174" s="13" t="inlineStr">
        <is>
          <t>1</t>
        </is>
      </c>
      <c r="I174" s="14" t="inlineStr">
        <is>
          <t>327.82</t>
        </is>
      </c>
      <c r="J174" s="15" t="inlineStr">
        <is>
          <t>0.06</t>
        </is>
      </c>
      <c r="K174" s="14" t="inlineStr">
        <is>
          <t>157.35</t>
        </is>
      </c>
      <c r="L174" s="13" t="inlineStr">
        <is>
          <t>3</t>
        </is>
      </c>
      <c r="M174" s="13" t="inlineStr">
        <is>
          <t>COMPLETED</t>
        </is>
      </c>
      <c r="N174" s="13" t="inlineStr">
        <is>
          <t>R. Ibarra</t>
        </is>
      </c>
    </row>
    <row r="175">
      <c r="A175" s="13" t="inlineStr">
        <is>
          <t>HC-100173</t>
        </is>
      </c>
      <c r="B175" s="13" t="inlineStr">
        <is>
          <t>13-Oct-24</t>
        </is>
      </c>
      <c r="C175" s="13" t="inlineStr">
        <is>
          <t>North</t>
        </is>
      </c>
      <c r="D175" s="13" t="inlineStr">
        <is>
          <t>Store</t>
        </is>
      </c>
      <c r="E175" s="13" t="inlineStr">
        <is>
          <t>LIGHTING</t>
        </is>
      </c>
      <c r="F175" s="13" t="inlineStr">
        <is>
          <t>Arc Lamp</t>
        </is>
      </c>
      <c r="G175" s="13" t="inlineStr">
        <is>
          <t>Corporate</t>
        </is>
      </c>
      <c r="H175" s="13" t="inlineStr">
        <is>
          <t>3</t>
        </is>
      </c>
      <c r="I175" s="14" t="inlineStr">
        <is>
          <t>315.50</t>
        </is>
      </c>
      <c r="J175" s="15" t="inlineStr">
        <is>
          <t>0.04</t>
        </is>
      </c>
      <c r="K175" s="14" t="inlineStr">
        <is>
          <t>151.44</t>
        </is>
      </c>
      <c r="L175" s="13" t="inlineStr">
        <is>
          <t>4</t>
        </is>
      </c>
      <c r="M175" s="13" t="inlineStr">
        <is>
          <t>Completed</t>
        </is>
      </c>
      <c r="N175" s="13" t="inlineStr">
        <is>
          <t>K. Mensah</t>
        </is>
      </c>
    </row>
    <row r="176">
      <c r="A176" s="13" t="inlineStr">
        <is>
          <t>HC-100174</t>
        </is>
      </c>
      <c r="B176" s="13" t="inlineStr">
        <is>
          <t>2024/08/28</t>
        </is>
      </c>
      <c r="C176" s="13" t="inlineStr">
        <is>
          <t>west</t>
        </is>
      </c>
      <c r="D176" s="13" t="inlineStr">
        <is>
          <t>Online</t>
        </is>
      </c>
      <c r="E176" s="13" t="inlineStr">
        <is>
          <t>Lighting</t>
        </is>
      </c>
      <c r="F176" s="13" t="inlineStr">
        <is>
          <t>Brass Sconce</t>
        </is>
      </c>
      <c r="G176" s="13" t="inlineStr">
        <is>
          <t>Consumer</t>
        </is>
      </c>
      <c r="H176" s="13" t="inlineStr">
        <is>
          <t>1</t>
        </is>
      </c>
      <c r="I176" s="14" t="inlineStr">
        <is>
          <t>$130.87</t>
        </is>
      </c>
      <c r="J176" s="15" t="inlineStr">
        <is>
          <t>0.12</t>
        </is>
      </c>
      <c r="K176" s="14" t="inlineStr">
        <is>
          <t>60.20</t>
        </is>
      </c>
      <c r="L176" s="13" t="inlineStr">
        <is>
          <t>5</t>
        </is>
      </c>
      <c r="M176" s="13" t="inlineStr">
        <is>
          <t>Completed</t>
        </is>
      </c>
      <c r="N176" s="13" t="inlineStr">
        <is>
          <t>L. Berger</t>
        </is>
      </c>
    </row>
    <row r="177">
      <c r="A177" s="13" t="inlineStr">
        <is>
          <t>HC-100175</t>
        </is>
      </c>
      <c r="B177" s="13" t="inlineStr">
        <is>
          <t>14.10.2024</t>
        </is>
      </c>
      <c r="C177" s="13" t="inlineStr">
        <is>
          <t>West</t>
        </is>
      </c>
      <c r="D177" s="13" t="inlineStr">
        <is>
          <t>Wholesale</t>
        </is>
      </c>
      <c r="E177" s="13" t="inlineStr">
        <is>
          <t>Textiles</t>
        </is>
      </c>
      <c r="F177" s="13" t="inlineStr">
        <is>
          <t>Linen Curtain</t>
        </is>
      </c>
      <c r="G177" s="13" t="inlineStr">
        <is>
          <t>Corporate</t>
        </is>
      </c>
      <c r="H177" s="13" t="inlineStr">
        <is>
          <t>35</t>
        </is>
      </c>
      <c r="I177" s="14" t="inlineStr">
        <is>
          <t>100.35</t>
        </is>
      </c>
      <c r="J177" s="15" t="inlineStr">
        <is>
          <t>0.27</t>
        </is>
      </c>
      <c r="K177" s="14" t="inlineStr">
        <is>
          <t>45.16</t>
        </is>
      </c>
      <c r="L177" s="13" t="inlineStr">
        <is>
          <t>7</t>
        </is>
      </c>
      <c r="M177" s="13" t="inlineStr">
        <is>
          <t>Returned</t>
        </is>
      </c>
      <c r="N177" s="13" t="inlineStr">
        <is>
          <t>K. Mensah</t>
        </is>
      </c>
    </row>
    <row r="178">
      <c r="A178" s="13" t="inlineStr">
        <is>
          <t>HC-100176</t>
        </is>
      </c>
      <c r="B178" s="13" t="inlineStr">
        <is>
          <t>03/29/2025</t>
        </is>
      </c>
      <c r="C178" s="13" t="inlineStr">
        <is>
          <t>West</t>
        </is>
      </c>
      <c r="D178" s="13" t="inlineStr">
        <is>
          <t>B2B</t>
        </is>
      </c>
      <c r="E178" s="13" t="inlineStr">
        <is>
          <t>Kitchen</t>
        </is>
      </c>
      <c r="F178" s="13" t="inlineStr">
        <is>
          <t>Chef Knife</t>
        </is>
      </c>
      <c r="G178" s="13" t="inlineStr">
        <is>
          <t>Corporate</t>
        </is>
      </c>
      <c r="H178" s="13" t="inlineStr">
        <is>
          <t>24</t>
        </is>
      </c>
      <c r="I178" s="14" t="inlineStr">
        <is>
          <t>60.59</t>
        </is>
      </c>
      <c r="J178" s="15" t="inlineStr">
        <is>
          <t>0.24</t>
        </is>
      </c>
      <c r="K178" s="14" t="inlineStr">
        <is>
          <t>21.81</t>
        </is>
      </c>
      <c r="L178" s="13" t="inlineStr">
        <is>
          <t>6</t>
        </is>
      </c>
      <c r="M178" s="13" t="inlineStr">
        <is>
          <t>Cancelled</t>
        </is>
      </c>
      <c r="N178" s="13" t="inlineStr">
        <is>
          <t>J. Patel</t>
        </is>
      </c>
    </row>
    <row r="179">
      <c r="A179" s="13" t="inlineStr">
        <is>
          <t>HC-100177</t>
        </is>
      </c>
      <c r="B179" s="13" t="inlineStr">
        <is>
          <t>26-Jun-24</t>
        </is>
      </c>
      <c r="C179" s="13" t="inlineStr">
        <is>
          <t>North</t>
        </is>
      </c>
      <c r="D179" s="13" t="inlineStr">
        <is>
          <t>Online</t>
        </is>
      </c>
      <c r="E179" s="13" t="inlineStr">
        <is>
          <t>Lighting</t>
        </is>
      </c>
      <c r="F179" s="13" t="inlineStr">
        <is>
          <t>Arc Lamp</t>
        </is>
      </c>
      <c r="G179" s="13" t="inlineStr">
        <is>
          <t>home office</t>
        </is>
      </c>
      <c r="H179" s="13" t="inlineStr">
        <is>
          <t>3</t>
        </is>
      </c>
      <c r="I179" s="14" t="inlineStr">
        <is>
          <t>302.25</t>
        </is>
      </c>
      <c r="J179" s="15" t="inlineStr">
        <is>
          <t>0.09</t>
        </is>
      </c>
      <c r="K179" s="14" t="inlineStr">
        <is>
          <t>145.08</t>
        </is>
      </c>
      <c r="L179" s="13" t="inlineStr">
        <is>
          <t>6</t>
        </is>
      </c>
      <c r="M179" s="13" t="inlineStr">
        <is>
          <t>Completed</t>
        </is>
      </c>
      <c r="N179" s="13" t="inlineStr">
        <is>
          <t>M. Okonkwo</t>
        </is>
      </c>
    </row>
    <row r="180">
      <c r="A180" s="13" t="inlineStr">
        <is>
          <t>HC-100178</t>
        </is>
      </c>
      <c r="B180" s="13" t="inlineStr">
        <is>
          <t>2025/08/12</t>
        </is>
      </c>
      <c r="C180" s="13" t="inlineStr">
        <is>
          <t>East</t>
        </is>
      </c>
      <c r="D180" s="13" t="inlineStr">
        <is>
          <t>Online</t>
        </is>
      </c>
      <c r="E180" s="13" t="inlineStr">
        <is>
          <t>Kitchen</t>
        </is>
      </c>
      <c r="F180" s="13" t="inlineStr">
        <is>
          <t>Cast Skillet</t>
        </is>
      </c>
      <c r="G180" s="13" t="inlineStr">
        <is>
          <t>Consumer</t>
        </is>
      </c>
      <c r="H180" s="13" t="inlineStr">
        <is>
          <t>2</t>
        </is>
      </c>
      <c r="I180" s="14" t="inlineStr">
        <is>
          <t>45.32</t>
        </is>
      </c>
      <c r="J180" s="15" t="inlineStr">
        <is>
          <t>0.13</t>
        </is>
      </c>
      <c r="K180" s="14" t="inlineStr">
        <is>
          <t>18.13</t>
        </is>
      </c>
      <c r="L180" s="13" t="inlineStr">
        <is>
          <t>5</t>
        </is>
      </c>
      <c r="M180" s="13" t="inlineStr">
        <is>
          <t>Completed</t>
        </is>
      </c>
      <c r="N180" s="13" t="inlineStr">
        <is>
          <t>R. Ibarra</t>
        </is>
      </c>
    </row>
    <row r="181">
      <c r="A181" s="13" t="inlineStr">
        <is>
          <t>HC-100179</t>
        </is>
      </c>
      <c r="B181" s="13" t="inlineStr">
        <is>
          <t>01.08.2024</t>
        </is>
      </c>
      <c r="C181" s="13" t="inlineStr">
        <is>
          <t>North</t>
        </is>
      </c>
      <c r="D181" s="13" t="inlineStr">
        <is>
          <t>Online</t>
        </is>
      </c>
      <c r="E181" s="13" t="inlineStr">
        <is>
          <t>Textiles</t>
        </is>
      </c>
      <c r="F181" s="13" t="inlineStr">
        <is>
          <t>Wool Throw</t>
        </is>
      </c>
      <c r="G181" s="13" t="inlineStr">
        <is>
          <t>Consumer</t>
        </is>
      </c>
      <c r="H181" s="13" t="inlineStr">
        <is>
          <t>2</t>
        </is>
      </c>
      <c r="I181" s="14" t="inlineStr">
        <is>
          <t>73.98</t>
        </is>
      </c>
      <c r="J181" s="15" t="inlineStr">
        <is>
          <t>0.14</t>
        </is>
      </c>
      <c r="K181" s="14" t="inlineStr">
        <is>
          <t>31.07</t>
        </is>
      </c>
      <c r="L181" s="13" t="inlineStr">
        <is>
          <t>6</t>
        </is>
      </c>
      <c r="M181" s="13" t="inlineStr">
        <is>
          <t>Completed</t>
        </is>
      </c>
      <c r="N181" s="13" t="inlineStr">
        <is>
          <t>P. Rossi</t>
        </is>
      </c>
    </row>
    <row r="182">
      <c r="A182" s="13" t="inlineStr">
        <is>
          <t>HC-100180</t>
        </is>
      </c>
      <c r="B182" s="13" t="inlineStr">
        <is>
          <t>02/21/2024</t>
        </is>
      </c>
      <c r="C182" s="13" t="inlineStr">
        <is>
          <t>South</t>
        </is>
      </c>
      <c r="D182" s="13" t="inlineStr">
        <is>
          <t>Store</t>
        </is>
      </c>
      <c r="E182" s="13" t="inlineStr">
        <is>
          <t>Furniture</t>
        </is>
      </c>
      <c r="F182" s="13" t="inlineStr">
        <is>
          <t>Linen Sofa</t>
        </is>
      </c>
      <c r="G182" s="13" t="inlineStr">
        <is>
          <t>Consumer</t>
        </is>
      </c>
      <c r="H182" s="13" t="inlineStr">
        <is>
          <t>1</t>
        </is>
      </c>
      <c r="I182" s="14" t="inlineStr">
        <is>
          <t>1303.70</t>
        </is>
      </c>
      <c r="J182" s="15" t="inlineStr">
        <is>
          <t>0.10</t>
        </is>
      </c>
      <c r="K182" s="14" t="inlineStr">
        <is>
          <t>860.44</t>
        </is>
      </c>
      <c r="L182" s="13" t="inlineStr">
        <is>
          <t>5</t>
        </is>
      </c>
      <c r="M182" s="13" t="inlineStr">
        <is>
          <t>Completed</t>
        </is>
      </c>
      <c r="N182" s="13" t="inlineStr">
        <is>
          <t>P. Rossi</t>
        </is>
      </c>
    </row>
    <row r="183">
      <c r="A183" s="13" t="inlineStr">
        <is>
          <t>HC-100181</t>
        </is>
      </c>
      <c r="B183" s="13" t="inlineStr">
        <is>
          <t>03-Jul-24</t>
        </is>
      </c>
      <c r="C183" s="13" t="inlineStr">
        <is>
          <t>East</t>
        </is>
      </c>
      <c r="D183" s="13" t="inlineStr">
        <is>
          <t>Store</t>
        </is>
      </c>
      <c r="E183" s="13" t="inlineStr">
        <is>
          <t>Kitchen</t>
        </is>
      </c>
      <c r="F183" s="13" t="inlineStr">
        <is>
          <t>Chef Knife</t>
        </is>
      </c>
      <c r="G183" s="13" t="inlineStr">
        <is>
          <t>Corporate</t>
        </is>
      </c>
      <c r="H183" s="13" t="inlineStr">
        <is>
          <t>2</t>
        </is>
      </c>
      <c r="I183" s="14" t="inlineStr">
        <is>
          <t>58.92</t>
        </is>
      </c>
      <c r="J183" s="15" t="inlineStr">
        <is>
          <t>0.08</t>
        </is>
      </c>
      <c r="K183" s="14" t="inlineStr">
        <is>
          <t>21.21</t>
        </is>
      </c>
      <c r="L183" s="13" t="inlineStr">
        <is>
          <t>8</t>
        </is>
      </c>
      <c r="M183" s="13" t="inlineStr">
        <is>
          <t>Completed</t>
        </is>
      </c>
      <c r="N183" s="13" t="inlineStr">
        <is>
          <t>L. Berger</t>
        </is>
      </c>
    </row>
    <row r="184">
      <c r="A184" s="13" t="inlineStr">
        <is>
          <t>HC-100182</t>
        </is>
      </c>
      <c r="B184" s="13" t="inlineStr">
        <is>
          <t>2024/10/21</t>
        </is>
      </c>
      <c r="C184" s="13" t="inlineStr">
        <is>
          <t>North</t>
        </is>
      </c>
      <c r="D184" s="13" t="inlineStr">
        <is>
          <t>Online</t>
        </is>
      </c>
      <c r="E184" s="13" t="inlineStr">
        <is>
          <t>Furniture</t>
        </is>
      </c>
      <c r="F184" s="13" t="inlineStr">
        <is>
          <t>Walnut Shelf</t>
        </is>
      </c>
      <c r="G184" s="13" t="inlineStr">
        <is>
          <t>Consumer</t>
        </is>
      </c>
      <c r="H184" s="13" t="inlineStr">
        <is>
          <t>3</t>
        </is>
      </c>
      <c r="I184" s="14" t="inlineStr">
        <is>
          <t>235.81</t>
        </is>
      </c>
      <c r="J184" s="15" t="inlineStr">
        <is>
          <t>0.07</t>
        </is>
      </c>
      <c r="K184" s="14" t="inlineStr">
        <is>
          <t>129.70</t>
        </is>
      </c>
      <c r="L184" s="13" t="inlineStr">
        <is>
          <t>N/A</t>
        </is>
      </c>
      <c r="M184" s="13" t="inlineStr">
        <is>
          <t>Completed</t>
        </is>
      </c>
      <c r="N184" s="13" t="inlineStr">
        <is>
          <t>P. Rossi</t>
        </is>
      </c>
    </row>
    <row r="185">
      <c r="A185" s="13" t="inlineStr">
        <is>
          <t>HC-100183</t>
        </is>
      </c>
      <c r="B185" s="13" t="inlineStr">
        <is>
          <t>26.01.2024</t>
        </is>
      </c>
      <c r="C185" s="13" t="inlineStr">
        <is>
          <t>WEST</t>
        </is>
      </c>
      <c r="D185" s="13" t="inlineStr">
        <is>
          <t>Wholesale</t>
        </is>
      </c>
      <c r="E185" s="13" t="inlineStr">
        <is>
          <t>Textiles</t>
        </is>
      </c>
      <c r="F185" s="13" t="inlineStr">
        <is>
          <t>Cotton Duvet</t>
        </is>
      </c>
      <c r="G185" s="13" t="inlineStr">
        <is>
          <t>Home Office</t>
        </is>
      </c>
      <c r="H185" s="13" t="inlineStr">
        <is>
          <t>32</t>
        </is>
      </c>
      <c r="I185" s="14" t="inlineStr">
        <is>
          <t>111.15</t>
        </is>
      </c>
      <c r="J185" s="15" t="inlineStr">
        <is>
          <t>0.31</t>
        </is>
      </c>
      <c r="K185" s="14" t="inlineStr">
        <is>
          <t>48.91</t>
        </is>
      </c>
      <c r="L185" s="13" t="inlineStr">
        <is>
          <t>3</t>
        </is>
      </c>
      <c r="M185" s="13" t="inlineStr">
        <is>
          <t>Cancelled</t>
        </is>
      </c>
      <c r="N185" s="13" t="inlineStr">
        <is>
          <t>R. Ibarra</t>
        </is>
      </c>
    </row>
    <row r="186">
      <c r="A186" s="13" t="inlineStr">
        <is>
          <t>HC-100184</t>
        </is>
      </c>
      <c r="B186" s="13" t="inlineStr">
        <is>
          <t>05/05/2024</t>
        </is>
      </c>
      <c r="C186" s="13" t="inlineStr">
        <is>
          <t>North</t>
        </is>
      </c>
      <c r="D186" s="13" t="inlineStr">
        <is>
          <t>Online</t>
        </is>
      </c>
      <c r="E186" s="13" t="inlineStr">
        <is>
          <t>Textiles</t>
        </is>
      </c>
      <c r="F186" s="13" t="inlineStr">
        <is>
          <t>Wool Throw</t>
        </is>
      </c>
      <c r="G186" s="13" t="inlineStr">
        <is>
          <t>Consumer</t>
        </is>
      </c>
      <c r="H186" s="13" t="inlineStr">
        <is>
          <t>2</t>
        </is>
      </c>
      <c r="I186" s="14" t="inlineStr">
        <is>
          <t>77.02</t>
        </is>
      </c>
      <c r="J186" s="15" t="inlineStr">
        <is>
          <t>0.08</t>
        </is>
      </c>
      <c r="K186" s="14" t="inlineStr">
        <is>
          <t>32.35</t>
        </is>
      </c>
      <c r="L186" s="13" t="inlineStr">
        <is>
          <t>5</t>
        </is>
      </c>
      <c r="M186" s="13" t="inlineStr">
        <is>
          <t>Completed</t>
        </is>
      </c>
      <c r="N186" s="13" t="inlineStr">
        <is>
          <t>P. Rossi</t>
        </is>
      </c>
    </row>
    <row r="187">
      <c r="A187" s="13" t="inlineStr">
        <is>
          <t>HC-100185</t>
        </is>
      </c>
      <c r="B187" s="13" t="inlineStr">
        <is>
          <t>25-Jun-24</t>
        </is>
      </c>
      <c r="C187" s="13" t="inlineStr">
        <is>
          <t>West</t>
        </is>
      </c>
      <c r="D187" s="13" t="inlineStr">
        <is>
          <t>Store</t>
        </is>
      </c>
      <c r="E187" s="13" t="inlineStr">
        <is>
          <t>KITCHEN</t>
        </is>
      </c>
      <c r="F187" s="13" t="inlineStr">
        <is>
          <t>Ceramic Set</t>
        </is>
      </c>
      <c r="G187" s="13" t="inlineStr">
        <is>
          <t>Home Office</t>
        </is>
      </c>
      <c r="H187" s="13" t="inlineStr">
        <is>
          <t>1</t>
        </is>
      </c>
      <c r="I187" s="14" t="inlineStr">
        <is>
          <t>86.50</t>
        </is>
      </c>
      <c r="J187" s="15" t="inlineStr">
        <is>
          <t>0.07</t>
        </is>
      </c>
      <c r="K187" s="14" t="inlineStr">
        <is>
          <t>32.87</t>
        </is>
      </c>
      <c r="L187" s="13" t="inlineStr">
        <is>
          <t>5</t>
        </is>
      </c>
      <c r="M187" s="13" t="inlineStr">
        <is>
          <t>Compleated</t>
        </is>
      </c>
      <c r="N187" s="13" t="inlineStr">
        <is>
          <t>P. Rossi</t>
        </is>
      </c>
    </row>
    <row r="188">
      <c r="A188" s="13" t="inlineStr">
        <is>
          <t>HC-100186</t>
        </is>
      </c>
      <c r="B188" s="13" t="inlineStr">
        <is>
          <t>2024/05/26</t>
        </is>
      </c>
      <c r="C188" s="13" t="inlineStr">
        <is>
          <t>East</t>
        </is>
      </c>
      <c r="D188" s="13" t="inlineStr">
        <is>
          <t>Store</t>
        </is>
      </c>
      <c r="E188" s="13" t="inlineStr">
        <is>
          <t>Kitchen</t>
        </is>
      </c>
      <c r="F188" s="13" t="inlineStr">
        <is>
          <t>Ceramic Set</t>
        </is>
      </c>
      <c r="G188" s="13" t="inlineStr">
        <is>
          <t>Home Office</t>
        </is>
      </c>
      <c r="H188" s="13" t="inlineStr">
        <is>
          <t>2</t>
        </is>
      </c>
      <c r="I188" s="14" t="inlineStr">
        <is>
          <t>82.05</t>
        </is>
      </c>
      <c r="J188" s="15" t="inlineStr">
        <is>
          <t>0.01</t>
        </is>
      </c>
      <c r="K188" s="14" t="inlineStr">
        <is>
          <t>31.18</t>
        </is>
      </c>
      <c r="L188" s="13" t="inlineStr">
        <is>
          <t>9</t>
        </is>
      </c>
      <c r="M188" s="13" t="inlineStr">
        <is>
          <t>Completed</t>
        </is>
      </c>
      <c r="N188" s="13" t="inlineStr">
        <is>
          <t>M. Okonkwo</t>
        </is>
      </c>
    </row>
    <row r="189">
      <c r="A189" s="13" t="inlineStr">
        <is>
          <t>HC-100187</t>
        </is>
      </c>
      <c r="B189" s="13" t="inlineStr">
        <is>
          <t>19.07.2024</t>
        </is>
      </c>
      <c r="C189" s="13" t="inlineStr">
        <is>
          <t>South</t>
        </is>
      </c>
      <c r="D189" s="13" t="inlineStr">
        <is>
          <t>In-Store</t>
        </is>
      </c>
      <c r="E189" s="13" t="inlineStr">
        <is>
          <t>Lighting</t>
        </is>
      </c>
      <c r="F189" s="13" t="inlineStr">
        <is>
          <t>Pendant Light</t>
        </is>
      </c>
      <c r="G189" s="13" t="inlineStr">
        <is>
          <t>Consumer</t>
        </is>
      </c>
      <c r="H189" s="13" t="inlineStr">
        <is>
          <t>1</t>
        </is>
      </c>
      <c r="I189" s="14" t="inlineStr">
        <is>
          <t>169.73</t>
        </is>
      </c>
      <c r="J189" s="15" t="inlineStr">
        <is>
          <t>0.05</t>
        </is>
      </c>
      <c r="K189" s="14" t="inlineStr">
        <is>
          <t>84.86</t>
        </is>
      </c>
      <c r="L189" s="13" t="inlineStr">
        <is>
          <t>6</t>
        </is>
      </c>
      <c r="M189" s="13" t="inlineStr">
        <is>
          <t>Returned</t>
        </is>
      </c>
      <c r="N189" s="13" t="inlineStr">
        <is>
          <t>P. Rossi</t>
        </is>
      </c>
    </row>
    <row r="190">
      <c r="A190" s="13" t="inlineStr">
        <is>
          <t>HC-100188</t>
        </is>
      </c>
      <c r="B190" s="13" t="inlineStr">
        <is>
          <t>03/14/2024</t>
        </is>
      </c>
      <c r="C190" s="13" t="inlineStr">
        <is>
          <t>Sout</t>
        </is>
      </c>
      <c r="D190" s="13" t="inlineStr">
        <is>
          <t>Wholesale</t>
        </is>
      </c>
      <c r="E190" s="13" t="inlineStr">
        <is>
          <t>Kitchen</t>
        </is>
      </c>
      <c r="F190" s="13" t="inlineStr">
        <is>
          <t>Ceramic Set</t>
        </is>
      </c>
      <c r="G190" s="13" t="inlineStr">
        <is>
          <t>Consumer</t>
        </is>
      </c>
      <c r="H190" s="13" t="inlineStr">
        <is>
          <t>32</t>
        </is>
      </c>
      <c r="I190" s="14" t="inlineStr">
        <is>
          <t>80.23</t>
        </is>
      </c>
      <c r="J190" s="15" t="inlineStr">
        <is>
          <t>0.20</t>
        </is>
      </c>
      <c r="K190" s="14" t="inlineStr">
        <is>
          <t>30.49</t>
        </is>
      </c>
      <c r="L190" s="13" t="inlineStr">
        <is>
          <t>2</t>
        </is>
      </c>
      <c r="M190" s="13" t="inlineStr">
        <is>
          <t>complete</t>
        </is>
      </c>
      <c r="N190" s="13" t="inlineStr">
        <is>
          <t>J. Patel</t>
        </is>
      </c>
    </row>
    <row r="191">
      <c r="A191" s="13" t="inlineStr">
        <is>
          <t>HC-100189</t>
        </is>
      </c>
      <c r="B191" s="13" t="inlineStr">
        <is>
          <t>24-Nov-24</t>
        </is>
      </c>
      <c r="C191" s="13" t="inlineStr">
        <is>
          <t>North</t>
        </is>
      </c>
      <c r="D191" s="13" t="inlineStr">
        <is>
          <t>Online</t>
        </is>
      </c>
      <c r="E191" s="13" t="inlineStr">
        <is>
          <t>Furniture</t>
        </is>
      </c>
      <c r="F191" s="13" t="inlineStr">
        <is>
          <t>Oak Desk</t>
        </is>
      </c>
      <c r="G191" s="13" t="inlineStr">
        <is>
          <t>Consumer</t>
        </is>
      </c>
      <c r="H191" s="13" t="inlineStr">
        <is>
          <t>4</t>
        </is>
      </c>
      <c r="I191" s="14" t="inlineStr">
        <is>
          <t>778.58</t>
        </is>
      </c>
      <c r="J191" s="15" t="inlineStr">
        <is>
          <t>0.17</t>
        </is>
      </c>
      <c r="K191" s="14" t="inlineStr">
        <is>
          <t>482.72</t>
        </is>
      </c>
      <c r="L191" s="13" t="inlineStr">
        <is>
          <t>7</t>
        </is>
      </c>
      <c r="M191" s="13" t="inlineStr">
        <is>
          <t>Completed</t>
        </is>
      </c>
      <c r="N191" s="13" t="inlineStr">
        <is>
          <t>M. Okonkwo</t>
        </is>
      </c>
    </row>
    <row r="192">
      <c r="A192" s="13" t="inlineStr">
        <is>
          <t>HC-100190</t>
        </is>
      </c>
      <c r="B192" s="13" t="inlineStr">
        <is>
          <t>2024/11/22</t>
        </is>
      </c>
      <c r="C192" s="13" t="inlineStr">
        <is>
          <t>West</t>
        </is>
      </c>
      <c r="D192" s="13" t="inlineStr">
        <is>
          <t>Online</t>
        </is>
      </c>
      <c r="E192" s="13" t="inlineStr">
        <is>
          <t>Lighting</t>
        </is>
      </c>
      <c r="F192" s="13" t="inlineStr">
        <is>
          <t>Brass Sconce</t>
        </is>
      </c>
      <c r="G192" s="13" t="inlineStr">
        <is>
          <t>Corporate</t>
        </is>
      </c>
      <c r="H192" s="13" t="inlineStr">
        <is>
          <t>3</t>
        </is>
      </c>
      <c r="I192" s="14" t="inlineStr">
        <is>
          <t>131.58</t>
        </is>
      </c>
      <c r="J192" s="15" t="inlineStr">
        <is>
          <t>0.11</t>
        </is>
      </c>
      <c r="K192" s="14" t="inlineStr">
        <is>
          <t>60.53</t>
        </is>
      </c>
      <c r="L192" s="13" t="inlineStr">
        <is>
          <t>7</t>
        </is>
      </c>
      <c r="M192" s="13" t="inlineStr">
        <is>
          <t>Completed</t>
        </is>
      </c>
      <c r="N192" s="13" t="inlineStr">
        <is>
          <t>S. Nguyen</t>
        </is>
      </c>
    </row>
    <row r="193">
      <c r="A193" s="13" t="inlineStr">
        <is>
          <t>HC-100191</t>
        </is>
      </c>
      <c r="B193" s="13" t="inlineStr">
        <is>
          <t>12.04.2025</t>
        </is>
      </c>
      <c r="C193" s="13" t="inlineStr">
        <is>
          <t>West</t>
        </is>
      </c>
      <c r="D193" s="13" t="inlineStr">
        <is>
          <t>Online</t>
        </is>
      </c>
      <c r="E193" s="13" t="inlineStr">
        <is>
          <t>Textiles</t>
        </is>
      </c>
      <c r="F193" s="13" t="inlineStr">
        <is>
          <t>Cotton Duvet</t>
        </is>
      </c>
      <c r="G193" s="13" t="inlineStr">
        <is>
          <t>Consumer</t>
        </is>
      </c>
      <c r="H193" s="13" t="inlineStr">
        <is>
          <t>2</t>
        </is>
      </c>
      <c r="I193" s="14" t="inlineStr">
        <is>
          <t>126.71</t>
        </is>
      </c>
      <c r="J193" s="15" t="inlineStr">
        <is>
          <t>0.15</t>
        </is>
      </c>
      <c r="K193" s="14" t="inlineStr">
        <is>
          <t>55.75</t>
        </is>
      </c>
      <c r="L193" s="13" t="inlineStr">
        <is>
          <t>5</t>
        </is>
      </c>
      <c r="M193" s="13" t="inlineStr">
        <is>
          <t>COMPLETED</t>
        </is>
      </c>
      <c r="N193" s="13" t="inlineStr">
        <is>
          <t>R. Ibarra</t>
        </is>
      </c>
    </row>
    <row r="194">
      <c r="A194" s="13" t="inlineStr">
        <is>
          <t>HC-100192</t>
        </is>
      </c>
      <c r="B194" s="13" t="inlineStr">
        <is>
          <t>09/13/2024</t>
        </is>
      </c>
      <c r="C194" s="13" t="inlineStr">
        <is>
          <t>SOUTH</t>
        </is>
      </c>
      <c r="D194" s="13" t="inlineStr">
        <is>
          <t>Store</t>
        </is>
      </c>
      <c r="E194" s="13" t="inlineStr">
        <is>
          <t>Furniture</t>
        </is>
      </c>
      <c r="F194" s="13" t="inlineStr">
        <is>
          <t>Walnut Shelf</t>
        </is>
      </c>
      <c r="G194" s="13" t="inlineStr">
        <is>
          <t>Consumer</t>
        </is>
      </c>
      <c r="H194" s="13" t="inlineStr">
        <is>
          <t>4</t>
        </is>
      </c>
      <c r="I194" s="14" t="inlineStr">
        <is>
          <t>$222.60</t>
        </is>
      </c>
      <c r="J194" s="15" t="inlineStr">
        <is>
          <t>0.08</t>
        </is>
      </c>
      <c r="K194" s="14" t="inlineStr">
        <is>
          <t>122.43</t>
        </is>
      </c>
      <c r="L194" s="13" t="inlineStr">
        <is>
          <t>4</t>
        </is>
      </c>
      <c r="M194" s="13" t="inlineStr">
        <is>
          <t>Completed</t>
        </is>
      </c>
      <c r="N194" s="13" t="inlineStr">
        <is>
          <t>R. Ibarra</t>
        </is>
      </c>
    </row>
    <row r="195">
      <c r="A195" s="13" t="inlineStr">
        <is>
          <t>HC-100193</t>
        </is>
      </c>
      <c r="B195" s="13" t="inlineStr">
        <is>
          <t>22-Jun-25</t>
        </is>
      </c>
      <c r="C195" s="13" t="inlineStr">
        <is>
          <t>North</t>
        </is>
      </c>
      <c r="D195" s="13" t="inlineStr">
        <is>
          <t>Store</t>
        </is>
      </c>
      <c r="E195" s="13" t="inlineStr">
        <is>
          <t>Furniture</t>
        </is>
      </c>
      <c r="F195" s="13" t="inlineStr">
        <is>
          <t>Oak Desk</t>
        </is>
      </c>
      <c r="G195" s="13" t="inlineStr">
        <is>
          <t>Corporate</t>
        </is>
      </c>
      <c r="H195" s="13" t="inlineStr">
        <is>
          <t>3</t>
        </is>
      </c>
      <c r="I195" s="14" t="inlineStr">
        <is>
          <t>865.10</t>
        </is>
      </c>
      <c r="J195" s="15" t="inlineStr">
        <is>
          <t>0.07</t>
        </is>
      </c>
      <c r="K195" s="14" t="inlineStr">
        <is>
          <t>536.36</t>
        </is>
      </c>
      <c r="L195" s="13" t="inlineStr">
        <is>
          <t>5</t>
        </is>
      </c>
      <c r="M195" s="13" t="inlineStr">
        <is>
          <t>Compleated</t>
        </is>
      </c>
      <c r="N195" s="13" t="inlineStr">
        <is>
          <t>R. Ibarra</t>
        </is>
      </c>
    </row>
    <row r="196">
      <c r="A196" s="13" t="inlineStr">
        <is>
          <t>HC-100194</t>
        </is>
      </c>
      <c r="B196" s="13" t="inlineStr">
        <is>
          <t>2024/11/11</t>
        </is>
      </c>
      <c r="C196" s="13" t="inlineStr">
        <is>
          <t>North</t>
        </is>
      </c>
      <c r="D196" s="13" t="inlineStr">
        <is>
          <t>Online</t>
        </is>
      </c>
      <c r="E196" s="13" t="inlineStr">
        <is>
          <t>Kitchen</t>
        </is>
      </c>
      <c r="F196" s="13" t="inlineStr">
        <is>
          <t>Cast Skillet</t>
        </is>
      </c>
      <c r="G196" s="13" t="inlineStr">
        <is>
          <t>Consumer</t>
        </is>
      </c>
      <c r="H196" s="13" t="inlineStr">
        <is>
          <t>4</t>
        </is>
      </c>
      <c r="I196" s="14" t="inlineStr">
        <is>
          <t>57.90</t>
        </is>
      </c>
      <c r="J196" s="15" t="inlineStr">
        <is>
          <t>0.10</t>
        </is>
      </c>
      <c r="K196" s="14" t="inlineStr">
        <is>
          <t>23.16</t>
        </is>
      </c>
      <c r="L196" s="13" t="inlineStr">
        <is>
          <t>5</t>
        </is>
      </c>
      <c r="M196" s="13" t="inlineStr">
        <is>
          <t>Completed</t>
        </is>
      </c>
      <c r="N196" s="13" t="inlineStr">
        <is>
          <t>L. Berger</t>
        </is>
      </c>
    </row>
    <row r="197">
      <c r="A197" s="13" t="inlineStr">
        <is>
          <t>HC-100195</t>
        </is>
      </c>
      <c r="B197" s="13" t="inlineStr">
        <is>
          <t>17.01.2024</t>
        </is>
      </c>
      <c r="C197" s="13" t="inlineStr">
        <is>
          <t>SOUTH</t>
        </is>
      </c>
      <c r="D197" s="13" t="inlineStr">
        <is>
          <t>Wholesale</t>
        </is>
      </c>
      <c r="E197" s="13" t="inlineStr">
        <is>
          <t>Textiles</t>
        </is>
      </c>
      <c r="F197" s="13" t="inlineStr">
        <is>
          <t>Wool Throw</t>
        </is>
      </c>
      <c r="G197" s="13" t="inlineStr">
        <is>
          <t>Consumer</t>
        </is>
      </c>
      <c r="H197" s="13" t="inlineStr">
        <is>
          <t>30</t>
        </is>
      </c>
      <c r="I197" s="14" t="inlineStr">
        <is>
          <t>75.35</t>
        </is>
      </c>
      <c r="J197" s="15" t="inlineStr">
        <is>
          <t>0.20</t>
        </is>
      </c>
      <c r="K197" s="14" t="inlineStr">
        <is>
          <t>31.65</t>
        </is>
      </c>
      <c r="L197" s="13" t="inlineStr">
        <is>
          <t>6</t>
        </is>
      </c>
      <c r="M197" s="13" t="inlineStr">
        <is>
          <t>Completed</t>
        </is>
      </c>
      <c r="N197" s="13" t="inlineStr">
        <is>
          <t>R. Ibarra</t>
        </is>
      </c>
    </row>
    <row r="198">
      <c r="A198" s="13" t="inlineStr">
        <is>
          <t>HC-100196</t>
        </is>
      </c>
      <c r="B198" s="13" t="inlineStr">
        <is>
          <t>01/13/2024</t>
        </is>
      </c>
      <c r="C198" s="13" t="inlineStr">
        <is>
          <t xml:space="preserve"> North </t>
        </is>
      </c>
      <c r="D198" s="13" t="inlineStr">
        <is>
          <t>Store</t>
        </is>
      </c>
      <c r="E198" s="13" t="inlineStr">
        <is>
          <t>Furniture</t>
        </is>
      </c>
      <c r="F198" s="13" t="inlineStr">
        <is>
          <t>Lounge Chair</t>
        </is>
      </c>
      <c r="G198" s="13" t="inlineStr">
        <is>
          <t>Consumer</t>
        </is>
      </c>
      <c r="H198" s="13" t="inlineStr">
        <is>
          <t>3</t>
        </is>
      </c>
      <c r="I198" s="14" t="inlineStr">
        <is>
          <t>507.65</t>
        </is>
      </c>
      <c r="J198" s="15" t="inlineStr">
        <is>
          <t>0.03</t>
        </is>
      </c>
      <c r="K198" s="14" t="inlineStr">
        <is>
          <t>304.59</t>
        </is>
      </c>
      <c r="L198" s="13" t="inlineStr">
        <is>
          <t>5</t>
        </is>
      </c>
      <c r="M198" s="13" t="inlineStr">
        <is>
          <t>Completed</t>
        </is>
      </c>
      <c r="N198" s="13" t="inlineStr">
        <is>
          <t>S. Nguyen</t>
        </is>
      </c>
    </row>
    <row r="199">
      <c r="A199" s="13" t="inlineStr">
        <is>
          <t>HC-100197</t>
        </is>
      </c>
      <c r="B199" s="13" t="inlineStr">
        <is>
          <t>13-Sep-25</t>
        </is>
      </c>
      <c r="C199" s="13" t="inlineStr">
        <is>
          <t>East</t>
        </is>
      </c>
      <c r="D199" s="13" t="inlineStr">
        <is>
          <t>Wholesale</t>
        </is>
      </c>
      <c r="E199" s="13" t="inlineStr">
        <is>
          <t>Textiles</t>
        </is>
      </c>
      <c r="F199" s="13" t="inlineStr">
        <is>
          <t>Linen Curtain</t>
        </is>
      </c>
      <c r="G199" s="13" t="inlineStr">
        <is>
          <t>Consumer</t>
        </is>
      </c>
      <c r="H199" s="13" t="inlineStr">
        <is>
          <t>11</t>
        </is>
      </c>
      <c r="I199" s="14" t="inlineStr">
        <is>
          <t>85.29</t>
        </is>
      </c>
      <c r="J199" s="15" t="inlineStr">
        <is>
          <t>0.26</t>
        </is>
      </c>
      <c r="K199" s="14" t="inlineStr">
        <is>
          <t>38.38</t>
        </is>
      </c>
      <c r="L199" s="13" t="inlineStr">
        <is>
          <t>10</t>
        </is>
      </c>
      <c r="M199" s="13" t="inlineStr">
        <is>
          <t>RETURNED</t>
        </is>
      </c>
      <c r="N199" s="13" t="inlineStr">
        <is>
          <t>J. Patel</t>
        </is>
      </c>
    </row>
    <row r="200">
      <c r="A200" s="13" t="inlineStr">
        <is>
          <t>HC-100198</t>
        </is>
      </c>
      <c r="B200" s="13" t="inlineStr">
        <is>
          <t>2024/03/23</t>
        </is>
      </c>
      <c r="C200" s="13" t="inlineStr">
        <is>
          <t>North</t>
        </is>
      </c>
      <c r="D200" s="13" t="inlineStr">
        <is>
          <t>Online</t>
        </is>
      </c>
      <c r="E200" s="13" t="inlineStr">
        <is>
          <t>Furniture</t>
        </is>
      </c>
      <c r="F200" s="13" t="inlineStr">
        <is>
          <t>Oak Desk</t>
        </is>
      </c>
      <c r="G200" s="13" t="inlineStr">
        <is>
          <t>Consumer</t>
        </is>
      </c>
      <c r="H200" s="13" t="inlineStr">
        <is>
          <t>2</t>
        </is>
      </c>
      <c r="I200" s="14" t="inlineStr">
        <is>
          <t>873.75</t>
        </is>
      </c>
      <c r="J200" s="15" t="inlineStr">
        <is>
          <t>0.14</t>
        </is>
      </c>
      <c r="K200" s="14" t="inlineStr">
        <is>
          <t>541.72</t>
        </is>
      </c>
      <c r="L200" s="13" t="inlineStr">
        <is>
          <t>7</t>
        </is>
      </c>
      <c r="M200" s="13" t="inlineStr">
        <is>
          <t>Completed</t>
        </is>
      </c>
      <c r="N200" s="13" t="inlineStr">
        <is>
          <t>P. Rossi</t>
        </is>
      </c>
    </row>
    <row r="201">
      <c r="A201" s="13" t="inlineStr">
        <is>
          <t>HC-100199</t>
        </is>
      </c>
      <c r="B201" s="13" t="inlineStr">
        <is>
          <t>07.05.2024</t>
        </is>
      </c>
      <c r="C201" s="13" t="inlineStr">
        <is>
          <t xml:space="preserve"> North </t>
        </is>
      </c>
      <c r="D201" s="13" t="inlineStr">
        <is>
          <t>Store</t>
        </is>
      </c>
      <c r="E201" s="13" t="inlineStr">
        <is>
          <t>Furniture</t>
        </is>
      </c>
      <c r="F201" s="13" t="inlineStr">
        <is>
          <t>Lounge Chair</t>
        </is>
      </c>
      <c r="G201" s="13" t="inlineStr">
        <is>
          <t>Consumer</t>
        </is>
      </c>
      <c r="H201" s="13" t="inlineStr">
        <is>
          <t>1</t>
        </is>
      </c>
      <c r="I201" s="14" t="inlineStr">
        <is>
          <t>487.93</t>
        </is>
      </c>
      <c r="J201" s="15" t="inlineStr">
        <is>
          <t>0.10</t>
        </is>
      </c>
      <c r="K201" s="14" t="inlineStr">
        <is>
          <t>292.76</t>
        </is>
      </c>
      <c r="L201" s="13" t="inlineStr">
        <is>
          <t>6</t>
        </is>
      </c>
      <c r="M201" s="13" t="inlineStr">
        <is>
          <t>Completed</t>
        </is>
      </c>
      <c r="N201" s="13" t="inlineStr">
        <is>
          <t>P. Rossi</t>
        </is>
      </c>
    </row>
    <row r="202">
      <c r="A202" s="13" t="inlineStr">
        <is>
          <t>HC-100200</t>
        </is>
      </c>
      <c r="B202" s="13" t="inlineStr">
        <is>
          <t>06/05/2025</t>
        </is>
      </c>
      <c r="C202" s="13" t="inlineStr">
        <is>
          <t>SOUTH</t>
        </is>
      </c>
      <c r="D202" s="13" t="inlineStr">
        <is>
          <t>Online</t>
        </is>
      </c>
      <c r="E202" s="13" t="inlineStr">
        <is>
          <t>Furniture</t>
        </is>
      </c>
      <c r="F202" s="13" t="inlineStr">
        <is>
          <t>Linen Sofa</t>
        </is>
      </c>
      <c r="G202" s="13" t="inlineStr"/>
      <c r="H202" s="13" t="inlineStr">
        <is>
          <t>2</t>
        </is>
      </c>
      <c r="I202" s="14" t="inlineStr">
        <is>
          <t>1189.15</t>
        </is>
      </c>
      <c r="J202" s="15" t="inlineStr">
        <is>
          <t>0.02</t>
        </is>
      </c>
      <c r="K202" s="14" t="inlineStr">
        <is>
          <t>784.84</t>
        </is>
      </c>
      <c r="L202" s="13" t="inlineStr">
        <is>
          <t>4</t>
        </is>
      </c>
      <c r="M202" s="13" t="inlineStr">
        <is>
          <t>Compleated</t>
        </is>
      </c>
      <c r="N202" s="13" t="inlineStr">
        <is>
          <t>K. Mensah</t>
        </is>
      </c>
    </row>
    <row r="203">
      <c r="A203" s="13" t="inlineStr">
        <is>
          <t>HC-100201</t>
        </is>
      </c>
      <c r="B203" s="13" t="inlineStr">
        <is>
          <t>16-Jul-24</t>
        </is>
      </c>
      <c r="C203" s="13" t="inlineStr">
        <is>
          <t>East</t>
        </is>
      </c>
      <c r="D203" s="13" t="inlineStr">
        <is>
          <t>e-commerce</t>
        </is>
      </c>
      <c r="E203" s="13" t="inlineStr">
        <is>
          <t>Lighting</t>
        </is>
      </c>
      <c r="F203" s="13" t="inlineStr">
        <is>
          <t>Brass Sconce</t>
        </is>
      </c>
      <c r="G203" s="13" t="inlineStr">
        <is>
          <t>Corporate</t>
        </is>
      </c>
      <c r="H203" s="13" t="inlineStr">
        <is>
          <t>2</t>
        </is>
      </c>
      <c r="I203" s="14" t="inlineStr">
        <is>
          <t>$131.18</t>
        </is>
      </c>
      <c r="J203" s="15" t="inlineStr">
        <is>
          <t>0.15</t>
        </is>
      </c>
      <c r="K203" s="14" t="inlineStr">
        <is>
          <t>60.34</t>
        </is>
      </c>
      <c r="L203" s="13" t="inlineStr">
        <is>
          <t>7</t>
        </is>
      </c>
      <c r="M203" s="13" t="inlineStr">
        <is>
          <t>Cancelled</t>
        </is>
      </c>
      <c r="N203" s="13" t="inlineStr">
        <is>
          <t>K. Mensah</t>
        </is>
      </c>
    </row>
    <row r="204">
      <c r="A204" s="13" t="inlineStr">
        <is>
          <t>HC-100202</t>
        </is>
      </c>
      <c r="B204" s="13" t="inlineStr">
        <is>
          <t>2025/07/02</t>
        </is>
      </c>
      <c r="C204" s="13" t="inlineStr">
        <is>
          <t>North</t>
        </is>
      </c>
      <c r="D204" s="13" t="inlineStr">
        <is>
          <t>Wholesale</t>
        </is>
      </c>
      <c r="E204" s="13" t="inlineStr">
        <is>
          <t>Furniture</t>
        </is>
      </c>
      <c r="F204" s="13" t="inlineStr">
        <is>
          <t>Walnut Shelf</t>
        </is>
      </c>
      <c r="G204" s="13" t="inlineStr">
        <is>
          <t>Consumer</t>
        </is>
      </c>
      <c r="H204" s="13" t="inlineStr">
        <is>
          <t>35</t>
        </is>
      </c>
      <c r="I204" s="14" t="inlineStr">
        <is>
          <t>205.37</t>
        </is>
      </c>
      <c r="J204" s="15" t="inlineStr">
        <is>
          <t>0.24</t>
        </is>
      </c>
      <c r="K204" s="14" t="inlineStr">
        <is>
          <t>112.95</t>
        </is>
      </c>
      <c r="L204" s="13" t="inlineStr">
        <is>
          <t>3</t>
        </is>
      </c>
      <c r="M204" s="13" t="inlineStr">
        <is>
          <t>Completed</t>
        </is>
      </c>
      <c r="N204" s="13" t="inlineStr">
        <is>
          <t>S. Nguyen</t>
        </is>
      </c>
    </row>
    <row r="205">
      <c r="A205" s="13" t="inlineStr">
        <is>
          <t>HC-100203</t>
        </is>
      </c>
      <c r="B205" s="13" t="inlineStr">
        <is>
          <t>26.01.2024</t>
        </is>
      </c>
      <c r="C205" s="13" t="inlineStr">
        <is>
          <t>North</t>
        </is>
      </c>
      <c r="D205" s="13" t="inlineStr">
        <is>
          <t>Online</t>
        </is>
      </c>
      <c r="E205" s="13" t="inlineStr">
        <is>
          <t>Lighting</t>
        </is>
      </c>
      <c r="F205" s="13" t="inlineStr">
        <is>
          <t>Brass Sconce</t>
        </is>
      </c>
      <c r="G205" s="13" t="inlineStr">
        <is>
          <t>Corporate</t>
        </is>
      </c>
      <c r="H205" s="13" t="inlineStr">
        <is>
          <t>3</t>
        </is>
      </c>
      <c r="I205" s="14" t="inlineStr">
        <is>
          <t>140.46</t>
        </is>
      </c>
      <c r="J205" s="15" t="inlineStr">
        <is>
          <t>0.12</t>
        </is>
      </c>
      <c r="K205" s="14" t="inlineStr">
        <is>
          <t>64.61</t>
        </is>
      </c>
      <c r="L205" s="13" t="inlineStr">
        <is>
          <t>5</t>
        </is>
      </c>
      <c r="M205" s="13" t="inlineStr">
        <is>
          <t>Completed</t>
        </is>
      </c>
      <c r="N205" s="13" t="inlineStr">
        <is>
          <t>L. Berger</t>
        </is>
      </c>
    </row>
    <row r="206">
      <c r="A206" s="13" t="inlineStr">
        <is>
          <t>HC-100204</t>
        </is>
      </c>
      <c r="B206" s="13" t="inlineStr">
        <is>
          <t>12/01/2024</t>
        </is>
      </c>
      <c r="C206" s="13" t="inlineStr">
        <is>
          <t>North</t>
        </is>
      </c>
      <c r="D206" s="13" t="inlineStr">
        <is>
          <t>e-commerce</t>
        </is>
      </c>
      <c r="E206" s="13" t="inlineStr">
        <is>
          <t>Kitchen</t>
        </is>
      </c>
      <c r="F206" s="13" t="inlineStr">
        <is>
          <t>Ceramic Set</t>
        </is>
      </c>
      <c r="G206" s="13" t="inlineStr">
        <is>
          <t>Corporate</t>
        </is>
      </c>
      <c r="H206" s="13" t="inlineStr">
        <is>
          <t>4</t>
        </is>
      </c>
      <c r="I206" s="14" t="inlineStr">
        <is>
          <t>92.05</t>
        </is>
      </c>
      <c r="J206" s="15" t="inlineStr">
        <is>
          <t>0.04</t>
        </is>
      </c>
      <c r="K206" s="14" t="inlineStr">
        <is>
          <t>34.98</t>
        </is>
      </c>
      <c r="L206" s="13" t="inlineStr">
        <is>
          <t>8</t>
        </is>
      </c>
      <c r="M206" s="13" t="inlineStr">
        <is>
          <t>Completed</t>
        </is>
      </c>
      <c r="N206" s="13" t="inlineStr">
        <is>
          <t>P. Rossi</t>
        </is>
      </c>
    </row>
    <row r="207">
      <c r="A207" s="13" t="inlineStr">
        <is>
          <t>HC-100205</t>
        </is>
      </c>
      <c r="B207" s="13" t="inlineStr">
        <is>
          <t>16-Jul-25</t>
        </is>
      </c>
      <c r="C207" s="13" t="inlineStr">
        <is>
          <t>South</t>
        </is>
      </c>
      <c r="D207" s="13" t="inlineStr">
        <is>
          <t>Online</t>
        </is>
      </c>
      <c r="E207" s="13" t="inlineStr">
        <is>
          <t>Furniture</t>
        </is>
      </c>
      <c r="F207" s="13" t="inlineStr">
        <is>
          <t>Lounge Chair</t>
        </is>
      </c>
      <c r="G207" s="13" t="inlineStr">
        <is>
          <t>Home Office</t>
        </is>
      </c>
      <c r="H207" s="13" t="inlineStr">
        <is>
          <t>1</t>
        </is>
      </c>
      <c r="I207" s="14" t="inlineStr">
        <is>
          <t>445.59</t>
        </is>
      </c>
      <c r="J207" s="15" t="inlineStr">
        <is>
          <t>0.12</t>
        </is>
      </c>
      <c r="K207" s="14" t="inlineStr">
        <is>
          <t>267.35</t>
        </is>
      </c>
      <c r="L207" s="13" t="inlineStr">
        <is>
          <t>2</t>
        </is>
      </c>
      <c r="M207" s="13" t="inlineStr">
        <is>
          <t>Completed</t>
        </is>
      </c>
      <c r="N207" s="13" t="inlineStr">
        <is>
          <t>S. Nguyen</t>
        </is>
      </c>
    </row>
    <row r="208">
      <c r="A208" s="13" t="inlineStr">
        <is>
          <t>HC-100206</t>
        </is>
      </c>
      <c r="B208" s="13" t="inlineStr">
        <is>
          <t>2024/04/10</t>
        </is>
      </c>
      <c r="C208" s="13" t="inlineStr">
        <is>
          <t>Sout</t>
        </is>
      </c>
      <c r="D208" s="13" t="inlineStr">
        <is>
          <t>Store</t>
        </is>
      </c>
      <c r="E208" s="13" t="inlineStr">
        <is>
          <t>Furniture</t>
        </is>
      </c>
      <c r="F208" s="13" t="inlineStr">
        <is>
          <t>Linen Sofa</t>
        </is>
      </c>
      <c r="G208" s="13" t="inlineStr">
        <is>
          <t>Consumer</t>
        </is>
      </c>
      <c r="H208" s="13" t="inlineStr">
        <is>
          <t>3</t>
        </is>
      </c>
      <c r="I208" s="14" t="inlineStr">
        <is>
          <t>1268.11</t>
        </is>
      </c>
      <c r="J208" s="15" t="inlineStr">
        <is>
          <t>0.02</t>
        </is>
      </c>
      <c r="K208" s="14" t="inlineStr">
        <is>
          <t>836.95</t>
        </is>
      </c>
      <c r="L208" s="13" t="inlineStr">
        <is>
          <t>9</t>
        </is>
      </c>
      <c r="M208" s="13" t="inlineStr">
        <is>
          <t>Completed</t>
        </is>
      </c>
      <c r="N208" s="13" t="inlineStr">
        <is>
          <t>P. Rossi</t>
        </is>
      </c>
    </row>
    <row r="209">
      <c r="A209" s="13" t="inlineStr">
        <is>
          <t>HC-100207</t>
        </is>
      </c>
      <c r="B209" s="13" t="inlineStr">
        <is>
          <t>17.12.2024</t>
        </is>
      </c>
      <c r="C209" s="13" t="inlineStr">
        <is>
          <t>West</t>
        </is>
      </c>
      <c r="D209" s="13" t="inlineStr">
        <is>
          <t>Online</t>
        </is>
      </c>
      <c r="E209" s="13" t="inlineStr">
        <is>
          <t>Textiles</t>
        </is>
      </c>
      <c r="F209" s="13" t="inlineStr">
        <is>
          <t>Wool Throw</t>
        </is>
      </c>
      <c r="G209" s="13" t="inlineStr">
        <is>
          <t>Corporate</t>
        </is>
      </c>
      <c r="H209" s="13" t="inlineStr">
        <is>
          <t>2</t>
        </is>
      </c>
      <c r="I209" s="14" t="inlineStr">
        <is>
          <t>71.16</t>
        </is>
      </c>
      <c r="J209" s="15" t="inlineStr">
        <is>
          <t>0.09</t>
        </is>
      </c>
      <c r="K209" s="14" t="inlineStr">
        <is>
          <t>29.89</t>
        </is>
      </c>
      <c r="L209" s="13" t="inlineStr">
        <is>
          <t>6</t>
        </is>
      </c>
      <c r="M209" s="13" t="inlineStr">
        <is>
          <t>Compleated</t>
        </is>
      </c>
      <c r="N209" s="13" t="inlineStr">
        <is>
          <t>L. Berger</t>
        </is>
      </c>
    </row>
    <row r="210">
      <c r="A210" s="13" t="inlineStr">
        <is>
          <t>HC-100208</t>
        </is>
      </c>
      <c r="B210" s="13" t="inlineStr">
        <is>
          <t>02/08/2024</t>
        </is>
      </c>
      <c r="C210" s="13" t="inlineStr">
        <is>
          <t>West</t>
        </is>
      </c>
      <c r="D210" s="13" t="inlineStr">
        <is>
          <t>Store</t>
        </is>
      </c>
      <c r="E210" s="13" t="inlineStr">
        <is>
          <t>Furniture</t>
        </is>
      </c>
      <c r="F210" s="13" t="inlineStr">
        <is>
          <t>Lounge Chair</t>
        </is>
      </c>
      <c r="G210" s="13" t="inlineStr">
        <is>
          <t>Consumer</t>
        </is>
      </c>
      <c r="H210" s="13" t="inlineStr">
        <is>
          <t>4</t>
        </is>
      </c>
      <c r="I210" s="14" t="inlineStr">
        <is>
          <t>442.67</t>
        </is>
      </c>
      <c r="J210" s="15" t="inlineStr">
        <is>
          <t>6%</t>
        </is>
      </c>
      <c r="K210" s="14" t="inlineStr">
        <is>
          <t>265.60</t>
        </is>
      </c>
      <c r="L210" s="13" t="inlineStr">
        <is>
          <t>5</t>
        </is>
      </c>
      <c r="M210" s="13" t="inlineStr">
        <is>
          <t>Completed</t>
        </is>
      </c>
      <c r="N210" s="13" t="inlineStr">
        <is>
          <t>P. Rossi</t>
        </is>
      </c>
    </row>
    <row r="211">
      <c r="A211" s="13" t="inlineStr">
        <is>
          <t>HC-100209</t>
        </is>
      </c>
      <c r="B211" s="13" t="inlineStr">
        <is>
          <t>06-Jun-25</t>
        </is>
      </c>
      <c r="C211" s="13" t="inlineStr">
        <is>
          <t>South</t>
        </is>
      </c>
      <c r="D211" s="13" t="inlineStr">
        <is>
          <t>e-commerce</t>
        </is>
      </c>
      <c r="E211" s="13" t="inlineStr">
        <is>
          <t>Textiles</t>
        </is>
      </c>
      <c r="F211" s="13" t="inlineStr">
        <is>
          <t>Linen Curtain</t>
        </is>
      </c>
      <c r="G211" s="13" t="inlineStr">
        <is>
          <t>Consumer</t>
        </is>
      </c>
      <c r="H211" s="13" t="inlineStr">
        <is>
          <t>3</t>
        </is>
      </c>
      <c r="I211" s="14" t="inlineStr">
        <is>
          <t>$91.91</t>
        </is>
      </c>
      <c r="J211" s="15" t="inlineStr">
        <is>
          <t>0.06</t>
        </is>
      </c>
      <c r="K211" s="14" t="inlineStr">
        <is>
          <t>41.36</t>
        </is>
      </c>
      <c r="L211" s="13" t="inlineStr">
        <is>
          <t>6</t>
        </is>
      </c>
      <c r="M211" s="13" t="inlineStr">
        <is>
          <t>Completed</t>
        </is>
      </c>
      <c r="N211" s="13" t="inlineStr">
        <is>
          <t>M. Okonkwo</t>
        </is>
      </c>
    </row>
    <row r="212">
      <c r="A212" s="13" t="inlineStr">
        <is>
          <t>HC-100210</t>
        </is>
      </c>
      <c r="B212" s="13" t="inlineStr">
        <is>
          <t>2025/02/10</t>
        </is>
      </c>
      <c r="C212" s="13" t="inlineStr">
        <is>
          <t>Sout</t>
        </is>
      </c>
      <c r="D212" s="13" t="inlineStr">
        <is>
          <t>Store</t>
        </is>
      </c>
      <c r="E212" s="13" t="inlineStr">
        <is>
          <t>Textiles</t>
        </is>
      </c>
      <c r="F212" s="13" t="inlineStr">
        <is>
          <t>Cotton Duvet</t>
        </is>
      </c>
      <c r="G212" s="13" t="inlineStr">
        <is>
          <t>Home Office</t>
        </is>
      </c>
      <c r="H212" s="13" t="inlineStr">
        <is>
          <t>2</t>
        </is>
      </c>
      <c r="I212" s="14" t="inlineStr">
        <is>
          <t>118.48</t>
        </is>
      </c>
      <c r="J212" s="15" t="inlineStr">
        <is>
          <t>0.10</t>
        </is>
      </c>
      <c r="K212" s="14" t="inlineStr">
        <is>
          <t>52.13</t>
        </is>
      </c>
      <c r="L212" s="13" t="inlineStr">
        <is>
          <t>5</t>
        </is>
      </c>
      <c r="M212" s="13" t="inlineStr">
        <is>
          <t>Completed</t>
        </is>
      </c>
      <c r="N212" s="13" t="inlineStr">
        <is>
          <t>A. Shah</t>
        </is>
      </c>
    </row>
    <row r="213">
      <c r="A213" s="13" t="inlineStr">
        <is>
          <t>HC-100211</t>
        </is>
      </c>
      <c r="B213" s="13" t="inlineStr">
        <is>
          <t>11.02.2025</t>
        </is>
      </c>
      <c r="C213" s="13" t="inlineStr">
        <is>
          <t>North</t>
        </is>
      </c>
      <c r="D213" s="13" t="inlineStr">
        <is>
          <t>e-commerce</t>
        </is>
      </c>
      <c r="E213" s="13" t="inlineStr">
        <is>
          <t>Kitchen</t>
        </is>
      </c>
      <c r="F213" s="13" t="inlineStr">
        <is>
          <t>Chef Knife</t>
        </is>
      </c>
      <c r="G213" s="13" t="inlineStr">
        <is>
          <t>Consumer</t>
        </is>
      </c>
      <c r="H213" s="13" t="inlineStr">
        <is>
          <t>2</t>
        </is>
      </c>
      <c r="I213" s="14" t="inlineStr">
        <is>
          <t>66.97</t>
        </is>
      </c>
      <c r="J213" s="15" t="inlineStr">
        <is>
          <t>0.12</t>
        </is>
      </c>
      <c r="K213" s="14" t="inlineStr">
        <is>
          <t>24.11</t>
        </is>
      </c>
      <c r="L213" s="13" t="inlineStr">
        <is>
          <t>9</t>
        </is>
      </c>
      <c r="M213" s="13" t="inlineStr">
        <is>
          <t>Completed</t>
        </is>
      </c>
      <c r="N213" s="13" t="inlineStr">
        <is>
          <t>R. Ibarra</t>
        </is>
      </c>
    </row>
    <row r="214">
      <c r="A214" s="13" t="inlineStr">
        <is>
          <t>HC-100212</t>
        </is>
      </c>
      <c r="B214" s="13" t="inlineStr">
        <is>
          <t>11/09/2024</t>
        </is>
      </c>
      <c r="C214" s="13" t="inlineStr">
        <is>
          <t>West</t>
        </is>
      </c>
      <c r="D214" s="13" t="inlineStr">
        <is>
          <t>Online</t>
        </is>
      </c>
      <c r="E214" s="13" t="inlineStr">
        <is>
          <t>Furniture</t>
        </is>
      </c>
      <c r="F214" s="13" t="inlineStr">
        <is>
          <t>Walnut Shelf</t>
        </is>
      </c>
      <c r="G214" s="13" t="inlineStr">
        <is>
          <t>Consumer</t>
        </is>
      </c>
      <c r="H214" s="13" t="inlineStr">
        <is>
          <t>3</t>
        </is>
      </c>
      <c r="I214" s="14" t="inlineStr">
        <is>
          <t>218.61</t>
        </is>
      </c>
      <c r="J214" s="15" t="inlineStr">
        <is>
          <t>0.12</t>
        </is>
      </c>
      <c r="K214" s="14" t="inlineStr">
        <is>
          <t>120.23</t>
        </is>
      </c>
      <c r="L214" s="13" t="inlineStr">
        <is>
          <t>5</t>
        </is>
      </c>
      <c r="M214" s="13" t="inlineStr">
        <is>
          <t>Completed</t>
        </is>
      </c>
      <c r="N214" s="13" t="inlineStr">
        <is>
          <t>K. Mensah</t>
        </is>
      </c>
    </row>
    <row r="215">
      <c r="A215" s="13" t="inlineStr">
        <is>
          <t>HC-100213</t>
        </is>
      </c>
      <c r="B215" s="13" t="inlineStr">
        <is>
          <t>06-May-25</t>
        </is>
      </c>
      <c r="C215" s="13" t="inlineStr">
        <is>
          <t>North</t>
        </is>
      </c>
      <c r="D215" s="13" t="inlineStr">
        <is>
          <t>Store</t>
        </is>
      </c>
      <c r="E215" s="13" t="inlineStr">
        <is>
          <t>Lighting</t>
        </is>
      </c>
      <c r="F215" s="13" t="inlineStr">
        <is>
          <t>Brass Sconce</t>
        </is>
      </c>
      <c r="G215" s="13" t="inlineStr">
        <is>
          <t>Corporate</t>
        </is>
      </c>
      <c r="H215" s="13" t="inlineStr">
        <is>
          <t>4</t>
        </is>
      </c>
      <c r="I215" s="14" t="inlineStr">
        <is>
          <t>145.23</t>
        </is>
      </c>
      <c r="J215" s="15" t="inlineStr">
        <is>
          <t>0.10</t>
        </is>
      </c>
      <c r="K215" s="14" t="inlineStr">
        <is>
          <t>66.80</t>
        </is>
      </c>
      <c r="L215" s="13" t="inlineStr">
        <is>
          <t>3</t>
        </is>
      </c>
      <c r="M215" s="13" t="inlineStr">
        <is>
          <t>Completed</t>
        </is>
      </c>
      <c r="N215" s="13" t="inlineStr">
        <is>
          <t>K. Mensah</t>
        </is>
      </c>
    </row>
    <row r="216">
      <c r="A216" s="13" t="inlineStr">
        <is>
          <t>HC-100214</t>
        </is>
      </c>
      <c r="B216" s="13" t="inlineStr">
        <is>
          <t>2024/09/08</t>
        </is>
      </c>
      <c r="C216" s="13" t="inlineStr">
        <is>
          <t>NORTH</t>
        </is>
      </c>
      <c r="D216" s="13" t="inlineStr">
        <is>
          <t>Store</t>
        </is>
      </c>
      <c r="E216" s="13" t="inlineStr">
        <is>
          <t>Kitchen</t>
        </is>
      </c>
      <c r="F216" s="13" t="inlineStr">
        <is>
          <t>Cast Skillet</t>
        </is>
      </c>
      <c r="G216" s="13" t="inlineStr">
        <is>
          <t>Corporate</t>
        </is>
      </c>
      <c r="H216" s="13" t="inlineStr">
        <is>
          <t>2</t>
        </is>
      </c>
      <c r="I216" s="14" t="inlineStr">
        <is>
          <t>52.05</t>
        </is>
      </c>
      <c r="J216" s="15" t="inlineStr">
        <is>
          <t>4%</t>
        </is>
      </c>
      <c r="K216" s="14" t="inlineStr">
        <is>
          <t>20.82</t>
        </is>
      </c>
      <c r="L216" s="13" t="inlineStr">
        <is>
          <t>5</t>
        </is>
      </c>
      <c r="M216" s="13" t="inlineStr">
        <is>
          <t>cancled</t>
        </is>
      </c>
      <c r="N216" s="13" t="inlineStr">
        <is>
          <t>R. Ibarra</t>
        </is>
      </c>
    </row>
    <row r="217">
      <c r="A217" s="13" t="inlineStr">
        <is>
          <t>HC-100215</t>
        </is>
      </c>
      <c r="B217" s="13" t="inlineStr">
        <is>
          <t>21.06.2024</t>
        </is>
      </c>
      <c r="C217" s="13" t="inlineStr">
        <is>
          <t xml:space="preserve"> North </t>
        </is>
      </c>
      <c r="D217" s="13" t="inlineStr">
        <is>
          <t>Online</t>
        </is>
      </c>
      <c r="E217" s="13" t="inlineStr">
        <is>
          <t>Furniture</t>
        </is>
      </c>
      <c r="F217" s="13" t="inlineStr">
        <is>
          <t>Walnut Shelf</t>
        </is>
      </c>
      <c r="G217" s="13" t="inlineStr">
        <is>
          <t>Consumer</t>
        </is>
      </c>
      <c r="H217" s="13" t="inlineStr">
        <is>
          <t>2</t>
        </is>
      </c>
      <c r="I217" s="14" t="inlineStr">
        <is>
          <t>203.71</t>
        </is>
      </c>
      <c r="J217" s="15" t="inlineStr">
        <is>
          <t>0.14</t>
        </is>
      </c>
      <c r="K217" s="14" t="inlineStr">
        <is>
          <t>112.04</t>
        </is>
      </c>
      <c r="L217" s="13" t="inlineStr">
        <is>
          <t>7</t>
        </is>
      </c>
      <c r="M217" s="13" t="inlineStr">
        <is>
          <t>Completed</t>
        </is>
      </c>
      <c r="N217" s="13" t="inlineStr">
        <is>
          <t>A. Shah</t>
        </is>
      </c>
    </row>
    <row r="218">
      <c r="A218" s="13" t="inlineStr">
        <is>
          <t>HC-100216</t>
        </is>
      </c>
      <c r="B218" s="13" t="inlineStr">
        <is>
          <t>06/23/2025</t>
        </is>
      </c>
      <c r="C218" s="13" t="inlineStr">
        <is>
          <t>east</t>
        </is>
      </c>
      <c r="D218" s="13" t="inlineStr">
        <is>
          <t>Online</t>
        </is>
      </c>
      <c r="E218" s="13" t="inlineStr">
        <is>
          <t>Lighting</t>
        </is>
      </c>
      <c r="F218" s="13" t="inlineStr">
        <is>
          <t>Brass Sconce</t>
        </is>
      </c>
      <c r="G218" s="13" t="inlineStr">
        <is>
          <t>Corporate</t>
        </is>
      </c>
      <c r="H218" s="13" t="inlineStr">
        <is>
          <t>2</t>
        </is>
      </c>
      <c r="I218" s="14" t="inlineStr">
        <is>
          <t>133.73</t>
        </is>
      </c>
      <c r="J218" s="15" t="inlineStr">
        <is>
          <t>0.12</t>
        </is>
      </c>
      <c r="K218" s="14" t="inlineStr">
        <is>
          <t>61.52</t>
        </is>
      </c>
      <c r="L218" s="13" t="inlineStr">
        <is>
          <t>12</t>
        </is>
      </c>
      <c r="M218" s="13" t="inlineStr">
        <is>
          <t>Completed</t>
        </is>
      </c>
      <c r="N218" s="13" t="inlineStr">
        <is>
          <t>J. Patel</t>
        </is>
      </c>
    </row>
    <row r="219">
      <c r="A219" s="13" t="inlineStr">
        <is>
          <t>HC-100217</t>
        </is>
      </c>
      <c r="B219" s="13" t="inlineStr">
        <is>
          <t>07-Mar-25</t>
        </is>
      </c>
      <c r="C219" s="13" t="inlineStr">
        <is>
          <t>SOUTH</t>
        </is>
      </c>
      <c r="D219" s="13" t="inlineStr">
        <is>
          <t>Wholesale</t>
        </is>
      </c>
      <c r="E219" s="13" t="inlineStr">
        <is>
          <t>Furniture</t>
        </is>
      </c>
      <c r="F219" s="13" t="inlineStr">
        <is>
          <t>Walnut Shelf</t>
        </is>
      </c>
      <c r="G219" s="13" t="inlineStr">
        <is>
          <t>Consumer</t>
        </is>
      </c>
      <c r="H219" s="13" t="inlineStr">
        <is>
          <t>10</t>
        </is>
      </c>
      <c r="I219" s="14" t="inlineStr">
        <is>
          <t>232.82</t>
        </is>
      </c>
      <c r="J219" s="15" t="inlineStr">
        <is>
          <t>0.31</t>
        </is>
      </c>
      <c r="K219" s="14" t="inlineStr">
        <is>
          <t>128.05</t>
        </is>
      </c>
      <c r="L219" s="13" t="inlineStr">
        <is>
          <t>3</t>
        </is>
      </c>
      <c r="M219" s="13" t="inlineStr">
        <is>
          <t>Completed</t>
        </is>
      </c>
      <c r="N219" s="13" t="inlineStr">
        <is>
          <t>K. Mensah</t>
        </is>
      </c>
    </row>
    <row r="220">
      <c r="A220" s="13" t="inlineStr">
        <is>
          <t>HC-100218</t>
        </is>
      </c>
      <c r="B220" s="13" t="inlineStr">
        <is>
          <t>2025/06/17</t>
        </is>
      </c>
      <c r="C220" s="13" t="inlineStr">
        <is>
          <t>South</t>
        </is>
      </c>
      <c r="D220" s="13" t="inlineStr">
        <is>
          <t>retail</t>
        </is>
      </c>
      <c r="E220" s="13" t="inlineStr">
        <is>
          <t>Furniture</t>
        </is>
      </c>
      <c r="F220" s="13" t="inlineStr">
        <is>
          <t>Linen Sofa</t>
        </is>
      </c>
      <c r="G220" s="13" t="inlineStr">
        <is>
          <t>consumer</t>
        </is>
      </c>
      <c r="H220" s="13" t="inlineStr">
        <is>
          <t>2</t>
        </is>
      </c>
      <c r="I220" s="14" t="inlineStr">
        <is>
          <t>$1,215.19</t>
        </is>
      </c>
      <c r="J220" s="15" t="inlineStr">
        <is>
          <t>0.05</t>
        </is>
      </c>
      <c r="K220" s="14" t="inlineStr">
        <is>
          <t>802.03</t>
        </is>
      </c>
      <c r="L220" s="13" t="inlineStr">
        <is>
          <t>6</t>
        </is>
      </c>
      <c r="M220" s="13" t="inlineStr">
        <is>
          <t>Completed</t>
        </is>
      </c>
      <c r="N220" s="13" t="inlineStr">
        <is>
          <t>K. Mensah</t>
        </is>
      </c>
    </row>
    <row r="221">
      <c r="A221" s="13" t="inlineStr">
        <is>
          <t>HC-100219</t>
        </is>
      </c>
      <c r="B221" s="13" t="inlineStr">
        <is>
          <t>23.06.2024</t>
        </is>
      </c>
      <c r="C221" s="13" t="inlineStr">
        <is>
          <t>South</t>
        </is>
      </c>
      <c r="D221" s="13" t="inlineStr">
        <is>
          <t>Online</t>
        </is>
      </c>
      <c r="E221" s="13" t="inlineStr">
        <is>
          <t>Kitchen</t>
        </is>
      </c>
      <c r="F221" s="13" t="inlineStr">
        <is>
          <t>Ceramic Set</t>
        </is>
      </c>
      <c r="G221" s="13" t="inlineStr">
        <is>
          <t>Consumer</t>
        </is>
      </c>
      <c r="H221" s="13" t="inlineStr">
        <is>
          <t>2</t>
        </is>
      </c>
      <c r="I221" s="14" t="inlineStr">
        <is>
          <t>84.85</t>
        </is>
      </c>
      <c r="J221" s="15" t="inlineStr">
        <is>
          <t>0.04</t>
        </is>
      </c>
      <c r="K221" s="14" t="inlineStr">
        <is>
          <t>32.24</t>
        </is>
      </c>
      <c r="L221" s="13" t="inlineStr">
        <is>
          <t>6</t>
        </is>
      </c>
      <c r="M221" s="13" t="inlineStr">
        <is>
          <t>Completed</t>
        </is>
      </c>
      <c r="N221" s="13" t="inlineStr">
        <is>
          <t>M. Okonkwo</t>
        </is>
      </c>
    </row>
    <row r="222">
      <c r="A222" s="13" t="inlineStr">
        <is>
          <t>HC-100220</t>
        </is>
      </c>
      <c r="B222" s="13" t="inlineStr">
        <is>
          <t>07/22/2024</t>
        </is>
      </c>
      <c r="C222" s="13" t="inlineStr">
        <is>
          <t>North</t>
        </is>
      </c>
      <c r="D222" s="13" t="inlineStr">
        <is>
          <t>In-Store</t>
        </is>
      </c>
      <c r="E222" s="13" t="inlineStr">
        <is>
          <t>Furniture</t>
        </is>
      </c>
      <c r="F222" s="13" t="inlineStr">
        <is>
          <t>Lounge Chair</t>
        </is>
      </c>
      <c r="G222" s="13" t="inlineStr">
        <is>
          <t>Consumer</t>
        </is>
      </c>
      <c r="H222" s="13" t="inlineStr">
        <is>
          <t>2</t>
        </is>
      </c>
      <c r="I222" s="14" t="inlineStr">
        <is>
          <t>452.53</t>
        </is>
      </c>
      <c r="J222" s="15" t="inlineStr">
        <is>
          <t>0.08</t>
        </is>
      </c>
      <c r="K222" s="14" t="inlineStr">
        <is>
          <t>271.52</t>
        </is>
      </c>
      <c r="L222" s="13" t="inlineStr">
        <is>
          <t>6</t>
        </is>
      </c>
      <c r="M222" s="13" t="inlineStr">
        <is>
          <t>Completed</t>
        </is>
      </c>
      <c r="N222" s="13" t="inlineStr">
        <is>
          <t>K. Mensah</t>
        </is>
      </c>
    </row>
    <row r="223">
      <c r="A223" s="13" t="inlineStr">
        <is>
          <t>HC-100221</t>
        </is>
      </c>
      <c r="B223" s="13" t="inlineStr">
        <is>
          <t>22-Nov-24</t>
        </is>
      </c>
      <c r="C223" s="13" t="inlineStr">
        <is>
          <t>West</t>
        </is>
      </c>
      <c r="D223" s="13" t="inlineStr">
        <is>
          <t>Wholesale</t>
        </is>
      </c>
      <c r="E223" s="13" t="inlineStr">
        <is>
          <t>Lighting</t>
        </is>
      </c>
      <c r="F223" s="13" t="inlineStr">
        <is>
          <t>Arc Lamp</t>
        </is>
      </c>
      <c r="G223" s="13" t="inlineStr">
        <is>
          <t>Home Office</t>
        </is>
      </c>
      <c r="H223" s="13" t="inlineStr">
        <is>
          <t>22</t>
        </is>
      </c>
      <c r="I223" s="14" t="inlineStr">
        <is>
          <t>308.93</t>
        </is>
      </c>
      <c r="J223" s="15" t="inlineStr">
        <is>
          <t>0.20</t>
        </is>
      </c>
      <c r="K223" s="14" t="inlineStr">
        <is>
          <t>148.29</t>
        </is>
      </c>
      <c r="L223" s="13" t="inlineStr">
        <is>
          <t>6</t>
        </is>
      </c>
      <c r="M223" s="13" t="inlineStr">
        <is>
          <t>Completed</t>
        </is>
      </c>
      <c r="N223" s="13" t="inlineStr">
        <is>
          <t>P. Rossi</t>
        </is>
      </c>
    </row>
    <row r="224">
      <c r="A224" s="13" t="inlineStr">
        <is>
          <t>HC-100222</t>
        </is>
      </c>
      <c r="B224" s="13" t="inlineStr">
        <is>
          <t>2025/05/15</t>
        </is>
      </c>
      <c r="C224" s="13" t="inlineStr">
        <is>
          <t>East</t>
        </is>
      </c>
      <c r="D224" s="13" t="inlineStr">
        <is>
          <t>Wholesale</t>
        </is>
      </c>
      <c r="E224" s="13" t="inlineStr">
        <is>
          <t>Textiles</t>
        </is>
      </c>
      <c r="F224" s="13" t="inlineStr">
        <is>
          <t>Wool Throw</t>
        </is>
      </c>
      <c r="G224" s="13" t="inlineStr">
        <is>
          <t>Consumer</t>
        </is>
      </c>
      <c r="H224" s="13" t="inlineStr">
        <is>
          <t>9</t>
        </is>
      </c>
      <c r="I224" s="14" t="inlineStr">
        <is>
          <t>68.48</t>
        </is>
      </c>
      <c r="J224" s="15" t="inlineStr">
        <is>
          <t>0.19</t>
        </is>
      </c>
      <c r="K224" s="14" t="inlineStr">
        <is>
          <t>28.76</t>
        </is>
      </c>
      <c r="L224" s="13" t="inlineStr">
        <is>
          <t>8</t>
        </is>
      </c>
      <c r="M224" s="13" t="inlineStr">
        <is>
          <t>Completed</t>
        </is>
      </c>
      <c r="N224" s="13" t="inlineStr">
        <is>
          <t>M. Okonkwo</t>
        </is>
      </c>
    </row>
    <row r="225">
      <c r="A225" s="13" t="inlineStr">
        <is>
          <t>HC-100223</t>
        </is>
      </c>
      <c r="B225" s="13" t="inlineStr">
        <is>
          <t>04.08.2025</t>
        </is>
      </c>
      <c r="C225" s="13" t="inlineStr">
        <is>
          <t>North</t>
        </is>
      </c>
      <c r="D225" s="13" t="inlineStr">
        <is>
          <t>Wholesale</t>
        </is>
      </c>
      <c r="E225" s="13" t="inlineStr">
        <is>
          <t>Textiles</t>
        </is>
      </c>
      <c r="F225" s="13" t="inlineStr">
        <is>
          <t>Cotton Duvet</t>
        </is>
      </c>
      <c r="G225" s="13" t="inlineStr">
        <is>
          <t>Consumer</t>
        </is>
      </c>
      <c r="H225" s="13" t="inlineStr">
        <is>
          <t>29</t>
        </is>
      </c>
      <c r="I225" s="14" t="inlineStr">
        <is>
          <t>112.92</t>
        </is>
      </c>
      <c r="J225" s="15" t="inlineStr">
        <is>
          <t>0.13</t>
        </is>
      </c>
      <c r="K225" s="14" t="inlineStr">
        <is>
          <t>49.68</t>
        </is>
      </c>
      <c r="L225" s="13" t="inlineStr">
        <is>
          <t>7</t>
        </is>
      </c>
      <c r="M225" s="13" t="inlineStr">
        <is>
          <t>Completed</t>
        </is>
      </c>
      <c r="N225" s="13" t="inlineStr">
        <is>
          <t>P. Rossi</t>
        </is>
      </c>
    </row>
    <row r="226">
      <c r="A226" s="13" t="inlineStr">
        <is>
          <t>HC-100224</t>
        </is>
      </c>
      <c r="B226" s="13" t="inlineStr">
        <is>
          <t>09/02/2024</t>
        </is>
      </c>
      <c r="C226" s="13" t="inlineStr">
        <is>
          <t>South</t>
        </is>
      </c>
      <c r="D226" s="13" t="inlineStr">
        <is>
          <t>Wholesale</t>
        </is>
      </c>
      <c r="E226" s="13" t="inlineStr">
        <is>
          <t>Textiles</t>
        </is>
      </c>
      <c r="F226" s="13" t="inlineStr">
        <is>
          <t>Cotton Duvet</t>
        </is>
      </c>
      <c r="G226" s="13" t="inlineStr">
        <is>
          <t>Consumer</t>
        </is>
      </c>
      <c r="H226" s="13" t="inlineStr">
        <is>
          <t>19</t>
        </is>
      </c>
      <c r="I226" s="14" t="inlineStr">
        <is>
          <t>111.65</t>
        </is>
      </c>
      <c r="J226" s="15" t="inlineStr">
        <is>
          <t>0.32</t>
        </is>
      </c>
      <c r="K226" s="14" t="inlineStr">
        <is>
          <t>49.13</t>
        </is>
      </c>
      <c r="L226" s="13" t="inlineStr">
        <is>
          <t>5</t>
        </is>
      </c>
      <c r="M226" s="13" t="inlineStr">
        <is>
          <t>Returned</t>
        </is>
      </c>
      <c r="N226" s="13" t="inlineStr">
        <is>
          <t>R. Ibarra</t>
        </is>
      </c>
    </row>
    <row r="227">
      <c r="A227" s="13" t="inlineStr">
        <is>
          <t>HC-100225</t>
        </is>
      </c>
      <c r="B227" s="13" t="inlineStr">
        <is>
          <t>29-Jan-24</t>
        </is>
      </c>
      <c r="C227" s="13" t="inlineStr">
        <is>
          <t>South</t>
        </is>
      </c>
      <c r="D227" s="13" t="inlineStr">
        <is>
          <t>Store</t>
        </is>
      </c>
      <c r="E227" s="13" t="inlineStr">
        <is>
          <t>Furniture</t>
        </is>
      </c>
      <c r="F227" s="13" t="inlineStr">
        <is>
          <t>Linen Sofa</t>
        </is>
      </c>
      <c r="G227" s="13" t="inlineStr">
        <is>
          <t>Home Office</t>
        </is>
      </c>
      <c r="H227" s="13" t="inlineStr">
        <is>
          <t>2</t>
        </is>
      </c>
      <c r="I227" s="14" t="inlineStr">
        <is>
          <t>1205.13</t>
        </is>
      </c>
      <c r="J227" s="15" t="inlineStr">
        <is>
          <t>0.01</t>
        </is>
      </c>
      <c r="K227" s="14" t="inlineStr">
        <is>
          <t>795.39</t>
        </is>
      </c>
      <c r="L227" s="13" t="inlineStr">
        <is>
          <t>N/A</t>
        </is>
      </c>
      <c r="M227" s="13" t="inlineStr">
        <is>
          <t>Completed</t>
        </is>
      </c>
      <c r="N227" s="13" t="inlineStr">
        <is>
          <t>J. Patel</t>
        </is>
      </c>
    </row>
    <row r="228">
      <c r="A228" s="13" t="inlineStr">
        <is>
          <t>HC-100226</t>
        </is>
      </c>
      <c r="B228" s="13" t="inlineStr">
        <is>
          <t>2025/09/28</t>
        </is>
      </c>
      <c r="C228" s="13" t="inlineStr">
        <is>
          <t>South</t>
        </is>
      </c>
      <c r="D228" s="13" t="inlineStr">
        <is>
          <t>Store</t>
        </is>
      </c>
      <c r="E228" s="13" t="inlineStr">
        <is>
          <t>Furniture</t>
        </is>
      </c>
      <c r="F228" s="13" t="inlineStr">
        <is>
          <t>Linen Sofa</t>
        </is>
      </c>
      <c r="G228" s="13" t="inlineStr">
        <is>
          <t>Consumer</t>
        </is>
      </c>
      <c r="H228" s="13" t="inlineStr">
        <is>
          <t>2</t>
        </is>
      </c>
      <c r="I228" s="14" t="inlineStr">
        <is>
          <t>1301.60</t>
        </is>
      </c>
      <c r="J228" s="15" t="inlineStr">
        <is>
          <t>0.10</t>
        </is>
      </c>
      <c r="K228" s="14" t="inlineStr">
        <is>
          <t>859.06</t>
        </is>
      </c>
      <c r="L228" s="13" t="inlineStr">
        <is>
          <t>4</t>
        </is>
      </c>
      <c r="M228" s="13" t="inlineStr">
        <is>
          <t>Completed</t>
        </is>
      </c>
      <c r="N228" s="13" t="inlineStr">
        <is>
          <t>L. Berger</t>
        </is>
      </c>
    </row>
    <row r="229">
      <c r="A229" s="13" t="inlineStr">
        <is>
          <t>HC-100227</t>
        </is>
      </c>
      <c r="B229" s="13" t="inlineStr">
        <is>
          <t>15.10.2024</t>
        </is>
      </c>
      <c r="C229" s="13" t="inlineStr">
        <is>
          <t>North</t>
        </is>
      </c>
      <c r="D229" s="13" t="inlineStr">
        <is>
          <t>retail</t>
        </is>
      </c>
      <c r="E229" s="13" t="inlineStr">
        <is>
          <t>Lighting</t>
        </is>
      </c>
      <c r="F229" s="13" t="inlineStr">
        <is>
          <t>Brass Sconce</t>
        </is>
      </c>
      <c r="G229" s="13" t="inlineStr">
        <is>
          <t>Corporate</t>
        </is>
      </c>
      <c r="H229" s="13" t="inlineStr">
        <is>
          <t>3</t>
        </is>
      </c>
      <c r="I229" s="14" t="inlineStr">
        <is>
          <t>144.81</t>
        </is>
      </c>
      <c r="J229" s="15" t="inlineStr">
        <is>
          <t>0.07</t>
        </is>
      </c>
      <c r="K229" s="14" t="inlineStr">
        <is>
          <t>66.61</t>
        </is>
      </c>
      <c r="L229" s="13" t="inlineStr">
        <is>
          <t>7</t>
        </is>
      </c>
      <c r="M229" s="13" t="inlineStr">
        <is>
          <t>Completed</t>
        </is>
      </c>
      <c r="N229" s="13" t="inlineStr">
        <is>
          <t>J. Patel</t>
        </is>
      </c>
    </row>
    <row r="230">
      <c r="A230" s="13" t="inlineStr">
        <is>
          <t>HC-100228</t>
        </is>
      </c>
      <c r="B230" s="13" t="inlineStr">
        <is>
          <t>06/27/2025</t>
        </is>
      </c>
      <c r="C230" s="13" t="inlineStr">
        <is>
          <t>North</t>
        </is>
      </c>
      <c r="D230" s="13" t="inlineStr">
        <is>
          <t>retail</t>
        </is>
      </c>
      <c r="E230" s="13" t="inlineStr">
        <is>
          <t>Furniture</t>
        </is>
      </c>
      <c r="F230" s="13" t="inlineStr">
        <is>
          <t>Oak Desk</t>
        </is>
      </c>
      <c r="G230" s="13" t="inlineStr">
        <is>
          <t>Consumer</t>
        </is>
      </c>
      <c r="H230" s="13" t="inlineStr">
        <is>
          <t>1</t>
        </is>
      </c>
      <c r="I230" s="14" t="inlineStr">
        <is>
          <t>809.75</t>
        </is>
      </c>
      <c r="J230" s="15" t="inlineStr">
        <is>
          <t>0.05</t>
        </is>
      </c>
      <c r="K230" s="14" t="inlineStr">
        <is>
          <t>502.05</t>
        </is>
      </c>
      <c r="L230" s="13" t="inlineStr">
        <is>
          <t>5</t>
        </is>
      </c>
      <c r="M230" s="13" t="inlineStr">
        <is>
          <t>Completed</t>
        </is>
      </c>
      <c r="N230" s="13" t="inlineStr">
        <is>
          <t>J. Patel</t>
        </is>
      </c>
    </row>
    <row r="231">
      <c r="A231" s="13" t="inlineStr">
        <is>
          <t>HC-100229</t>
        </is>
      </c>
      <c r="B231" s="13" t="inlineStr">
        <is>
          <t>20-Jan-25</t>
        </is>
      </c>
      <c r="C231" s="13" t="inlineStr">
        <is>
          <t>North</t>
        </is>
      </c>
      <c r="D231" s="13" t="inlineStr">
        <is>
          <t>Online</t>
        </is>
      </c>
      <c r="E231" s="13" t="inlineStr">
        <is>
          <t>Kitchen</t>
        </is>
      </c>
      <c r="F231" s="13" t="inlineStr">
        <is>
          <t>Ceramic Set</t>
        </is>
      </c>
      <c r="G231" s="13" t="inlineStr">
        <is>
          <t>Consumer</t>
        </is>
      </c>
      <c r="H231" s="13" t="inlineStr">
        <is>
          <t>1</t>
        </is>
      </c>
      <c r="I231" s="14" t="inlineStr">
        <is>
          <t>88.23</t>
        </is>
      </c>
      <c r="J231" s="15" t="inlineStr">
        <is>
          <t>0.14</t>
        </is>
      </c>
      <c r="K231" s="14" t="inlineStr">
        <is>
          <t>33.53</t>
        </is>
      </c>
      <c r="L231" s="13" t="inlineStr">
        <is>
          <t>3</t>
        </is>
      </c>
      <c r="M231" s="13" t="inlineStr">
        <is>
          <t>Completed</t>
        </is>
      </c>
      <c r="N231" s="13" t="inlineStr">
        <is>
          <t>L. Berger</t>
        </is>
      </c>
    </row>
    <row r="232">
      <c r="A232" s="13" t="inlineStr">
        <is>
          <t>HC-100230</t>
        </is>
      </c>
      <c r="B232" s="13" t="inlineStr">
        <is>
          <t>2024/09/27</t>
        </is>
      </c>
      <c r="C232" s="13" t="inlineStr">
        <is>
          <t>North</t>
        </is>
      </c>
      <c r="D232" s="13" t="inlineStr">
        <is>
          <t>Online</t>
        </is>
      </c>
      <c r="E232" s="13" t="inlineStr">
        <is>
          <t>Textiles</t>
        </is>
      </c>
      <c r="F232" s="13" t="inlineStr">
        <is>
          <t>Cotton Duvet</t>
        </is>
      </c>
      <c r="G232" s="13" t="inlineStr">
        <is>
          <t>Consumer</t>
        </is>
      </c>
      <c r="H232" s="13" t="inlineStr">
        <is>
          <t>2</t>
        </is>
      </c>
      <c r="I232" s="14" t="inlineStr">
        <is>
          <t>126.63</t>
        </is>
      </c>
      <c r="J232" s="15" t="inlineStr">
        <is>
          <t>0.16</t>
        </is>
      </c>
      <c r="K232" s="14" t="inlineStr">
        <is>
          <t>55.72</t>
        </is>
      </c>
      <c r="L232" s="13" t="inlineStr">
        <is>
          <t>9</t>
        </is>
      </c>
      <c r="M232" s="13" t="inlineStr">
        <is>
          <t>Completed</t>
        </is>
      </c>
      <c r="N232" s="13" t="inlineStr">
        <is>
          <t>L. Berger</t>
        </is>
      </c>
    </row>
    <row r="233">
      <c r="A233" s="13" t="inlineStr">
        <is>
          <t>HC-100231</t>
        </is>
      </c>
      <c r="B233" s="13" t="inlineStr">
        <is>
          <t>23.05.2025</t>
        </is>
      </c>
      <c r="C233" s="13" t="inlineStr">
        <is>
          <t>South</t>
        </is>
      </c>
      <c r="D233" s="13" t="inlineStr">
        <is>
          <t>Store</t>
        </is>
      </c>
      <c r="E233" s="13" t="inlineStr">
        <is>
          <t>Kitchen</t>
        </is>
      </c>
      <c r="F233" s="13" t="inlineStr">
        <is>
          <t>Chef Knife</t>
        </is>
      </c>
      <c r="G233" s="13" t="inlineStr">
        <is>
          <t>Consumer</t>
        </is>
      </c>
      <c r="H233" s="13" t="inlineStr">
        <is>
          <t>1</t>
        </is>
      </c>
      <c r="I233" s="14" t="inlineStr">
        <is>
          <t>67.89</t>
        </is>
      </c>
      <c r="J233" s="15" t="inlineStr">
        <is>
          <t>0.07</t>
        </is>
      </c>
      <c r="K233" s="14" t="inlineStr">
        <is>
          <t>24.44</t>
        </is>
      </c>
      <c r="L233" s="13" t="inlineStr">
        <is>
          <t>7</t>
        </is>
      </c>
      <c r="M233" s="13" t="inlineStr">
        <is>
          <t>Completed</t>
        </is>
      </c>
      <c r="N233" s="13" t="inlineStr">
        <is>
          <t>P. Rossi</t>
        </is>
      </c>
    </row>
    <row r="234">
      <c r="A234" s="13" t="inlineStr">
        <is>
          <t>HC-100232</t>
        </is>
      </c>
      <c r="B234" s="13" t="inlineStr">
        <is>
          <t>05/15/2024</t>
        </is>
      </c>
      <c r="C234" s="13" t="inlineStr">
        <is>
          <t>North</t>
        </is>
      </c>
      <c r="D234" s="13" t="inlineStr">
        <is>
          <t>Wholesale</t>
        </is>
      </c>
      <c r="E234" s="13" t="inlineStr">
        <is>
          <t>Lighting</t>
        </is>
      </c>
      <c r="F234" s="13" t="inlineStr">
        <is>
          <t>Arc Lamp</t>
        </is>
      </c>
      <c r="G234" s="13" t="inlineStr">
        <is>
          <t>Corporate</t>
        </is>
      </c>
      <c r="H234" s="13" t="inlineStr">
        <is>
          <t>17</t>
        </is>
      </c>
      <c r="I234" s="14" t="inlineStr">
        <is>
          <t>309.25</t>
        </is>
      </c>
      <c r="J234" s="15" t="inlineStr">
        <is>
          <t>0.16</t>
        </is>
      </c>
      <c r="K234" s="14" t="inlineStr">
        <is>
          <t>148.44</t>
        </is>
      </c>
      <c r="L234" s="13" t="inlineStr">
        <is>
          <t>4</t>
        </is>
      </c>
      <c r="M234" s="13" t="inlineStr">
        <is>
          <t>Completed</t>
        </is>
      </c>
      <c r="N234" s="13" t="inlineStr">
        <is>
          <t>K. Mensah</t>
        </is>
      </c>
    </row>
    <row r="235">
      <c r="A235" s="13" t="inlineStr">
        <is>
          <t>HC-100233</t>
        </is>
      </c>
      <c r="B235" s="13" t="inlineStr">
        <is>
          <t>19-Feb-24</t>
        </is>
      </c>
      <c r="C235" s="13" t="inlineStr">
        <is>
          <t>EAST</t>
        </is>
      </c>
      <c r="D235" s="13" t="inlineStr">
        <is>
          <t>Wholesale</t>
        </is>
      </c>
      <c r="E235" s="13" t="inlineStr">
        <is>
          <t>Textiles</t>
        </is>
      </c>
      <c r="F235" s="13" t="inlineStr">
        <is>
          <t>Cotton Duvet</t>
        </is>
      </c>
      <c r="G235" s="13" t="inlineStr">
        <is>
          <t>Consumer</t>
        </is>
      </c>
      <c r="H235" s="13" t="inlineStr">
        <is>
          <t>30</t>
        </is>
      </c>
      <c r="I235" s="14" t="inlineStr">
        <is>
          <t>112.89</t>
        </is>
      </c>
      <c r="J235" s="15" t="inlineStr">
        <is>
          <t>0.24</t>
        </is>
      </c>
      <c r="K235" s="14" t="inlineStr">
        <is>
          <t>49.67</t>
        </is>
      </c>
      <c r="L235" s="13" t="inlineStr">
        <is>
          <t>11</t>
        </is>
      </c>
      <c r="M235" s="13" t="inlineStr">
        <is>
          <t>Completed</t>
        </is>
      </c>
      <c r="N235" s="13" t="inlineStr">
        <is>
          <t>L. Berger</t>
        </is>
      </c>
    </row>
    <row r="236">
      <c r="A236" s="13" t="inlineStr">
        <is>
          <t>HC-100234</t>
        </is>
      </c>
      <c r="B236" s="13" t="inlineStr">
        <is>
          <t>2024/05/02</t>
        </is>
      </c>
      <c r="C236" s="13" t="inlineStr">
        <is>
          <t>North</t>
        </is>
      </c>
      <c r="D236" s="13" t="inlineStr">
        <is>
          <t>Store</t>
        </is>
      </c>
      <c r="E236" s="13" t="inlineStr">
        <is>
          <t>Furniture</t>
        </is>
      </c>
      <c r="F236" s="13" t="inlineStr">
        <is>
          <t>Linen Sofa</t>
        </is>
      </c>
      <c r="G236" s="13" t="inlineStr">
        <is>
          <t>Consumer</t>
        </is>
      </c>
      <c r="H236" s="13" t="inlineStr">
        <is>
          <t>1</t>
        </is>
      </c>
      <c r="I236" s="14" t="inlineStr">
        <is>
          <t>1156.23</t>
        </is>
      </c>
      <c r="J236" s="15" t="inlineStr">
        <is>
          <t>0.04</t>
        </is>
      </c>
      <c r="K236" s="14" t="inlineStr">
        <is>
          <t>763.11</t>
        </is>
      </c>
      <c r="L236" s="13" t="inlineStr">
        <is>
          <t>6</t>
        </is>
      </c>
      <c r="M236" s="13" t="inlineStr">
        <is>
          <t>Completed</t>
        </is>
      </c>
      <c r="N236" s="13" t="inlineStr">
        <is>
          <t>L. Berger</t>
        </is>
      </c>
    </row>
    <row r="237">
      <c r="A237" s="13" t="inlineStr">
        <is>
          <t>HC-100235</t>
        </is>
      </c>
      <c r="B237" s="13" t="inlineStr">
        <is>
          <t>25.08.2024</t>
        </is>
      </c>
      <c r="C237" s="13" t="inlineStr">
        <is>
          <t>South</t>
        </is>
      </c>
      <c r="D237" s="13" t="inlineStr">
        <is>
          <t>Store</t>
        </is>
      </c>
      <c r="E237" s="13" t="inlineStr">
        <is>
          <t>Textiles</t>
        </is>
      </c>
      <c r="F237" s="13" t="inlineStr">
        <is>
          <t>Wool Throw</t>
        </is>
      </c>
      <c r="G237" s="13" t="inlineStr">
        <is>
          <t>Corporate</t>
        </is>
      </c>
      <c r="H237" s="13" t="inlineStr">
        <is>
          <t>3</t>
        </is>
      </c>
      <c r="I237" s="14" t="inlineStr">
        <is>
          <t>70.24</t>
        </is>
      </c>
      <c r="J237" s="15" t="inlineStr">
        <is>
          <t>0.11</t>
        </is>
      </c>
      <c r="K237" s="14" t="inlineStr">
        <is>
          <t>29.50</t>
        </is>
      </c>
      <c r="L237" s="13" t="inlineStr">
        <is>
          <t>3</t>
        </is>
      </c>
      <c r="M237" s="13" t="inlineStr">
        <is>
          <t>Completed</t>
        </is>
      </c>
      <c r="N237" s="13" t="inlineStr">
        <is>
          <t>M. Okonkwo</t>
        </is>
      </c>
    </row>
    <row r="238">
      <c r="A238" s="13" t="inlineStr">
        <is>
          <t>HC-100236</t>
        </is>
      </c>
      <c r="B238" s="13" t="inlineStr">
        <is>
          <t>05/30/2024</t>
        </is>
      </c>
      <c r="C238" s="13" t="inlineStr">
        <is>
          <t>South</t>
        </is>
      </c>
      <c r="D238" s="13" t="inlineStr">
        <is>
          <t>Online</t>
        </is>
      </c>
      <c r="E238" s="13" t="inlineStr">
        <is>
          <t>Textiles</t>
        </is>
      </c>
      <c r="F238" s="13" t="inlineStr">
        <is>
          <t>Wool Throw</t>
        </is>
      </c>
      <c r="G238" s="13" t="inlineStr">
        <is>
          <t>Corporate</t>
        </is>
      </c>
      <c r="H238" s="13" t="inlineStr">
        <is>
          <t>3</t>
        </is>
      </c>
      <c r="I238" s="14" t="inlineStr">
        <is>
          <t>71.82</t>
        </is>
      </c>
      <c r="J238" s="15" t="inlineStr">
        <is>
          <t>0.08</t>
        </is>
      </c>
      <c r="K238" s="14" t="inlineStr">
        <is>
          <t>30.16</t>
        </is>
      </c>
      <c r="L238" s="13" t="inlineStr">
        <is>
          <t>3</t>
        </is>
      </c>
      <c r="M238" s="13" t="inlineStr">
        <is>
          <t>Completed</t>
        </is>
      </c>
      <c r="N238" s="13" t="inlineStr">
        <is>
          <t>P. Rossi</t>
        </is>
      </c>
    </row>
    <row r="239">
      <c r="A239" s="13" t="inlineStr">
        <is>
          <t>HC-100237</t>
        </is>
      </c>
      <c r="B239" s="13" t="inlineStr">
        <is>
          <t>10-Jan-25</t>
        </is>
      </c>
      <c r="C239" s="13" t="inlineStr">
        <is>
          <t>South</t>
        </is>
      </c>
      <c r="D239" s="13" t="inlineStr">
        <is>
          <t>Store</t>
        </is>
      </c>
      <c r="E239" s="13" t="inlineStr">
        <is>
          <t>Textiles</t>
        </is>
      </c>
      <c r="F239" s="13" t="inlineStr">
        <is>
          <t>Cotton Duvet</t>
        </is>
      </c>
      <c r="G239" s="13" t="inlineStr">
        <is>
          <t>Consumer</t>
        </is>
      </c>
      <c r="H239" s="13" t="inlineStr">
        <is>
          <t>1</t>
        </is>
      </c>
      <c r="I239" s="14" t="inlineStr">
        <is>
          <t>126.75</t>
        </is>
      </c>
      <c r="J239" s="15" t="inlineStr">
        <is>
          <t>0.00</t>
        </is>
      </c>
      <c r="K239" s="14" t="inlineStr">
        <is>
          <t>55.77</t>
        </is>
      </c>
      <c r="L239" s="13" t="inlineStr">
        <is>
          <t>6</t>
        </is>
      </c>
      <c r="M239" s="13" t="inlineStr">
        <is>
          <t>Completed</t>
        </is>
      </c>
      <c r="N239" s="13" t="inlineStr">
        <is>
          <t>M. Okonkwo</t>
        </is>
      </c>
    </row>
    <row r="240">
      <c r="A240" s="13" t="inlineStr">
        <is>
          <t>HC-100238</t>
        </is>
      </c>
      <c r="B240" s="13" t="inlineStr">
        <is>
          <t>2024/06/25</t>
        </is>
      </c>
      <c r="C240" s="13" t="inlineStr">
        <is>
          <t>North</t>
        </is>
      </c>
      <c r="D240" s="13" t="inlineStr">
        <is>
          <t>Wholesale</t>
        </is>
      </c>
      <c r="E240" s="13" t="inlineStr">
        <is>
          <t>Furniture</t>
        </is>
      </c>
      <c r="F240" s="13" t="inlineStr">
        <is>
          <t>Lounge Chair</t>
        </is>
      </c>
      <c r="G240" s="13" t="inlineStr">
        <is>
          <t>Consumer</t>
        </is>
      </c>
      <c r="H240" s="13" t="inlineStr">
        <is>
          <t>33</t>
        </is>
      </c>
      <c r="I240" s="14" t="inlineStr">
        <is>
          <t>450.84</t>
        </is>
      </c>
      <c r="J240" s="15" t="inlineStr">
        <is>
          <t>0.23</t>
        </is>
      </c>
      <c r="K240" s="14" t="inlineStr">
        <is>
          <t>270.50</t>
        </is>
      </c>
      <c r="L240" s="13" t="inlineStr">
        <is>
          <t>5</t>
        </is>
      </c>
      <c r="M240" s="13" t="inlineStr">
        <is>
          <t>Compleated</t>
        </is>
      </c>
      <c r="N240" s="13" t="inlineStr">
        <is>
          <t>R. Ibarra</t>
        </is>
      </c>
    </row>
    <row r="241">
      <c r="A241" s="13" t="inlineStr">
        <is>
          <t>HC-100239</t>
        </is>
      </c>
      <c r="B241" s="13" t="inlineStr">
        <is>
          <t>06.09.2024</t>
        </is>
      </c>
      <c r="C241" s="13" t="inlineStr">
        <is>
          <t>North</t>
        </is>
      </c>
      <c r="D241" s="13" t="inlineStr">
        <is>
          <t>Online</t>
        </is>
      </c>
      <c r="E241" s="13" t="inlineStr">
        <is>
          <t>Furniture</t>
        </is>
      </c>
      <c r="F241" s="13" t="inlineStr">
        <is>
          <t>Linen Sofa</t>
        </is>
      </c>
      <c r="G241" s="13" t="inlineStr">
        <is>
          <t>Consumer</t>
        </is>
      </c>
      <c r="H241" s="13" t="inlineStr">
        <is>
          <t>2</t>
        </is>
      </c>
      <c r="I241" s="14" t="inlineStr">
        <is>
          <t>1251.15</t>
        </is>
      </c>
      <c r="J241" s="15" t="inlineStr">
        <is>
          <t>0.09</t>
        </is>
      </c>
      <c r="K241" s="14" t="inlineStr">
        <is>
          <t>825.76</t>
        </is>
      </c>
      <c r="L241" s="13" t="inlineStr">
        <is>
          <t>8</t>
        </is>
      </c>
      <c r="M241" s="13" t="inlineStr">
        <is>
          <t>Cancelled</t>
        </is>
      </c>
      <c r="N241" s="13" t="inlineStr">
        <is>
          <t>R. Ibarra</t>
        </is>
      </c>
    </row>
    <row r="242">
      <c r="A242" s="13" t="inlineStr">
        <is>
          <t>HC-100240</t>
        </is>
      </c>
      <c r="B242" s="13" t="inlineStr">
        <is>
          <t>08/26/2025</t>
        </is>
      </c>
      <c r="C242" s="13" t="inlineStr">
        <is>
          <t>South</t>
        </is>
      </c>
      <c r="D242" s="13" t="inlineStr">
        <is>
          <t>Online</t>
        </is>
      </c>
      <c r="E242" s="13" t="inlineStr">
        <is>
          <t>Lighting</t>
        </is>
      </c>
      <c r="F242" s="13" t="inlineStr">
        <is>
          <t>Arc Lamp</t>
        </is>
      </c>
      <c r="G242" s="13" t="inlineStr"/>
      <c r="H242" s="13" t="inlineStr">
        <is>
          <t>2</t>
        </is>
      </c>
      <c r="I242" s="14" t="inlineStr">
        <is>
          <t>312.76</t>
        </is>
      </c>
      <c r="J242" s="15" t="inlineStr">
        <is>
          <t>0.18</t>
        </is>
      </c>
      <c r="K242" s="14" t="inlineStr">
        <is>
          <t>150.12</t>
        </is>
      </c>
      <c r="L242" s="13" t="inlineStr">
        <is>
          <t>6</t>
        </is>
      </c>
      <c r="M242" s="13" t="inlineStr">
        <is>
          <t>Completed</t>
        </is>
      </c>
      <c r="N242" s="13" t="inlineStr">
        <is>
          <t>L. Berger</t>
        </is>
      </c>
    </row>
    <row r="243">
      <c r="A243" s="13" t="inlineStr">
        <is>
          <t>HC-100241</t>
        </is>
      </c>
      <c r="B243" s="13" t="inlineStr">
        <is>
          <t>21-Nov-24</t>
        </is>
      </c>
      <c r="C243" s="13" t="inlineStr">
        <is>
          <t>North</t>
        </is>
      </c>
      <c r="D243" s="13" t="inlineStr">
        <is>
          <t>Online</t>
        </is>
      </c>
      <c r="E243" s="13" t="inlineStr">
        <is>
          <t>Textiles</t>
        </is>
      </c>
      <c r="F243" s="13" t="inlineStr">
        <is>
          <t>Linen Curtain</t>
        </is>
      </c>
      <c r="G243" s="13" t="inlineStr">
        <is>
          <t>Consumer</t>
        </is>
      </c>
      <c r="H243" s="13" t="inlineStr">
        <is>
          <t>3</t>
        </is>
      </c>
      <c r="I243" s="14" t="inlineStr">
        <is>
          <t>$101.48</t>
        </is>
      </c>
      <c r="J243" s="15" t="inlineStr">
        <is>
          <t>0.04</t>
        </is>
      </c>
      <c r="K243" s="14" t="inlineStr">
        <is>
          <t>45.67</t>
        </is>
      </c>
      <c r="L243" s="13" t="inlineStr">
        <is>
          <t>5</t>
        </is>
      </c>
      <c r="M243" s="13" t="inlineStr">
        <is>
          <t>Completed</t>
        </is>
      </c>
      <c r="N243" s="13" t="inlineStr">
        <is>
          <t>J. Patel</t>
        </is>
      </c>
    </row>
    <row r="244">
      <c r="A244" s="13" t="inlineStr">
        <is>
          <t>HC-100242</t>
        </is>
      </c>
      <c r="B244" s="13" t="inlineStr">
        <is>
          <t>2025/09/06</t>
        </is>
      </c>
      <c r="C244" s="13" t="inlineStr">
        <is>
          <t>North</t>
        </is>
      </c>
      <c r="D244" s="13" t="inlineStr">
        <is>
          <t>Store</t>
        </is>
      </c>
      <c r="E244" s="13" t="inlineStr">
        <is>
          <t>Lighting</t>
        </is>
      </c>
      <c r="F244" s="13" t="inlineStr">
        <is>
          <t>Arc Lamp</t>
        </is>
      </c>
      <c r="G244" s="13" t="inlineStr">
        <is>
          <t>Corporate</t>
        </is>
      </c>
      <c r="H244" s="13" t="inlineStr">
        <is>
          <t>2</t>
        </is>
      </c>
      <c r="I244" s="14" t="inlineStr">
        <is>
          <t>287.95</t>
        </is>
      </c>
      <c r="J244" s="15" t="inlineStr">
        <is>
          <t>0.06</t>
        </is>
      </c>
      <c r="K244" s="14" t="inlineStr">
        <is>
          <t>138.21</t>
        </is>
      </c>
      <c r="L244" s="13" t="inlineStr">
        <is>
          <t>4</t>
        </is>
      </c>
      <c r="M244" s="13" t="inlineStr">
        <is>
          <t>Completed</t>
        </is>
      </c>
      <c r="N244" s="13" t="inlineStr">
        <is>
          <t>K. Mensah</t>
        </is>
      </c>
    </row>
    <row r="245">
      <c r="A245" s="13" t="inlineStr">
        <is>
          <t>HC-100243</t>
        </is>
      </c>
      <c r="B245" s="13" t="inlineStr">
        <is>
          <t>05.02.2025</t>
        </is>
      </c>
      <c r="C245" s="13" t="inlineStr">
        <is>
          <t>South</t>
        </is>
      </c>
      <c r="D245" s="13" t="inlineStr">
        <is>
          <t>In-Store</t>
        </is>
      </c>
      <c r="E245" s="13" t="inlineStr">
        <is>
          <t>Furniture</t>
        </is>
      </c>
      <c r="F245" s="13" t="inlineStr">
        <is>
          <t>Oak Desk</t>
        </is>
      </c>
      <c r="G245" s="13" t="inlineStr">
        <is>
          <t>Home Office</t>
        </is>
      </c>
      <c r="H245" s="13" t="inlineStr">
        <is>
          <t>2</t>
        </is>
      </c>
      <c r="I245" s="14" t="inlineStr">
        <is>
          <t>852.03</t>
        </is>
      </c>
      <c r="J245" s="15" t="inlineStr">
        <is>
          <t>0.04</t>
        </is>
      </c>
      <c r="K245" s="14" t="inlineStr">
        <is>
          <t>528.26</t>
        </is>
      </c>
      <c r="L245" s="13" t="inlineStr">
        <is>
          <t>4</t>
        </is>
      </c>
      <c r="M245" s="13" t="inlineStr">
        <is>
          <t>Completed</t>
        </is>
      </c>
      <c r="N245" s="13" t="inlineStr">
        <is>
          <t>A. Shah</t>
        </is>
      </c>
    </row>
    <row r="246">
      <c r="A246" s="13" t="inlineStr">
        <is>
          <t>HC-100244</t>
        </is>
      </c>
      <c r="B246" s="13" t="inlineStr">
        <is>
          <t>06/13/2025</t>
        </is>
      </c>
      <c r="C246" s="13" t="inlineStr">
        <is>
          <t>North</t>
        </is>
      </c>
      <c r="D246" s="13" t="inlineStr">
        <is>
          <t>Store</t>
        </is>
      </c>
      <c r="E246" s="13" t="inlineStr">
        <is>
          <t>Furniture</t>
        </is>
      </c>
      <c r="F246" s="13" t="inlineStr">
        <is>
          <t>Oak Desk</t>
        </is>
      </c>
      <c r="G246" s="13" t="inlineStr"/>
      <c r="H246" s="13" t="inlineStr">
        <is>
          <t>1</t>
        </is>
      </c>
      <c r="I246" s="14" t="inlineStr">
        <is>
          <t>840.57</t>
        </is>
      </c>
      <c r="J246" s="15" t="inlineStr">
        <is>
          <t>0.00</t>
        </is>
      </c>
      <c r="K246" s="14" t="inlineStr">
        <is>
          <t>521.15</t>
        </is>
      </c>
      <c r="L246" s="13" t="inlineStr">
        <is>
          <t>5</t>
        </is>
      </c>
      <c r="M246" s="13" t="inlineStr">
        <is>
          <t>Completed</t>
        </is>
      </c>
      <c r="N246" s="13" t="inlineStr">
        <is>
          <t>S. Nguyen</t>
        </is>
      </c>
    </row>
    <row r="247">
      <c r="A247" s="13" t="inlineStr">
        <is>
          <t>HC-100245</t>
        </is>
      </c>
      <c r="B247" s="13" t="inlineStr">
        <is>
          <t>05-Apr-24</t>
        </is>
      </c>
      <c r="C247" s="13" t="inlineStr">
        <is>
          <t>West</t>
        </is>
      </c>
      <c r="D247" s="13" t="inlineStr">
        <is>
          <t>B2B</t>
        </is>
      </c>
      <c r="E247" s="13" t="inlineStr">
        <is>
          <t>Lighting</t>
        </is>
      </c>
      <c r="F247" s="13" t="inlineStr">
        <is>
          <t>Brass Sconce</t>
        </is>
      </c>
      <c r="G247" s="13" t="inlineStr">
        <is>
          <t>consumer</t>
        </is>
      </c>
      <c r="H247" s="13" t="inlineStr">
        <is>
          <t>15</t>
        </is>
      </c>
      <c r="I247" s="14" t="inlineStr">
        <is>
          <t>$140.96</t>
        </is>
      </c>
      <c r="J247" s="15" t="inlineStr">
        <is>
          <t>0.27</t>
        </is>
      </c>
      <c r="K247" s="14" t="inlineStr">
        <is>
          <t>64.84</t>
        </is>
      </c>
      <c r="L247" s="13" t="inlineStr">
        <is>
          <t>7</t>
        </is>
      </c>
      <c r="M247" s="13" t="inlineStr">
        <is>
          <t>Completed</t>
        </is>
      </c>
      <c r="N247" s="13" t="inlineStr">
        <is>
          <t>L. Berger</t>
        </is>
      </c>
    </row>
    <row r="248">
      <c r="A248" s="13" t="inlineStr">
        <is>
          <t>HC-100246</t>
        </is>
      </c>
      <c r="B248" s="13" t="inlineStr">
        <is>
          <t>2025/08/10</t>
        </is>
      </c>
      <c r="C248" s="13" t="inlineStr">
        <is>
          <t>South</t>
        </is>
      </c>
      <c r="D248" s="13" t="inlineStr">
        <is>
          <t>Store</t>
        </is>
      </c>
      <c r="E248" s="13" t="inlineStr">
        <is>
          <t>Furniture</t>
        </is>
      </c>
      <c r="F248" s="13" t="inlineStr">
        <is>
          <t>Linen Sofa</t>
        </is>
      </c>
      <c r="G248" s="13" t="inlineStr">
        <is>
          <t>Consumer</t>
        </is>
      </c>
      <c r="H248" s="13" t="inlineStr">
        <is>
          <t>2</t>
        </is>
      </c>
      <c r="I248" s="14" t="inlineStr">
        <is>
          <t>1170.47</t>
        </is>
      </c>
      <c r="J248" s="15" t="inlineStr">
        <is>
          <t>0.01</t>
        </is>
      </c>
      <c r="K248" s="14" t="inlineStr">
        <is>
          <t>772.51</t>
        </is>
      </c>
      <c r="L248" s="13" t="inlineStr">
        <is>
          <t>3</t>
        </is>
      </c>
      <c r="M248" s="13" t="inlineStr">
        <is>
          <t>Completed</t>
        </is>
      </c>
      <c r="N248" s="13" t="inlineStr">
        <is>
          <t>L. Berger</t>
        </is>
      </c>
    </row>
    <row r="249">
      <c r="A249" s="13" t="inlineStr">
        <is>
          <t>HC-100247</t>
        </is>
      </c>
      <c r="B249" s="13" t="inlineStr">
        <is>
          <t>01.01.2025</t>
        </is>
      </c>
      <c r="C249" s="13" t="inlineStr">
        <is>
          <t>North</t>
        </is>
      </c>
      <c r="D249" s="13" t="inlineStr">
        <is>
          <t>retail</t>
        </is>
      </c>
      <c r="E249" s="13" t="inlineStr">
        <is>
          <t>Lighting</t>
        </is>
      </c>
      <c r="F249" s="13" t="inlineStr">
        <is>
          <t>Pendant Light</t>
        </is>
      </c>
      <c r="G249" s="13" t="inlineStr">
        <is>
          <t>consumer</t>
        </is>
      </c>
      <c r="H249" s="13" t="inlineStr">
        <is>
          <t>3</t>
        </is>
      </c>
      <c r="I249" s="14" t="inlineStr">
        <is>
          <t>174.05</t>
        </is>
      </c>
      <c r="J249" s="15" t="inlineStr">
        <is>
          <t>0.02</t>
        </is>
      </c>
      <c r="K249" s="14" t="inlineStr">
        <is>
          <t>87.02</t>
        </is>
      </c>
      <c r="L249" s="13" t="inlineStr">
        <is>
          <t>6</t>
        </is>
      </c>
      <c r="M249" s="13" t="inlineStr">
        <is>
          <t>Compleated</t>
        </is>
      </c>
      <c r="N249" s="13" t="inlineStr">
        <is>
          <t>K. Mensah</t>
        </is>
      </c>
    </row>
    <row r="250">
      <c r="A250" s="13" t="inlineStr">
        <is>
          <t>HC-100248</t>
        </is>
      </c>
      <c r="B250" s="13" t="inlineStr">
        <is>
          <t>10/26/2024</t>
        </is>
      </c>
      <c r="C250" s="13" t="inlineStr">
        <is>
          <t>South</t>
        </is>
      </c>
      <c r="D250" s="13" t="inlineStr">
        <is>
          <t>Store</t>
        </is>
      </c>
      <c r="E250" s="13" t="inlineStr">
        <is>
          <t>Textiles</t>
        </is>
      </c>
      <c r="F250" s="13" t="inlineStr">
        <is>
          <t>Wool Throw</t>
        </is>
      </c>
      <c r="G250" s="13" t="inlineStr">
        <is>
          <t>Consumer</t>
        </is>
      </c>
      <c r="H250" s="13" t="inlineStr">
        <is>
          <t>3</t>
        </is>
      </c>
      <c r="I250" s="14" t="inlineStr">
        <is>
          <t>79.63</t>
        </is>
      </c>
      <c r="J250" s="15" t="inlineStr">
        <is>
          <t>0.02</t>
        </is>
      </c>
      <c r="K250" s="14" t="inlineStr">
        <is>
          <t>33.44</t>
        </is>
      </c>
      <c r="L250" s="13" t="inlineStr">
        <is>
          <t>5</t>
        </is>
      </c>
      <c r="M250" s="13" t="inlineStr">
        <is>
          <t>Completed</t>
        </is>
      </c>
      <c r="N250" s="13" t="inlineStr">
        <is>
          <t>J. Patel</t>
        </is>
      </c>
    </row>
    <row r="251">
      <c r="A251" s="13" t="inlineStr">
        <is>
          <t>HC-100249</t>
        </is>
      </c>
      <c r="B251" s="13" t="inlineStr">
        <is>
          <t>27-May-24</t>
        </is>
      </c>
      <c r="C251" s="13" t="inlineStr">
        <is>
          <t>West</t>
        </is>
      </c>
      <c r="D251" s="13" t="inlineStr">
        <is>
          <t>Wholesale</t>
        </is>
      </c>
      <c r="E251" s="13" t="inlineStr">
        <is>
          <t>Furniture</t>
        </is>
      </c>
      <c r="F251" s="13" t="inlineStr">
        <is>
          <t>Lounge Chair</t>
        </is>
      </c>
      <c r="G251" s="13" t="inlineStr">
        <is>
          <t>Consumer</t>
        </is>
      </c>
      <c r="H251" s="13" t="inlineStr">
        <is>
          <t>35</t>
        </is>
      </c>
      <c r="I251" s="14" t="inlineStr">
        <is>
          <t>456.94</t>
        </is>
      </c>
      <c r="J251" s="15" t="inlineStr">
        <is>
          <t>0.20</t>
        </is>
      </c>
      <c r="K251" s="14" t="inlineStr">
        <is>
          <t>274.16</t>
        </is>
      </c>
      <c r="L251" s="13" t="inlineStr">
        <is>
          <t>6</t>
        </is>
      </c>
      <c r="M251" s="13" t="inlineStr">
        <is>
          <t>Completed</t>
        </is>
      </c>
      <c r="N251" s="13" t="inlineStr">
        <is>
          <t>K. Mensah</t>
        </is>
      </c>
    </row>
    <row r="252">
      <c r="A252" s="13" t="inlineStr">
        <is>
          <t>HC-100250</t>
        </is>
      </c>
      <c r="B252" s="13" t="inlineStr">
        <is>
          <t>2024/07/10</t>
        </is>
      </c>
      <c r="C252" s="13" t="inlineStr">
        <is>
          <t>North</t>
        </is>
      </c>
      <c r="D252" s="13" t="inlineStr">
        <is>
          <t>Online</t>
        </is>
      </c>
      <c r="E252" s="13" t="inlineStr">
        <is>
          <t>Textiles</t>
        </is>
      </c>
      <c r="F252" s="13" t="inlineStr">
        <is>
          <t>Linen Curtain</t>
        </is>
      </c>
      <c r="G252" s="13" t="inlineStr">
        <is>
          <t>Consumer</t>
        </is>
      </c>
      <c r="H252" s="13" t="inlineStr">
        <is>
          <t>3</t>
        </is>
      </c>
      <c r="I252" s="14" t="inlineStr">
        <is>
          <t>$87.59</t>
        </is>
      </c>
      <c r="J252" s="15" t="inlineStr">
        <is>
          <t>0.07</t>
        </is>
      </c>
      <c r="K252" s="14" t="inlineStr">
        <is>
          <t>39.41</t>
        </is>
      </c>
      <c r="L252" s="13" t="inlineStr">
        <is>
          <t>11</t>
        </is>
      </c>
      <c r="M252" s="13" t="inlineStr">
        <is>
          <t>Completed</t>
        </is>
      </c>
      <c r="N252" s="13" t="inlineStr">
        <is>
          <t>J. Patel</t>
        </is>
      </c>
    </row>
    <row r="253">
      <c r="A253" s="13" t="inlineStr">
        <is>
          <t>HC-100251</t>
        </is>
      </c>
      <c r="B253" s="13" t="inlineStr">
        <is>
          <t>09.03.2024</t>
        </is>
      </c>
      <c r="C253" s="13" t="inlineStr">
        <is>
          <t>East</t>
        </is>
      </c>
      <c r="D253" s="13" t="inlineStr">
        <is>
          <t>Wholesale</t>
        </is>
      </c>
      <c r="E253" s="13" t="inlineStr">
        <is>
          <t>Furniture</t>
        </is>
      </c>
      <c r="F253" s="13" t="inlineStr">
        <is>
          <t>Linen Sofa</t>
        </is>
      </c>
      <c r="G253" s="13" t="inlineStr">
        <is>
          <t>Consumer</t>
        </is>
      </c>
      <c r="H253" s="13" t="inlineStr">
        <is>
          <t>12</t>
        </is>
      </c>
      <c r="I253" s="14" t="inlineStr">
        <is>
          <t>1143.41</t>
        </is>
      </c>
      <c r="J253" s="15" t="inlineStr">
        <is>
          <t>0.15</t>
        </is>
      </c>
      <c r="K253" s="14" t="inlineStr">
        <is>
          <t>754.65</t>
        </is>
      </c>
      <c r="L253" s="13" t="inlineStr">
        <is>
          <t>6</t>
        </is>
      </c>
      <c r="M253" s="13" t="inlineStr">
        <is>
          <t>COMPLETED</t>
        </is>
      </c>
      <c r="N253" s="13" t="inlineStr">
        <is>
          <t>S. Nguyen</t>
        </is>
      </c>
    </row>
    <row r="254">
      <c r="A254" s="13" t="inlineStr">
        <is>
          <t>HC-100252</t>
        </is>
      </c>
      <c r="B254" s="13" t="inlineStr">
        <is>
          <t>02/18/2024</t>
        </is>
      </c>
      <c r="C254" s="13" t="inlineStr">
        <is>
          <t>East</t>
        </is>
      </c>
      <c r="D254" s="13" t="inlineStr">
        <is>
          <t>Store</t>
        </is>
      </c>
      <c r="E254" s="13" t="inlineStr">
        <is>
          <t>FURNITURE</t>
        </is>
      </c>
      <c r="F254" s="13" t="inlineStr">
        <is>
          <t>Lounge Chair</t>
        </is>
      </c>
      <c r="G254" s="13" t="inlineStr">
        <is>
          <t>Corporate</t>
        </is>
      </c>
      <c r="H254" s="13" t="inlineStr">
        <is>
          <t>3</t>
        </is>
      </c>
      <c r="I254" s="14" t="inlineStr">
        <is>
          <t>443.49</t>
        </is>
      </c>
      <c r="J254" s="15" t="inlineStr">
        <is>
          <t>0.09</t>
        </is>
      </c>
      <c r="K254" s="14" t="inlineStr">
        <is>
          <t>266.09</t>
        </is>
      </c>
      <c r="L254" s="13" t="inlineStr">
        <is>
          <t>9</t>
        </is>
      </c>
      <c r="M254" s="13" t="inlineStr">
        <is>
          <t>Completed</t>
        </is>
      </c>
      <c r="N254" s="13" t="inlineStr">
        <is>
          <t>P. Rossi</t>
        </is>
      </c>
    </row>
    <row r="255">
      <c r="A255" s="13" t="inlineStr">
        <is>
          <t>HC-100253</t>
        </is>
      </c>
      <c r="B255" s="13" t="inlineStr">
        <is>
          <t>24-Apr-24</t>
        </is>
      </c>
      <c r="C255" s="13" t="inlineStr">
        <is>
          <t>West</t>
        </is>
      </c>
      <c r="D255" s="13" t="inlineStr">
        <is>
          <t>Wholesale</t>
        </is>
      </c>
      <c r="E255" s="13" t="inlineStr">
        <is>
          <t>Lighting</t>
        </is>
      </c>
      <c r="F255" s="13" t="inlineStr">
        <is>
          <t>Brass Sconce</t>
        </is>
      </c>
      <c r="G255" s="13" t="inlineStr">
        <is>
          <t>Consumer</t>
        </is>
      </c>
      <c r="H255" s="13" t="inlineStr">
        <is>
          <t>18</t>
        </is>
      </c>
      <c r="I255" s="14" t="inlineStr">
        <is>
          <t>135.87</t>
        </is>
      </c>
      <c r="J255" s="15" t="inlineStr">
        <is>
          <t>0.29</t>
        </is>
      </c>
      <c r="K255" s="14" t="inlineStr">
        <is>
          <t>62.50</t>
        </is>
      </c>
      <c r="L255" s="13" t="inlineStr">
        <is>
          <t>12</t>
        </is>
      </c>
      <c r="M255" s="13" t="inlineStr">
        <is>
          <t>Completed</t>
        </is>
      </c>
      <c r="N255" s="13" t="inlineStr">
        <is>
          <t>K. Mensah</t>
        </is>
      </c>
    </row>
    <row r="256">
      <c r="A256" s="13" t="inlineStr">
        <is>
          <t>HC-100254</t>
        </is>
      </c>
      <c r="B256" s="13" t="inlineStr">
        <is>
          <t>2024/05/09</t>
        </is>
      </c>
      <c r="C256" s="13" t="inlineStr">
        <is>
          <t>West</t>
        </is>
      </c>
      <c r="D256" s="13" t="inlineStr">
        <is>
          <t>Store</t>
        </is>
      </c>
      <c r="E256" s="13" t="inlineStr">
        <is>
          <t>Furniture</t>
        </is>
      </c>
      <c r="F256" s="13" t="inlineStr">
        <is>
          <t>Oak Desk</t>
        </is>
      </c>
      <c r="G256" s="13" t="inlineStr">
        <is>
          <t>Consumer</t>
        </is>
      </c>
      <c r="H256" s="13" t="inlineStr">
        <is>
          <t>2</t>
        </is>
      </c>
      <c r="I256" s="14" t="inlineStr">
        <is>
          <t>848.32</t>
        </is>
      </c>
      <c r="J256" s="15" t="inlineStr">
        <is>
          <t>0.11</t>
        </is>
      </c>
      <c r="K256" s="14" t="inlineStr">
        <is>
          <t>525.96</t>
        </is>
      </c>
      <c r="L256" s="13" t="inlineStr">
        <is>
          <t>2</t>
        </is>
      </c>
      <c r="M256" s="13" t="inlineStr">
        <is>
          <t>Completed</t>
        </is>
      </c>
      <c r="N256" s="13" t="inlineStr">
        <is>
          <t>R. Ibarra</t>
        </is>
      </c>
    </row>
    <row r="257">
      <c r="A257" s="13" t="inlineStr">
        <is>
          <t>HC-100255</t>
        </is>
      </c>
      <c r="B257" s="13" t="inlineStr">
        <is>
          <t>13.12.2024</t>
        </is>
      </c>
      <c r="C257" s="13" t="inlineStr">
        <is>
          <t>South</t>
        </is>
      </c>
      <c r="D257" s="13" t="inlineStr">
        <is>
          <t>Store</t>
        </is>
      </c>
      <c r="E257" s="13" t="inlineStr">
        <is>
          <t>Furniture</t>
        </is>
      </c>
      <c r="F257" s="13" t="inlineStr">
        <is>
          <t>Walnut Shelf</t>
        </is>
      </c>
      <c r="G257" s="13" t="inlineStr">
        <is>
          <t>Corporate</t>
        </is>
      </c>
      <c r="H257" s="13" t="inlineStr">
        <is>
          <t>4</t>
        </is>
      </c>
      <c r="I257" s="14" t="inlineStr">
        <is>
          <t>229.67</t>
        </is>
      </c>
      <c r="J257" s="15" t="inlineStr">
        <is>
          <t>3%</t>
        </is>
      </c>
      <c r="K257" s="14" t="inlineStr">
        <is>
          <t>126.32</t>
        </is>
      </c>
      <c r="L257" s="13" t="inlineStr">
        <is>
          <t>4</t>
        </is>
      </c>
      <c r="M257" s="13" t="inlineStr">
        <is>
          <t>COMPLETED</t>
        </is>
      </c>
      <c r="N257" s="13" t="inlineStr">
        <is>
          <t>K. Mensah</t>
        </is>
      </c>
    </row>
    <row r="258">
      <c r="A258" s="13" t="inlineStr">
        <is>
          <t>HC-100256</t>
        </is>
      </c>
      <c r="B258" s="13" t="inlineStr">
        <is>
          <t>08/10/2025</t>
        </is>
      </c>
      <c r="C258" s="13" t="inlineStr">
        <is>
          <t>West</t>
        </is>
      </c>
      <c r="D258" s="13" t="inlineStr">
        <is>
          <t>e-commerce</t>
        </is>
      </c>
      <c r="E258" s="13" t="inlineStr">
        <is>
          <t>Lighting</t>
        </is>
      </c>
      <c r="F258" s="13" t="inlineStr">
        <is>
          <t>Brass Sconce</t>
        </is>
      </c>
      <c r="G258" s="13" t="inlineStr">
        <is>
          <t>Corporate</t>
        </is>
      </c>
      <c r="H258" s="13" t="inlineStr">
        <is>
          <t>1</t>
        </is>
      </c>
      <c r="I258" s="14" t="inlineStr">
        <is>
          <t>138.36</t>
        </is>
      </c>
      <c r="J258" s="15" t="inlineStr">
        <is>
          <t>0.13</t>
        </is>
      </c>
      <c r="K258" s="14" t="inlineStr">
        <is>
          <t>63.65</t>
        </is>
      </c>
      <c r="L258" s="13" t="inlineStr">
        <is>
          <t>7</t>
        </is>
      </c>
      <c r="M258" s="13" t="inlineStr">
        <is>
          <t>complete</t>
        </is>
      </c>
      <c r="N258" s="13" t="inlineStr">
        <is>
          <t>R. Ibarra</t>
        </is>
      </c>
    </row>
    <row r="259">
      <c r="A259" s="13" t="inlineStr">
        <is>
          <t>HC-100257</t>
        </is>
      </c>
      <c r="B259" s="13" t="inlineStr">
        <is>
          <t>25-Nov-24</t>
        </is>
      </c>
      <c r="C259" s="13" t="inlineStr">
        <is>
          <t>North</t>
        </is>
      </c>
      <c r="D259" s="13" t="inlineStr">
        <is>
          <t>Online</t>
        </is>
      </c>
      <c r="E259" s="13" t="inlineStr">
        <is>
          <t>Textiles</t>
        </is>
      </c>
      <c r="F259" s="13" t="inlineStr">
        <is>
          <t>Linen Curtain</t>
        </is>
      </c>
      <c r="G259" s="13" t="inlineStr">
        <is>
          <t>Consumer</t>
        </is>
      </c>
      <c r="H259" s="13" t="inlineStr">
        <is>
          <t>2</t>
        </is>
      </c>
      <c r="I259" s="14" t="inlineStr">
        <is>
          <t>95.46</t>
        </is>
      </c>
      <c r="J259" s="15" t="inlineStr">
        <is>
          <t>0.17</t>
        </is>
      </c>
      <c r="K259" s="14" t="inlineStr">
        <is>
          <t>42.96</t>
        </is>
      </c>
      <c r="L259" s="13" t="inlineStr">
        <is>
          <t>6</t>
        </is>
      </c>
      <c r="M259" s="13" t="inlineStr">
        <is>
          <t>COMPLETED</t>
        </is>
      </c>
      <c r="N259" s="13" t="inlineStr">
        <is>
          <t>M. Okonkwo</t>
        </is>
      </c>
    </row>
    <row r="260">
      <c r="A260" s="13" t="inlineStr">
        <is>
          <t>HC-100258</t>
        </is>
      </c>
      <c r="B260" s="13" t="inlineStr">
        <is>
          <t>2024/02/22</t>
        </is>
      </c>
      <c r="C260" s="13" t="inlineStr">
        <is>
          <t>West</t>
        </is>
      </c>
      <c r="D260" s="13" t="inlineStr">
        <is>
          <t>Store</t>
        </is>
      </c>
      <c r="E260" s="13" t="inlineStr">
        <is>
          <t>Textiles</t>
        </is>
      </c>
      <c r="F260" s="13" t="inlineStr">
        <is>
          <t>Wool Throw</t>
        </is>
      </c>
      <c r="G260" s="13" t="inlineStr">
        <is>
          <t>Consumer</t>
        </is>
      </c>
      <c r="H260" s="13" t="inlineStr">
        <is>
          <t>1</t>
        </is>
      </c>
      <c r="I260" s="14" t="inlineStr">
        <is>
          <t>74.41</t>
        </is>
      </c>
      <c r="J260" s="15" t="inlineStr">
        <is>
          <t>0.03</t>
        </is>
      </c>
      <c r="K260" s="14" t="inlineStr">
        <is>
          <t>31.25</t>
        </is>
      </c>
      <c r="L260" s="13" t="inlineStr">
        <is>
          <t>4</t>
        </is>
      </c>
      <c r="M260" s="13" t="inlineStr">
        <is>
          <t>Completed</t>
        </is>
      </c>
      <c r="N260" s="13" t="inlineStr">
        <is>
          <t>R. Ibarra</t>
        </is>
      </c>
    </row>
    <row r="261">
      <c r="A261" s="13" t="inlineStr">
        <is>
          <t>HC-100259</t>
        </is>
      </c>
      <c r="B261" s="13" t="inlineStr">
        <is>
          <t>11.08.2024</t>
        </is>
      </c>
      <c r="C261" s="13" t="inlineStr">
        <is>
          <t>West</t>
        </is>
      </c>
      <c r="D261" s="13" t="inlineStr">
        <is>
          <t>Store</t>
        </is>
      </c>
      <c r="E261" s="13" t="inlineStr">
        <is>
          <t>Kitchen</t>
        </is>
      </c>
      <c r="F261" s="13" t="inlineStr">
        <is>
          <t>Ceramic Set</t>
        </is>
      </c>
      <c r="G261" s="13" t="inlineStr">
        <is>
          <t>Consumer</t>
        </is>
      </c>
      <c r="H261" s="13" t="inlineStr">
        <is>
          <t>2</t>
        </is>
      </c>
      <c r="I261" s="14" t="inlineStr">
        <is>
          <t>82.63</t>
        </is>
      </c>
      <c r="J261" s="15" t="inlineStr">
        <is>
          <t>0.00</t>
        </is>
      </c>
      <c r="K261" s="14" t="inlineStr">
        <is>
          <t>31.40</t>
        </is>
      </c>
      <c r="L261" s="13" t="inlineStr">
        <is>
          <t>6</t>
        </is>
      </c>
      <c r="M261" s="13" t="inlineStr">
        <is>
          <t>Compleated</t>
        </is>
      </c>
      <c r="N261" s="13" t="inlineStr">
        <is>
          <t>R. Ibarra</t>
        </is>
      </c>
    </row>
    <row r="262">
      <c r="A262" s="13" t="inlineStr">
        <is>
          <t>HC-100260</t>
        </is>
      </c>
      <c r="B262" s="13" t="inlineStr">
        <is>
          <t>04/07/2024</t>
        </is>
      </c>
      <c r="C262" s="13" t="inlineStr">
        <is>
          <t>North</t>
        </is>
      </c>
      <c r="D262" s="13" t="inlineStr">
        <is>
          <t>Store</t>
        </is>
      </c>
      <c r="E262" s="13" t="inlineStr">
        <is>
          <t>Furniture</t>
        </is>
      </c>
      <c r="F262" s="13" t="inlineStr">
        <is>
          <t>Lounge Chair</t>
        </is>
      </c>
      <c r="G262" s="13" t="inlineStr">
        <is>
          <t>Consumer</t>
        </is>
      </c>
      <c r="H262" s="13" t="inlineStr">
        <is>
          <t>3</t>
        </is>
      </c>
      <c r="I262" s="14" t="inlineStr">
        <is>
          <t>460.77</t>
        </is>
      </c>
      <c r="J262" s="15" t="inlineStr">
        <is>
          <t>0.05</t>
        </is>
      </c>
      <c r="K262" s="14" t="inlineStr">
        <is>
          <t>276.46</t>
        </is>
      </c>
      <c r="L262" s="13" t="inlineStr">
        <is>
          <t>4</t>
        </is>
      </c>
      <c r="M262" s="13" t="inlineStr">
        <is>
          <t>Completed</t>
        </is>
      </c>
      <c r="N262" s="13" t="inlineStr">
        <is>
          <t>S. Nguyen</t>
        </is>
      </c>
    </row>
    <row r="263">
      <c r="A263" s="13" t="inlineStr">
        <is>
          <t>HC-100261</t>
        </is>
      </c>
      <c r="B263" s="13" t="inlineStr">
        <is>
          <t>30-Jul-24</t>
        </is>
      </c>
      <c r="C263" s="13" t="inlineStr">
        <is>
          <t>East</t>
        </is>
      </c>
      <c r="D263" s="13" t="inlineStr">
        <is>
          <t>Store</t>
        </is>
      </c>
      <c r="E263" s="13" t="inlineStr">
        <is>
          <t>Furniture</t>
        </is>
      </c>
      <c r="F263" s="13" t="inlineStr">
        <is>
          <t>Oak Desk</t>
        </is>
      </c>
      <c r="G263" s="13" t="inlineStr">
        <is>
          <t>consumer</t>
        </is>
      </c>
      <c r="H263" s="13" t="inlineStr">
        <is>
          <t>4</t>
        </is>
      </c>
      <c r="I263" s="14" t="inlineStr">
        <is>
          <t>767.91</t>
        </is>
      </c>
      <c r="J263" s="15" t="inlineStr">
        <is>
          <t>0.07</t>
        </is>
      </c>
      <c r="K263" s="14" t="inlineStr">
        <is>
          <t>476.10</t>
        </is>
      </c>
      <c r="L263" s="13" t="inlineStr">
        <is>
          <t>7</t>
        </is>
      </c>
      <c r="M263" s="13" t="inlineStr">
        <is>
          <t>Completed</t>
        </is>
      </c>
      <c r="N263" s="13" t="inlineStr">
        <is>
          <t>A. Shah</t>
        </is>
      </c>
    </row>
    <row r="264">
      <c r="A264" s="13" t="inlineStr">
        <is>
          <t>HC-100262</t>
        </is>
      </c>
      <c r="B264" s="13" t="inlineStr">
        <is>
          <t>2024/08/31</t>
        </is>
      </c>
      <c r="C264" s="13" t="inlineStr">
        <is>
          <t>East</t>
        </is>
      </c>
      <c r="D264" s="13" t="inlineStr">
        <is>
          <t>Store</t>
        </is>
      </c>
      <c r="E264" s="13" t="inlineStr">
        <is>
          <t>Kitchen</t>
        </is>
      </c>
      <c r="F264" s="13" t="inlineStr">
        <is>
          <t>Ceramic Set</t>
        </is>
      </c>
      <c r="G264" s="13" t="inlineStr">
        <is>
          <t>Corporate</t>
        </is>
      </c>
      <c r="H264" s="13" t="inlineStr">
        <is>
          <t>2</t>
        </is>
      </c>
      <c r="I264" s="14" t="inlineStr">
        <is>
          <t>73.37</t>
        </is>
      </c>
      <c r="J264" s="15" t="inlineStr">
        <is>
          <t>0.01</t>
        </is>
      </c>
      <c r="K264" s="14" t="inlineStr">
        <is>
          <t>27.88</t>
        </is>
      </c>
      <c r="L264" s="13" t="inlineStr">
        <is>
          <t>11</t>
        </is>
      </c>
      <c r="M264" s="13" t="inlineStr">
        <is>
          <t>retrned</t>
        </is>
      </c>
      <c r="N264" s="13" t="inlineStr">
        <is>
          <t>K. Mensah</t>
        </is>
      </c>
    </row>
    <row r="265">
      <c r="A265" s="13" t="inlineStr">
        <is>
          <t>HC-100263</t>
        </is>
      </c>
      <c r="B265" s="13" t="inlineStr">
        <is>
          <t>01.04.2025</t>
        </is>
      </c>
      <c r="C265" s="13" t="inlineStr">
        <is>
          <t>East</t>
        </is>
      </c>
      <c r="D265" s="13" t="inlineStr">
        <is>
          <t>Store</t>
        </is>
      </c>
      <c r="E265" s="13" t="inlineStr">
        <is>
          <t>Furniture</t>
        </is>
      </c>
      <c r="F265" s="13" t="inlineStr">
        <is>
          <t>Lounge Chair</t>
        </is>
      </c>
      <c r="G265" s="13" t="inlineStr"/>
      <c r="H265" s="13" t="inlineStr">
        <is>
          <t>3</t>
        </is>
      </c>
      <c r="I265" s="14" t="inlineStr">
        <is>
          <t>463.14</t>
        </is>
      </c>
      <c r="J265" s="15" t="inlineStr">
        <is>
          <t>0.09</t>
        </is>
      </c>
      <c r="K265" s="14" t="inlineStr">
        <is>
          <t>277.89</t>
        </is>
      </c>
      <c r="L265" s="13" t="inlineStr">
        <is>
          <t>10</t>
        </is>
      </c>
      <c r="M265" s="13" t="inlineStr">
        <is>
          <t>Completed</t>
        </is>
      </c>
      <c r="N265" s="13" t="inlineStr">
        <is>
          <t>J. Patel</t>
        </is>
      </c>
    </row>
    <row r="266">
      <c r="A266" s="13" t="inlineStr">
        <is>
          <t>HC-100264</t>
        </is>
      </c>
      <c r="B266" s="13" t="inlineStr">
        <is>
          <t>11/19/2024</t>
        </is>
      </c>
      <c r="C266" s="13" t="inlineStr">
        <is>
          <t>south</t>
        </is>
      </c>
      <c r="D266" s="13" t="inlineStr">
        <is>
          <t>Store</t>
        </is>
      </c>
      <c r="E266" s="13" t="inlineStr">
        <is>
          <t>KITCHEN</t>
        </is>
      </c>
      <c r="F266" s="13" t="inlineStr">
        <is>
          <t>Chef Knife</t>
        </is>
      </c>
      <c r="G266" s="13" t="inlineStr">
        <is>
          <t>Consumer</t>
        </is>
      </c>
      <c r="H266" s="13" t="inlineStr">
        <is>
          <t>5</t>
        </is>
      </c>
      <c r="I266" s="14" t="inlineStr">
        <is>
          <t>64.58</t>
        </is>
      </c>
      <c r="J266" s="15" t="inlineStr">
        <is>
          <t>0.07</t>
        </is>
      </c>
      <c r="K266" s="14" t="inlineStr">
        <is>
          <t>23.25</t>
        </is>
      </c>
      <c r="L266" s="13" t="inlineStr">
        <is>
          <t>3</t>
        </is>
      </c>
      <c r="M266" s="13" t="inlineStr">
        <is>
          <t>Completed</t>
        </is>
      </c>
      <c r="N266" s="13" t="inlineStr">
        <is>
          <t>L. Berger</t>
        </is>
      </c>
    </row>
    <row r="267">
      <c r="A267" s="13" t="inlineStr">
        <is>
          <t>HC-100265</t>
        </is>
      </c>
      <c r="B267" s="13" t="inlineStr">
        <is>
          <t>09-Nov-24</t>
        </is>
      </c>
      <c r="C267" s="13" t="inlineStr">
        <is>
          <t>Eas</t>
        </is>
      </c>
      <c r="D267" s="13" t="inlineStr">
        <is>
          <t>web</t>
        </is>
      </c>
      <c r="E267" s="13" t="inlineStr">
        <is>
          <t>Furniture</t>
        </is>
      </c>
      <c r="F267" s="13" t="inlineStr">
        <is>
          <t>Linen Sofa</t>
        </is>
      </c>
      <c r="G267" s="13" t="inlineStr">
        <is>
          <t>Consumer</t>
        </is>
      </c>
      <c r="H267" s="13" t="inlineStr">
        <is>
          <t>4</t>
        </is>
      </c>
      <c r="I267" s="14" t="inlineStr">
        <is>
          <t>1173.37</t>
        </is>
      </c>
      <c r="J267" s="15" t="inlineStr">
        <is>
          <t>0.14</t>
        </is>
      </c>
      <c r="K267" s="14" t="inlineStr">
        <is>
          <t>774.43</t>
        </is>
      </c>
      <c r="L267" s="13" t="inlineStr">
        <is>
          <t>10</t>
        </is>
      </c>
      <c r="M267" s="13" t="inlineStr">
        <is>
          <t>complete</t>
        </is>
      </c>
      <c r="N267" s="13" t="inlineStr">
        <is>
          <t>S. Nguyen</t>
        </is>
      </c>
    </row>
    <row r="268">
      <c r="A268" s="13" t="inlineStr">
        <is>
          <t>HC-100266</t>
        </is>
      </c>
      <c r="B268" s="13" t="inlineStr">
        <is>
          <t>2024/09/21</t>
        </is>
      </c>
      <c r="C268" s="13" t="inlineStr">
        <is>
          <t>east</t>
        </is>
      </c>
      <c r="D268" s="13" t="inlineStr">
        <is>
          <t>In-Store</t>
        </is>
      </c>
      <c r="E268" s="13" t="inlineStr">
        <is>
          <t>Textiles</t>
        </is>
      </c>
      <c r="F268" s="13" t="inlineStr">
        <is>
          <t>Linen Curtain</t>
        </is>
      </c>
      <c r="G268" s="13" t="inlineStr">
        <is>
          <t>Consumer</t>
        </is>
      </c>
      <c r="H268" s="13" t="inlineStr">
        <is>
          <t>1</t>
        </is>
      </c>
      <c r="I268" s="14" t="inlineStr">
        <is>
          <t>$81.16</t>
        </is>
      </c>
      <c r="J268" s="15" t="inlineStr">
        <is>
          <t>0.05</t>
        </is>
      </c>
      <c r="K268" s="14" t="inlineStr">
        <is>
          <t>36.52</t>
        </is>
      </c>
      <c r="L268" s="13" t="inlineStr">
        <is>
          <t>11</t>
        </is>
      </c>
      <c r="M268" s="13" t="inlineStr">
        <is>
          <t>Returned</t>
        </is>
      </c>
      <c r="N268" s="13" t="inlineStr">
        <is>
          <t>M. Okonkwo</t>
        </is>
      </c>
    </row>
    <row r="269">
      <c r="A269" s="13" t="inlineStr">
        <is>
          <t>HC-100267</t>
        </is>
      </c>
      <c r="B269" s="13" t="inlineStr">
        <is>
          <t>29.03.2025</t>
        </is>
      </c>
      <c r="C269" s="13" t="inlineStr">
        <is>
          <t xml:space="preserve"> North </t>
        </is>
      </c>
      <c r="D269" s="13" t="inlineStr">
        <is>
          <t>Wholesale</t>
        </is>
      </c>
      <c r="E269" s="13" t="inlineStr">
        <is>
          <t>Textiles</t>
        </is>
      </c>
      <c r="F269" s="13" t="inlineStr">
        <is>
          <t>Linen Curtain</t>
        </is>
      </c>
      <c r="G269" s="13" t="inlineStr">
        <is>
          <t>Consumer</t>
        </is>
      </c>
      <c r="H269" s="13" t="inlineStr">
        <is>
          <t>31</t>
        </is>
      </c>
      <c r="I269" s="14" t="inlineStr">
        <is>
          <t>100.61</t>
        </is>
      </c>
      <c r="J269" s="15" t="inlineStr">
        <is>
          <t>0.24</t>
        </is>
      </c>
      <c r="K269" s="14" t="inlineStr">
        <is>
          <t>45.27</t>
        </is>
      </c>
      <c r="L269" s="13" t="inlineStr">
        <is>
          <t>3</t>
        </is>
      </c>
      <c r="M269" s="13" t="inlineStr">
        <is>
          <t>Completed</t>
        </is>
      </c>
      <c r="N269" s="13" t="inlineStr">
        <is>
          <t>S. Nguyen</t>
        </is>
      </c>
    </row>
    <row r="270">
      <c r="A270" s="13" t="inlineStr">
        <is>
          <t>HC-100268</t>
        </is>
      </c>
      <c r="B270" s="13" t="inlineStr">
        <is>
          <t>01/24/2024</t>
        </is>
      </c>
      <c r="C270" s="13" t="inlineStr">
        <is>
          <t>North</t>
        </is>
      </c>
      <c r="D270" s="13" t="inlineStr">
        <is>
          <t>Online</t>
        </is>
      </c>
      <c r="E270" s="13" t="inlineStr">
        <is>
          <t>Kitchen</t>
        </is>
      </c>
      <c r="F270" s="13" t="inlineStr">
        <is>
          <t>Ceramic Set</t>
        </is>
      </c>
      <c r="G270" s="13" t="inlineStr">
        <is>
          <t>consumer</t>
        </is>
      </c>
      <c r="H270" s="13" t="inlineStr">
        <is>
          <t>1</t>
        </is>
      </c>
      <c r="I270" s="14" t="inlineStr">
        <is>
          <t>86.47</t>
        </is>
      </c>
      <c r="J270" s="15" t="inlineStr">
        <is>
          <t>0.04</t>
        </is>
      </c>
      <c r="K270" s="14" t="inlineStr">
        <is>
          <t>32.86</t>
        </is>
      </c>
      <c r="L270" s="13" t="inlineStr">
        <is>
          <t>9</t>
        </is>
      </c>
      <c r="M270" s="13" t="inlineStr">
        <is>
          <t>complete</t>
        </is>
      </c>
      <c r="N270" s="13" t="inlineStr">
        <is>
          <t>S. Nguyen</t>
        </is>
      </c>
    </row>
    <row r="271">
      <c r="A271" s="13" t="inlineStr">
        <is>
          <t>HC-100269</t>
        </is>
      </c>
      <c r="B271" s="13" t="inlineStr">
        <is>
          <t>24-Feb-24</t>
        </is>
      </c>
      <c r="C271" s="13" t="inlineStr">
        <is>
          <t>East</t>
        </is>
      </c>
      <c r="D271" s="13" t="inlineStr">
        <is>
          <t>Online</t>
        </is>
      </c>
      <c r="E271" s="13" t="inlineStr">
        <is>
          <t>Textiles</t>
        </is>
      </c>
      <c r="F271" s="13" t="inlineStr">
        <is>
          <t>Wool Throw</t>
        </is>
      </c>
      <c r="G271" s="13" t="inlineStr">
        <is>
          <t>Home Office</t>
        </is>
      </c>
      <c r="H271" s="13" t="inlineStr">
        <is>
          <t>3</t>
        </is>
      </c>
      <c r="I271" s="14" t="inlineStr">
        <is>
          <t>63.22</t>
        </is>
      </c>
      <c r="J271" s="15" t="inlineStr">
        <is>
          <t>0.13</t>
        </is>
      </c>
      <c r="K271" s="14" t="inlineStr">
        <is>
          <t>26.55</t>
        </is>
      </c>
      <c r="L271" s="13" t="inlineStr">
        <is>
          <t>9</t>
        </is>
      </c>
      <c r="M271" s="13" t="inlineStr">
        <is>
          <t>complete</t>
        </is>
      </c>
      <c r="N271" s="13" t="inlineStr">
        <is>
          <t>M. Okonkwo</t>
        </is>
      </c>
    </row>
    <row r="272">
      <c r="A272" s="13" t="inlineStr">
        <is>
          <t>HC-100270</t>
        </is>
      </c>
      <c r="B272" s="13" t="inlineStr">
        <is>
          <t>2024/07/03</t>
        </is>
      </c>
      <c r="C272" s="13" t="inlineStr">
        <is>
          <t>West</t>
        </is>
      </c>
      <c r="D272" s="13" t="inlineStr">
        <is>
          <t>Online</t>
        </is>
      </c>
      <c r="E272" s="13" t="inlineStr">
        <is>
          <t>KITCHEN</t>
        </is>
      </c>
      <c r="F272" s="13" t="inlineStr">
        <is>
          <t>Cast Skillet</t>
        </is>
      </c>
      <c r="G272" s="13" t="inlineStr">
        <is>
          <t>consumer</t>
        </is>
      </c>
      <c r="H272" s="13" t="inlineStr">
        <is>
          <t>1</t>
        </is>
      </c>
      <c r="I272" s="14" t="inlineStr">
        <is>
          <t>54.97</t>
        </is>
      </c>
      <c r="J272" s="15" t="inlineStr">
        <is>
          <t>0.17</t>
        </is>
      </c>
      <c r="K272" s="14" t="inlineStr">
        <is>
          <t>21.99</t>
        </is>
      </c>
      <c r="L272" s="13" t="inlineStr">
        <is>
          <t>6</t>
        </is>
      </c>
      <c r="M272" s="13" t="inlineStr">
        <is>
          <t>Completed</t>
        </is>
      </c>
      <c r="N272" s="13" t="inlineStr">
        <is>
          <t>M. Okonkwo</t>
        </is>
      </c>
    </row>
    <row r="273">
      <c r="A273" s="13" t="inlineStr">
        <is>
          <t>HC-100271</t>
        </is>
      </c>
      <c r="B273" s="13" t="inlineStr">
        <is>
          <t>22.09.2024</t>
        </is>
      </c>
      <c r="C273" s="13" t="inlineStr">
        <is>
          <t>West</t>
        </is>
      </c>
      <c r="D273" s="13" t="inlineStr">
        <is>
          <t>Online</t>
        </is>
      </c>
      <c r="E273" s="13" t="inlineStr">
        <is>
          <t>Furniture</t>
        </is>
      </c>
      <c r="F273" s="13" t="inlineStr">
        <is>
          <t>Linen Sofa</t>
        </is>
      </c>
      <c r="G273" s="13" t="inlineStr">
        <is>
          <t>Consumer</t>
        </is>
      </c>
      <c r="H273" s="13" t="inlineStr">
        <is>
          <t>2</t>
        </is>
      </c>
      <c r="I273" s="14" t="inlineStr">
        <is>
          <t>1248.64</t>
        </is>
      </c>
      <c r="J273" s="15" t="inlineStr">
        <is>
          <t>0.04</t>
        </is>
      </c>
      <c r="K273" s="14" t="inlineStr">
        <is>
          <t>824.10</t>
        </is>
      </c>
      <c r="L273" s="13" t="inlineStr">
        <is>
          <t>5</t>
        </is>
      </c>
      <c r="M273" s="13" t="inlineStr">
        <is>
          <t>Completed</t>
        </is>
      </c>
      <c r="N273" s="13" t="inlineStr">
        <is>
          <t>M. Okonkwo</t>
        </is>
      </c>
    </row>
    <row r="274">
      <c r="A274" s="13" t="inlineStr">
        <is>
          <t>HC-100272</t>
        </is>
      </c>
      <c r="B274" s="13" t="inlineStr">
        <is>
          <t>06/28/2024</t>
        </is>
      </c>
      <c r="C274" s="13" t="inlineStr">
        <is>
          <t>South</t>
        </is>
      </c>
      <c r="D274" s="13" t="inlineStr">
        <is>
          <t>Store</t>
        </is>
      </c>
      <c r="E274" s="13" t="inlineStr">
        <is>
          <t>Furniture</t>
        </is>
      </c>
      <c r="F274" s="13" t="inlineStr">
        <is>
          <t>Walnut Shelf</t>
        </is>
      </c>
      <c r="G274" s="13" t="inlineStr">
        <is>
          <t>Home Office</t>
        </is>
      </c>
      <c r="H274" s="13" t="inlineStr">
        <is>
          <t>3</t>
        </is>
      </c>
      <c r="I274" s="14" t="inlineStr">
        <is>
          <t>227.88</t>
        </is>
      </c>
      <c r="J274" s="15" t="inlineStr">
        <is>
          <t>0.07</t>
        </is>
      </c>
      <c r="K274" s="14" t="inlineStr">
        <is>
          <t>125.34</t>
        </is>
      </c>
      <c r="L274" s="13" t="inlineStr">
        <is>
          <t>9</t>
        </is>
      </c>
      <c r="M274" s="13" t="inlineStr">
        <is>
          <t>Completed</t>
        </is>
      </c>
      <c r="N274" s="13" t="inlineStr">
        <is>
          <t>M. Okonkwo</t>
        </is>
      </c>
    </row>
    <row r="275">
      <c r="A275" s="13" t="inlineStr">
        <is>
          <t>HC-100273</t>
        </is>
      </c>
      <c r="B275" s="13" t="inlineStr">
        <is>
          <t>14-Apr-24</t>
        </is>
      </c>
      <c r="C275" s="13" t="inlineStr">
        <is>
          <t>West</t>
        </is>
      </c>
      <c r="D275" s="13" t="inlineStr">
        <is>
          <t>Online</t>
        </is>
      </c>
      <c r="E275" s="13" t="inlineStr">
        <is>
          <t>Lighting</t>
        </is>
      </c>
      <c r="F275" s="13" t="inlineStr">
        <is>
          <t>Pendant Light</t>
        </is>
      </c>
      <c r="G275" s="13" t="inlineStr">
        <is>
          <t>corporate</t>
        </is>
      </c>
      <c r="H275" s="13" t="inlineStr">
        <is>
          <t>3</t>
        </is>
      </c>
      <c r="I275" s="14" t="inlineStr">
        <is>
          <t>177.01</t>
        </is>
      </c>
      <c r="J275" s="15" t="inlineStr">
        <is>
          <t>0.13</t>
        </is>
      </c>
      <c r="K275" s="14" t="inlineStr">
        <is>
          <t>88.50</t>
        </is>
      </c>
      <c r="L275" s="13" t="inlineStr">
        <is>
          <t>8</t>
        </is>
      </c>
      <c r="M275" s="13" t="inlineStr">
        <is>
          <t>Completed</t>
        </is>
      </c>
      <c r="N275" s="13" t="inlineStr">
        <is>
          <t>P. Rossi</t>
        </is>
      </c>
    </row>
    <row r="276">
      <c r="A276" s="13" t="inlineStr">
        <is>
          <t>HC-100274</t>
        </is>
      </c>
      <c r="B276" s="13" t="inlineStr">
        <is>
          <t>2024/12/18</t>
        </is>
      </c>
      <c r="C276" s="13" t="inlineStr">
        <is>
          <t>west</t>
        </is>
      </c>
      <c r="D276" s="13" t="inlineStr">
        <is>
          <t>Store</t>
        </is>
      </c>
      <c r="E276" s="13" t="inlineStr">
        <is>
          <t>Furniture</t>
        </is>
      </c>
      <c r="F276" s="13" t="inlineStr">
        <is>
          <t>Linen Sofa</t>
        </is>
      </c>
      <c r="G276" s="13" t="inlineStr">
        <is>
          <t>Consumer</t>
        </is>
      </c>
      <c r="H276" s="13" t="inlineStr">
        <is>
          <t>3</t>
        </is>
      </c>
      <c r="I276" s="14" t="inlineStr">
        <is>
          <t>1289.19</t>
        </is>
      </c>
      <c r="J276" s="15" t="inlineStr">
        <is>
          <t>0.05</t>
        </is>
      </c>
      <c r="K276" s="14" t="inlineStr">
        <is>
          <t>850.86</t>
        </is>
      </c>
      <c r="L276" s="13" t="inlineStr">
        <is>
          <t>2</t>
        </is>
      </c>
      <c r="M276" s="13" t="inlineStr">
        <is>
          <t>Completed</t>
        </is>
      </c>
      <c r="N276" s="13" t="inlineStr">
        <is>
          <t>R. Ibarra</t>
        </is>
      </c>
    </row>
    <row r="277">
      <c r="A277" s="13" t="inlineStr">
        <is>
          <t>HC-100275</t>
        </is>
      </c>
      <c r="B277" s="13" t="inlineStr">
        <is>
          <t>29.03.2024</t>
        </is>
      </c>
      <c r="C277" s="13" t="inlineStr">
        <is>
          <t>South</t>
        </is>
      </c>
      <c r="D277" s="13" t="inlineStr">
        <is>
          <t>e-commerce</t>
        </is>
      </c>
      <c r="E277" s="13" t="inlineStr">
        <is>
          <t>Furniture</t>
        </is>
      </c>
      <c r="F277" s="13" t="inlineStr">
        <is>
          <t>Lounge Chair</t>
        </is>
      </c>
      <c r="G277" s="13" t="inlineStr">
        <is>
          <t>Home Office</t>
        </is>
      </c>
      <c r="H277" s="13" t="inlineStr">
        <is>
          <t>One</t>
        </is>
      </c>
      <c r="I277" s="14" t="inlineStr">
        <is>
          <t>$462.39</t>
        </is>
      </c>
      <c r="J277" s="15" t="inlineStr">
        <is>
          <t>0.07</t>
        </is>
      </c>
      <c r="K277" s="14" t="inlineStr">
        <is>
          <t>277.44</t>
        </is>
      </c>
      <c r="L277" s="13" t="inlineStr">
        <is>
          <t>6</t>
        </is>
      </c>
      <c r="M277" s="13" t="inlineStr">
        <is>
          <t>Completed</t>
        </is>
      </c>
      <c r="N277" s="13" t="inlineStr">
        <is>
          <t>R. Ibarra</t>
        </is>
      </c>
    </row>
    <row r="278">
      <c r="A278" s="13" t="inlineStr">
        <is>
          <t>HC-100276</t>
        </is>
      </c>
      <c r="B278" s="13" t="inlineStr">
        <is>
          <t>12/04/2024</t>
        </is>
      </c>
      <c r="C278" s="13" t="inlineStr">
        <is>
          <t>North</t>
        </is>
      </c>
      <c r="D278" s="13" t="inlineStr">
        <is>
          <t>Online</t>
        </is>
      </c>
      <c r="E278" s="13" t="inlineStr">
        <is>
          <t>Furniture</t>
        </is>
      </c>
      <c r="F278" s="13" t="inlineStr">
        <is>
          <t>Linen Sofa</t>
        </is>
      </c>
      <c r="G278" s="13" t="inlineStr">
        <is>
          <t>Corporate</t>
        </is>
      </c>
      <c r="H278" s="13" t="inlineStr">
        <is>
          <t>3</t>
        </is>
      </c>
      <c r="I278" s="14" t="inlineStr">
        <is>
          <t>1284.61</t>
        </is>
      </c>
      <c r="J278" s="15" t="inlineStr">
        <is>
          <t>0.14</t>
        </is>
      </c>
      <c r="K278" s="14" t="inlineStr">
        <is>
          <t>847.84</t>
        </is>
      </c>
      <c r="L278" s="13" t="inlineStr">
        <is>
          <t>3</t>
        </is>
      </c>
      <c r="M278" s="13" t="inlineStr">
        <is>
          <t>Completed</t>
        </is>
      </c>
      <c r="N278" s="13" t="inlineStr">
        <is>
          <t>A. Shah</t>
        </is>
      </c>
    </row>
    <row r="279">
      <c r="A279" s="13" t="inlineStr">
        <is>
          <t>HC-100277</t>
        </is>
      </c>
      <c r="B279" s="13" t="inlineStr">
        <is>
          <t>07-Jul-24</t>
        </is>
      </c>
      <c r="C279" s="13" t="inlineStr">
        <is>
          <t>North</t>
        </is>
      </c>
      <c r="D279" s="13" t="inlineStr">
        <is>
          <t>Online</t>
        </is>
      </c>
      <c r="E279" s="13" t="inlineStr">
        <is>
          <t>KITCHEN</t>
        </is>
      </c>
      <c r="F279" s="13" t="inlineStr">
        <is>
          <t>Ceramic Set</t>
        </is>
      </c>
      <c r="G279" s="13" t="inlineStr">
        <is>
          <t>consumer</t>
        </is>
      </c>
      <c r="H279" s="13" t="inlineStr">
        <is>
          <t>2</t>
        </is>
      </c>
      <c r="I279" s="14" t="inlineStr">
        <is>
          <t>82.71</t>
        </is>
      </c>
      <c r="J279" s="15" t="inlineStr">
        <is>
          <t>0.03</t>
        </is>
      </c>
      <c r="K279" s="14" t="inlineStr">
        <is>
          <t>31.43</t>
        </is>
      </c>
      <c r="L279" s="13" t="inlineStr">
        <is>
          <t>6</t>
        </is>
      </c>
      <c r="M279" s="13" t="inlineStr">
        <is>
          <t>Completed</t>
        </is>
      </c>
      <c r="N279" s="13" t="inlineStr">
        <is>
          <t>R. Ibarra</t>
        </is>
      </c>
    </row>
    <row r="280">
      <c r="A280" s="13" t="inlineStr">
        <is>
          <t>HC-100278</t>
        </is>
      </c>
      <c r="B280" s="13" t="inlineStr">
        <is>
          <t>2025/06/17</t>
        </is>
      </c>
      <c r="C280" s="13" t="inlineStr">
        <is>
          <t>north</t>
        </is>
      </c>
      <c r="D280" s="13" t="inlineStr">
        <is>
          <t>Online</t>
        </is>
      </c>
      <c r="E280" s="13" t="inlineStr">
        <is>
          <t>LIGHTING</t>
        </is>
      </c>
      <c r="F280" s="13" t="inlineStr">
        <is>
          <t>Arc Lamp</t>
        </is>
      </c>
      <c r="G280" s="13" t="inlineStr">
        <is>
          <t>Home Office</t>
        </is>
      </c>
      <c r="H280" s="13" t="inlineStr">
        <is>
          <t>1</t>
        </is>
      </c>
      <c r="I280" s="14" t="inlineStr">
        <is>
          <t>316.13</t>
        </is>
      </c>
      <c r="J280" s="15" t="inlineStr">
        <is>
          <t>0.12</t>
        </is>
      </c>
      <c r="K280" s="14" t="inlineStr">
        <is>
          <t>151.74</t>
        </is>
      </c>
      <c r="L280" s="13" t="inlineStr">
        <is>
          <t>5</t>
        </is>
      </c>
      <c r="M280" s="13" t="inlineStr">
        <is>
          <t>Completed</t>
        </is>
      </c>
      <c r="N280" s="13" t="inlineStr">
        <is>
          <t>J. Patel</t>
        </is>
      </c>
    </row>
    <row r="281">
      <c r="A281" s="13" t="inlineStr">
        <is>
          <t>HC-100279</t>
        </is>
      </c>
      <c r="B281" s="13" t="inlineStr">
        <is>
          <t>16.04.2025</t>
        </is>
      </c>
      <c r="C281" s="13" t="inlineStr">
        <is>
          <t>SOUTH</t>
        </is>
      </c>
      <c r="D281" s="13" t="inlineStr">
        <is>
          <t>Online</t>
        </is>
      </c>
      <c r="E281" s="13" t="inlineStr">
        <is>
          <t>Furniture</t>
        </is>
      </c>
      <c r="F281" s="13" t="inlineStr">
        <is>
          <t>Walnut Shelf</t>
        </is>
      </c>
      <c r="G281" s="13" t="inlineStr">
        <is>
          <t>Consumer</t>
        </is>
      </c>
      <c r="H281" s="13" t="inlineStr">
        <is>
          <t>3</t>
        </is>
      </c>
      <c r="I281" s="14" t="inlineStr">
        <is>
          <t>233.29</t>
        </is>
      </c>
      <c r="J281" s="15" t="inlineStr">
        <is>
          <t>0.15</t>
        </is>
      </c>
      <c r="K281" s="14" t="inlineStr">
        <is>
          <t>128.31</t>
        </is>
      </c>
      <c r="L281" s="13" t="inlineStr">
        <is>
          <t>8</t>
        </is>
      </c>
      <c r="M281" s="13" t="inlineStr">
        <is>
          <t>Completed</t>
        </is>
      </c>
      <c r="N281" s="13" t="inlineStr">
        <is>
          <t>K. Mensah</t>
        </is>
      </c>
    </row>
    <row r="282">
      <c r="A282" s="13" t="inlineStr">
        <is>
          <t>HC-100280</t>
        </is>
      </c>
      <c r="B282" s="13" t="inlineStr">
        <is>
          <t>06/27/2025</t>
        </is>
      </c>
      <c r="C282" s="13" t="inlineStr">
        <is>
          <t>North</t>
        </is>
      </c>
      <c r="D282" s="13" t="inlineStr">
        <is>
          <t>Store</t>
        </is>
      </c>
      <c r="E282" s="13" t="inlineStr">
        <is>
          <t>Textiles</t>
        </is>
      </c>
      <c r="F282" s="13" t="inlineStr">
        <is>
          <t>Wool Throw</t>
        </is>
      </c>
      <c r="G282" s="13" t="inlineStr">
        <is>
          <t>Consumer</t>
        </is>
      </c>
      <c r="H282" s="13" t="inlineStr">
        <is>
          <t>3</t>
        </is>
      </c>
      <c r="I282" s="14" t="inlineStr">
        <is>
          <t>$73.16</t>
        </is>
      </c>
      <c r="J282" s="15" t="inlineStr">
        <is>
          <t>0.08</t>
        </is>
      </c>
      <c r="K282" s="14" t="inlineStr">
        <is>
          <t>30.73</t>
        </is>
      </c>
      <c r="L282" s="13" t="inlineStr">
        <is>
          <t>7</t>
        </is>
      </c>
      <c r="M282" s="13" t="inlineStr">
        <is>
          <t>Completed</t>
        </is>
      </c>
      <c r="N282" s="13" t="inlineStr">
        <is>
          <t>L. Berger</t>
        </is>
      </c>
    </row>
    <row r="283">
      <c r="A283" s="13" t="inlineStr">
        <is>
          <t>HC-100281</t>
        </is>
      </c>
      <c r="B283" s="13" t="inlineStr">
        <is>
          <t>07-Mar-25</t>
        </is>
      </c>
      <c r="C283" s="13" t="inlineStr">
        <is>
          <t>WEST</t>
        </is>
      </c>
      <c r="D283" s="13" t="inlineStr">
        <is>
          <t>Store</t>
        </is>
      </c>
      <c r="E283" s="13" t="inlineStr">
        <is>
          <t>Textiles</t>
        </is>
      </c>
      <c r="F283" s="13" t="inlineStr">
        <is>
          <t>Wool Throw</t>
        </is>
      </c>
      <c r="G283" s="13" t="inlineStr">
        <is>
          <t>Home Office</t>
        </is>
      </c>
      <c r="H283" s="13" t="inlineStr">
        <is>
          <t>3</t>
        </is>
      </c>
      <c r="I283" s="14" t="inlineStr">
        <is>
          <t>69.56</t>
        </is>
      </c>
      <c r="J283" s="15" t="inlineStr">
        <is>
          <t>0.05</t>
        </is>
      </c>
      <c r="K283" s="14" t="inlineStr">
        <is>
          <t>29.22</t>
        </is>
      </c>
      <c r="L283" s="13" t="inlineStr">
        <is>
          <t>2</t>
        </is>
      </c>
      <c r="M283" s="13" t="inlineStr">
        <is>
          <t>COMPLETED</t>
        </is>
      </c>
      <c r="N283" s="13" t="inlineStr">
        <is>
          <t>K. Mensah</t>
        </is>
      </c>
    </row>
    <row r="284">
      <c r="A284" s="13" t="inlineStr">
        <is>
          <t>HC-100282</t>
        </is>
      </c>
      <c r="B284" s="13" t="inlineStr">
        <is>
          <t>2024/02/12</t>
        </is>
      </c>
      <c r="C284" s="13" t="inlineStr">
        <is>
          <t>West</t>
        </is>
      </c>
      <c r="D284" s="13" t="inlineStr">
        <is>
          <t>Online</t>
        </is>
      </c>
      <c r="E284" s="13" t="inlineStr">
        <is>
          <t>Furniture</t>
        </is>
      </c>
      <c r="F284" s="13" t="inlineStr">
        <is>
          <t>Linen Sofa</t>
        </is>
      </c>
      <c r="G284" s="13" t="inlineStr">
        <is>
          <t>Consumer</t>
        </is>
      </c>
      <c r="H284" s="13" t="inlineStr">
        <is>
          <t>2</t>
        </is>
      </c>
      <c r="I284" s="14" t="inlineStr">
        <is>
          <t>1331.59</t>
        </is>
      </c>
      <c r="J284" s="15" t="inlineStr">
        <is>
          <t>0.17</t>
        </is>
      </c>
      <c r="K284" s="14" t="inlineStr">
        <is>
          <t>878.85</t>
        </is>
      </c>
      <c r="L284" s="13" t="inlineStr">
        <is>
          <t>5</t>
        </is>
      </c>
      <c r="M284" s="13" t="inlineStr">
        <is>
          <t>Completed</t>
        </is>
      </c>
      <c r="N284" s="13" t="inlineStr">
        <is>
          <t>P. Rossi</t>
        </is>
      </c>
    </row>
    <row r="285">
      <c r="A285" s="13" t="inlineStr">
        <is>
          <t>HC-100283</t>
        </is>
      </c>
      <c r="B285" s="13" t="inlineStr">
        <is>
          <t>12.06.2025</t>
        </is>
      </c>
      <c r="C285" s="13" t="inlineStr">
        <is>
          <t>West</t>
        </is>
      </c>
      <c r="D285" s="13" t="inlineStr">
        <is>
          <t>Online</t>
        </is>
      </c>
      <c r="E285" s="13" t="inlineStr">
        <is>
          <t>Textiles</t>
        </is>
      </c>
      <c r="F285" s="13" t="inlineStr">
        <is>
          <t>Linen Curtain</t>
        </is>
      </c>
      <c r="G285" s="13" t="inlineStr">
        <is>
          <t>Corporate</t>
        </is>
      </c>
      <c r="H285" s="13" t="inlineStr">
        <is>
          <t>3</t>
        </is>
      </c>
      <c r="I285" s="14" t="inlineStr">
        <is>
          <t>89.23</t>
        </is>
      </c>
      <c r="J285" s="15" t="inlineStr">
        <is>
          <t>0.12</t>
        </is>
      </c>
      <c r="K285" s="14" t="inlineStr">
        <is>
          <t>40.15</t>
        </is>
      </c>
      <c r="L285" s="13" t="inlineStr">
        <is>
          <t>4</t>
        </is>
      </c>
      <c r="M285" s="13" t="inlineStr">
        <is>
          <t>Completed</t>
        </is>
      </c>
      <c r="N285" s="13" t="inlineStr">
        <is>
          <t>A. Shah</t>
        </is>
      </c>
    </row>
    <row r="286">
      <c r="A286" s="13" t="inlineStr">
        <is>
          <t>HC-100284</t>
        </is>
      </c>
      <c r="B286" s="13" t="inlineStr">
        <is>
          <t>08/07/2025</t>
        </is>
      </c>
      <c r="C286" s="13" t="inlineStr">
        <is>
          <t>South</t>
        </is>
      </c>
      <c r="D286" s="13" t="inlineStr">
        <is>
          <t>Store</t>
        </is>
      </c>
      <c r="E286" s="13" t="inlineStr">
        <is>
          <t>Furniture</t>
        </is>
      </c>
      <c r="F286" s="13" t="inlineStr">
        <is>
          <t>Oak Desk</t>
        </is>
      </c>
      <c r="G286" s="13" t="inlineStr">
        <is>
          <t>Consumer</t>
        </is>
      </c>
      <c r="H286" s="13" t="inlineStr">
        <is>
          <t>2</t>
        </is>
      </c>
      <c r="I286" s="14" t="inlineStr">
        <is>
          <t>890.62</t>
        </is>
      </c>
      <c r="J286" s="15" t="inlineStr">
        <is>
          <t>0.12</t>
        </is>
      </c>
      <c r="K286" s="14" t="inlineStr">
        <is>
          <t>552.19</t>
        </is>
      </c>
      <c r="L286" s="13" t="inlineStr">
        <is>
          <t>7</t>
        </is>
      </c>
      <c r="M286" s="13" t="inlineStr">
        <is>
          <t>COMPLETED</t>
        </is>
      </c>
      <c r="N286" s="13" t="inlineStr">
        <is>
          <t>A. Shah</t>
        </is>
      </c>
    </row>
    <row r="287">
      <c r="A287" s="13" t="inlineStr">
        <is>
          <t>HC-100285</t>
        </is>
      </c>
      <c r="B287" s="13" t="inlineStr">
        <is>
          <t>25-Oct-24</t>
        </is>
      </c>
      <c r="C287" s="13" t="inlineStr">
        <is>
          <t>East</t>
        </is>
      </c>
      <c r="D287" s="13" t="inlineStr">
        <is>
          <t>web</t>
        </is>
      </c>
      <c r="E287" s="13" t="inlineStr">
        <is>
          <t>Furniture</t>
        </is>
      </c>
      <c r="F287" s="13" t="inlineStr">
        <is>
          <t>Linen Sofa</t>
        </is>
      </c>
      <c r="G287" s="13" t="inlineStr">
        <is>
          <t>Home Office</t>
        </is>
      </c>
      <c r="H287" s="13" t="inlineStr">
        <is>
          <t>1</t>
        </is>
      </c>
      <c r="I287" s="14" t="inlineStr">
        <is>
          <t>1059.15</t>
        </is>
      </c>
      <c r="J287" s="15" t="inlineStr">
        <is>
          <t>0.03</t>
        </is>
      </c>
      <c r="K287" s="14" t="inlineStr">
        <is>
          <t>699.04</t>
        </is>
      </c>
      <c r="L287" s="13" t="inlineStr">
        <is>
          <t>9</t>
        </is>
      </c>
      <c r="M287" s="13" t="inlineStr">
        <is>
          <t>Completed</t>
        </is>
      </c>
      <c r="N287" s="13" t="inlineStr">
        <is>
          <t>P. Rossi</t>
        </is>
      </c>
    </row>
    <row r="288">
      <c r="A288" s="13" t="inlineStr">
        <is>
          <t>HC-100286</t>
        </is>
      </c>
      <c r="B288" s="13" t="inlineStr">
        <is>
          <t>2024/02/13</t>
        </is>
      </c>
      <c r="C288" s="13" t="inlineStr">
        <is>
          <t>North</t>
        </is>
      </c>
      <c r="D288" s="13" t="inlineStr">
        <is>
          <t>e-commerce</t>
        </is>
      </c>
      <c r="E288" s="13" t="inlineStr">
        <is>
          <t>Textiles</t>
        </is>
      </c>
      <c r="F288" s="13" t="inlineStr">
        <is>
          <t>Wool Throw</t>
        </is>
      </c>
      <c r="G288" s="13" t="inlineStr">
        <is>
          <t>Consumer</t>
        </is>
      </c>
      <c r="H288" s="13" t="inlineStr">
        <is>
          <t>3</t>
        </is>
      </c>
      <c r="I288" s="14" t="inlineStr">
        <is>
          <t>69.82</t>
        </is>
      </c>
      <c r="J288" s="15" t="inlineStr">
        <is>
          <t>0.08</t>
        </is>
      </c>
      <c r="K288" s="14" t="inlineStr">
        <is>
          <t>29.33</t>
        </is>
      </c>
      <c r="L288" s="13" t="inlineStr">
        <is>
          <t>7</t>
        </is>
      </c>
      <c r="M288" s="13" t="inlineStr">
        <is>
          <t>Returned</t>
        </is>
      </c>
      <c r="N288" s="13" t="inlineStr">
        <is>
          <t>P. Rossi</t>
        </is>
      </c>
    </row>
    <row r="289">
      <c r="A289" s="13" t="inlineStr">
        <is>
          <t>HC-100287</t>
        </is>
      </c>
      <c r="B289" s="13" t="inlineStr">
        <is>
          <t>03.01.2025</t>
        </is>
      </c>
      <c r="C289" s="13" t="inlineStr">
        <is>
          <t>West</t>
        </is>
      </c>
      <c r="D289" s="13" t="inlineStr">
        <is>
          <t>Store</t>
        </is>
      </c>
      <c r="E289" s="13" t="inlineStr">
        <is>
          <t>Furniture</t>
        </is>
      </c>
      <c r="F289" s="13" t="inlineStr">
        <is>
          <t>Oak Desk</t>
        </is>
      </c>
      <c r="G289" s="13" t="inlineStr">
        <is>
          <t>Corporate</t>
        </is>
      </c>
      <c r="H289" s="13" t="inlineStr">
        <is>
          <t>3</t>
        </is>
      </c>
      <c r="I289" s="14" t="inlineStr">
        <is>
          <t>791.56</t>
        </is>
      </c>
      <c r="J289" s="15" t="inlineStr">
        <is>
          <t>0.08</t>
        </is>
      </c>
      <c r="K289" s="14" t="inlineStr">
        <is>
          <t>490.77</t>
        </is>
      </c>
      <c r="L289" s="13" t="inlineStr">
        <is>
          <t>7</t>
        </is>
      </c>
      <c r="M289" s="13" t="inlineStr">
        <is>
          <t>Completed</t>
        </is>
      </c>
      <c r="N289" s="13" t="inlineStr">
        <is>
          <t>L. Berger</t>
        </is>
      </c>
    </row>
    <row r="290">
      <c r="A290" s="13" t="inlineStr">
        <is>
          <t>HC-100288</t>
        </is>
      </c>
      <c r="B290" s="13" t="inlineStr">
        <is>
          <t>10/26/2024</t>
        </is>
      </c>
      <c r="C290" s="13" t="inlineStr">
        <is>
          <t>West</t>
        </is>
      </c>
      <c r="D290" s="13" t="inlineStr">
        <is>
          <t>Store</t>
        </is>
      </c>
      <c r="E290" s="13" t="inlineStr">
        <is>
          <t>Furniture</t>
        </is>
      </c>
      <c r="F290" s="13" t="inlineStr">
        <is>
          <t>Walnut Shelf</t>
        </is>
      </c>
      <c r="G290" s="13" t="inlineStr">
        <is>
          <t>Consumer</t>
        </is>
      </c>
      <c r="H290" s="13" t="inlineStr">
        <is>
          <t>4</t>
        </is>
      </c>
      <c r="I290" s="14" t="inlineStr">
        <is>
          <t>204.37</t>
        </is>
      </c>
      <c r="J290" s="15" t="inlineStr">
        <is>
          <t>0.00</t>
        </is>
      </c>
      <c r="K290" s="14" t="inlineStr">
        <is>
          <t>112.40</t>
        </is>
      </c>
      <c r="L290" s="13" t="inlineStr">
        <is>
          <t>4</t>
        </is>
      </c>
      <c r="M290" s="13" t="inlineStr">
        <is>
          <t>Completed</t>
        </is>
      </c>
      <c r="N290" s="13" t="inlineStr">
        <is>
          <t>J. Patel</t>
        </is>
      </c>
    </row>
    <row r="291">
      <c r="A291" s="13" t="inlineStr">
        <is>
          <t>HC-100289</t>
        </is>
      </c>
      <c r="B291" s="13" t="inlineStr">
        <is>
          <t>09-Jun-24</t>
        </is>
      </c>
      <c r="C291" s="13" t="inlineStr">
        <is>
          <t>North</t>
        </is>
      </c>
      <c r="D291" s="13" t="inlineStr">
        <is>
          <t>Store</t>
        </is>
      </c>
      <c r="E291" s="13" t="inlineStr">
        <is>
          <t>LIGHTING</t>
        </is>
      </c>
      <c r="F291" s="13" t="inlineStr">
        <is>
          <t>Brass Sconce</t>
        </is>
      </c>
      <c r="G291" s="13" t="inlineStr">
        <is>
          <t>Corporate</t>
        </is>
      </c>
      <c r="H291" s="13" t="inlineStr">
        <is>
          <t>3</t>
        </is>
      </c>
      <c r="I291" s="14" t="inlineStr">
        <is>
          <t>130.95</t>
        </is>
      </c>
      <c r="J291" s="15" t="inlineStr">
        <is>
          <t>0.02</t>
        </is>
      </c>
      <c r="K291" s="14" t="inlineStr">
        <is>
          <t>60.24</t>
        </is>
      </c>
      <c r="L291" s="13" t="inlineStr">
        <is>
          <t>3</t>
        </is>
      </c>
      <c r="M291" s="13" t="inlineStr">
        <is>
          <t>Completed</t>
        </is>
      </c>
      <c r="N291" s="13" t="inlineStr">
        <is>
          <t>M. Okonkwo</t>
        </is>
      </c>
    </row>
    <row r="292">
      <c r="A292" s="13" t="inlineStr">
        <is>
          <t>HC-100290</t>
        </is>
      </c>
      <c r="B292" s="13" t="inlineStr">
        <is>
          <t>2024/11/16</t>
        </is>
      </c>
      <c r="C292" s="13" t="inlineStr">
        <is>
          <t>North</t>
        </is>
      </c>
      <c r="D292" s="13" t="inlineStr">
        <is>
          <t>Wholesale</t>
        </is>
      </c>
      <c r="E292" s="13" t="inlineStr">
        <is>
          <t>Textiles</t>
        </is>
      </c>
      <c r="F292" s="13" t="inlineStr">
        <is>
          <t>Wool Throw</t>
        </is>
      </c>
      <c r="G292" s="13" t="inlineStr">
        <is>
          <t>Consumer</t>
        </is>
      </c>
      <c r="H292" s="13" t="inlineStr">
        <is>
          <t>12</t>
        </is>
      </c>
      <c r="I292" s="14" t="inlineStr">
        <is>
          <t>75.85</t>
        </is>
      </c>
      <c r="J292" s="15" t="inlineStr">
        <is>
          <t>0.19</t>
        </is>
      </c>
      <c r="K292" s="14" t="inlineStr">
        <is>
          <t>31.86</t>
        </is>
      </c>
      <c r="L292" s="13" t="inlineStr">
        <is>
          <t>5</t>
        </is>
      </c>
      <c r="M292" s="13" t="inlineStr">
        <is>
          <t>Returned</t>
        </is>
      </c>
      <c r="N292" s="13" t="inlineStr">
        <is>
          <t>S. Nguyen</t>
        </is>
      </c>
    </row>
    <row r="293">
      <c r="A293" s="13" t="inlineStr">
        <is>
          <t>HC-100291</t>
        </is>
      </c>
      <c r="B293" s="13" t="inlineStr">
        <is>
          <t>30.09.2024</t>
        </is>
      </c>
      <c r="C293" s="13" t="inlineStr">
        <is>
          <t>South</t>
        </is>
      </c>
      <c r="D293" s="13" t="inlineStr">
        <is>
          <t>Store</t>
        </is>
      </c>
      <c r="E293" s="13" t="inlineStr">
        <is>
          <t>Textiles</t>
        </is>
      </c>
      <c r="F293" s="13" t="inlineStr">
        <is>
          <t>Cotton Duvet</t>
        </is>
      </c>
      <c r="G293" s="13" t="inlineStr">
        <is>
          <t>Consumer</t>
        </is>
      </c>
      <c r="H293" s="13" t="inlineStr">
        <is>
          <t>2</t>
        </is>
      </c>
      <c r="I293" s="14" t="inlineStr">
        <is>
          <t>$114.21</t>
        </is>
      </c>
      <c r="J293" s="15" t="inlineStr">
        <is>
          <t>0.08</t>
        </is>
      </c>
      <c r="K293" s="14" t="inlineStr">
        <is>
          <t>50.25</t>
        </is>
      </c>
      <c r="L293" s="13" t="inlineStr">
        <is>
          <t>10</t>
        </is>
      </c>
      <c r="M293" s="13" t="inlineStr">
        <is>
          <t>Completed</t>
        </is>
      </c>
      <c r="N293" s="13" t="inlineStr">
        <is>
          <t>K. Mensah</t>
        </is>
      </c>
    </row>
    <row r="294">
      <c r="A294" s="13" t="inlineStr">
        <is>
          <t>HC-100292</t>
        </is>
      </c>
      <c r="B294" s="13" t="inlineStr">
        <is>
          <t>11/29/2024</t>
        </is>
      </c>
      <c r="C294" s="13" t="inlineStr">
        <is>
          <t>South</t>
        </is>
      </c>
      <c r="D294" s="13" t="inlineStr">
        <is>
          <t>web</t>
        </is>
      </c>
      <c r="E294" s="13" t="inlineStr">
        <is>
          <t>Textiles</t>
        </is>
      </c>
      <c r="F294" s="13" t="inlineStr">
        <is>
          <t>Linen Curtain</t>
        </is>
      </c>
      <c r="G294" s="13" t="inlineStr">
        <is>
          <t>Consumer</t>
        </is>
      </c>
      <c r="H294" s="13" t="inlineStr">
        <is>
          <t>3</t>
        </is>
      </c>
      <c r="I294" s="14" t="inlineStr">
        <is>
          <t>97.70</t>
        </is>
      </c>
      <c r="J294" s="15" t="inlineStr">
        <is>
          <t>0.04</t>
        </is>
      </c>
      <c r="K294" s="14" t="inlineStr">
        <is>
          <t>43.96</t>
        </is>
      </c>
      <c r="L294" s="13" t="inlineStr">
        <is>
          <t>8</t>
        </is>
      </c>
      <c r="M294" s="13" t="inlineStr">
        <is>
          <t>Completed</t>
        </is>
      </c>
      <c r="N294" s="13" t="inlineStr">
        <is>
          <t>M. Okonkwo</t>
        </is>
      </c>
    </row>
    <row r="295">
      <c r="A295" s="13" t="inlineStr">
        <is>
          <t>HC-100293</t>
        </is>
      </c>
      <c r="B295" s="13" t="inlineStr">
        <is>
          <t>23-Nov-24</t>
        </is>
      </c>
      <c r="C295" s="13" t="inlineStr">
        <is>
          <t>North</t>
        </is>
      </c>
      <c r="D295" s="13" t="inlineStr">
        <is>
          <t>Online</t>
        </is>
      </c>
      <c r="E295" s="13" t="inlineStr">
        <is>
          <t>Furniture</t>
        </is>
      </c>
      <c r="F295" s="13" t="inlineStr">
        <is>
          <t>Walnut Shelf</t>
        </is>
      </c>
      <c r="G295" s="13" t="inlineStr">
        <is>
          <t>consumer</t>
        </is>
      </c>
      <c r="H295" s="13" t="inlineStr">
        <is>
          <t>3</t>
        </is>
      </c>
      <c r="I295" s="14" t="inlineStr">
        <is>
          <t>219.49</t>
        </is>
      </c>
      <c r="J295" s="15" t="inlineStr">
        <is>
          <t>0.04</t>
        </is>
      </c>
      <c r="K295" s="14" t="inlineStr">
        <is>
          <t>120.72</t>
        </is>
      </c>
      <c r="L295" s="13" t="inlineStr">
        <is>
          <t>10</t>
        </is>
      </c>
      <c r="M295" s="13" t="inlineStr">
        <is>
          <t>Completed</t>
        </is>
      </c>
      <c r="N295" s="13" t="inlineStr">
        <is>
          <t>R. Ibarra</t>
        </is>
      </c>
    </row>
    <row r="296">
      <c r="A296" s="13" t="inlineStr">
        <is>
          <t>HC-100294</t>
        </is>
      </c>
      <c r="B296" s="13" t="inlineStr">
        <is>
          <t>2024/05/29</t>
        </is>
      </c>
      <c r="C296" s="13" t="inlineStr">
        <is>
          <t>North</t>
        </is>
      </c>
      <c r="D296" s="13" t="inlineStr">
        <is>
          <t>Online</t>
        </is>
      </c>
      <c r="E296" s="13" t="inlineStr">
        <is>
          <t>Furniture</t>
        </is>
      </c>
      <c r="F296" s="13" t="inlineStr">
        <is>
          <t>Walnut Shelf</t>
        </is>
      </c>
      <c r="G296" s="13" t="inlineStr">
        <is>
          <t>Corporate</t>
        </is>
      </c>
      <c r="H296" s="13" t="inlineStr">
        <is>
          <t>1</t>
        </is>
      </c>
      <c r="I296" s="14" t="inlineStr">
        <is>
          <t>236.32</t>
        </is>
      </c>
      <c r="J296" s="15" t="inlineStr">
        <is>
          <t>0.17</t>
        </is>
      </c>
      <c r="K296" s="14" t="inlineStr">
        <is>
          <t>129.97</t>
        </is>
      </c>
      <c r="L296" s="13" t="inlineStr">
        <is>
          <t>5</t>
        </is>
      </c>
      <c r="M296" s="13" t="inlineStr">
        <is>
          <t>Completed</t>
        </is>
      </c>
      <c r="N296" s="13" t="inlineStr">
        <is>
          <t>M. Okonkwo</t>
        </is>
      </c>
    </row>
    <row r="297">
      <c r="A297" s="13" t="inlineStr">
        <is>
          <t>HC-100295</t>
        </is>
      </c>
      <c r="B297" s="13" t="inlineStr">
        <is>
          <t>06.02.2024</t>
        </is>
      </c>
      <c r="C297" s="13" t="inlineStr">
        <is>
          <t>WEST</t>
        </is>
      </c>
      <c r="D297" s="13" t="inlineStr">
        <is>
          <t>retail</t>
        </is>
      </c>
      <c r="E297" s="13" t="inlineStr">
        <is>
          <t>KITCHEN</t>
        </is>
      </c>
      <c r="F297" s="13" t="inlineStr">
        <is>
          <t>Ceramic Set</t>
        </is>
      </c>
      <c r="G297" s="13" t="inlineStr">
        <is>
          <t>Consumer</t>
        </is>
      </c>
      <c r="H297" s="13" t="inlineStr">
        <is>
          <t>1</t>
        </is>
      </c>
      <c r="I297" s="14" t="inlineStr">
        <is>
          <t>79.63</t>
        </is>
      </c>
      <c r="J297" s="15" t="inlineStr">
        <is>
          <t>0.10</t>
        </is>
      </c>
      <c r="K297" s="14" t="inlineStr">
        <is>
          <t>30.26</t>
        </is>
      </c>
      <c r="L297" s="13" t="inlineStr">
        <is>
          <t>9</t>
        </is>
      </c>
      <c r="M297" s="13" t="inlineStr">
        <is>
          <t>Completed</t>
        </is>
      </c>
      <c r="N297" s="13" t="inlineStr">
        <is>
          <t>S. Nguyen</t>
        </is>
      </c>
    </row>
    <row r="298">
      <c r="A298" s="13" t="inlineStr">
        <is>
          <t>HC-100296</t>
        </is>
      </c>
      <c r="B298" s="13" t="inlineStr">
        <is>
          <t>06/22/2025</t>
        </is>
      </c>
      <c r="C298" s="13" t="inlineStr">
        <is>
          <t>East</t>
        </is>
      </c>
      <c r="D298" s="13" t="inlineStr">
        <is>
          <t>Online</t>
        </is>
      </c>
      <c r="E298" s="13" t="inlineStr">
        <is>
          <t>Kitchen</t>
        </is>
      </c>
      <c r="F298" s="13" t="inlineStr">
        <is>
          <t>Ceramic Set</t>
        </is>
      </c>
      <c r="G298" s="13" t="inlineStr">
        <is>
          <t>Home Office</t>
        </is>
      </c>
      <c r="H298" s="13" t="inlineStr">
        <is>
          <t>2</t>
        </is>
      </c>
      <c r="I298" s="14" t="inlineStr">
        <is>
          <t>80.12</t>
        </is>
      </c>
      <c r="J298" s="15" t="inlineStr">
        <is>
          <t>0.16</t>
        </is>
      </c>
      <c r="K298" s="14" t="inlineStr">
        <is>
          <t>30.45</t>
        </is>
      </c>
      <c r="L298" s="13" t="inlineStr">
        <is>
          <t>9</t>
        </is>
      </c>
      <c r="M298" s="13" t="inlineStr">
        <is>
          <t>Completed</t>
        </is>
      </c>
      <c r="N298" s="13" t="inlineStr">
        <is>
          <t>P. Rossi</t>
        </is>
      </c>
    </row>
    <row r="299">
      <c r="A299" s="13" t="inlineStr">
        <is>
          <t>HC-100297</t>
        </is>
      </c>
      <c r="B299" s="13" t="inlineStr">
        <is>
          <t>05-Mar-24</t>
        </is>
      </c>
      <c r="C299" s="13" t="inlineStr">
        <is>
          <t>East</t>
        </is>
      </c>
      <c r="D299" s="13" t="inlineStr">
        <is>
          <t>Online</t>
        </is>
      </c>
      <c r="E299" s="13" t="inlineStr">
        <is>
          <t>Lighting</t>
        </is>
      </c>
      <c r="F299" s="13" t="inlineStr">
        <is>
          <t>Arc Lamp</t>
        </is>
      </c>
      <c r="G299" s="13" t="inlineStr">
        <is>
          <t>Corporate</t>
        </is>
      </c>
      <c r="H299" s="13" t="inlineStr">
        <is>
          <t>3</t>
        </is>
      </c>
      <c r="I299" s="14" t="inlineStr">
        <is>
          <t>294.44</t>
        </is>
      </c>
      <c r="J299" s="15" t="inlineStr">
        <is>
          <t>0.05</t>
        </is>
      </c>
      <c r="K299" s="14" t="inlineStr">
        <is>
          <t>141.33</t>
        </is>
      </c>
      <c r="L299" s="13" t="inlineStr">
        <is>
          <t>9</t>
        </is>
      </c>
      <c r="M299" s="13" t="inlineStr">
        <is>
          <t>Returned</t>
        </is>
      </c>
      <c r="N299" s="13" t="inlineStr">
        <is>
          <t>A. Shah</t>
        </is>
      </c>
    </row>
    <row r="300">
      <c r="A300" s="13" t="inlineStr">
        <is>
          <t>HC-100298</t>
        </is>
      </c>
      <c r="B300" s="13" t="inlineStr">
        <is>
          <t>2025/06/16</t>
        </is>
      </c>
      <c r="C300" s="13" t="inlineStr">
        <is>
          <t>East</t>
        </is>
      </c>
      <c r="D300" s="13" t="inlineStr">
        <is>
          <t>retail</t>
        </is>
      </c>
      <c r="E300" s="13" t="inlineStr">
        <is>
          <t>Furniture</t>
        </is>
      </c>
      <c r="F300" s="13" t="inlineStr">
        <is>
          <t>Linen Sofa</t>
        </is>
      </c>
      <c r="G300" s="13" t="inlineStr">
        <is>
          <t>Consumer</t>
        </is>
      </c>
      <c r="H300" s="13" t="inlineStr">
        <is>
          <t>2</t>
        </is>
      </c>
      <c r="I300" s="14" t="inlineStr">
        <is>
          <t>1126.66</t>
        </is>
      </c>
      <c r="J300" s="15" t="inlineStr">
        <is>
          <t>0.11</t>
        </is>
      </c>
      <c r="K300" s="14" t="inlineStr">
        <is>
          <t>743.59</t>
        </is>
      </c>
      <c r="L300" s="13" t="inlineStr">
        <is>
          <t>6</t>
        </is>
      </c>
      <c r="M300" s="13" t="inlineStr">
        <is>
          <t>Completed</t>
        </is>
      </c>
      <c r="N300" s="13" t="inlineStr">
        <is>
          <t>L. Berger</t>
        </is>
      </c>
    </row>
    <row r="301">
      <c r="A301" s="13" t="inlineStr">
        <is>
          <t>HC-100299</t>
        </is>
      </c>
      <c r="B301" s="13" t="inlineStr">
        <is>
          <t>16.04.2025</t>
        </is>
      </c>
      <c r="C301" s="13" t="inlineStr">
        <is>
          <t>East</t>
        </is>
      </c>
      <c r="D301" s="13" t="inlineStr">
        <is>
          <t>Online</t>
        </is>
      </c>
      <c r="E301" s="13" t="inlineStr">
        <is>
          <t>Kitchen</t>
        </is>
      </c>
      <c r="F301" s="13" t="inlineStr">
        <is>
          <t>Chef Knife</t>
        </is>
      </c>
      <c r="G301" s="13" t="inlineStr">
        <is>
          <t>Home Office</t>
        </is>
      </c>
      <c r="H301" s="13" t="inlineStr">
        <is>
          <t>1</t>
        </is>
      </c>
      <c r="I301" s="14" t="inlineStr">
        <is>
          <t>55.51</t>
        </is>
      </c>
      <c r="J301" s="15" t="inlineStr">
        <is>
          <t>0.09</t>
        </is>
      </c>
      <c r="K301" s="14" t="inlineStr">
        <is>
          <t>19.98</t>
        </is>
      </c>
      <c r="L301" s="13" t="inlineStr">
        <is>
          <t>7</t>
        </is>
      </c>
      <c r="M301" s="13" t="inlineStr">
        <is>
          <t>Completed</t>
        </is>
      </c>
      <c r="N301" s="13" t="inlineStr">
        <is>
          <t>K. Mensah</t>
        </is>
      </c>
    </row>
    <row r="302">
      <c r="A302" s="13" t="inlineStr">
        <is>
          <t>HC-100300</t>
        </is>
      </c>
      <c r="B302" s="13" t="inlineStr">
        <is>
          <t>12/04/2024</t>
        </is>
      </c>
      <c r="C302" s="13" t="inlineStr">
        <is>
          <t>West</t>
        </is>
      </c>
      <c r="D302" s="13" t="inlineStr">
        <is>
          <t>Store</t>
        </is>
      </c>
      <c r="E302" s="13" t="inlineStr">
        <is>
          <t>Kitchen</t>
        </is>
      </c>
      <c r="F302" s="13" t="inlineStr">
        <is>
          <t>Cast Skillet</t>
        </is>
      </c>
      <c r="G302" s="13" t="inlineStr">
        <is>
          <t>Consumer</t>
        </is>
      </c>
      <c r="H302" s="13" t="inlineStr">
        <is>
          <t>3</t>
        </is>
      </c>
      <c r="I302" s="14" t="inlineStr">
        <is>
          <t>51.45</t>
        </is>
      </c>
      <c r="J302" s="15" t="inlineStr">
        <is>
          <t>0.03</t>
        </is>
      </c>
      <c r="K302" s="14" t="inlineStr">
        <is>
          <t>20.58</t>
        </is>
      </c>
      <c r="L302" s="13" t="inlineStr">
        <is>
          <t>5</t>
        </is>
      </c>
      <c r="M302" s="13" t="inlineStr">
        <is>
          <t>Completed</t>
        </is>
      </c>
      <c r="N302" s="13" t="inlineStr">
        <is>
          <t>P. Rossi</t>
        </is>
      </c>
    </row>
    <row r="303">
      <c r="A303" s="13" t="inlineStr">
        <is>
          <t>HC-100301</t>
        </is>
      </c>
      <c r="B303" s="13" t="inlineStr">
        <is>
          <t>13-Jun-24</t>
        </is>
      </c>
      <c r="C303" s="13" t="inlineStr">
        <is>
          <t>east</t>
        </is>
      </c>
      <c r="D303" s="13" t="inlineStr">
        <is>
          <t>Store</t>
        </is>
      </c>
      <c r="E303" s="13" t="inlineStr">
        <is>
          <t>FURNITURE</t>
        </is>
      </c>
      <c r="F303" s="13" t="inlineStr">
        <is>
          <t>Oak Desk</t>
        </is>
      </c>
      <c r="G303" s="13" t="inlineStr">
        <is>
          <t>Corporate</t>
        </is>
      </c>
      <c r="H303" s="13" t="inlineStr">
        <is>
          <t>2</t>
        </is>
      </c>
      <c r="I303" s="14" t="inlineStr">
        <is>
          <t>791.47</t>
        </is>
      </c>
      <c r="J303" s="15" t="inlineStr">
        <is>
          <t>0.09</t>
        </is>
      </c>
      <c r="K303" s="14" t="inlineStr">
        <is>
          <t>490.71</t>
        </is>
      </c>
      <c r="L303" s="13" t="inlineStr">
        <is>
          <t>6</t>
        </is>
      </c>
      <c r="M303" s="13" t="inlineStr">
        <is>
          <t>Completed</t>
        </is>
      </c>
      <c r="N303" s="13" t="inlineStr">
        <is>
          <t>S. Nguyen</t>
        </is>
      </c>
    </row>
    <row r="304">
      <c r="A304" s="13" t="inlineStr">
        <is>
          <t>HC-100302</t>
        </is>
      </c>
      <c r="B304" s="13" t="inlineStr">
        <is>
          <t>2025/04/16</t>
        </is>
      </c>
      <c r="C304" s="13" t="inlineStr">
        <is>
          <t>West</t>
        </is>
      </c>
      <c r="D304" s="13" t="inlineStr">
        <is>
          <t>Online</t>
        </is>
      </c>
      <c r="E304" s="13" t="inlineStr">
        <is>
          <t>Furniture</t>
        </is>
      </c>
      <c r="F304" s="13" t="inlineStr">
        <is>
          <t>Linen Sofa</t>
        </is>
      </c>
      <c r="G304" s="13" t="inlineStr">
        <is>
          <t>Consumer</t>
        </is>
      </c>
      <c r="H304" s="13" t="inlineStr">
        <is>
          <t>1</t>
        </is>
      </c>
      <c r="I304" s="14" t="inlineStr">
        <is>
          <t>1325.61</t>
        </is>
      </c>
      <c r="J304" s="15" t="inlineStr">
        <is>
          <t>0.05</t>
        </is>
      </c>
      <c r="K304" s="14" t="inlineStr">
        <is>
          <t>874.90</t>
        </is>
      </c>
      <c r="L304" s="13" t="inlineStr">
        <is>
          <t>4</t>
        </is>
      </c>
      <c r="M304" s="13" t="inlineStr">
        <is>
          <t>COMPLETED</t>
        </is>
      </c>
      <c r="N304" s="13" t="inlineStr">
        <is>
          <t>R. Ibarra</t>
        </is>
      </c>
    </row>
    <row r="305">
      <c r="A305" s="13" t="inlineStr">
        <is>
          <t>HC-100303</t>
        </is>
      </c>
      <c r="B305" s="13" t="inlineStr">
        <is>
          <t>01.08.2025</t>
        </is>
      </c>
      <c r="C305" s="13" t="inlineStr">
        <is>
          <t>Eas</t>
        </is>
      </c>
      <c r="D305" s="13" t="inlineStr">
        <is>
          <t>Store</t>
        </is>
      </c>
      <c r="E305" s="13" t="inlineStr">
        <is>
          <t>Lighting</t>
        </is>
      </c>
      <c r="F305" s="13" t="inlineStr">
        <is>
          <t>Brass Sconce</t>
        </is>
      </c>
      <c r="G305" s="13" t="inlineStr">
        <is>
          <t>Corporate</t>
        </is>
      </c>
      <c r="H305" s="13" t="inlineStr">
        <is>
          <t>2</t>
        </is>
      </c>
      <c r="I305" s="14" t="inlineStr">
        <is>
          <t>127.51</t>
        </is>
      </c>
      <c r="J305" s="15" t="inlineStr">
        <is>
          <t>0.10</t>
        </is>
      </c>
      <c r="K305" s="14" t="inlineStr">
        <is>
          <t>58.66</t>
        </is>
      </c>
      <c r="L305" s="13" t="inlineStr">
        <is>
          <t>10</t>
        </is>
      </c>
      <c r="M305" s="13" t="inlineStr">
        <is>
          <t>Completed</t>
        </is>
      </c>
      <c r="N305" s="13" t="inlineStr">
        <is>
          <t>K. Mensah</t>
        </is>
      </c>
    </row>
    <row r="306">
      <c r="A306" s="13" t="inlineStr">
        <is>
          <t>HC-100304</t>
        </is>
      </c>
      <c r="B306" s="13" t="inlineStr">
        <is>
          <t>04/21/2025</t>
        </is>
      </c>
      <c r="C306" s="13" t="inlineStr">
        <is>
          <t>Sout</t>
        </is>
      </c>
      <c r="D306" s="13" t="inlineStr">
        <is>
          <t>Online</t>
        </is>
      </c>
      <c r="E306" s="13" t="inlineStr">
        <is>
          <t>LIGHTING</t>
        </is>
      </c>
      <c r="F306" s="13" t="inlineStr">
        <is>
          <t>Arc Lamp</t>
        </is>
      </c>
      <c r="G306" s="13" t="inlineStr">
        <is>
          <t>Consumer</t>
        </is>
      </c>
      <c r="H306" s="13" t="inlineStr">
        <is>
          <t>3</t>
        </is>
      </c>
      <c r="I306" s="14" t="inlineStr">
        <is>
          <t>321.85</t>
        </is>
      </c>
      <c r="J306" s="15" t="inlineStr">
        <is>
          <t>0.06</t>
        </is>
      </c>
      <c r="K306" s="14" t="inlineStr">
        <is>
          <t>154.49</t>
        </is>
      </c>
      <c r="L306" s="13" t="inlineStr">
        <is>
          <t>5</t>
        </is>
      </c>
      <c r="M306" s="13" t="inlineStr">
        <is>
          <t>Completed</t>
        </is>
      </c>
      <c r="N306" s="13" t="inlineStr">
        <is>
          <t>R. Ibarra</t>
        </is>
      </c>
    </row>
    <row r="307">
      <c r="A307" s="13" t="inlineStr">
        <is>
          <t>HC-100305</t>
        </is>
      </c>
      <c r="B307" s="13" t="inlineStr">
        <is>
          <t>09-May-25</t>
        </is>
      </c>
      <c r="C307" s="13" t="inlineStr">
        <is>
          <t>North</t>
        </is>
      </c>
      <c r="D307" s="13" t="inlineStr">
        <is>
          <t>Store</t>
        </is>
      </c>
      <c r="E307" s="13" t="inlineStr">
        <is>
          <t>Textiles</t>
        </is>
      </c>
      <c r="F307" s="13" t="inlineStr">
        <is>
          <t>Cotton Duvet</t>
        </is>
      </c>
      <c r="G307" s="13" t="inlineStr">
        <is>
          <t>Consumer</t>
        </is>
      </c>
      <c r="H307" s="13" t="inlineStr">
        <is>
          <t>1</t>
        </is>
      </c>
      <c r="I307" s="14" t="inlineStr">
        <is>
          <t>124.51</t>
        </is>
      </c>
      <c r="J307" s="15" t="inlineStr">
        <is>
          <t>10%</t>
        </is>
      </c>
      <c r="K307" s="14" t="inlineStr">
        <is>
          <t>54.78</t>
        </is>
      </c>
      <c r="L307" s="13" t="inlineStr">
        <is>
          <t>5</t>
        </is>
      </c>
      <c r="M307" s="13" t="inlineStr">
        <is>
          <t>Cancelled</t>
        </is>
      </c>
      <c r="N307" s="13" t="inlineStr">
        <is>
          <t>R. Ibarra</t>
        </is>
      </c>
    </row>
    <row r="308">
      <c r="A308" s="13" t="inlineStr">
        <is>
          <t>HC-100306</t>
        </is>
      </c>
      <c r="B308" s="13" t="inlineStr">
        <is>
          <t>2024/09/30</t>
        </is>
      </c>
      <c r="C308" s="13" t="inlineStr">
        <is>
          <t>East</t>
        </is>
      </c>
      <c r="D308" s="13" t="inlineStr">
        <is>
          <t>Wholesale</t>
        </is>
      </c>
      <c r="E308" s="13" t="inlineStr">
        <is>
          <t>Furniture</t>
        </is>
      </c>
      <c r="F308" s="13" t="inlineStr">
        <is>
          <t>Linen Sofa</t>
        </is>
      </c>
      <c r="G308" s="13" t="inlineStr">
        <is>
          <t>Consumer</t>
        </is>
      </c>
      <c r="H308" s="13" t="inlineStr">
        <is>
          <t>24</t>
        </is>
      </c>
      <c r="I308" s="14" t="inlineStr">
        <is>
          <t>1174.14</t>
        </is>
      </c>
      <c r="J308" s="15" t="inlineStr">
        <is>
          <t>0.30</t>
        </is>
      </c>
      <c r="K308" s="14" t="inlineStr">
        <is>
          <t>774.93</t>
        </is>
      </c>
      <c r="L308" s="13" t="inlineStr">
        <is>
          <t>10</t>
        </is>
      </c>
      <c r="M308" s="13" t="inlineStr">
        <is>
          <t>Compleated</t>
        </is>
      </c>
      <c r="N308" s="13" t="inlineStr">
        <is>
          <t>P. Rossi</t>
        </is>
      </c>
    </row>
    <row r="309">
      <c r="A309" s="13" t="inlineStr">
        <is>
          <t>HC-100307</t>
        </is>
      </c>
      <c r="B309" s="13" t="inlineStr">
        <is>
          <t>11.06.2024</t>
        </is>
      </c>
      <c r="C309" s="13" t="inlineStr">
        <is>
          <t>west</t>
        </is>
      </c>
      <c r="D309" s="13" t="inlineStr">
        <is>
          <t>Store</t>
        </is>
      </c>
      <c r="E309" s="13" t="inlineStr">
        <is>
          <t>Furniture</t>
        </is>
      </c>
      <c r="F309" s="13" t="inlineStr">
        <is>
          <t>Linen Sofa</t>
        </is>
      </c>
      <c r="G309" s="13" t="inlineStr">
        <is>
          <t>Consumer</t>
        </is>
      </c>
      <c r="H309" s="13" t="inlineStr">
        <is>
          <t>4</t>
        </is>
      </c>
      <c r="I309" s="14" t="inlineStr">
        <is>
          <t>1349.90</t>
        </is>
      </c>
      <c r="J309" s="15" t="inlineStr">
        <is>
          <t>0.04</t>
        </is>
      </c>
      <c r="K309" s="14" t="inlineStr">
        <is>
          <t>890.93</t>
        </is>
      </c>
      <c r="L309" s="13" t="inlineStr">
        <is>
          <t>5</t>
        </is>
      </c>
      <c r="M309" s="13" t="inlineStr">
        <is>
          <t>Completed</t>
        </is>
      </c>
      <c r="N309" s="13" t="inlineStr">
        <is>
          <t>M. Okonkwo</t>
        </is>
      </c>
    </row>
    <row r="310">
      <c r="A310" s="13" t="inlineStr">
        <is>
          <t>HC-100308</t>
        </is>
      </c>
      <c r="B310" s="13" t="inlineStr">
        <is>
          <t>07/09/2025</t>
        </is>
      </c>
      <c r="C310" s="13" t="inlineStr">
        <is>
          <t xml:space="preserve"> North </t>
        </is>
      </c>
      <c r="D310" s="13" t="inlineStr">
        <is>
          <t>Wholesale</t>
        </is>
      </c>
      <c r="E310" s="13" t="inlineStr">
        <is>
          <t>Lighting</t>
        </is>
      </c>
      <c r="F310" s="13" t="inlineStr">
        <is>
          <t>Brass Sconce</t>
        </is>
      </c>
      <c r="G310" s="13" t="inlineStr">
        <is>
          <t>Consumer</t>
        </is>
      </c>
      <c r="H310" s="13" t="inlineStr">
        <is>
          <t>15</t>
        </is>
      </c>
      <c r="I310" s="14" t="inlineStr">
        <is>
          <t>129.60</t>
        </is>
      </c>
      <c r="J310" s="15" t="inlineStr">
        <is>
          <t>0.29</t>
        </is>
      </c>
      <c r="K310" s="14" t="inlineStr">
        <is>
          <t>59.61</t>
        </is>
      </c>
      <c r="L310" s="13" t="inlineStr">
        <is>
          <t>3</t>
        </is>
      </c>
      <c r="M310" s="13" t="inlineStr">
        <is>
          <t>COMPLETED</t>
        </is>
      </c>
      <c r="N310" s="13" t="inlineStr">
        <is>
          <t>L. Berger</t>
        </is>
      </c>
    </row>
    <row r="311">
      <c r="A311" s="13" t="inlineStr">
        <is>
          <t>HC-100309</t>
        </is>
      </c>
      <c r="B311" s="13" t="inlineStr">
        <is>
          <t>05-Sep-24</t>
        </is>
      </c>
      <c r="C311" s="13" t="inlineStr">
        <is>
          <t>North</t>
        </is>
      </c>
      <c r="D311" s="13" t="inlineStr">
        <is>
          <t>Wholesale</t>
        </is>
      </c>
      <c r="E311" s="13" t="inlineStr">
        <is>
          <t>Lighting</t>
        </is>
      </c>
      <c r="F311" s="13" t="inlineStr">
        <is>
          <t>Brass Sconce</t>
        </is>
      </c>
      <c r="G311" s="13" t="inlineStr">
        <is>
          <t>Corporate</t>
        </is>
      </c>
      <c r="H311" s="13" t="inlineStr">
        <is>
          <t>27</t>
        </is>
      </c>
      <c r="I311" s="14" t="inlineStr">
        <is>
          <t>140.04</t>
        </is>
      </c>
      <c r="J311" s="15" t="inlineStr">
        <is>
          <t>0.24</t>
        </is>
      </c>
      <c r="K311" s="14" t="inlineStr">
        <is>
          <t>64.42</t>
        </is>
      </c>
      <c r="L311" s="13" t="inlineStr">
        <is>
          <t>5</t>
        </is>
      </c>
      <c r="M311" s="13" t="inlineStr">
        <is>
          <t>Completed</t>
        </is>
      </c>
      <c r="N311" s="13" t="inlineStr">
        <is>
          <t>A. Shah</t>
        </is>
      </c>
    </row>
    <row r="312">
      <c r="A312" s="13" t="inlineStr">
        <is>
          <t>HC-100310</t>
        </is>
      </c>
      <c r="B312" s="13" t="inlineStr">
        <is>
          <t>2024/12/17</t>
        </is>
      </c>
      <c r="C312" s="13" t="inlineStr">
        <is>
          <t>West</t>
        </is>
      </c>
      <c r="D312" s="13" t="inlineStr">
        <is>
          <t>Store</t>
        </is>
      </c>
      <c r="E312" s="13" t="inlineStr">
        <is>
          <t>Lighting</t>
        </is>
      </c>
      <c r="F312" s="13" t="inlineStr">
        <is>
          <t>Brass Sconce</t>
        </is>
      </c>
      <c r="G312" s="13" t="inlineStr">
        <is>
          <t>Consumer</t>
        </is>
      </c>
      <c r="H312" s="13" t="inlineStr">
        <is>
          <t>3</t>
        </is>
      </c>
      <c r="I312" s="14" t="inlineStr">
        <is>
          <t>150.45</t>
        </is>
      </c>
      <c r="J312" s="15" t="inlineStr">
        <is>
          <t>0.00</t>
        </is>
      </c>
      <c r="K312" s="14" t="inlineStr">
        <is>
          <t>69.21</t>
        </is>
      </c>
      <c r="L312" s="13" t="inlineStr">
        <is>
          <t>N/A</t>
        </is>
      </c>
      <c r="M312" s="13" t="inlineStr">
        <is>
          <t>Completed</t>
        </is>
      </c>
      <c r="N312" s="13" t="inlineStr">
        <is>
          <t>P. Rossi</t>
        </is>
      </c>
    </row>
    <row r="313">
      <c r="A313" s="13" t="inlineStr">
        <is>
          <t>HC-100311</t>
        </is>
      </c>
      <c r="B313" s="13" t="inlineStr">
        <is>
          <t>22.07.2024</t>
        </is>
      </c>
      <c r="C313" s="13" t="inlineStr">
        <is>
          <t>north</t>
        </is>
      </c>
      <c r="D313" s="13" t="inlineStr">
        <is>
          <t>Online</t>
        </is>
      </c>
      <c r="E313" s="13" t="inlineStr">
        <is>
          <t>Furniture</t>
        </is>
      </c>
      <c r="F313" s="13" t="inlineStr">
        <is>
          <t>Walnut Shelf</t>
        </is>
      </c>
      <c r="G313" s="13" t="inlineStr">
        <is>
          <t>Consumer</t>
        </is>
      </c>
      <c r="H313" s="13" t="inlineStr">
        <is>
          <t>3</t>
        </is>
      </c>
      <c r="I313" s="14" t="inlineStr">
        <is>
          <t>206.22</t>
        </is>
      </c>
      <c r="J313" s="15" t="inlineStr">
        <is>
          <t>0.06</t>
        </is>
      </c>
      <c r="K313" s="14" t="inlineStr">
        <is>
          <t>113.42</t>
        </is>
      </c>
      <c r="L313" s="13" t="inlineStr">
        <is>
          <t>N/A</t>
        </is>
      </c>
      <c r="M313" s="13" t="inlineStr">
        <is>
          <t>complete</t>
        </is>
      </c>
      <c r="N313" s="13" t="inlineStr">
        <is>
          <t>R. Ibarra</t>
        </is>
      </c>
    </row>
    <row r="314">
      <c r="A314" s="13" t="inlineStr">
        <is>
          <t>HC-100312</t>
        </is>
      </c>
      <c r="B314" s="13" t="inlineStr">
        <is>
          <t>01/13/2024</t>
        </is>
      </c>
      <c r="C314" s="13" t="inlineStr">
        <is>
          <t xml:space="preserve"> west </t>
        </is>
      </c>
      <c r="D314" s="13" t="inlineStr">
        <is>
          <t>e-commerce</t>
        </is>
      </c>
      <c r="E314" s="13" t="inlineStr">
        <is>
          <t>TEXTILES</t>
        </is>
      </c>
      <c r="F314" s="13" t="inlineStr">
        <is>
          <t>Cotton Duvet</t>
        </is>
      </c>
      <c r="G314" s="13" t="inlineStr">
        <is>
          <t>consumer</t>
        </is>
      </c>
      <c r="H314" s="13" t="inlineStr">
        <is>
          <t>1</t>
        </is>
      </c>
      <c r="I314" s="14" t="inlineStr">
        <is>
          <t>123.40</t>
        </is>
      </c>
      <c r="J314" s="15" t="inlineStr">
        <is>
          <t>0.13</t>
        </is>
      </c>
      <c r="K314" s="14" t="inlineStr">
        <is>
          <t>54.30</t>
        </is>
      </c>
      <c r="L314" s="13" t="inlineStr">
        <is>
          <t>6</t>
        </is>
      </c>
      <c r="M314" s="13" t="inlineStr">
        <is>
          <t>Completed</t>
        </is>
      </c>
      <c r="N314" s="13" t="inlineStr">
        <is>
          <t>M. Okonkwo</t>
        </is>
      </c>
    </row>
    <row r="315">
      <c r="A315" s="13" t="inlineStr">
        <is>
          <t>HC-100313</t>
        </is>
      </c>
      <c r="B315" s="13" t="inlineStr">
        <is>
          <t>22-Mar-24</t>
        </is>
      </c>
      <c r="C315" s="13" t="inlineStr">
        <is>
          <t>North</t>
        </is>
      </c>
      <c r="D315" s="13" t="inlineStr">
        <is>
          <t>Wholesale</t>
        </is>
      </c>
      <c r="E315" s="13" t="inlineStr">
        <is>
          <t>Furniture</t>
        </is>
      </c>
      <c r="F315" s="13" t="inlineStr">
        <is>
          <t>Walnut Shelf</t>
        </is>
      </c>
      <c r="G315" s="13" t="inlineStr">
        <is>
          <t>Consumer</t>
        </is>
      </c>
      <c r="H315" s="13" t="inlineStr">
        <is>
          <t>26</t>
        </is>
      </c>
      <c r="I315" s="14" t="inlineStr">
        <is>
          <t>225.96</t>
        </is>
      </c>
      <c r="J315" s="15" t="inlineStr">
        <is>
          <t>0.32</t>
        </is>
      </c>
      <c r="K315" s="14" t="inlineStr">
        <is>
          <t>124.28</t>
        </is>
      </c>
      <c r="L315" s="13" t="inlineStr">
        <is>
          <t>5</t>
        </is>
      </c>
      <c r="M315" s="13" t="inlineStr">
        <is>
          <t>Completed</t>
        </is>
      </c>
      <c r="N315" s="13" t="inlineStr">
        <is>
          <t>M. Okonkwo</t>
        </is>
      </c>
    </row>
    <row r="316">
      <c r="A316" s="13" t="inlineStr">
        <is>
          <t>HC-100314</t>
        </is>
      </c>
      <c r="B316" s="13" t="inlineStr">
        <is>
          <t>2025/06/18</t>
        </is>
      </c>
      <c r="C316" s="13" t="inlineStr">
        <is>
          <t>South</t>
        </is>
      </c>
      <c r="D316" s="13" t="inlineStr">
        <is>
          <t>retail</t>
        </is>
      </c>
      <c r="E316" s="13" t="inlineStr">
        <is>
          <t>Kitchen</t>
        </is>
      </c>
      <c r="F316" s="13" t="inlineStr">
        <is>
          <t>Ceramic Set</t>
        </is>
      </c>
      <c r="G316" s="13" t="inlineStr">
        <is>
          <t>Consumer</t>
        </is>
      </c>
      <c r="H316" s="13" t="inlineStr">
        <is>
          <t>2</t>
        </is>
      </c>
      <c r="I316" s="14" t="inlineStr">
        <is>
          <t>86.14</t>
        </is>
      </c>
      <c r="J316" s="15" t="inlineStr">
        <is>
          <t>0.04</t>
        </is>
      </c>
      <c r="K316" s="14" t="inlineStr">
        <is>
          <t>32.73</t>
        </is>
      </c>
      <c r="L316" s="13" t="inlineStr">
        <is>
          <t>4</t>
        </is>
      </c>
      <c r="M316" s="13" t="inlineStr">
        <is>
          <t>Completed</t>
        </is>
      </c>
      <c r="N316" s="13" t="inlineStr">
        <is>
          <t>L. Berger</t>
        </is>
      </c>
    </row>
    <row r="317">
      <c r="A317" s="13" t="inlineStr">
        <is>
          <t>HC-100315</t>
        </is>
      </c>
      <c r="B317" s="13" t="inlineStr">
        <is>
          <t>11.07.2025</t>
        </is>
      </c>
      <c r="C317" s="13" t="inlineStr">
        <is>
          <t>South</t>
        </is>
      </c>
      <c r="D317" s="13" t="inlineStr">
        <is>
          <t>Store</t>
        </is>
      </c>
      <c r="E317" s="13" t="inlineStr">
        <is>
          <t>Furniture</t>
        </is>
      </c>
      <c r="F317" s="13" t="inlineStr">
        <is>
          <t>Walnut Shelf</t>
        </is>
      </c>
      <c r="G317" s="13" t="inlineStr">
        <is>
          <t>Consumer</t>
        </is>
      </c>
      <c r="H317" s="13" t="inlineStr">
        <is>
          <t>1</t>
        </is>
      </c>
      <c r="I317" s="14" t="inlineStr">
        <is>
          <t>218.46</t>
        </is>
      </c>
      <c r="J317" s="15" t="inlineStr">
        <is>
          <t>0.10</t>
        </is>
      </c>
      <c r="K317" s="14" t="inlineStr">
        <is>
          <t>120.15</t>
        </is>
      </c>
      <c r="L317" s="13" t="inlineStr">
        <is>
          <t>8</t>
        </is>
      </c>
      <c r="M317" s="13" t="inlineStr">
        <is>
          <t>Completed</t>
        </is>
      </c>
      <c r="N317" s="13" t="inlineStr">
        <is>
          <t>J. Patel</t>
        </is>
      </c>
    </row>
    <row r="318">
      <c r="A318" s="13" t="inlineStr">
        <is>
          <t>HC-100316</t>
        </is>
      </c>
      <c r="B318" s="13" t="inlineStr">
        <is>
          <t>01/14/2025</t>
        </is>
      </c>
      <c r="C318" s="13" t="inlineStr">
        <is>
          <t>North</t>
        </is>
      </c>
      <c r="D318" s="13" t="inlineStr">
        <is>
          <t>Wholesale</t>
        </is>
      </c>
      <c r="E318" s="13" t="inlineStr">
        <is>
          <t>Furniture</t>
        </is>
      </c>
      <c r="F318" s="13" t="inlineStr">
        <is>
          <t>Oak Desk</t>
        </is>
      </c>
      <c r="G318" s="13" t="inlineStr">
        <is>
          <t>Corporate</t>
        </is>
      </c>
      <c r="H318" s="13" t="inlineStr">
        <is>
          <t>10</t>
        </is>
      </c>
      <c r="I318" s="14" t="inlineStr">
        <is>
          <t>885.58</t>
        </is>
      </c>
      <c r="J318" s="15" t="inlineStr">
        <is>
          <t>25%</t>
        </is>
      </c>
      <c r="K318" s="14" t="inlineStr">
        <is>
          <t>549.06</t>
        </is>
      </c>
      <c r="L318" s="13" t="inlineStr">
        <is>
          <t>4</t>
        </is>
      </c>
      <c r="M318" s="13" t="inlineStr">
        <is>
          <t>Completed</t>
        </is>
      </c>
      <c r="N318" s="13" t="inlineStr">
        <is>
          <t>P. Rossi</t>
        </is>
      </c>
    </row>
    <row r="319">
      <c r="A319" s="13" t="inlineStr">
        <is>
          <t>HC-100317</t>
        </is>
      </c>
      <c r="B319" s="13" t="inlineStr">
        <is>
          <t>21-Dec-24</t>
        </is>
      </c>
      <c r="C319" s="13" t="inlineStr">
        <is>
          <t>East</t>
        </is>
      </c>
      <c r="D319" s="13" t="inlineStr">
        <is>
          <t>Wholesale</t>
        </is>
      </c>
      <c r="E319" s="13" t="inlineStr">
        <is>
          <t>Kitchen</t>
        </is>
      </c>
      <c r="F319" s="13" t="inlineStr">
        <is>
          <t>Cast Skillet</t>
        </is>
      </c>
      <c r="G319" s="13" t="inlineStr">
        <is>
          <t>Consumer</t>
        </is>
      </c>
      <c r="H319" s="13" t="inlineStr">
        <is>
          <t>24</t>
        </is>
      </c>
      <c r="I319" s="14" t="inlineStr">
        <is>
          <t>44.83</t>
        </is>
      </c>
      <c r="J319" s="15" t="inlineStr">
        <is>
          <t>0.32</t>
        </is>
      </c>
      <c r="K319" s="14" t="inlineStr">
        <is>
          <t>17.93</t>
        </is>
      </c>
      <c r="L319" s="13" t="inlineStr">
        <is>
          <t>7</t>
        </is>
      </c>
      <c r="M319" s="13" t="inlineStr">
        <is>
          <t>COMPLETED</t>
        </is>
      </c>
      <c r="N319" s="13" t="inlineStr">
        <is>
          <t>A. Shah</t>
        </is>
      </c>
    </row>
    <row r="320">
      <c r="A320" s="13" t="inlineStr">
        <is>
          <t>HC-100318</t>
        </is>
      </c>
      <c r="B320" s="13" t="inlineStr">
        <is>
          <t>2024/01/01</t>
        </is>
      </c>
      <c r="C320" s="13" t="inlineStr">
        <is>
          <t>North</t>
        </is>
      </c>
      <c r="D320" s="13" t="inlineStr">
        <is>
          <t>Online</t>
        </is>
      </c>
      <c r="E320" s="13" t="inlineStr">
        <is>
          <t>Kitchen</t>
        </is>
      </c>
      <c r="F320" s="13" t="inlineStr">
        <is>
          <t>Chef Knife</t>
        </is>
      </c>
      <c r="G320" s="13" t="inlineStr">
        <is>
          <t>Consumer</t>
        </is>
      </c>
      <c r="H320" s="13" t="inlineStr">
        <is>
          <t>2</t>
        </is>
      </c>
      <c r="I320" s="14" t="inlineStr">
        <is>
          <t>67.06</t>
        </is>
      </c>
      <c r="J320" s="15" t="inlineStr">
        <is>
          <t>0.03</t>
        </is>
      </c>
      <c r="K320" s="14" t="inlineStr">
        <is>
          <t>24.14</t>
        </is>
      </c>
      <c r="L320" s="13" t="inlineStr">
        <is>
          <t>6</t>
        </is>
      </c>
      <c r="M320" s="13" t="inlineStr">
        <is>
          <t>Completed</t>
        </is>
      </c>
      <c r="N320" s="13" t="inlineStr">
        <is>
          <t>J. Patel</t>
        </is>
      </c>
    </row>
    <row r="321">
      <c r="A321" s="13" t="inlineStr">
        <is>
          <t>HC-100319</t>
        </is>
      </c>
      <c r="B321" s="13" t="inlineStr">
        <is>
          <t>02.12.2024</t>
        </is>
      </c>
      <c r="C321" s="13" t="inlineStr">
        <is>
          <t>South</t>
        </is>
      </c>
      <c r="D321" s="13" t="inlineStr">
        <is>
          <t>Wholesale</t>
        </is>
      </c>
      <c r="E321" s="13" t="inlineStr">
        <is>
          <t>Lighting</t>
        </is>
      </c>
      <c r="F321" s="13" t="inlineStr">
        <is>
          <t>Pendant Light</t>
        </is>
      </c>
      <c r="G321" s="13" t="inlineStr">
        <is>
          <t>Consumer</t>
        </is>
      </c>
      <c r="H321" s="13" t="inlineStr">
        <is>
          <t>22</t>
        </is>
      </c>
      <c r="I321" s="14" t="inlineStr">
        <is>
          <t>181.38</t>
        </is>
      </c>
      <c r="J321" s="15" t="inlineStr">
        <is>
          <t>0.20</t>
        </is>
      </c>
      <c r="K321" s="14" t="inlineStr">
        <is>
          <t>90.69</t>
        </is>
      </c>
      <c r="L321" s="13" t="inlineStr">
        <is>
          <t>3</t>
        </is>
      </c>
      <c r="M321" s="13" t="inlineStr">
        <is>
          <t>Completed</t>
        </is>
      </c>
      <c r="N321" s="13" t="inlineStr">
        <is>
          <t>A. Shah</t>
        </is>
      </c>
    </row>
    <row r="322">
      <c r="A322" s="13" t="inlineStr">
        <is>
          <t>HC-100320</t>
        </is>
      </c>
      <c r="B322" s="13" t="inlineStr">
        <is>
          <t>08/03/2024</t>
        </is>
      </c>
      <c r="C322" s="13" t="inlineStr">
        <is>
          <t>East</t>
        </is>
      </c>
      <c r="D322" s="13" t="inlineStr">
        <is>
          <t>Online</t>
        </is>
      </c>
      <c r="E322" s="13" t="inlineStr">
        <is>
          <t>Textiles</t>
        </is>
      </c>
      <c r="F322" s="13" t="inlineStr">
        <is>
          <t>Linen Curtain</t>
        </is>
      </c>
      <c r="G322" s="13" t="inlineStr">
        <is>
          <t>Corporate</t>
        </is>
      </c>
      <c r="H322" s="13" t="inlineStr">
        <is>
          <t>2</t>
        </is>
      </c>
      <c r="I322" s="14" t="inlineStr">
        <is>
          <t>86.26</t>
        </is>
      </c>
      <c r="J322" s="15" t="inlineStr">
        <is>
          <t>0.05</t>
        </is>
      </c>
      <c r="K322" s="14" t="inlineStr">
        <is>
          <t>38.82</t>
        </is>
      </c>
      <c r="L322" s="13" t="inlineStr">
        <is>
          <t>8</t>
        </is>
      </c>
      <c r="M322" s="13" t="inlineStr">
        <is>
          <t>Completed</t>
        </is>
      </c>
      <c r="N322" s="13" t="inlineStr">
        <is>
          <t>K. Mensah</t>
        </is>
      </c>
    </row>
    <row r="323">
      <c r="A323" s="13" t="inlineStr">
        <is>
          <t>HC-100321</t>
        </is>
      </c>
      <c r="B323" s="13" t="inlineStr">
        <is>
          <t>04-Aug-24</t>
        </is>
      </c>
      <c r="C323" s="13" t="inlineStr">
        <is>
          <t>Sout</t>
        </is>
      </c>
      <c r="D323" s="13" t="inlineStr">
        <is>
          <t>Store</t>
        </is>
      </c>
      <c r="E323" s="13" t="inlineStr">
        <is>
          <t>Textiles</t>
        </is>
      </c>
      <c r="F323" s="13" t="inlineStr">
        <is>
          <t>Wool Throw</t>
        </is>
      </c>
      <c r="G323" s="13" t="inlineStr">
        <is>
          <t>Consumer</t>
        </is>
      </c>
      <c r="H323" s="13" t="inlineStr">
        <is>
          <t>3</t>
        </is>
      </c>
      <c r="I323" s="14" t="inlineStr">
        <is>
          <t>80.63</t>
        </is>
      </c>
      <c r="J323" s="15" t="inlineStr">
        <is>
          <t>0.01</t>
        </is>
      </c>
      <c r="K323" s="14" t="inlineStr">
        <is>
          <t>33.86</t>
        </is>
      </c>
      <c r="L323" s="13" t="inlineStr">
        <is>
          <t>4</t>
        </is>
      </c>
      <c r="M323" s="13" t="inlineStr">
        <is>
          <t>Compleated</t>
        </is>
      </c>
      <c r="N323" s="13" t="inlineStr">
        <is>
          <t>M. Okonkwo</t>
        </is>
      </c>
    </row>
    <row r="324">
      <c r="A324" s="13" t="inlineStr">
        <is>
          <t>HC-100322</t>
        </is>
      </c>
      <c r="B324" s="13" t="inlineStr">
        <is>
          <t>2024/10/29</t>
        </is>
      </c>
      <c r="C324" s="13" t="inlineStr">
        <is>
          <t>Nort</t>
        </is>
      </c>
      <c r="D324" s="13" t="inlineStr">
        <is>
          <t>Online</t>
        </is>
      </c>
      <c r="E324" s="13" t="inlineStr">
        <is>
          <t>Kitchen</t>
        </is>
      </c>
      <c r="F324" s="13" t="inlineStr">
        <is>
          <t>Ceramic Set</t>
        </is>
      </c>
      <c r="G324" s="13" t="inlineStr">
        <is>
          <t>Consumer</t>
        </is>
      </c>
      <c r="H324" s="13" t="inlineStr">
        <is>
          <t>3</t>
        </is>
      </c>
      <c r="I324" s="14" t="inlineStr">
        <is>
          <t>92.75</t>
        </is>
      </c>
      <c r="J324" s="15" t="inlineStr">
        <is>
          <t>0.13</t>
        </is>
      </c>
      <c r="K324" s="14" t="inlineStr">
        <is>
          <t>35.25</t>
        </is>
      </c>
      <c r="L324" s="13" t="inlineStr">
        <is>
          <t>9</t>
        </is>
      </c>
      <c r="M324" s="13" t="inlineStr">
        <is>
          <t>Completed</t>
        </is>
      </c>
      <c r="N324" s="13" t="inlineStr">
        <is>
          <t>J. Patel</t>
        </is>
      </c>
    </row>
    <row r="325">
      <c r="A325" s="13" t="inlineStr">
        <is>
          <t>HC-100323</t>
        </is>
      </c>
      <c r="B325" s="13" t="inlineStr">
        <is>
          <t>07.06.2024</t>
        </is>
      </c>
      <c r="C325" s="13" t="inlineStr">
        <is>
          <t>south</t>
        </is>
      </c>
      <c r="D325" s="13" t="inlineStr">
        <is>
          <t>Store</t>
        </is>
      </c>
      <c r="E325" s="13" t="inlineStr">
        <is>
          <t>FURNITURE</t>
        </is>
      </c>
      <c r="F325" s="13" t="inlineStr">
        <is>
          <t>Linen Sofa</t>
        </is>
      </c>
      <c r="G325" s="13" t="inlineStr">
        <is>
          <t>Consumer</t>
        </is>
      </c>
      <c r="H325" s="13" t="inlineStr">
        <is>
          <t>1</t>
        </is>
      </c>
      <c r="I325" s="14" t="inlineStr">
        <is>
          <t>1167.04</t>
        </is>
      </c>
      <c r="J325" s="15" t="inlineStr">
        <is>
          <t>0.11</t>
        </is>
      </c>
      <c r="K325" s="14" t="inlineStr">
        <is>
          <t>770.25</t>
        </is>
      </c>
      <c r="L325" s="13" t="inlineStr">
        <is>
          <t>5</t>
        </is>
      </c>
      <c r="M325" s="13" t="inlineStr">
        <is>
          <t>Completed</t>
        </is>
      </c>
      <c r="N325" s="13" t="inlineStr">
        <is>
          <t>L. Berger</t>
        </is>
      </c>
    </row>
    <row r="326">
      <c r="A326" s="13" t="inlineStr">
        <is>
          <t>HC-100324</t>
        </is>
      </c>
      <c r="B326" s="13" t="inlineStr">
        <is>
          <t>08/23/2024</t>
        </is>
      </c>
      <c r="C326" s="13" t="inlineStr">
        <is>
          <t>North</t>
        </is>
      </c>
      <c r="D326" s="13" t="inlineStr">
        <is>
          <t>Store</t>
        </is>
      </c>
      <c r="E326" s="13" t="inlineStr">
        <is>
          <t>TEXTILES</t>
        </is>
      </c>
      <c r="F326" s="13" t="inlineStr">
        <is>
          <t>Linen Curtain</t>
        </is>
      </c>
      <c r="G326" s="13" t="inlineStr">
        <is>
          <t>consumer</t>
        </is>
      </c>
      <c r="H326" s="13" t="inlineStr">
        <is>
          <t>2</t>
        </is>
      </c>
      <c r="I326" s="14" t="inlineStr">
        <is>
          <t>101.65</t>
        </is>
      </c>
      <c r="J326" s="15" t="inlineStr">
        <is>
          <t>0.10</t>
        </is>
      </c>
      <c r="K326" s="14" t="inlineStr">
        <is>
          <t>45.74</t>
        </is>
      </c>
      <c r="L326" s="13" t="inlineStr">
        <is>
          <t>5</t>
        </is>
      </c>
      <c r="M326" s="13" t="inlineStr">
        <is>
          <t>Returned</t>
        </is>
      </c>
      <c r="N326" s="13" t="inlineStr">
        <is>
          <t>R. Ibarra</t>
        </is>
      </c>
    </row>
    <row r="327">
      <c r="A327" s="13" t="inlineStr">
        <is>
          <t>HC-100325</t>
        </is>
      </c>
      <c r="B327" s="13" t="inlineStr">
        <is>
          <t>17-Dec-24</t>
        </is>
      </c>
      <c r="C327" s="13" t="inlineStr">
        <is>
          <t>South</t>
        </is>
      </c>
      <c r="D327" s="13" t="inlineStr">
        <is>
          <t>Online</t>
        </is>
      </c>
      <c r="E327" s="13" t="inlineStr">
        <is>
          <t>Textiles</t>
        </is>
      </c>
      <c r="F327" s="13" t="inlineStr">
        <is>
          <t>Linen Curtain</t>
        </is>
      </c>
      <c r="G327" s="13" t="inlineStr">
        <is>
          <t>Home Office</t>
        </is>
      </c>
      <c r="H327" s="13" t="inlineStr">
        <is>
          <t>4</t>
        </is>
      </c>
      <c r="I327" s="14" t="inlineStr">
        <is>
          <t>99.82</t>
        </is>
      </c>
      <c r="J327" s="15" t="inlineStr">
        <is>
          <t>0.10</t>
        </is>
      </c>
      <c r="K327" s="14" t="inlineStr">
        <is>
          <t>44.92</t>
        </is>
      </c>
      <c r="L327" s="13" t="inlineStr">
        <is>
          <t>8</t>
        </is>
      </c>
      <c r="M327" s="13" t="inlineStr">
        <is>
          <t>Completed</t>
        </is>
      </c>
      <c r="N327" s="13" t="inlineStr">
        <is>
          <t>L. Berger</t>
        </is>
      </c>
    </row>
    <row r="328">
      <c r="A328" s="13" t="inlineStr">
        <is>
          <t>HC-100326</t>
        </is>
      </c>
      <c r="B328" s="13" t="inlineStr">
        <is>
          <t>2024/12/19</t>
        </is>
      </c>
      <c r="C328" s="13" t="inlineStr">
        <is>
          <t>west</t>
        </is>
      </c>
      <c r="D328" s="13" t="inlineStr">
        <is>
          <t>Store</t>
        </is>
      </c>
      <c r="E328" s="13" t="inlineStr">
        <is>
          <t>Lighting</t>
        </is>
      </c>
      <c r="F328" s="13" t="inlineStr">
        <is>
          <t>Brass Sconce</t>
        </is>
      </c>
      <c r="G328" s="13" t="inlineStr">
        <is>
          <t>Home Office</t>
        </is>
      </c>
      <c r="H328" s="13" t="inlineStr">
        <is>
          <t>4</t>
        </is>
      </c>
      <c r="I328" s="14" t="inlineStr">
        <is>
          <t>134.64</t>
        </is>
      </c>
      <c r="J328" s="15" t="inlineStr">
        <is>
          <t>0.02</t>
        </is>
      </c>
      <c r="K328" s="14" t="inlineStr">
        <is>
          <t>61.93</t>
        </is>
      </c>
      <c r="L328" s="13" t="inlineStr">
        <is>
          <t>5</t>
        </is>
      </c>
      <c r="M328" s="13" t="inlineStr">
        <is>
          <t>Completed</t>
        </is>
      </c>
      <c r="N328" s="13" t="inlineStr">
        <is>
          <t>L. Berger</t>
        </is>
      </c>
    </row>
    <row r="329">
      <c r="A329" s="13" t="inlineStr">
        <is>
          <t>HC-100327</t>
        </is>
      </c>
      <c r="B329" s="13" t="inlineStr">
        <is>
          <t>22.11.2024</t>
        </is>
      </c>
      <c r="C329" s="13" t="inlineStr">
        <is>
          <t>Eas</t>
        </is>
      </c>
      <c r="D329" s="13" t="inlineStr">
        <is>
          <t>Online</t>
        </is>
      </c>
      <c r="E329" s="13" t="inlineStr">
        <is>
          <t>Lighting</t>
        </is>
      </c>
      <c r="F329" s="13" t="inlineStr">
        <is>
          <t>Brass Sconce</t>
        </is>
      </c>
      <c r="G329" s="13" t="inlineStr">
        <is>
          <t>Consumer</t>
        </is>
      </c>
      <c r="H329" s="13" t="inlineStr">
        <is>
          <t>4</t>
        </is>
      </c>
      <c r="I329" s="14" t="inlineStr">
        <is>
          <t>130.32</t>
        </is>
      </c>
      <c r="J329" s="15" t="inlineStr">
        <is>
          <t>0.14</t>
        </is>
      </c>
      <c r="K329" s="14" t="inlineStr">
        <is>
          <t>59.95</t>
        </is>
      </c>
      <c r="L329" s="13" t="inlineStr">
        <is>
          <t>8</t>
        </is>
      </c>
      <c r="M329" s="13" t="inlineStr">
        <is>
          <t>Completed</t>
        </is>
      </c>
      <c r="N329" s="13" t="inlineStr">
        <is>
          <t>P. Rossi</t>
        </is>
      </c>
    </row>
    <row r="330">
      <c r="A330" s="13" t="inlineStr">
        <is>
          <t>HC-100328</t>
        </is>
      </c>
      <c r="B330" s="13" t="inlineStr">
        <is>
          <t>12/14/2024</t>
        </is>
      </c>
      <c r="C330" s="13" t="inlineStr">
        <is>
          <t>North</t>
        </is>
      </c>
      <c r="D330" s="13" t="inlineStr">
        <is>
          <t>Online</t>
        </is>
      </c>
      <c r="E330" s="13" t="inlineStr">
        <is>
          <t>Textiles</t>
        </is>
      </c>
      <c r="F330" s="13" t="inlineStr">
        <is>
          <t>Cotton Duvet</t>
        </is>
      </c>
      <c r="G330" s="13" t="inlineStr">
        <is>
          <t>Consumer</t>
        </is>
      </c>
      <c r="H330" s="13" t="inlineStr">
        <is>
          <t>4</t>
        </is>
      </c>
      <c r="I330" s="14" t="inlineStr">
        <is>
          <t>121.29</t>
        </is>
      </c>
      <c r="J330" s="15" t="inlineStr">
        <is>
          <t>0.12</t>
        </is>
      </c>
      <c r="K330" s="14" t="inlineStr">
        <is>
          <t>53.37</t>
        </is>
      </c>
      <c r="L330" s="13" t="inlineStr">
        <is>
          <t>2</t>
        </is>
      </c>
      <c r="M330" s="13" t="inlineStr">
        <is>
          <t>Compleated</t>
        </is>
      </c>
      <c r="N330" s="13" t="inlineStr">
        <is>
          <t>M. Okonkwo</t>
        </is>
      </c>
    </row>
    <row r="331">
      <c r="A331" s="13" t="inlineStr">
        <is>
          <t>HC-100329</t>
        </is>
      </c>
      <c r="B331" s="13" t="inlineStr">
        <is>
          <t>26-Aug-24</t>
        </is>
      </c>
      <c r="C331" s="13" t="inlineStr">
        <is>
          <t>East</t>
        </is>
      </c>
      <c r="D331" s="13" t="inlineStr">
        <is>
          <t>Online</t>
        </is>
      </c>
      <c r="E331" s="13" t="inlineStr">
        <is>
          <t>Furniture</t>
        </is>
      </c>
      <c r="F331" s="13" t="inlineStr">
        <is>
          <t>Oak Desk</t>
        </is>
      </c>
      <c r="G331" s="13" t="inlineStr">
        <is>
          <t>Consumer</t>
        </is>
      </c>
      <c r="H331" s="13" t="inlineStr">
        <is>
          <t>1</t>
        </is>
      </c>
      <c r="I331" s="14" t="inlineStr">
        <is>
          <t>711.00</t>
        </is>
      </c>
      <c r="J331" s="15" t="inlineStr">
        <is>
          <t>0.03</t>
        </is>
      </c>
      <c r="K331" s="14" t="inlineStr">
        <is>
          <t>440.82</t>
        </is>
      </c>
      <c r="L331" s="13" t="inlineStr">
        <is>
          <t>7</t>
        </is>
      </c>
      <c r="M331" s="13" t="inlineStr">
        <is>
          <t>Completed</t>
        </is>
      </c>
      <c r="N331" s="13" t="inlineStr">
        <is>
          <t>K. Mensah</t>
        </is>
      </c>
    </row>
    <row r="332">
      <c r="A332" s="13" t="inlineStr">
        <is>
          <t>HC-100330</t>
        </is>
      </c>
      <c r="B332" s="13" t="inlineStr">
        <is>
          <t>2024/11/24</t>
        </is>
      </c>
      <c r="C332" s="13" t="inlineStr">
        <is>
          <t>West</t>
        </is>
      </c>
      <c r="D332" s="13" t="inlineStr">
        <is>
          <t>In-Store</t>
        </is>
      </c>
      <c r="E332" s="13" t="inlineStr">
        <is>
          <t>Furniture</t>
        </is>
      </c>
      <c r="F332" s="13" t="inlineStr">
        <is>
          <t>Walnut Shelf</t>
        </is>
      </c>
      <c r="G332" s="13" t="inlineStr">
        <is>
          <t>Consumer</t>
        </is>
      </c>
      <c r="H332" s="13" t="inlineStr">
        <is>
          <t>4</t>
        </is>
      </c>
      <c r="I332" s="14" t="inlineStr">
        <is>
          <t>236.77</t>
        </is>
      </c>
      <c r="J332" s="15" t="inlineStr">
        <is>
          <t>0.01</t>
        </is>
      </c>
      <c r="K332" s="14" t="inlineStr">
        <is>
          <t>130.23</t>
        </is>
      </c>
      <c r="L332" s="13" t="inlineStr">
        <is>
          <t>9</t>
        </is>
      </c>
      <c r="M332" s="13" t="inlineStr">
        <is>
          <t>Completed</t>
        </is>
      </c>
      <c r="N332" s="13" t="inlineStr">
        <is>
          <t>K. Mensah</t>
        </is>
      </c>
    </row>
    <row r="333">
      <c r="A333" s="13" t="inlineStr">
        <is>
          <t>HC-100331</t>
        </is>
      </c>
      <c r="B333" s="13" t="inlineStr">
        <is>
          <t>17.06.2024</t>
        </is>
      </c>
      <c r="C333" s="13" t="inlineStr">
        <is>
          <t>East</t>
        </is>
      </c>
      <c r="D333" s="13" t="inlineStr">
        <is>
          <t>Wholesale</t>
        </is>
      </c>
      <c r="E333" s="13" t="inlineStr">
        <is>
          <t>Furniture</t>
        </is>
      </c>
      <c r="F333" s="13" t="inlineStr">
        <is>
          <t>Walnut Shelf</t>
        </is>
      </c>
      <c r="G333" s="13" t="inlineStr">
        <is>
          <t>Consumer</t>
        </is>
      </c>
      <c r="H333" s="13" t="inlineStr">
        <is>
          <t>14</t>
        </is>
      </c>
      <c r="I333" s="14" t="inlineStr">
        <is>
          <t>186.08</t>
        </is>
      </c>
      <c r="J333" s="15" t="inlineStr">
        <is>
          <t>0.16</t>
        </is>
      </c>
      <c r="K333" s="14" t="inlineStr">
        <is>
          <t>102.35</t>
        </is>
      </c>
      <c r="L333" s="13" t="inlineStr">
        <is>
          <t>8</t>
        </is>
      </c>
      <c r="M333" s="13" t="inlineStr">
        <is>
          <t>Completed</t>
        </is>
      </c>
      <c r="N333" s="13" t="inlineStr">
        <is>
          <t>K. Mensah</t>
        </is>
      </c>
    </row>
    <row r="334">
      <c r="A334" s="13" t="inlineStr">
        <is>
          <t>HC-100332</t>
        </is>
      </c>
      <c r="B334" s="13" t="inlineStr">
        <is>
          <t>08/23/2024</t>
        </is>
      </c>
      <c r="C334" s="13" t="inlineStr">
        <is>
          <t>South</t>
        </is>
      </c>
      <c r="D334" s="13" t="inlineStr">
        <is>
          <t>Store</t>
        </is>
      </c>
      <c r="E334" s="13" t="inlineStr">
        <is>
          <t>Kitchen</t>
        </is>
      </c>
      <c r="F334" s="13" t="inlineStr">
        <is>
          <t>Ceramic Set</t>
        </is>
      </c>
      <c r="G334" s="13" t="inlineStr"/>
      <c r="H334" s="13" t="inlineStr">
        <is>
          <t>1</t>
        </is>
      </c>
      <c r="I334" s="14" t="inlineStr">
        <is>
          <t>$85.03</t>
        </is>
      </c>
      <c r="J334" s="15" t="inlineStr">
        <is>
          <t>0.04</t>
        </is>
      </c>
      <c r="K334" s="14" t="inlineStr">
        <is>
          <t>32.31</t>
        </is>
      </c>
      <c r="L334" s="13" t="inlineStr">
        <is>
          <t>6</t>
        </is>
      </c>
      <c r="M334" s="13" t="inlineStr">
        <is>
          <t>Completed</t>
        </is>
      </c>
      <c r="N334" s="13" t="inlineStr">
        <is>
          <t>J. Patel</t>
        </is>
      </c>
    </row>
    <row r="335">
      <c r="A335" s="13" t="inlineStr">
        <is>
          <t>HC-100333</t>
        </is>
      </c>
      <c r="B335" s="13" t="inlineStr">
        <is>
          <t>11-Aug-25</t>
        </is>
      </c>
      <c r="C335" s="13" t="inlineStr">
        <is>
          <t>west</t>
        </is>
      </c>
      <c r="D335" s="13" t="inlineStr">
        <is>
          <t>Online</t>
        </is>
      </c>
      <c r="E335" s="13" t="inlineStr">
        <is>
          <t>Furniture</t>
        </is>
      </c>
      <c r="F335" s="13" t="inlineStr">
        <is>
          <t>Linen Sofa</t>
        </is>
      </c>
      <c r="G335" s="13" t="inlineStr">
        <is>
          <t>Home Office</t>
        </is>
      </c>
      <c r="H335" s="13" t="inlineStr">
        <is>
          <t>2</t>
        </is>
      </c>
      <c r="I335" s="14" t="inlineStr">
        <is>
          <t>1309.33</t>
        </is>
      </c>
      <c r="J335" s="15" t="inlineStr">
        <is>
          <t>0.10</t>
        </is>
      </c>
      <c r="K335" s="14" t="inlineStr">
        <is>
          <t>864.16</t>
        </is>
      </c>
      <c r="L335" s="13" t="inlineStr">
        <is>
          <t>3</t>
        </is>
      </c>
      <c r="M335" s="13" t="inlineStr">
        <is>
          <t>Completed</t>
        </is>
      </c>
      <c r="N335" s="13" t="inlineStr">
        <is>
          <t>L. Berger</t>
        </is>
      </c>
    </row>
    <row r="336">
      <c r="A336" s="13" t="inlineStr">
        <is>
          <t>HC-100334</t>
        </is>
      </c>
      <c r="B336" s="13" t="inlineStr">
        <is>
          <t>2024/08/30</t>
        </is>
      </c>
      <c r="C336" s="13" t="inlineStr">
        <is>
          <t>South</t>
        </is>
      </c>
      <c r="D336" s="13" t="inlineStr">
        <is>
          <t>Online</t>
        </is>
      </c>
      <c r="E336" s="13" t="inlineStr">
        <is>
          <t>Kitchen</t>
        </is>
      </c>
      <c r="F336" s="13" t="inlineStr">
        <is>
          <t>Chef Knife</t>
        </is>
      </c>
      <c r="G336" s="13" t="inlineStr">
        <is>
          <t>Consumer</t>
        </is>
      </c>
      <c r="H336" s="13" t="inlineStr">
        <is>
          <t>3</t>
        </is>
      </c>
      <c r="I336" s="14" t="inlineStr">
        <is>
          <t>61.58</t>
        </is>
      </c>
      <c r="J336" s="15" t="inlineStr">
        <is>
          <t>0.13</t>
        </is>
      </c>
      <c r="K336" s="14" t="inlineStr">
        <is>
          <t>22.17</t>
        </is>
      </c>
      <c r="L336" s="13" t="inlineStr">
        <is>
          <t>8</t>
        </is>
      </c>
      <c r="M336" s="13" t="inlineStr">
        <is>
          <t>Completed</t>
        </is>
      </c>
      <c r="N336" s="13" t="inlineStr">
        <is>
          <t>K. Mensah</t>
        </is>
      </c>
    </row>
    <row r="337">
      <c r="A337" s="13" t="inlineStr">
        <is>
          <t>HC-100335</t>
        </is>
      </c>
      <c r="B337" s="13" t="inlineStr">
        <is>
          <t>01.09.2025</t>
        </is>
      </c>
      <c r="C337" s="13" t="inlineStr">
        <is>
          <t>east</t>
        </is>
      </c>
      <c r="D337" s="13" t="inlineStr">
        <is>
          <t>Online</t>
        </is>
      </c>
      <c r="E337" s="13" t="inlineStr">
        <is>
          <t>Textiles</t>
        </is>
      </c>
      <c r="F337" s="13" t="inlineStr">
        <is>
          <t>Linen Curtain</t>
        </is>
      </c>
      <c r="G337" s="13" t="inlineStr">
        <is>
          <t>Corporate</t>
        </is>
      </c>
      <c r="H337" s="13" t="inlineStr">
        <is>
          <t>3</t>
        </is>
      </c>
      <c r="I337" s="14" t="inlineStr">
        <is>
          <t>83.90</t>
        </is>
      </c>
      <c r="J337" s="15" t="inlineStr">
        <is>
          <t>0.16</t>
        </is>
      </c>
      <c r="K337" s="14" t="inlineStr">
        <is>
          <t>37.75</t>
        </is>
      </c>
      <c r="L337" s="13" t="inlineStr">
        <is>
          <t>4</t>
        </is>
      </c>
      <c r="M337" s="13" t="inlineStr">
        <is>
          <t>Completed</t>
        </is>
      </c>
      <c r="N337" s="13" t="inlineStr">
        <is>
          <t>K. Mensah</t>
        </is>
      </c>
    </row>
    <row r="338">
      <c r="A338" s="13" t="inlineStr">
        <is>
          <t>HC-100336</t>
        </is>
      </c>
      <c r="B338" s="13" t="inlineStr">
        <is>
          <t>02/27/2025</t>
        </is>
      </c>
      <c r="C338" s="13" t="inlineStr">
        <is>
          <t>South</t>
        </is>
      </c>
      <c r="D338" s="13" t="inlineStr">
        <is>
          <t>In-Store</t>
        </is>
      </c>
      <c r="E338" s="13" t="inlineStr">
        <is>
          <t>Textiles</t>
        </is>
      </c>
      <c r="F338" s="13" t="inlineStr">
        <is>
          <t>Wool Throw</t>
        </is>
      </c>
      <c r="G338" s="13" t="inlineStr">
        <is>
          <t>Corporate</t>
        </is>
      </c>
      <c r="H338" s="13" t="inlineStr">
        <is>
          <t>3</t>
        </is>
      </c>
      <c r="I338" s="14" t="inlineStr">
        <is>
          <t>77.54</t>
        </is>
      </c>
      <c r="J338" s="15" t="inlineStr">
        <is>
          <t>0.03</t>
        </is>
      </c>
      <c r="K338" s="14" t="inlineStr">
        <is>
          <t>32.57</t>
        </is>
      </c>
      <c r="L338" s="13" t="inlineStr">
        <is>
          <t>6</t>
        </is>
      </c>
      <c r="M338" s="13" t="inlineStr">
        <is>
          <t>Completed</t>
        </is>
      </c>
      <c r="N338" s="13" t="inlineStr">
        <is>
          <t>M. Okonkwo</t>
        </is>
      </c>
    </row>
    <row r="339">
      <c r="A339" s="13" t="inlineStr">
        <is>
          <t>HC-100337</t>
        </is>
      </c>
      <c r="B339" s="13" t="inlineStr">
        <is>
          <t>27-Dec-24</t>
        </is>
      </c>
      <c r="C339" s="13" t="inlineStr">
        <is>
          <t>West</t>
        </is>
      </c>
      <c r="D339" s="13" t="inlineStr">
        <is>
          <t>Online</t>
        </is>
      </c>
      <c r="E339" s="13" t="inlineStr">
        <is>
          <t>Kitchen</t>
        </is>
      </c>
      <c r="F339" s="13" t="inlineStr">
        <is>
          <t>Cast Skillet</t>
        </is>
      </c>
      <c r="G339" s="13" t="inlineStr">
        <is>
          <t>Consumer</t>
        </is>
      </c>
      <c r="H339" s="13" t="inlineStr">
        <is>
          <t>four</t>
        </is>
      </c>
      <c r="I339" s="14" t="inlineStr">
        <is>
          <t>51.11</t>
        </is>
      </c>
      <c r="J339" s="15" t="inlineStr">
        <is>
          <t>0.05</t>
        </is>
      </c>
      <c r="K339" s="14" t="inlineStr">
        <is>
          <t>20.44</t>
        </is>
      </c>
      <c r="L339" s="13" t="inlineStr">
        <is>
          <t>3</t>
        </is>
      </c>
      <c r="M339" s="13" t="inlineStr">
        <is>
          <t>Completed</t>
        </is>
      </c>
      <c r="N339" s="13" t="inlineStr">
        <is>
          <t>R. Ibarra</t>
        </is>
      </c>
    </row>
    <row r="340">
      <c r="A340" s="13" t="inlineStr">
        <is>
          <t>HC-100338</t>
        </is>
      </c>
      <c r="B340" s="13" t="inlineStr">
        <is>
          <t>2024/01/25</t>
        </is>
      </c>
      <c r="C340" s="13" t="inlineStr">
        <is>
          <t>north</t>
        </is>
      </c>
      <c r="D340" s="13" t="inlineStr">
        <is>
          <t>Wholesale</t>
        </is>
      </c>
      <c r="E340" s="13" t="inlineStr">
        <is>
          <t>Kitchen</t>
        </is>
      </c>
      <c r="F340" s="13" t="inlineStr">
        <is>
          <t>Chef Knife</t>
        </is>
      </c>
      <c r="G340" s="13" t="inlineStr">
        <is>
          <t>Consumer</t>
        </is>
      </c>
      <c r="H340" s="13" t="inlineStr">
        <is>
          <t>17</t>
        </is>
      </c>
      <c r="I340" s="14" t="inlineStr">
        <is>
          <t>63.35</t>
        </is>
      </c>
      <c r="J340" s="15" t="inlineStr">
        <is>
          <t>0.17</t>
        </is>
      </c>
      <c r="K340" s="14" t="inlineStr">
        <is>
          <t>22.81</t>
        </is>
      </c>
      <c r="L340" s="13" t="inlineStr">
        <is>
          <t>2</t>
        </is>
      </c>
      <c r="M340" s="13" t="inlineStr">
        <is>
          <t>Compleated</t>
        </is>
      </c>
      <c r="N340" s="13" t="inlineStr">
        <is>
          <t>A. Shah</t>
        </is>
      </c>
    </row>
    <row r="341">
      <c r="A341" s="13" t="inlineStr">
        <is>
          <t>HC-100339</t>
        </is>
      </c>
      <c r="B341" s="13" t="inlineStr">
        <is>
          <t>20.04.2024</t>
        </is>
      </c>
      <c r="C341" s="13" t="inlineStr">
        <is>
          <t>WEST</t>
        </is>
      </c>
      <c r="D341" s="13" t="inlineStr">
        <is>
          <t>web</t>
        </is>
      </c>
      <c r="E341" s="13" t="inlineStr">
        <is>
          <t>Textiles</t>
        </is>
      </c>
      <c r="F341" s="13" t="inlineStr">
        <is>
          <t>Wool Throw</t>
        </is>
      </c>
      <c r="G341" s="13" t="inlineStr">
        <is>
          <t>Consumer</t>
        </is>
      </c>
      <c r="H341" s="13" t="inlineStr">
        <is>
          <t>2</t>
        </is>
      </c>
      <c r="I341" s="14" t="inlineStr">
        <is>
          <t>69.07</t>
        </is>
      </c>
      <c r="J341" s="15" t="inlineStr">
        <is>
          <t>0.08</t>
        </is>
      </c>
      <c r="K341" s="14" t="inlineStr">
        <is>
          <t>29.01</t>
        </is>
      </c>
      <c r="L341" s="13" t="inlineStr">
        <is>
          <t>8</t>
        </is>
      </c>
      <c r="M341" s="13" t="inlineStr">
        <is>
          <t>Cancelled</t>
        </is>
      </c>
      <c r="N341" s="13" t="inlineStr">
        <is>
          <t>S. Nguyen</t>
        </is>
      </c>
    </row>
    <row r="342">
      <c r="A342" s="13" t="inlineStr">
        <is>
          <t>HC-100340</t>
        </is>
      </c>
      <c r="B342" s="13" t="inlineStr">
        <is>
          <t>07/20/2024</t>
        </is>
      </c>
      <c r="C342" s="13" t="inlineStr">
        <is>
          <t>North</t>
        </is>
      </c>
      <c r="D342" s="13" t="inlineStr">
        <is>
          <t>Store</t>
        </is>
      </c>
      <c r="E342" s="13" t="inlineStr">
        <is>
          <t>Furniture</t>
        </is>
      </c>
      <c r="F342" s="13" t="inlineStr">
        <is>
          <t>Oak Desk</t>
        </is>
      </c>
      <c r="G342" s="13" t="inlineStr">
        <is>
          <t>Consumer</t>
        </is>
      </c>
      <c r="H342" s="13" t="inlineStr">
        <is>
          <t>3</t>
        </is>
      </c>
      <c r="I342" s="14" t="inlineStr">
        <is>
          <t>861.41</t>
        </is>
      </c>
      <c r="J342" s="15" t="inlineStr">
        <is>
          <t>0.02</t>
        </is>
      </c>
      <c r="K342" s="14" t="inlineStr">
        <is>
          <t>534.07</t>
        </is>
      </c>
      <c r="L342" s="13" t="inlineStr">
        <is>
          <t>6</t>
        </is>
      </c>
      <c r="M342" s="13" t="inlineStr">
        <is>
          <t>Completed</t>
        </is>
      </c>
      <c r="N342" s="13" t="inlineStr">
        <is>
          <t>K. Mensah</t>
        </is>
      </c>
    </row>
    <row r="343">
      <c r="A343" s="13" t="inlineStr">
        <is>
          <t>HC-100341</t>
        </is>
      </c>
      <c r="B343" s="13" t="inlineStr">
        <is>
          <t>06-Jun-25</t>
        </is>
      </c>
      <c r="C343" s="13" t="inlineStr">
        <is>
          <t>East</t>
        </is>
      </c>
      <c r="D343" s="13" t="inlineStr">
        <is>
          <t>Store</t>
        </is>
      </c>
      <c r="E343" s="13" t="inlineStr">
        <is>
          <t>TEXTILES</t>
        </is>
      </c>
      <c r="F343" s="13" t="inlineStr">
        <is>
          <t>Linen Curtain</t>
        </is>
      </c>
      <c r="G343" s="13" t="inlineStr">
        <is>
          <t>Corporate</t>
        </is>
      </c>
      <c r="H343" s="13" t="inlineStr">
        <is>
          <t>4</t>
        </is>
      </c>
      <c r="I343" s="14" t="inlineStr">
        <is>
          <t>92.16</t>
        </is>
      </c>
      <c r="J343" s="15" t="inlineStr">
        <is>
          <t>0.06</t>
        </is>
      </c>
      <c r="K343" s="14" t="inlineStr">
        <is>
          <t>41.47</t>
        </is>
      </c>
      <c r="L343" s="13" t="inlineStr">
        <is>
          <t>9</t>
        </is>
      </c>
      <c r="M343" s="13" t="inlineStr">
        <is>
          <t>Returned</t>
        </is>
      </c>
      <c r="N343" s="13" t="inlineStr">
        <is>
          <t>J. Patel</t>
        </is>
      </c>
    </row>
    <row r="344">
      <c r="A344" s="13" t="inlineStr">
        <is>
          <t>HC-100342</t>
        </is>
      </c>
      <c r="B344" s="13" t="inlineStr">
        <is>
          <t>2025/07/19</t>
        </is>
      </c>
      <c r="C344" s="13" t="inlineStr">
        <is>
          <t>West</t>
        </is>
      </c>
      <c r="D344" s="13" t="inlineStr">
        <is>
          <t>e-commerce</t>
        </is>
      </c>
      <c r="E344" s="13" t="inlineStr">
        <is>
          <t>Furniture</t>
        </is>
      </c>
      <c r="F344" s="13" t="inlineStr">
        <is>
          <t>Lounge Chair</t>
        </is>
      </c>
      <c r="G344" s="13" t="inlineStr">
        <is>
          <t>Consumer</t>
        </is>
      </c>
      <c r="H344" s="13" t="inlineStr">
        <is>
          <t>2</t>
        </is>
      </c>
      <c r="I344" s="14" t="inlineStr">
        <is>
          <t>466.21</t>
        </is>
      </c>
      <c r="J344" s="15" t="inlineStr">
        <is>
          <t>0.03</t>
        </is>
      </c>
      <c r="K344" s="14" t="inlineStr">
        <is>
          <t>279.72</t>
        </is>
      </c>
      <c r="L344" s="13" t="inlineStr">
        <is>
          <t>3</t>
        </is>
      </c>
      <c r="M344" s="13" t="inlineStr">
        <is>
          <t>Completed</t>
        </is>
      </c>
      <c r="N344" s="13" t="inlineStr">
        <is>
          <t>L. Berger</t>
        </is>
      </c>
    </row>
    <row r="345">
      <c r="A345" s="13" t="inlineStr">
        <is>
          <t>HC-100343</t>
        </is>
      </c>
      <c r="B345" s="13" t="inlineStr">
        <is>
          <t>23.03.2024</t>
        </is>
      </c>
      <c r="C345" s="13" t="inlineStr">
        <is>
          <t>North</t>
        </is>
      </c>
      <c r="D345" s="13" t="inlineStr">
        <is>
          <t>B2B</t>
        </is>
      </c>
      <c r="E345" s="13" t="inlineStr">
        <is>
          <t>Kitchen</t>
        </is>
      </c>
      <c r="F345" s="13" t="inlineStr">
        <is>
          <t>Ceramic Set</t>
        </is>
      </c>
      <c r="G345" s="13" t="inlineStr">
        <is>
          <t>consumer</t>
        </is>
      </c>
      <c r="H345" s="13" t="inlineStr">
        <is>
          <t>17</t>
        </is>
      </c>
      <c r="I345" s="14" t="inlineStr">
        <is>
          <t>87.02</t>
        </is>
      </c>
      <c r="J345" s="15" t="inlineStr">
        <is>
          <t>0.14</t>
        </is>
      </c>
      <c r="K345" s="14" t="inlineStr">
        <is>
          <t>33.07</t>
        </is>
      </c>
      <c r="L345" s="13" t="inlineStr">
        <is>
          <t>8</t>
        </is>
      </c>
      <c r="M345" s="13" t="inlineStr">
        <is>
          <t>Completed</t>
        </is>
      </c>
      <c r="N345" s="13" t="inlineStr">
        <is>
          <t>K. Mensah</t>
        </is>
      </c>
    </row>
    <row r="346">
      <c r="A346" s="13" t="inlineStr">
        <is>
          <t>HC-100344</t>
        </is>
      </c>
      <c r="B346" s="13" t="inlineStr">
        <is>
          <t>07/21/2025</t>
        </is>
      </c>
      <c r="C346" s="13" t="inlineStr">
        <is>
          <t>South</t>
        </is>
      </c>
      <c r="D346" s="13" t="inlineStr">
        <is>
          <t>Online</t>
        </is>
      </c>
      <c r="E346" s="13" t="inlineStr">
        <is>
          <t>Lighting</t>
        </is>
      </c>
      <c r="F346" s="13" t="inlineStr">
        <is>
          <t>Arc Lamp</t>
        </is>
      </c>
      <c r="G346" s="13" t="inlineStr">
        <is>
          <t>Consumer</t>
        </is>
      </c>
      <c r="H346" s="13" t="inlineStr">
        <is>
          <t>1</t>
        </is>
      </c>
      <c r="I346" s="14" t="inlineStr">
        <is>
          <t>291.47</t>
        </is>
      </c>
      <c r="J346" s="15" t="inlineStr">
        <is>
          <t>15%</t>
        </is>
      </c>
      <c r="K346" s="14" t="inlineStr">
        <is>
          <t>139.91</t>
        </is>
      </c>
      <c r="L346" s="13" t="inlineStr">
        <is>
          <t>5</t>
        </is>
      </c>
      <c r="M346" s="13" t="inlineStr">
        <is>
          <t>complete</t>
        </is>
      </c>
      <c r="N346" s="13" t="inlineStr">
        <is>
          <t>A. Shah</t>
        </is>
      </c>
    </row>
    <row r="347">
      <c r="A347" s="13" t="inlineStr">
        <is>
          <t>HC-100345</t>
        </is>
      </c>
      <c r="B347" s="13" t="inlineStr">
        <is>
          <t>26-Aug-25</t>
        </is>
      </c>
      <c r="C347" s="13" t="inlineStr">
        <is>
          <t>South</t>
        </is>
      </c>
      <c r="D347" s="13" t="inlineStr">
        <is>
          <t>Wholesale</t>
        </is>
      </c>
      <c r="E347" s="13" t="inlineStr">
        <is>
          <t>LIGHTING</t>
        </is>
      </c>
      <c r="F347" s="13" t="inlineStr">
        <is>
          <t>Brass Sconce</t>
        </is>
      </c>
      <c r="G347" s="13" t="inlineStr">
        <is>
          <t>Corporate</t>
        </is>
      </c>
      <c r="H347" s="13" t="inlineStr">
        <is>
          <t>11</t>
        </is>
      </c>
      <c r="I347" s="14" t="inlineStr">
        <is>
          <t>133.54</t>
        </is>
      </c>
      <c r="J347" s="15" t="inlineStr">
        <is>
          <t>0.21</t>
        </is>
      </c>
      <c r="K347" s="14" t="inlineStr">
        <is>
          <t>61.43</t>
        </is>
      </c>
      <c r="L347" s="13" t="inlineStr">
        <is>
          <t>9</t>
        </is>
      </c>
      <c r="M347" s="13" t="inlineStr">
        <is>
          <t>Completed</t>
        </is>
      </c>
      <c r="N347" s="13" t="inlineStr">
        <is>
          <t>L. Berger</t>
        </is>
      </c>
    </row>
    <row r="348">
      <c r="A348" s="13" t="inlineStr">
        <is>
          <t>HC-100346</t>
        </is>
      </c>
      <c r="B348" s="13" t="inlineStr">
        <is>
          <t>2024/08/23</t>
        </is>
      </c>
      <c r="C348" s="13" t="inlineStr">
        <is>
          <t>South</t>
        </is>
      </c>
      <c r="D348" s="13" t="inlineStr">
        <is>
          <t>Online</t>
        </is>
      </c>
      <c r="E348" s="13" t="inlineStr">
        <is>
          <t>FURNITURE</t>
        </is>
      </c>
      <c r="F348" s="13" t="inlineStr">
        <is>
          <t>Walnut Shelf</t>
        </is>
      </c>
      <c r="G348" s="13" t="inlineStr">
        <is>
          <t>Consumer</t>
        </is>
      </c>
      <c r="H348" s="13" t="inlineStr">
        <is>
          <t>1</t>
        </is>
      </c>
      <c r="I348" s="14" t="inlineStr">
        <is>
          <t>207.95</t>
        </is>
      </c>
      <c r="J348" s="15" t="inlineStr">
        <is>
          <t>0.03</t>
        </is>
      </c>
      <c r="K348" s="14" t="inlineStr">
        <is>
          <t>114.37</t>
        </is>
      </c>
      <c r="L348" s="13" t="inlineStr">
        <is>
          <t>8</t>
        </is>
      </c>
      <c r="M348" s="13" t="inlineStr">
        <is>
          <t>Returned</t>
        </is>
      </c>
      <c r="N348" s="13" t="inlineStr">
        <is>
          <t>M. Okonkwo</t>
        </is>
      </c>
    </row>
    <row r="349">
      <c r="A349" s="13" t="inlineStr">
        <is>
          <t>HC-100347</t>
        </is>
      </c>
      <c r="B349" s="13" t="inlineStr">
        <is>
          <t>09.05.2024</t>
        </is>
      </c>
      <c r="C349" s="13" t="inlineStr">
        <is>
          <t>West</t>
        </is>
      </c>
      <c r="D349" s="13" t="inlineStr">
        <is>
          <t>Wholesale</t>
        </is>
      </c>
      <c r="E349" s="13" t="inlineStr">
        <is>
          <t>Kitchen</t>
        </is>
      </c>
      <c r="F349" s="13" t="inlineStr">
        <is>
          <t>Chef Knife</t>
        </is>
      </c>
      <c r="G349" s="13" t="inlineStr">
        <is>
          <t>Consumer</t>
        </is>
      </c>
      <c r="H349" s="13" t="inlineStr">
        <is>
          <t>16</t>
        </is>
      </c>
      <c r="I349" s="14" t="inlineStr">
        <is>
          <t>64.37</t>
        </is>
      </c>
      <c r="J349" s="15" t="inlineStr">
        <is>
          <t>0.29</t>
        </is>
      </c>
      <c r="K349" s="14" t="inlineStr">
        <is>
          <t>23.17</t>
        </is>
      </c>
      <c r="L349" s="13" t="inlineStr">
        <is>
          <t>4</t>
        </is>
      </c>
      <c r="M349" s="13" t="inlineStr">
        <is>
          <t>Completed</t>
        </is>
      </c>
      <c r="N349" s="13" t="inlineStr">
        <is>
          <t>A. Shah</t>
        </is>
      </c>
    </row>
    <row r="350">
      <c r="A350" s="13" t="inlineStr">
        <is>
          <t>HC-100348</t>
        </is>
      </c>
      <c r="B350" s="13" t="inlineStr">
        <is>
          <t>12/03/2024</t>
        </is>
      </c>
      <c r="C350" s="13" t="inlineStr">
        <is>
          <t>North</t>
        </is>
      </c>
      <c r="D350" s="13" t="inlineStr">
        <is>
          <t>Store</t>
        </is>
      </c>
      <c r="E350" s="13" t="inlineStr">
        <is>
          <t>Furniture</t>
        </is>
      </c>
      <c r="F350" s="13" t="inlineStr">
        <is>
          <t>Lounge Chair</t>
        </is>
      </c>
      <c r="G350" s="13" t="inlineStr">
        <is>
          <t>Home Office</t>
        </is>
      </c>
      <c r="H350" s="13" t="inlineStr">
        <is>
          <t>3</t>
        </is>
      </c>
      <c r="I350" s="14" t="inlineStr">
        <is>
          <t>458.20</t>
        </is>
      </c>
      <c r="J350" s="15" t="inlineStr">
        <is>
          <t>0.00</t>
        </is>
      </c>
      <c r="K350" s="14" t="inlineStr">
        <is>
          <t>274.92</t>
        </is>
      </c>
      <c r="L350" s="13" t="inlineStr">
        <is>
          <t>N/A</t>
        </is>
      </c>
      <c r="M350" s="13" t="inlineStr">
        <is>
          <t>Completed</t>
        </is>
      </c>
      <c r="N350" s="13" t="inlineStr">
        <is>
          <t>R. Ibarra</t>
        </is>
      </c>
    </row>
    <row r="351">
      <c r="A351" s="13" t="inlineStr">
        <is>
          <t>HC-100349</t>
        </is>
      </c>
      <c r="B351" s="13" t="inlineStr">
        <is>
          <t>13-Dec-24</t>
        </is>
      </c>
      <c r="C351" s="13" t="inlineStr">
        <is>
          <t>East</t>
        </is>
      </c>
      <c r="D351" s="13" t="inlineStr">
        <is>
          <t>In-Store</t>
        </is>
      </c>
      <c r="E351" s="13" t="inlineStr">
        <is>
          <t>Textiles</t>
        </is>
      </c>
      <c r="F351" s="13" t="inlineStr">
        <is>
          <t>Wool Throw</t>
        </is>
      </c>
      <c r="G351" s="13" t="inlineStr">
        <is>
          <t>Consumer</t>
        </is>
      </c>
      <c r="H351" s="13" t="inlineStr">
        <is>
          <t>4</t>
        </is>
      </c>
      <c r="I351" s="14" t="inlineStr">
        <is>
          <t>68.53</t>
        </is>
      </c>
      <c r="J351" s="15" t="inlineStr">
        <is>
          <t>0.01</t>
        </is>
      </c>
      <c r="K351" s="14" t="inlineStr">
        <is>
          <t>28.78</t>
        </is>
      </c>
      <c r="L351" s="13" t="inlineStr">
        <is>
          <t>11</t>
        </is>
      </c>
      <c r="M351" s="13" t="inlineStr">
        <is>
          <t>Compleated</t>
        </is>
      </c>
      <c r="N351" s="13" t="inlineStr">
        <is>
          <t>A. Shah</t>
        </is>
      </c>
    </row>
    <row r="352">
      <c r="A352" s="13" t="inlineStr">
        <is>
          <t>HC-100350</t>
        </is>
      </c>
      <c r="B352" s="13" t="inlineStr">
        <is>
          <t>2025/08/07</t>
        </is>
      </c>
      <c r="C352" s="13" t="inlineStr">
        <is>
          <t>West</t>
        </is>
      </c>
      <c r="D352" s="13" t="inlineStr">
        <is>
          <t>Online</t>
        </is>
      </c>
      <c r="E352" s="13" t="inlineStr">
        <is>
          <t>Textiles</t>
        </is>
      </c>
      <c r="F352" s="13" t="inlineStr">
        <is>
          <t>Cotton Duvet</t>
        </is>
      </c>
      <c r="G352" s="13" t="inlineStr">
        <is>
          <t>consumer</t>
        </is>
      </c>
      <c r="H352" s="13" t="inlineStr">
        <is>
          <t>1</t>
        </is>
      </c>
      <c r="I352" s="14" t="inlineStr">
        <is>
          <t>118.74</t>
        </is>
      </c>
      <c r="J352" s="15" t="inlineStr">
        <is>
          <t>0.02</t>
        </is>
      </c>
      <c r="K352" s="14" t="inlineStr">
        <is>
          <t>52.24</t>
        </is>
      </c>
      <c r="L352" s="13" t="inlineStr">
        <is>
          <t>4</t>
        </is>
      </c>
      <c r="M352" s="13" t="inlineStr">
        <is>
          <t>Completed</t>
        </is>
      </c>
      <c r="N352" s="13" t="inlineStr">
        <is>
          <t>R. Ibarra</t>
        </is>
      </c>
    </row>
    <row r="353">
      <c r="A353" s="13" t="inlineStr">
        <is>
          <t>HC-100351</t>
        </is>
      </c>
      <c r="B353" s="13" t="inlineStr">
        <is>
          <t>28.06.2024</t>
        </is>
      </c>
      <c r="C353" s="13" t="inlineStr">
        <is>
          <t>South</t>
        </is>
      </c>
      <c r="D353" s="13" t="inlineStr">
        <is>
          <t>retail</t>
        </is>
      </c>
      <c r="E353" s="13" t="inlineStr">
        <is>
          <t>Textiles</t>
        </is>
      </c>
      <c r="F353" s="13" t="inlineStr">
        <is>
          <t>Linen Curtain</t>
        </is>
      </c>
      <c r="G353" s="13" t="inlineStr">
        <is>
          <t>corporate</t>
        </is>
      </c>
      <c r="H353" s="13" t="inlineStr">
        <is>
          <t>4</t>
        </is>
      </c>
      <c r="I353" s="14" t="inlineStr">
        <is>
          <t>98.51</t>
        </is>
      </c>
      <c r="J353" s="15" t="inlineStr">
        <is>
          <t>0.06</t>
        </is>
      </c>
      <c r="K353" s="14" t="inlineStr">
        <is>
          <t>44.33</t>
        </is>
      </c>
      <c r="L353" s="13" t="inlineStr">
        <is>
          <t>10</t>
        </is>
      </c>
      <c r="M353" s="13" t="inlineStr">
        <is>
          <t>Completed</t>
        </is>
      </c>
      <c r="N353" s="13" t="inlineStr">
        <is>
          <t>S. Nguyen</t>
        </is>
      </c>
    </row>
    <row r="354">
      <c r="A354" s="13" t="inlineStr">
        <is>
          <t>HC-100352</t>
        </is>
      </c>
      <c r="B354" s="13" t="inlineStr">
        <is>
          <t>06/11/2025</t>
        </is>
      </c>
      <c r="C354" s="13" t="inlineStr">
        <is>
          <t>South</t>
        </is>
      </c>
      <c r="D354" s="13" t="inlineStr">
        <is>
          <t>Store</t>
        </is>
      </c>
      <c r="E354" s="13" t="inlineStr">
        <is>
          <t>Textiles</t>
        </is>
      </c>
      <c r="F354" s="13" t="inlineStr">
        <is>
          <t>Cotton Duvet</t>
        </is>
      </c>
      <c r="G354" s="13" t="inlineStr">
        <is>
          <t>Home Office</t>
        </is>
      </c>
      <c r="H354" s="13" t="inlineStr">
        <is>
          <t>One</t>
        </is>
      </c>
      <c r="I354" s="14" t="inlineStr">
        <is>
          <t>$118.55</t>
        </is>
      </c>
      <c r="J354" s="15" t="inlineStr">
        <is>
          <t>0.03</t>
        </is>
      </c>
      <c r="K354" s="14" t="inlineStr">
        <is>
          <t>52.16</t>
        </is>
      </c>
      <c r="L354" s="13" t="inlineStr">
        <is>
          <t>6</t>
        </is>
      </c>
      <c r="M354" s="13" t="inlineStr">
        <is>
          <t>Returned</t>
        </is>
      </c>
      <c r="N354" s="13" t="inlineStr">
        <is>
          <t>R. Ibarra</t>
        </is>
      </c>
    </row>
    <row r="355">
      <c r="A355" s="13" t="inlineStr">
        <is>
          <t>HC-100353</t>
        </is>
      </c>
      <c r="B355" s="13" t="inlineStr">
        <is>
          <t>01-Mar-24</t>
        </is>
      </c>
      <c r="C355" s="13" t="inlineStr">
        <is>
          <t>West</t>
        </is>
      </c>
      <c r="D355" s="13" t="inlineStr">
        <is>
          <t>Store</t>
        </is>
      </c>
      <c r="E355" s="13" t="inlineStr">
        <is>
          <t>Lighting</t>
        </is>
      </c>
      <c r="F355" s="13" t="inlineStr">
        <is>
          <t>Brass Sconce</t>
        </is>
      </c>
      <c r="G355" s="13" t="inlineStr">
        <is>
          <t>Consumer</t>
        </is>
      </c>
      <c r="H355" s="13" t="inlineStr">
        <is>
          <t>3</t>
        </is>
      </c>
      <c r="I355" s="14" t="inlineStr">
        <is>
          <t>140.03</t>
        </is>
      </c>
      <c r="J355" s="15" t="inlineStr">
        <is>
          <t>0.00</t>
        </is>
      </c>
      <c r="K355" s="14" t="inlineStr">
        <is>
          <t>64.42</t>
        </is>
      </c>
      <c r="L355" s="13" t="inlineStr">
        <is>
          <t>5</t>
        </is>
      </c>
      <c r="M355" s="13" t="inlineStr">
        <is>
          <t>Completed</t>
        </is>
      </c>
      <c r="N355" s="13" t="inlineStr">
        <is>
          <t>P. Rossi</t>
        </is>
      </c>
    </row>
    <row r="356">
      <c r="A356" s="13" t="inlineStr">
        <is>
          <t>HC-100354</t>
        </is>
      </c>
      <c r="B356" s="13" t="inlineStr">
        <is>
          <t>2025/04/24</t>
        </is>
      </c>
      <c r="C356" s="13" t="inlineStr">
        <is>
          <t>WEST</t>
        </is>
      </c>
      <c r="D356" s="13" t="inlineStr">
        <is>
          <t>Online</t>
        </is>
      </c>
      <c r="E356" s="13" t="inlineStr">
        <is>
          <t>Lighting</t>
        </is>
      </c>
      <c r="F356" s="13" t="inlineStr">
        <is>
          <t>Pendant Light</t>
        </is>
      </c>
      <c r="G356" s="13" t="inlineStr">
        <is>
          <t>Consumer</t>
        </is>
      </c>
      <c r="H356" s="13" t="inlineStr">
        <is>
          <t>2</t>
        </is>
      </c>
      <c r="I356" s="14" t="inlineStr">
        <is>
          <t>175.73</t>
        </is>
      </c>
      <c r="J356" s="15" t="inlineStr">
        <is>
          <t>3%</t>
        </is>
      </c>
      <c r="K356" s="14" t="inlineStr">
        <is>
          <t>87.87</t>
        </is>
      </c>
      <c r="L356" s="13" t="inlineStr">
        <is>
          <t>5</t>
        </is>
      </c>
      <c r="M356" s="13" t="inlineStr">
        <is>
          <t>Completed</t>
        </is>
      </c>
      <c r="N356" s="13" t="inlineStr">
        <is>
          <t>A. Shah</t>
        </is>
      </c>
    </row>
    <row r="357">
      <c r="A357" s="13" t="inlineStr">
        <is>
          <t>HC-100355</t>
        </is>
      </c>
      <c r="B357" s="13" t="inlineStr">
        <is>
          <t>24.11.2024</t>
        </is>
      </c>
      <c r="C357" s="13" t="inlineStr">
        <is>
          <t>WEST</t>
        </is>
      </c>
      <c r="D357" s="13" t="inlineStr">
        <is>
          <t>In-Store</t>
        </is>
      </c>
      <c r="E357" s="13" t="inlineStr">
        <is>
          <t>Furniture</t>
        </is>
      </c>
      <c r="F357" s="13" t="inlineStr">
        <is>
          <t>Linen Sofa</t>
        </is>
      </c>
      <c r="G357" s="13" t="inlineStr">
        <is>
          <t>Consumer</t>
        </is>
      </c>
      <c r="H357" s="13" t="inlineStr">
        <is>
          <t>5</t>
        </is>
      </c>
      <c r="I357" s="14" t="inlineStr">
        <is>
          <t>1279.68</t>
        </is>
      </c>
      <c r="J357" s="15" t="inlineStr">
        <is>
          <t>0.05</t>
        </is>
      </c>
      <c r="K357" s="14" t="inlineStr">
        <is>
          <t>844.59</t>
        </is>
      </c>
      <c r="L357" s="13" t="inlineStr">
        <is>
          <t>7</t>
        </is>
      </c>
      <c r="M357" s="13" t="inlineStr">
        <is>
          <t>Cancelled</t>
        </is>
      </c>
      <c r="N357" s="13" t="inlineStr">
        <is>
          <t>R. Ibarra</t>
        </is>
      </c>
    </row>
    <row r="358">
      <c r="A358" s="13" t="inlineStr">
        <is>
          <t>HC-100356</t>
        </is>
      </c>
      <c r="B358" s="13" t="inlineStr">
        <is>
          <t>06/01/2025</t>
        </is>
      </c>
      <c r="C358" s="13" t="inlineStr">
        <is>
          <t>West</t>
        </is>
      </c>
      <c r="D358" s="13" t="inlineStr">
        <is>
          <t>Wholesale</t>
        </is>
      </c>
      <c r="E358" s="13" t="inlineStr">
        <is>
          <t>Furniture</t>
        </is>
      </c>
      <c r="F358" s="13" t="inlineStr">
        <is>
          <t>Oak Desk</t>
        </is>
      </c>
      <c r="G358" s="13" t="inlineStr">
        <is>
          <t>Corporate</t>
        </is>
      </c>
      <c r="H358" s="13" t="inlineStr">
        <is>
          <t>eleven</t>
        </is>
      </c>
      <c r="I358" s="14" t="inlineStr">
        <is>
          <t>812.55</t>
        </is>
      </c>
      <c r="J358" s="15" t="inlineStr">
        <is>
          <t>21%</t>
        </is>
      </c>
      <c r="K358" s="14" t="inlineStr">
        <is>
          <t>503.78</t>
        </is>
      </c>
      <c r="L358" s="13" t="inlineStr">
        <is>
          <t>N/A</t>
        </is>
      </c>
      <c r="M358" s="13" t="inlineStr">
        <is>
          <t>Completed</t>
        </is>
      </c>
      <c r="N358" s="13" t="inlineStr">
        <is>
          <t>M. Okonkwo</t>
        </is>
      </c>
    </row>
    <row r="359">
      <c r="A359" s="13" t="inlineStr">
        <is>
          <t>HC-100357</t>
        </is>
      </c>
      <c r="B359" s="13" t="inlineStr">
        <is>
          <t>29-Jul-24</t>
        </is>
      </c>
      <c r="C359" s="13" t="inlineStr">
        <is>
          <t>West</t>
        </is>
      </c>
      <c r="D359" s="13" t="inlineStr">
        <is>
          <t>Store</t>
        </is>
      </c>
      <c r="E359" s="13" t="inlineStr">
        <is>
          <t>Kitchen</t>
        </is>
      </c>
      <c r="F359" s="13" t="inlineStr">
        <is>
          <t>Chef Knife</t>
        </is>
      </c>
      <c r="G359" s="13" t="inlineStr">
        <is>
          <t>Consumer</t>
        </is>
      </c>
      <c r="H359" s="13" t="inlineStr">
        <is>
          <t>3</t>
        </is>
      </c>
      <c r="I359" s="14" t="inlineStr">
        <is>
          <t>60.37</t>
        </is>
      </c>
      <c r="J359" s="15" t="inlineStr">
        <is>
          <t>0.05</t>
        </is>
      </c>
      <c r="K359" s="14" t="inlineStr">
        <is>
          <t>21.73</t>
        </is>
      </c>
      <c r="L359" s="13" t="inlineStr">
        <is>
          <t>3</t>
        </is>
      </c>
      <c r="M359" s="13" t="inlineStr">
        <is>
          <t>Cancelled</t>
        </is>
      </c>
      <c r="N359" s="13" t="inlineStr">
        <is>
          <t>A. Shah</t>
        </is>
      </c>
    </row>
    <row r="360">
      <c r="A360" s="13" t="inlineStr">
        <is>
          <t>HC-100358</t>
        </is>
      </c>
      <c r="B360" s="13" t="inlineStr">
        <is>
          <t>2025/09/12</t>
        </is>
      </c>
      <c r="C360" s="13" t="inlineStr">
        <is>
          <t>South</t>
        </is>
      </c>
      <c r="D360" s="13" t="inlineStr">
        <is>
          <t>Online</t>
        </is>
      </c>
      <c r="E360" s="13" t="inlineStr">
        <is>
          <t>Kitchen</t>
        </is>
      </c>
      <c r="F360" s="13" t="inlineStr">
        <is>
          <t>Ceramic Set</t>
        </is>
      </c>
      <c r="G360" s="13" t="inlineStr">
        <is>
          <t>Corporate</t>
        </is>
      </c>
      <c r="H360" s="13" t="inlineStr">
        <is>
          <t>3</t>
        </is>
      </c>
      <c r="I360" s="14" t="inlineStr">
        <is>
          <t>80.02</t>
        </is>
      </c>
      <c r="J360" s="15" t="inlineStr">
        <is>
          <t>0.14</t>
        </is>
      </c>
      <c r="K360" s="14" t="inlineStr">
        <is>
          <t>30.41</t>
        </is>
      </c>
      <c r="L360" s="13" t="inlineStr">
        <is>
          <t>6</t>
        </is>
      </c>
      <c r="M360" s="13" t="inlineStr">
        <is>
          <t>Completed</t>
        </is>
      </c>
      <c r="N360" s="13" t="inlineStr">
        <is>
          <t>A. Shah</t>
        </is>
      </c>
    </row>
    <row r="361">
      <c r="A361" s="13" t="inlineStr">
        <is>
          <t>HC-100359</t>
        </is>
      </c>
      <c r="B361" s="13" t="inlineStr">
        <is>
          <t>24.03.2024</t>
        </is>
      </c>
      <c r="C361" s="13" t="inlineStr">
        <is>
          <t>North</t>
        </is>
      </c>
      <c r="D361" s="13" t="inlineStr">
        <is>
          <t>In-Store</t>
        </is>
      </c>
      <c r="E361" s="13" t="inlineStr">
        <is>
          <t>Furniture</t>
        </is>
      </c>
      <c r="F361" s="13" t="inlineStr">
        <is>
          <t>Oak Desk</t>
        </is>
      </c>
      <c r="G361" s="13" t="inlineStr">
        <is>
          <t>Corporate</t>
        </is>
      </c>
      <c r="H361" s="13" t="inlineStr">
        <is>
          <t>4</t>
        </is>
      </c>
      <c r="I361" s="14" t="inlineStr">
        <is>
          <t>$779.38</t>
        </is>
      </c>
      <c r="J361" s="15" t="inlineStr">
        <is>
          <t>0.11</t>
        </is>
      </c>
      <c r="K361" s="14" t="inlineStr">
        <is>
          <t>483.21</t>
        </is>
      </c>
      <c r="L361" s="13" t="inlineStr">
        <is>
          <t>5</t>
        </is>
      </c>
      <c r="M361" s="13" t="inlineStr">
        <is>
          <t>Compleated</t>
        </is>
      </c>
      <c r="N361" s="13" t="inlineStr">
        <is>
          <t>J. Patel</t>
        </is>
      </c>
    </row>
    <row r="362">
      <c r="A362" s="13" t="inlineStr">
        <is>
          <t>HC-100360</t>
        </is>
      </c>
      <c r="B362" s="13" t="inlineStr">
        <is>
          <t>03/16/2025</t>
        </is>
      </c>
      <c r="C362" s="13" t="inlineStr">
        <is>
          <t>North</t>
        </is>
      </c>
      <c r="D362" s="13" t="inlineStr">
        <is>
          <t>Store</t>
        </is>
      </c>
      <c r="E362" s="13" t="inlineStr">
        <is>
          <t>Lighting</t>
        </is>
      </c>
      <c r="F362" s="13" t="inlineStr">
        <is>
          <t>Brass Sconce</t>
        </is>
      </c>
      <c r="G362" s="13" t="inlineStr">
        <is>
          <t>Consumer</t>
        </is>
      </c>
      <c r="H362" s="13" t="inlineStr">
        <is>
          <t>2</t>
        </is>
      </c>
      <c r="I362" s="14" t="inlineStr">
        <is>
          <t>147.16</t>
        </is>
      </c>
      <c r="J362" s="15" t="inlineStr">
        <is>
          <t>0.08</t>
        </is>
      </c>
      <c r="K362" s="14" t="inlineStr">
        <is>
          <t>67.70</t>
        </is>
      </c>
      <c r="L362" s="13" t="inlineStr">
        <is>
          <t>6</t>
        </is>
      </c>
      <c r="M362" s="13" t="inlineStr">
        <is>
          <t>Completed</t>
        </is>
      </c>
      <c r="N362" s="13" t="inlineStr">
        <is>
          <t>R. Ibarra</t>
        </is>
      </c>
    </row>
    <row r="363">
      <c r="A363" s="13" t="inlineStr">
        <is>
          <t>HC-100361</t>
        </is>
      </c>
      <c r="B363" s="13" t="inlineStr">
        <is>
          <t>07-Nov-24</t>
        </is>
      </c>
      <c r="C363" s="13" t="inlineStr">
        <is>
          <t>WEST</t>
        </is>
      </c>
      <c r="D363" s="13" t="inlineStr">
        <is>
          <t>Store</t>
        </is>
      </c>
      <c r="E363" s="13" t="inlineStr">
        <is>
          <t>Textiles</t>
        </is>
      </c>
      <c r="F363" s="13" t="inlineStr">
        <is>
          <t>Cotton Duvet</t>
        </is>
      </c>
      <c r="G363" s="13" t="inlineStr">
        <is>
          <t>Consumer</t>
        </is>
      </c>
      <c r="H363" s="13" t="inlineStr">
        <is>
          <t>4</t>
        </is>
      </c>
      <c r="I363" s="14" t="inlineStr">
        <is>
          <t>113.74</t>
        </is>
      </c>
      <c r="J363" s="15" t="inlineStr">
        <is>
          <t>0.12</t>
        </is>
      </c>
      <c r="K363" s="14" t="inlineStr">
        <is>
          <t>50.04</t>
        </is>
      </c>
      <c r="L363" s="13" t="inlineStr">
        <is>
          <t>N/A</t>
        </is>
      </c>
      <c r="M363" s="13" t="inlineStr">
        <is>
          <t>Returned</t>
        </is>
      </c>
      <c r="N363" s="13" t="inlineStr">
        <is>
          <t>A. Shah</t>
        </is>
      </c>
    </row>
    <row r="364">
      <c r="A364" s="13" t="inlineStr">
        <is>
          <t>HC-100362</t>
        </is>
      </c>
      <c r="B364" s="13" t="inlineStr">
        <is>
          <t>2024/11/11</t>
        </is>
      </c>
      <c r="C364" s="13" t="inlineStr">
        <is>
          <t>South</t>
        </is>
      </c>
      <c r="D364" s="13" t="inlineStr">
        <is>
          <t>Store</t>
        </is>
      </c>
      <c r="E364" s="13" t="inlineStr">
        <is>
          <t>Furniture</t>
        </is>
      </c>
      <c r="F364" s="13" t="inlineStr">
        <is>
          <t>Walnut Shelf</t>
        </is>
      </c>
      <c r="G364" s="13" t="inlineStr">
        <is>
          <t>Consumer</t>
        </is>
      </c>
      <c r="H364" s="13" t="inlineStr">
        <is>
          <t>2</t>
        </is>
      </c>
      <c r="I364" s="14" t="inlineStr">
        <is>
          <t>210.31</t>
        </is>
      </c>
      <c r="J364" s="15" t="inlineStr">
        <is>
          <t>0.05</t>
        </is>
      </c>
      <c r="K364" s="14" t="inlineStr">
        <is>
          <t>115.67</t>
        </is>
      </c>
      <c r="L364" s="13" t="inlineStr">
        <is>
          <t>4</t>
        </is>
      </c>
      <c r="M364" s="13" t="inlineStr">
        <is>
          <t>Compleated</t>
        </is>
      </c>
      <c r="N364" s="13" t="inlineStr">
        <is>
          <t>R. Ibarra</t>
        </is>
      </c>
    </row>
    <row r="365">
      <c r="A365" s="13" t="inlineStr">
        <is>
          <t>HC-100363</t>
        </is>
      </c>
      <c r="B365" s="13" t="inlineStr">
        <is>
          <t>11.09.2024</t>
        </is>
      </c>
      <c r="C365" s="13" t="inlineStr">
        <is>
          <t>South</t>
        </is>
      </c>
      <c r="D365" s="13" t="inlineStr">
        <is>
          <t>web</t>
        </is>
      </c>
      <c r="E365" s="13" t="inlineStr">
        <is>
          <t>Lighting</t>
        </is>
      </c>
      <c r="F365" s="13" t="inlineStr">
        <is>
          <t>Pendant Light</t>
        </is>
      </c>
      <c r="G365" s="13" t="inlineStr">
        <is>
          <t>Corporate</t>
        </is>
      </c>
      <c r="H365" s="13" t="inlineStr">
        <is>
          <t>1</t>
        </is>
      </c>
      <c r="I365" s="14" t="inlineStr">
        <is>
          <t>166.90</t>
        </is>
      </c>
      <c r="J365" s="15" t="inlineStr">
        <is>
          <t>0.06</t>
        </is>
      </c>
      <c r="K365" s="14" t="inlineStr">
        <is>
          <t>83.45</t>
        </is>
      </c>
      <c r="L365" s="13" t="inlineStr">
        <is>
          <t>9</t>
        </is>
      </c>
      <c r="M365" s="13" t="inlineStr">
        <is>
          <t>COMPLETED</t>
        </is>
      </c>
      <c r="N365" s="13" t="inlineStr">
        <is>
          <t>M. Okonkwo</t>
        </is>
      </c>
    </row>
    <row r="366">
      <c r="A366" s="13" t="inlineStr">
        <is>
          <t>HC-100364</t>
        </is>
      </c>
      <c r="B366" s="13" t="inlineStr">
        <is>
          <t>02/24/2025</t>
        </is>
      </c>
      <c r="C366" s="13" t="inlineStr">
        <is>
          <t>South</t>
        </is>
      </c>
      <c r="D366" s="13" t="inlineStr">
        <is>
          <t>Store</t>
        </is>
      </c>
      <c r="E366" s="13" t="inlineStr">
        <is>
          <t>Kitchen</t>
        </is>
      </c>
      <c r="F366" s="13" t="inlineStr">
        <is>
          <t>Chef Knife</t>
        </is>
      </c>
      <c r="G366" s="13" t="inlineStr">
        <is>
          <t>Consumer</t>
        </is>
      </c>
      <c r="H366" s="13" t="inlineStr">
        <is>
          <t>3</t>
        </is>
      </c>
      <c r="I366" s="14" t="inlineStr">
        <is>
          <t>63.39</t>
        </is>
      </c>
      <c r="J366" s="15" t="inlineStr">
        <is>
          <t>0.09</t>
        </is>
      </c>
      <c r="K366" s="14" t="inlineStr">
        <is>
          <t>22.82</t>
        </is>
      </c>
      <c r="L366" s="13" t="inlineStr">
        <is>
          <t>7</t>
        </is>
      </c>
      <c r="M366" s="13" t="inlineStr">
        <is>
          <t>Completed</t>
        </is>
      </c>
      <c r="N366" s="13" t="inlineStr">
        <is>
          <t>R. Ibarra</t>
        </is>
      </c>
    </row>
    <row r="367">
      <c r="A367" s="13" t="inlineStr">
        <is>
          <t>HC-100365</t>
        </is>
      </c>
      <c r="B367" s="13" t="inlineStr">
        <is>
          <t>07-Jul-24</t>
        </is>
      </c>
      <c r="C367" s="13" t="inlineStr">
        <is>
          <t>WEST</t>
        </is>
      </c>
      <c r="D367" s="13" t="inlineStr">
        <is>
          <t>Store</t>
        </is>
      </c>
      <c r="E367" s="13" t="inlineStr">
        <is>
          <t>KITCHEN</t>
        </is>
      </c>
      <c r="F367" s="13" t="inlineStr">
        <is>
          <t>Cast Skillet</t>
        </is>
      </c>
      <c r="G367" s="13" t="inlineStr">
        <is>
          <t>Home Office</t>
        </is>
      </c>
      <c r="H367" s="13" t="inlineStr">
        <is>
          <t>3</t>
        </is>
      </c>
      <c r="I367" s="14" t="inlineStr">
        <is>
          <t>52.69</t>
        </is>
      </c>
      <c r="J367" s="15" t="inlineStr">
        <is>
          <t>0%</t>
        </is>
      </c>
      <c r="K367" s="14" t="inlineStr">
        <is>
          <t>21.07</t>
        </is>
      </c>
      <c r="L367" s="13" t="inlineStr">
        <is>
          <t>4</t>
        </is>
      </c>
      <c r="M367" s="13" t="inlineStr">
        <is>
          <t>complete</t>
        </is>
      </c>
      <c r="N367" s="13" t="inlineStr">
        <is>
          <t>A. Shah</t>
        </is>
      </c>
    </row>
    <row r="368">
      <c r="A368" s="13" t="inlineStr">
        <is>
          <t>HC-100366</t>
        </is>
      </c>
      <c r="B368" s="13" t="inlineStr">
        <is>
          <t>2025/08/10</t>
        </is>
      </c>
      <c r="C368" s="13" t="inlineStr">
        <is>
          <t>South</t>
        </is>
      </c>
      <c r="D368" s="13" t="inlineStr">
        <is>
          <t>Store</t>
        </is>
      </c>
      <c r="E368" s="13" t="inlineStr">
        <is>
          <t>Kitchen</t>
        </is>
      </c>
      <c r="F368" s="13" t="inlineStr">
        <is>
          <t>Cast Skillet</t>
        </is>
      </c>
      <c r="G368" s="13" t="inlineStr">
        <is>
          <t>Consumer</t>
        </is>
      </c>
      <c r="H368" s="13" t="inlineStr">
        <is>
          <t>3</t>
        </is>
      </c>
      <c r="I368" s="14" t="inlineStr">
        <is>
          <t>56.28</t>
        </is>
      </c>
      <c r="J368" s="15" t="inlineStr">
        <is>
          <t>0.08</t>
        </is>
      </c>
      <c r="K368" s="14" t="inlineStr">
        <is>
          <t>22.51</t>
        </is>
      </c>
      <c r="L368" s="13" t="inlineStr">
        <is>
          <t>5</t>
        </is>
      </c>
      <c r="M368" s="13" t="inlineStr">
        <is>
          <t>Completed</t>
        </is>
      </c>
      <c r="N368" s="13" t="inlineStr">
        <is>
          <t>M. Okonkwo</t>
        </is>
      </c>
    </row>
    <row r="369">
      <c r="A369" s="13" t="inlineStr">
        <is>
          <t>HC-100367</t>
        </is>
      </c>
      <c r="B369" s="13" t="inlineStr">
        <is>
          <t>05.01.2025</t>
        </is>
      </c>
      <c r="C369" s="13" t="inlineStr">
        <is>
          <t>North</t>
        </is>
      </c>
      <c r="D369" s="13" t="inlineStr">
        <is>
          <t>Wholesale</t>
        </is>
      </c>
      <c r="E369" s="13" t="inlineStr">
        <is>
          <t>Lighting</t>
        </is>
      </c>
      <c r="F369" s="13" t="inlineStr">
        <is>
          <t>Brass Sconce</t>
        </is>
      </c>
      <c r="G369" s="13" t="inlineStr">
        <is>
          <t>consumer</t>
        </is>
      </c>
      <c r="H369" s="13" t="inlineStr">
        <is>
          <t>10</t>
        </is>
      </c>
      <c r="I369" s="14" t="inlineStr">
        <is>
          <t>146.81</t>
        </is>
      </c>
      <c r="J369" s="15" t="inlineStr">
        <is>
          <t>0.16</t>
        </is>
      </c>
      <c r="K369" s="14" t="inlineStr">
        <is>
          <t>67.53</t>
        </is>
      </c>
      <c r="L369" s="13" t="inlineStr">
        <is>
          <t>4</t>
        </is>
      </c>
      <c r="M369" s="13" t="inlineStr">
        <is>
          <t>Completed</t>
        </is>
      </c>
      <c r="N369" s="13" t="inlineStr">
        <is>
          <t>L. Berger</t>
        </is>
      </c>
    </row>
    <row r="370">
      <c r="A370" s="13" t="inlineStr">
        <is>
          <t>HC-100368</t>
        </is>
      </c>
      <c r="B370" s="13" t="inlineStr">
        <is>
          <t>08/01/2024</t>
        </is>
      </c>
      <c r="C370" s="13" t="inlineStr">
        <is>
          <t>East</t>
        </is>
      </c>
      <c r="D370" s="13" t="inlineStr">
        <is>
          <t>Wholesale</t>
        </is>
      </c>
      <c r="E370" s="13" t="inlineStr">
        <is>
          <t>Lighting</t>
        </is>
      </c>
      <c r="F370" s="13" t="inlineStr">
        <is>
          <t>Pendant Light</t>
        </is>
      </c>
      <c r="G370" s="13" t="inlineStr">
        <is>
          <t>Consumer</t>
        </is>
      </c>
      <c r="H370" s="13" t="inlineStr">
        <is>
          <t>27</t>
        </is>
      </c>
      <c r="I370" s="14" t="inlineStr">
        <is>
          <t>157.27</t>
        </is>
      </c>
      <c r="J370" s="15" t="inlineStr">
        <is>
          <t>0.24</t>
        </is>
      </c>
      <c r="K370" s="14" t="inlineStr">
        <is>
          <t>78.64</t>
        </is>
      </c>
      <c r="L370" s="13" t="inlineStr">
        <is>
          <t>12</t>
        </is>
      </c>
      <c r="M370" s="13" t="inlineStr">
        <is>
          <t>COMPLETED</t>
        </is>
      </c>
      <c r="N370" s="13" t="inlineStr">
        <is>
          <t>P. Rossi</t>
        </is>
      </c>
    </row>
    <row r="371">
      <c r="A371" s="13" t="inlineStr">
        <is>
          <t>HC-100369</t>
        </is>
      </c>
      <c r="B371" s="13" t="inlineStr">
        <is>
          <t>08-Jul-24</t>
        </is>
      </c>
      <c r="C371" s="13" t="inlineStr">
        <is>
          <t>west</t>
        </is>
      </c>
      <c r="D371" s="13" t="inlineStr">
        <is>
          <t>Store</t>
        </is>
      </c>
      <c r="E371" s="13" t="inlineStr">
        <is>
          <t>Kitchen</t>
        </is>
      </c>
      <c r="F371" s="13" t="inlineStr">
        <is>
          <t>Cast Skillet</t>
        </is>
      </c>
      <c r="G371" s="13" t="inlineStr">
        <is>
          <t>Consumer</t>
        </is>
      </c>
      <c r="H371" s="13" t="inlineStr">
        <is>
          <t>2</t>
        </is>
      </c>
      <c r="I371" s="14" t="inlineStr">
        <is>
          <t>54.86</t>
        </is>
      </c>
      <c r="J371" s="15" t="inlineStr">
        <is>
          <t>0.01</t>
        </is>
      </c>
      <c r="K371" s="14" t="inlineStr">
        <is>
          <t>21.95</t>
        </is>
      </c>
      <c r="L371" s="13" t="inlineStr">
        <is>
          <t>5</t>
        </is>
      </c>
      <c r="M371" s="13" t="inlineStr">
        <is>
          <t>Completed</t>
        </is>
      </c>
      <c r="N371" s="13" t="inlineStr">
        <is>
          <t>L. Berger</t>
        </is>
      </c>
    </row>
    <row r="372">
      <c r="A372" s="13" t="inlineStr">
        <is>
          <t>HC-100370</t>
        </is>
      </c>
      <c r="B372" s="13" t="inlineStr">
        <is>
          <t>2025/06/07</t>
        </is>
      </c>
      <c r="C372" s="13" t="inlineStr">
        <is>
          <t>West</t>
        </is>
      </c>
      <c r="D372" s="13" t="inlineStr">
        <is>
          <t>web</t>
        </is>
      </c>
      <c r="E372" s="13" t="inlineStr">
        <is>
          <t>Furniture</t>
        </is>
      </c>
      <c r="F372" s="13" t="inlineStr">
        <is>
          <t>Walnut Shelf</t>
        </is>
      </c>
      <c r="G372" s="13" t="inlineStr">
        <is>
          <t>Consumer</t>
        </is>
      </c>
      <c r="H372" s="13" t="inlineStr">
        <is>
          <t>1</t>
        </is>
      </c>
      <c r="I372" s="14" t="inlineStr">
        <is>
          <t>228.67</t>
        </is>
      </c>
      <c r="J372" s="15" t="inlineStr">
        <is>
          <t>0.10</t>
        </is>
      </c>
      <c r="K372" s="14" t="inlineStr">
        <is>
          <t>125.77</t>
        </is>
      </c>
      <c r="L372" s="13" t="inlineStr">
        <is>
          <t>5</t>
        </is>
      </c>
      <c r="M372" s="13" t="inlineStr">
        <is>
          <t>COMPLETED</t>
        </is>
      </c>
      <c r="N372" s="13" t="inlineStr">
        <is>
          <t>K. Mensah</t>
        </is>
      </c>
    </row>
    <row r="373">
      <c r="A373" s="13" t="inlineStr">
        <is>
          <t>HC-100371</t>
        </is>
      </c>
      <c r="B373" s="13" t="inlineStr">
        <is>
          <t>09.07.2024</t>
        </is>
      </c>
      <c r="C373" s="13" t="inlineStr">
        <is>
          <t>North</t>
        </is>
      </c>
      <c r="D373" s="13" t="inlineStr">
        <is>
          <t>retail</t>
        </is>
      </c>
      <c r="E373" s="13" t="inlineStr">
        <is>
          <t>Textiles</t>
        </is>
      </c>
      <c r="F373" s="13" t="inlineStr">
        <is>
          <t>Wool Throw</t>
        </is>
      </c>
      <c r="G373" s="13" t="inlineStr">
        <is>
          <t>Corporate</t>
        </is>
      </c>
      <c r="H373" s="13" t="inlineStr">
        <is>
          <t>1</t>
        </is>
      </c>
      <c r="I373" s="14" t="inlineStr">
        <is>
          <t>72.58</t>
        </is>
      </c>
      <c r="J373" s="15" t="inlineStr">
        <is>
          <t>0.04</t>
        </is>
      </c>
      <c r="K373" s="14" t="inlineStr">
        <is>
          <t>30.48</t>
        </is>
      </c>
      <c r="L373" s="13" t="inlineStr">
        <is>
          <t>5</t>
        </is>
      </c>
      <c r="M373" s="13" t="inlineStr">
        <is>
          <t>COMPLETED</t>
        </is>
      </c>
      <c r="N373" s="13" t="inlineStr">
        <is>
          <t>A. Shah</t>
        </is>
      </c>
    </row>
    <row r="374">
      <c r="A374" s="13" t="inlineStr">
        <is>
          <t>HC-100372</t>
        </is>
      </c>
      <c r="B374" s="13" t="inlineStr">
        <is>
          <t>08/12/2025</t>
        </is>
      </c>
      <c r="C374" s="13" t="inlineStr">
        <is>
          <t>East</t>
        </is>
      </c>
      <c r="D374" s="13" t="inlineStr">
        <is>
          <t>Wholesale</t>
        </is>
      </c>
      <c r="E374" s="13" t="inlineStr">
        <is>
          <t>Furniture</t>
        </is>
      </c>
      <c r="F374" s="13" t="inlineStr">
        <is>
          <t>Linen Sofa</t>
        </is>
      </c>
      <c r="G374" s="13" t="inlineStr">
        <is>
          <t>consumer</t>
        </is>
      </c>
      <c r="H374" s="13" t="inlineStr">
        <is>
          <t>25</t>
        </is>
      </c>
      <c r="I374" s="14" t="inlineStr">
        <is>
          <t>1126.62</t>
        </is>
      </c>
      <c r="J374" s="15" t="inlineStr">
        <is>
          <t>0.29</t>
        </is>
      </c>
      <c r="K374" s="14" t="inlineStr">
        <is>
          <t>743.57</t>
        </is>
      </c>
      <c r="L374" s="13" t="inlineStr">
        <is>
          <t>6</t>
        </is>
      </c>
      <c r="M374" s="13" t="inlineStr">
        <is>
          <t>Completed</t>
        </is>
      </c>
      <c r="N374" s="13" t="inlineStr">
        <is>
          <t>P. Rossi</t>
        </is>
      </c>
    </row>
    <row r="375">
      <c r="A375" s="13" t="inlineStr">
        <is>
          <t>HC-100373</t>
        </is>
      </c>
      <c r="B375" s="13" t="inlineStr">
        <is>
          <t>13-Jun-25</t>
        </is>
      </c>
      <c r="C375" s="13" t="inlineStr">
        <is>
          <t>East</t>
        </is>
      </c>
      <c r="D375" s="13" t="inlineStr">
        <is>
          <t>Online</t>
        </is>
      </c>
      <c r="E375" s="13" t="inlineStr">
        <is>
          <t>Furniture</t>
        </is>
      </c>
      <c r="F375" s="13" t="inlineStr">
        <is>
          <t>Linen Sofa</t>
        </is>
      </c>
      <c r="G375" s="13" t="inlineStr">
        <is>
          <t>Consumer</t>
        </is>
      </c>
      <c r="H375" s="13" t="inlineStr">
        <is>
          <t>1</t>
        </is>
      </c>
      <c r="I375" s="14" t="inlineStr">
        <is>
          <t>1035.86</t>
        </is>
      </c>
      <c r="J375" s="15" t="inlineStr">
        <is>
          <t>0.09</t>
        </is>
      </c>
      <c r="K375" s="14" t="inlineStr">
        <is>
          <t>683.66</t>
        </is>
      </c>
      <c r="L375" s="13" t="inlineStr">
        <is>
          <t>7</t>
        </is>
      </c>
      <c r="M375" s="13" t="inlineStr">
        <is>
          <t>Completed</t>
        </is>
      </c>
      <c r="N375" s="13" t="inlineStr">
        <is>
          <t>K. Mensah</t>
        </is>
      </c>
    </row>
    <row r="376">
      <c r="A376" s="13" t="inlineStr">
        <is>
          <t>HC-100374</t>
        </is>
      </c>
      <c r="B376" s="13" t="inlineStr">
        <is>
          <t>2024/11/16</t>
        </is>
      </c>
      <c r="C376" s="13" t="inlineStr">
        <is>
          <t>North</t>
        </is>
      </c>
      <c r="D376" s="13" t="inlineStr">
        <is>
          <t>Wholesale</t>
        </is>
      </c>
      <c r="E376" s="13" t="inlineStr">
        <is>
          <t>Lighting</t>
        </is>
      </c>
      <c r="F376" s="13" t="inlineStr">
        <is>
          <t>Pendant Light</t>
        </is>
      </c>
      <c r="G376" s="13" t="inlineStr">
        <is>
          <t>Consumer</t>
        </is>
      </c>
      <c r="H376" s="13" t="inlineStr">
        <is>
          <t>36</t>
        </is>
      </c>
      <c r="I376" s="14" t="inlineStr">
        <is>
          <t>184.47</t>
        </is>
      </c>
      <c r="J376" s="15" t="inlineStr">
        <is>
          <t>0.30</t>
        </is>
      </c>
      <c r="K376" s="14" t="inlineStr">
        <is>
          <t>92.24</t>
        </is>
      </c>
      <c r="L376" s="13" t="inlineStr">
        <is>
          <t>6</t>
        </is>
      </c>
      <c r="M376" s="13" t="inlineStr">
        <is>
          <t>Completed</t>
        </is>
      </c>
      <c r="N376" s="13" t="inlineStr">
        <is>
          <t>L. Berger</t>
        </is>
      </c>
    </row>
    <row r="377">
      <c r="A377" s="13" t="inlineStr">
        <is>
          <t>HC-100375</t>
        </is>
      </c>
      <c r="B377" s="13" t="inlineStr">
        <is>
          <t>16.03.2025</t>
        </is>
      </c>
      <c r="C377" s="13" t="inlineStr">
        <is>
          <t>West</t>
        </is>
      </c>
      <c r="D377" s="13" t="inlineStr">
        <is>
          <t>Online</t>
        </is>
      </c>
      <c r="E377" s="13" t="inlineStr">
        <is>
          <t>Kitchen</t>
        </is>
      </c>
      <c r="F377" s="13" t="inlineStr">
        <is>
          <t>Ceramic Set</t>
        </is>
      </c>
      <c r="G377" s="13" t="inlineStr">
        <is>
          <t>Consumer</t>
        </is>
      </c>
      <c r="H377" s="13" t="inlineStr">
        <is>
          <t>3</t>
        </is>
      </c>
      <c r="I377" s="14" t="inlineStr">
        <is>
          <t>87.88</t>
        </is>
      </c>
      <c r="J377" s="15" t="inlineStr">
        <is>
          <t>0.03</t>
        </is>
      </c>
      <c r="K377" s="14" t="inlineStr">
        <is>
          <t>33.40</t>
        </is>
      </c>
      <c r="L377" s="13" t="inlineStr">
        <is>
          <t>6</t>
        </is>
      </c>
      <c r="M377" s="13" t="inlineStr">
        <is>
          <t>Completed</t>
        </is>
      </c>
      <c r="N377" s="13" t="inlineStr">
        <is>
          <t>A. Shah</t>
        </is>
      </c>
    </row>
    <row r="378">
      <c r="A378" s="13" t="inlineStr">
        <is>
          <t>HC-100376</t>
        </is>
      </c>
      <c r="B378" s="13" t="inlineStr">
        <is>
          <t>05/24/2025</t>
        </is>
      </c>
      <c r="C378" s="13" t="inlineStr">
        <is>
          <t>West</t>
        </is>
      </c>
      <c r="D378" s="13" t="inlineStr">
        <is>
          <t>Wholesale</t>
        </is>
      </c>
      <c r="E378" s="13" t="inlineStr">
        <is>
          <t>Textiles</t>
        </is>
      </c>
      <c r="F378" s="13" t="inlineStr">
        <is>
          <t>Wool Throw</t>
        </is>
      </c>
      <c r="G378" s="13" t="inlineStr">
        <is>
          <t>Consumer</t>
        </is>
      </c>
      <c r="H378" s="13" t="inlineStr">
        <is>
          <t>21</t>
        </is>
      </c>
      <c r="I378" s="14" t="inlineStr">
        <is>
          <t>80.33</t>
        </is>
      </c>
      <c r="J378" s="15" t="inlineStr">
        <is>
          <t>0.23</t>
        </is>
      </c>
      <c r="K378" s="14" t="inlineStr">
        <is>
          <t>33.74</t>
        </is>
      </c>
      <c r="L378" s="13" t="inlineStr">
        <is>
          <t>N/A</t>
        </is>
      </c>
      <c r="M378" s="13" t="inlineStr">
        <is>
          <t>Completed</t>
        </is>
      </c>
      <c r="N378" s="13" t="inlineStr">
        <is>
          <t>K. Mensah</t>
        </is>
      </c>
    </row>
    <row r="379">
      <c r="A379" s="13" t="inlineStr">
        <is>
          <t>HC-100377</t>
        </is>
      </c>
      <c r="B379" s="13" t="inlineStr">
        <is>
          <t>15-Mar-25</t>
        </is>
      </c>
      <c r="C379" s="13" t="inlineStr">
        <is>
          <t>East</t>
        </is>
      </c>
      <c r="D379" s="13" t="inlineStr">
        <is>
          <t>Online</t>
        </is>
      </c>
      <c r="E379" s="13" t="inlineStr">
        <is>
          <t>Kitchen</t>
        </is>
      </c>
      <c r="F379" s="13" t="inlineStr">
        <is>
          <t>Ceramic Set</t>
        </is>
      </c>
      <c r="G379" s="13" t="inlineStr">
        <is>
          <t>Consumer</t>
        </is>
      </c>
      <c r="H379" s="13" t="inlineStr">
        <is>
          <t>2</t>
        </is>
      </c>
      <c r="I379" s="14" t="inlineStr">
        <is>
          <t>80.12</t>
        </is>
      </c>
      <c r="J379" s="15" t="inlineStr">
        <is>
          <t>0.17</t>
        </is>
      </c>
      <c r="K379" s="14" t="inlineStr">
        <is>
          <t>30.45</t>
        </is>
      </c>
      <c r="L379" s="13" t="inlineStr">
        <is>
          <t>11</t>
        </is>
      </c>
      <c r="M379" s="13" t="inlineStr">
        <is>
          <t>Completed</t>
        </is>
      </c>
      <c r="N379" s="13" t="inlineStr">
        <is>
          <t>S. Nguyen</t>
        </is>
      </c>
    </row>
    <row r="380">
      <c r="A380" s="13" t="inlineStr">
        <is>
          <t>HC-100378</t>
        </is>
      </c>
      <c r="B380" s="13" t="inlineStr">
        <is>
          <t>2024/09/08</t>
        </is>
      </c>
      <c r="C380" s="13" t="inlineStr">
        <is>
          <t>West</t>
        </is>
      </c>
      <c r="D380" s="13" t="inlineStr">
        <is>
          <t>Wholesale</t>
        </is>
      </c>
      <c r="E380" s="13" t="inlineStr">
        <is>
          <t>Textiles</t>
        </is>
      </c>
      <c r="F380" s="13" t="inlineStr">
        <is>
          <t>Wool Throw</t>
        </is>
      </c>
      <c r="G380" s="13" t="inlineStr">
        <is>
          <t>Home Office</t>
        </is>
      </c>
      <c r="H380" s="13" t="inlineStr">
        <is>
          <t>24</t>
        </is>
      </c>
      <c r="I380" s="14" t="inlineStr">
        <is>
          <t>75.78</t>
        </is>
      </c>
      <c r="J380" s="15" t="inlineStr">
        <is>
          <t>0.19</t>
        </is>
      </c>
      <c r="K380" s="14" t="inlineStr">
        <is>
          <t>31.83</t>
        </is>
      </c>
      <c r="L380" s="13" t="inlineStr">
        <is>
          <t>6</t>
        </is>
      </c>
      <c r="M380" s="13" t="inlineStr">
        <is>
          <t>Completed</t>
        </is>
      </c>
      <c r="N380" s="13" t="inlineStr">
        <is>
          <t>K. Mensah</t>
        </is>
      </c>
    </row>
    <row r="381">
      <c r="A381" s="13" t="inlineStr">
        <is>
          <t>HC-100379</t>
        </is>
      </c>
      <c r="B381" s="13" t="inlineStr">
        <is>
          <t>08.04.2025</t>
        </is>
      </c>
      <c r="C381" s="13" t="inlineStr">
        <is>
          <t>East</t>
        </is>
      </c>
      <c r="D381" s="13" t="inlineStr">
        <is>
          <t>Online</t>
        </is>
      </c>
      <c r="E381" s="13" t="inlineStr">
        <is>
          <t>Lighting</t>
        </is>
      </c>
      <c r="F381" s="13" t="inlineStr">
        <is>
          <t>Brass Sconce</t>
        </is>
      </c>
      <c r="G381" s="13" t="inlineStr">
        <is>
          <t>Consumer</t>
        </is>
      </c>
      <c r="H381" s="13" t="inlineStr">
        <is>
          <t>2</t>
        </is>
      </c>
      <c r="I381" s="14" t="inlineStr">
        <is>
          <t>130.09</t>
        </is>
      </c>
      <c r="J381" s="15" t="inlineStr">
        <is>
          <t>0.17</t>
        </is>
      </c>
      <c r="K381" s="14" t="inlineStr">
        <is>
          <t>59.84</t>
        </is>
      </c>
      <c r="L381" s="13" t="inlineStr">
        <is>
          <t>6</t>
        </is>
      </c>
      <c r="M381" s="13" t="inlineStr">
        <is>
          <t>Returned</t>
        </is>
      </c>
      <c r="N381" s="13" t="inlineStr">
        <is>
          <t>K. Mensah</t>
        </is>
      </c>
    </row>
    <row r="382">
      <c r="A382" s="13" t="inlineStr">
        <is>
          <t>HC-100380</t>
        </is>
      </c>
      <c r="B382" s="13" t="inlineStr">
        <is>
          <t>10/27/2024</t>
        </is>
      </c>
      <c r="C382" s="13" t="inlineStr">
        <is>
          <t>West</t>
        </is>
      </c>
      <c r="D382" s="13" t="inlineStr">
        <is>
          <t>Store</t>
        </is>
      </c>
      <c r="E382" s="13" t="inlineStr">
        <is>
          <t>Textiles</t>
        </is>
      </c>
      <c r="F382" s="13" t="inlineStr">
        <is>
          <t>Wool Throw</t>
        </is>
      </c>
      <c r="G382" s="13" t="inlineStr">
        <is>
          <t>consumer</t>
        </is>
      </c>
      <c r="H382" s="13" t="inlineStr">
        <is>
          <t>4</t>
        </is>
      </c>
      <c r="I382" s="14" t="inlineStr">
        <is>
          <t>80.82</t>
        </is>
      </c>
      <c r="J382" s="15" t="inlineStr">
        <is>
          <t>0.05</t>
        </is>
      </c>
      <c r="K382" s="14" t="inlineStr">
        <is>
          <t>33.94</t>
        </is>
      </c>
      <c r="L382" s="13" t="inlineStr">
        <is>
          <t>6</t>
        </is>
      </c>
      <c r="M382" s="13" t="inlineStr">
        <is>
          <t>Completed</t>
        </is>
      </c>
      <c r="N382" s="13" t="inlineStr">
        <is>
          <t>M. Okonkwo</t>
        </is>
      </c>
    </row>
    <row r="383">
      <c r="A383" s="13" t="inlineStr">
        <is>
          <t>HC-100381</t>
        </is>
      </c>
      <c r="B383" s="13" t="inlineStr">
        <is>
          <t>08-Nov-24</t>
        </is>
      </c>
      <c r="C383" s="13" t="inlineStr">
        <is>
          <t>South</t>
        </is>
      </c>
      <c r="D383" s="13" t="inlineStr">
        <is>
          <t>In-Store</t>
        </is>
      </c>
      <c r="E383" s="13" t="inlineStr">
        <is>
          <t>Furniture</t>
        </is>
      </c>
      <c r="F383" s="13" t="inlineStr">
        <is>
          <t>Oak Desk</t>
        </is>
      </c>
      <c r="G383" s="13" t="inlineStr">
        <is>
          <t>Consumer</t>
        </is>
      </c>
      <c r="H383" s="13" t="inlineStr">
        <is>
          <t>Five</t>
        </is>
      </c>
      <c r="I383" s="14" t="inlineStr">
        <is>
          <t>888.25</t>
        </is>
      </c>
      <c r="J383" s="15" t="inlineStr">
        <is>
          <t>0.01</t>
        </is>
      </c>
      <c r="K383" s="14" t="inlineStr">
        <is>
          <t>550.71</t>
        </is>
      </c>
      <c r="L383" s="13" t="inlineStr">
        <is>
          <t>4</t>
        </is>
      </c>
      <c r="M383" s="13" t="inlineStr">
        <is>
          <t>Completed</t>
        </is>
      </c>
      <c r="N383" s="13" t="inlineStr">
        <is>
          <t>J. Patel</t>
        </is>
      </c>
    </row>
    <row r="384">
      <c r="A384" s="13" t="inlineStr">
        <is>
          <t>HC-100382</t>
        </is>
      </c>
      <c r="B384" s="13" t="inlineStr">
        <is>
          <t>2024/07/06</t>
        </is>
      </c>
      <c r="C384" s="13" t="inlineStr">
        <is>
          <t>West</t>
        </is>
      </c>
      <c r="D384" s="13" t="inlineStr">
        <is>
          <t>web</t>
        </is>
      </c>
      <c r="E384" s="13" t="inlineStr">
        <is>
          <t>Furniture</t>
        </is>
      </c>
      <c r="F384" s="13" t="inlineStr">
        <is>
          <t>Walnut Shelf</t>
        </is>
      </c>
      <c r="G384" s="13" t="inlineStr">
        <is>
          <t>Consumer</t>
        </is>
      </c>
      <c r="H384" s="13" t="inlineStr">
        <is>
          <t>3</t>
        </is>
      </c>
      <c r="I384" s="14" t="inlineStr">
        <is>
          <t>214.13</t>
        </is>
      </c>
      <c r="J384" s="15" t="inlineStr">
        <is>
          <t>0.11</t>
        </is>
      </c>
      <c r="K384" s="14" t="inlineStr">
        <is>
          <t>117.77</t>
        </is>
      </c>
      <c r="L384" s="13" t="inlineStr">
        <is>
          <t>2</t>
        </is>
      </c>
      <c r="M384" s="13" t="inlineStr">
        <is>
          <t>Completed</t>
        </is>
      </c>
      <c r="N384" s="13" t="inlineStr">
        <is>
          <t>J. Patel</t>
        </is>
      </c>
    </row>
    <row r="385">
      <c r="A385" s="13" t="inlineStr">
        <is>
          <t>HC-100383</t>
        </is>
      </c>
      <c r="B385" s="13" t="inlineStr">
        <is>
          <t>06.05.2025</t>
        </is>
      </c>
      <c r="C385" s="13" t="inlineStr">
        <is>
          <t>North</t>
        </is>
      </c>
      <c r="D385" s="13" t="inlineStr">
        <is>
          <t>Store</t>
        </is>
      </c>
      <c r="E385" s="13" t="inlineStr">
        <is>
          <t>Textiles</t>
        </is>
      </c>
      <c r="F385" s="13" t="inlineStr">
        <is>
          <t>Linen Curtain</t>
        </is>
      </c>
      <c r="G385" s="13" t="inlineStr">
        <is>
          <t>Consumer</t>
        </is>
      </c>
      <c r="H385" s="13" t="inlineStr">
        <is>
          <t>1</t>
        </is>
      </c>
      <c r="I385" s="14" t="inlineStr">
        <is>
          <t>92.32</t>
        </is>
      </c>
      <c r="J385" s="15" t="inlineStr">
        <is>
          <t>0.09</t>
        </is>
      </c>
      <c r="K385" s="14" t="inlineStr">
        <is>
          <t>41.54</t>
        </is>
      </c>
      <c r="L385" s="13" t="inlineStr">
        <is>
          <t>6</t>
        </is>
      </c>
      <c r="M385" s="13" t="inlineStr">
        <is>
          <t>Completed</t>
        </is>
      </c>
      <c r="N385" s="13" t="inlineStr">
        <is>
          <t>A. Shah</t>
        </is>
      </c>
    </row>
    <row r="386">
      <c r="A386" s="13" t="inlineStr">
        <is>
          <t>HC-100384</t>
        </is>
      </c>
      <c r="B386" s="13" t="inlineStr">
        <is>
          <t>07/07/2025</t>
        </is>
      </c>
      <c r="C386" s="13" t="inlineStr">
        <is>
          <t>West</t>
        </is>
      </c>
      <c r="D386" s="13" t="inlineStr">
        <is>
          <t>Wholesale</t>
        </is>
      </c>
      <c r="E386" s="13" t="inlineStr">
        <is>
          <t>Furniture</t>
        </is>
      </c>
      <c r="F386" s="13" t="inlineStr">
        <is>
          <t>Walnut Shelf</t>
        </is>
      </c>
      <c r="G386" s="13" t="inlineStr">
        <is>
          <t>Consumer</t>
        </is>
      </c>
      <c r="H386" s="13" t="inlineStr">
        <is>
          <t>29</t>
        </is>
      </c>
      <c r="I386" s="14" t="inlineStr">
        <is>
          <t>216.18</t>
        </is>
      </c>
      <c r="J386" s="15" t="inlineStr">
        <is>
          <t>0.19</t>
        </is>
      </c>
      <c r="K386" s="14" t="inlineStr">
        <is>
          <t>118.90</t>
        </is>
      </c>
      <c r="L386" s="13" t="inlineStr">
        <is>
          <t>4</t>
        </is>
      </c>
      <c r="M386" s="13" t="inlineStr">
        <is>
          <t>Completed</t>
        </is>
      </c>
      <c r="N386" s="13" t="inlineStr">
        <is>
          <t>M. Okonkwo</t>
        </is>
      </c>
    </row>
    <row r="387">
      <c r="A387" s="13" t="inlineStr">
        <is>
          <t>HC-100385</t>
        </is>
      </c>
      <c r="B387" s="13" t="inlineStr">
        <is>
          <t>07-Dec-24</t>
        </is>
      </c>
      <c r="C387" s="13" t="inlineStr">
        <is>
          <t>West</t>
        </is>
      </c>
      <c r="D387" s="13" t="inlineStr">
        <is>
          <t>Online</t>
        </is>
      </c>
      <c r="E387" s="13" t="inlineStr">
        <is>
          <t>Textiles</t>
        </is>
      </c>
      <c r="F387" s="13" t="inlineStr">
        <is>
          <t>Wool Throw</t>
        </is>
      </c>
      <c r="G387" s="13" t="inlineStr">
        <is>
          <t>Consumer</t>
        </is>
      </c>
      <c r="H387" s="13" t="inlineStr">
        <is>
          <t>4</t>
        </is>
      </c>
      <c r="I387" s="14" t="inlineStr">
        <is>
          <t>72.06</t>
        </is>
      </c>
      <c r="J387" s="15" t="inlineStr">
        <is>
          <t>0.08</t>
        </is>
      </c>
      <c r="K387" s="14" t="inlineStr">
        <is>
          <t>30.26</t>
        </is>
      </c>
      <c r="L387" s="13" t="inlineStr">
        <is>
          <t>5</t>
        </is>
      </c>
      <c r="M387" s="13" t="inlineStr">
        <is>
          <t>Completed</t>
        </is>
      </c>
      <c r="N387" s="13" t="inlineStr">
        <is>
          <t>S. Nguyen</t>
        </is>
      </c>
    </row>
    <row r="388">
      <c r="A388" s="13" t="inlineStr">
        <is>
          <t>HC-100386</t>
        </is>
      </c>
      <c r="B388" s="13" t="inlineStr">
        <is>
          <t>2025/07/05</t>
        </is>
      </c>
      <c r="C388" s="13" t="inlineStr">
        <is>
          <t>East</t>
        </is>
      </c>
      <c r="D388" s="13" t="inlineStr">
        <is>
          <t>Store</t>
        </is>
      </c>
      <c r="E388" s="13" t="inlineStr">
        <is>
          <t>Lighting</t>
        </is>
      </c>
      <c r="F388" s="13" t="inlineStr">
        <is>
          <t>Pendant Light</t>
        </is>
      </c>
      <c r="G388" s="13" t="inlineStr">
        <is>
          <t>Consumer</t>
        </is>
      </c>
      <c r="H388" s="13" t="inlineStr">
        <is>
          <t>4</t>
        </is>
      </c>
      <c r="I388" s="14" t="inlineStr">
        <is>
          <t>174.47</t>
        </is>
      </c>
      <c r="J388" s="15" t="inlineStr">
        <is>
          <t>0.00</t>
        </is>
      </c>
      <c r="K388" s="14" t="inlineStr">
        <is>
          <t>87.23</t>
        </is>
      </c>
      <c r="L388" s="13" t="inlineStr">
        <is>
          <t>7</t>
        </is>
      </c>
      <c r="M388" s="13" t="inlineStr">
        <is>
          <t>Completed</t>
        </is>
      </c>
      <c r="N388" s="13" t="inlineStr">
        <is>
          <t>M. Okonkwo</t>
        </is>
      </c>
    </row>
    <row r="389">
      <c r="A389" s="13" t="inlineStr">
        <is>
          <t>HC-100387</t>
        </is>
      </c>
      <c r="B389" s="13" t="inlineStr">
        <is>
          <t>22.02.2024</t>
        </is>
      </c>
      <c r="C389" s="13" t="inlineStr">
        <is>
          <t>East</t>
        </is>
      </c>
      <c r="D389" s="13" t="inlineStr">
        <is>
          <t>Store</t>
        </is>
      </c>
      <c r="E389" s="13" t="inlineStr">
        <is>
          <t>Kitchen</t>
        </is>
      </c>
      <c r="F389" s="13" t="inlineStr">
        <is>
          <t>Cast Skillet</t>
        </is>
      </c>
      <c r="G389" s="13" t="inlineStr">
        <is>
          <t>Consumer</t>
        </is>
      </c>
      <c r="H389" s="13" t="inlineStr">
        <is>
          <t>4</t>
        </is>
      </c>
      <c r="I389" s="14" t="inlineStr">
        <is>
          <t>47.26</t>
        </is>
      </c>
      <c r="J389" s="15" t="inlineStr">
        <is>
          <t>0.09</t>
        </is>
      </c>
      <c r="K389" s="14" t="inlineStr">
        <is>
          <t>18.90</t>
        </is>
      </c>
      <c r="L389" s="13" t="inlineStr">
        <is>
          <t>9</t>
        </is>
      </c>
      <c r="M389" s="13" t="inlineStr">
        <is>
          <t>Completed</t>
        </is>
      </c>
      <c r="N389" s="13" t="inlineStr">
        <is>
          <t>L. Berger</t>
        </is>
      </c>
    </row>
    <row r="390">
      <c r="A390" s="13" t="inlineStr">
        <is>
          <t>HC-100388</t>
        </is>
      </c>
      <c r="B390" s="13" t="inlineStr">
        <is>
          <t>11/29/2024</t>
        </is>
      </c>
      <c r="C390" s="13" t="inlineStr">
        <is>
          <t>East</t>
        </is>
      </c>
      <c r="D390" s="13" t="inlineStr">
        <is>
          <t>Store</t>
        </is>
      </c>
      <c r="E390" s="13" t="inlineStr">
        <is>
          <t>Furniture</t>
        </is>
      </c>
      <c r="F390" s="13" t="inlineStr">
        <is>
          <t>Oak Desk</t>
        </is>
      </c>
      <c r="G390" s="13" t="inlineStr">
        <is>
          <t>Consumer</t>
        </is>
      </c>
      <c r="H390" s="13" t="inlineStr">
        <is>
          <t>5</t>
        </is>
      </c>
      <c r="I390" s="14" t="inlineStr">
        <is>
          <t>739.62</t>
        </is>
      </c>
      <c r="J390" s="15" t="inlineStr">
        <is>
          <t>0.12</t>
        </is>
      </c>
      <c r="K390" s="14" t="inlineStr">
        <is>
          <t>458.56</t>
        </is>
      </c>
      <c r="L390" s="13" t="inlineStr">
        <is>
          <t>11</t>
        </is>
      </c>
      <c r="M390" s="13" t="inlineStr">
        <is>
          <t>Returned</t>
        </is>
      </c>
      <c r="N390" s="13" t="inlineStr">
        <is>
          <t>K. Mensah</t>
        </is>
      </c>
    </row>
    <row r="391">
      <c r="A391" s="13" t="inlineStr">
        <is>
          <t>HC-100389</t>
        </is>
      </c>
      <c r="B391" s="13" t="inlineStr">
        <is>
          <t>01-Apr-25</t>
        </is>
      </c>
      <c r="C391" s="13" t="inlineStr">
        <is>
          <t>South</t>
        </is>
      </c>
      <c r="D391" s="13" t="inlineStr">
        <is>
          <t>Store</t>
        </is>
      </c>
      <c r="E391" s="13" t="inlineStr">
        <is>
          <t>Kitchen</t>
        </is>
      </c>
      <c r="F391" s="13" t="inlineStr">
        <is>
          <t>Chef Knife</t>
        </is>
      </c>
      <c r="G391" s="13" t="inlineStr">
        <is>
          <t>Corporate</t>
        </is>
      </c>
      <c r="H391" s="13" t="inlineStr">
        <is>
          <t>2</t>
        </is>
      </c>
      <c r="I391" s="14" t="inlineStr">
        <is>
          <t>68.76</t>
        </is>
      </c>
      <c r="J391" s="15" t="inlineStr">
        <is>
          <t>0.08</t>
        </is>
      </c>
      <c r="K391" s="14" t="inlineStr">
        <is>
          <t>24.75</t>
        </is>
      </c>
      <c r="L391" s="13" t="inlineStr">
        <is>
          <t>8</t>
        </is>
      </c>
      <c r="M391" s="13" t="inlineStr">
        <is>
          <t>Returned</t>
        </is>
      </c>
      <c r="N391" s="13" t="inlineStr">
        <is>
          <t>J. Patel</t>
        </is>
      </c>
    </row>
    <row r="392">
      <c r="A392" s="13" t="inlineStr">
        <is>
          <t>HC-100390</t>
        </is>
      </c>
      <c r="B392" s="13" t="inlineStr">
        <is>
          <t>2024/11/30</t>
        </is>
      </c>
      <c r="C392" s="13" t="inlineStr">
        <is>
          <t>East</t>
        </is>
      </c>
      <c r="D392" s="13" t="inlineStr">
        <is>
          <t>Store</t>
        </is>
      </c>
      <c r="E392" s="13" t="inlineStr">
        <is>
          <t>Lighting</t>
        </is>
      </c>
      <c r="F392" s="13" t="inlineStr">
        <is>
          <t>Pendant Light</t>
        </is>
      </c>
      <c r="G392" s="13" t="inlineStr">
        <is>
          <t>Consumer</t>
        </is>
      </c>
      <c r="H392" s="13" t="inlineStr">
        <is>
          <t>2</t>
        </is>
      </c>
      <c r="I392" s="14" t="inlineStr">
        <is>
          <t>159.44</t>
        </is>
      </c>
      <c r="J392" s="15" t="inlineStr">
        <is>
          <t>2%</t>
        </is>
      </c>
      <c r="K392" s="14" t="inlineStr">
        <is>
          <t>79.72</t>
        </is>
      </c>
      <c r="L392" s="13" t="inlineStr">
        <is>
          <t>11</t>
        </is>
      </c>
      <c r="M392" s="13" t="inlineStr">
        <is>
          <t>Compleated</t>
        </is>
      </c>
      <c r="N392" s="13" t="inlineStr">
        <is>
          <t>J. Patel</t>
        </is>
      </c>
    </row>
    <row r="393">
      <c r="A393" s="13" t="inlineStr">
        <is>
          <t>HC-100391</t>
        </is>
      </c>
      <c r="B393" s="13" t="inlineStr">
        <is>
          <t>29.09.2024</t>
        </is>
      </c>
      <c r="C393" s="13" t="inlineStr">
        <is>
          <t>South</t>
        </is>
      </c>
      <c r="D393" s="13" t="inlineStr">
        <is>
          <t>Online</t>
        </is>
      </c>
      <c r="E393" s="13" t="inlineStr">
        <is>
          <t>FURNITURE</t>
        </is>
      </c>
      <c r="F393" s="13" t="inlineStr">
        <is>
          <t>Oak Desk</t>
        </is>
      </c>
      <c r="G393" s="13" t="inlineStr">
        <is>
          <t>Consumer</t>
        </is>
      </c>
      <c r="H393" s="13" t="inlineStr">
        <is>
          <t>2</t>
        </is>
      </c>
      <c r="I393" s="14" t="inlineStr">
        <is>
          <t>822.63</t>
        </is>
      </c>
      <c r="J393" s="15" t="inlineStr">
        <is>
          <t>13%</t>
        </is>
      </c>
      <c r="K393" s="14" t="inlineStr">
        <is>
          <t>510.03</t>
        </is>
      </c>
      <c r="L393" s="13" t="inlineStr">
        <is>
          <t>5</t>
        </is>
      </c>
      <c r="M393" s="13" t="inlineStr">
        <is>
          <t>Cancelled</t>
        </is>
      </c>
      <c r="N393" s="13" t="inlineStr">
        <is>
          <t>P. Rossi</t>
        </is>
      </c>
    </row>
    <row r="394">
      <c r="A394" s="13" t="inlineStr">
        <is>
          <t>HC-100392</t>
        </is>
      </c>
      <c r="B394" s="13" t="inlineStr">
        <is>
          <t>08/16/2025</t>
        </is>
      </c>
      <c r="C394" s="13" t="inlineStr">
        <is>
          <t>NORTH</t>
        </is>
      </c>
      <c r="D394" s="13" t="inlineStr">
        <is>
          <t>Online</t>
        </is>
      </c>
      <c r="E394" s="13" t="inlineStr">
        <is>
          <t>Textiles</t>
        </is>
      </c>
      <c r="F394" s="13" t="inlineStr">
        <is>
          <t>Linen Curtain</t>
        </is>
      </c>
      <c r="G394" s="13" t="inlineStr">
        <is>
          <t>Consumer</t>
        </is>
      </c>
      <c r="H394" s="13" t="inlineStr">
        <is>
          <t>2</t>
        </is>
      </c>
      <c r="I394" s="14" t="inlineStr">
        <is>
          <t>90.31</t>
        </is>
      </c>
      <c r="J394" s="15" t="inlineStr">
        <is>
          <t>0.10</t>
        </is>
      </c>
      <c r="K394" s="14" t="inlineStr">
        <is>
          <t>40.64</t>
        </is>
      </c>
      <c r="L394" s="13" t="inlineStr">
        <is>
          <t>3</t>
        </is>
      </c>
      <c r="M394" s="13" t="inlineStr">
        <is>
          <t>Compleated</t>
        </is>
      </c>
      <c r="N394" s="13" t="inlineStr">
        <is>
          <t>K. Mensah</t>
        </is>
      </c>
    </row>
    <row r="395">
      <c r="A395" s="13" t="inlineStr">
        <is>
          <t>HC-100393</t>
        </is>
      </c>
      <c r="B395" s="13" t="inlineStr">
        <is>
          <t>10-Nov-24</t>
        </is>
      </c>
      <c r="C395" s="13" t="inlineStr">
        <is>
          <t>North</t>
        </is>
      </c>
      <c r="D395" s="13" t="inlineStr">
        <is>
          <t>retail</t>
        </is>
      </c>
      <c r="E395" s="13" t="inlineStr">
        <is>
          <t>Furniture</t>
        </is>
      </c>
      <c r="F395" s="13" t="inlineStr">
        <is>
          <t>Walnut Shelf</t>
        </is>
      </c>
      <c r="G395" s="13" t="inlineStr">
        <is>
          <t>Corporate</t>
        </is>
      </c>
      <c r="H395" s="13" t="inlineStr">
        <is>
          <t>4</t>
        </is>
      </c>
      <c r="I395" s="14" t="inlineStr">
        <is>
          <t>230.83</t>
        </is>
      </c>
      <c r="J395" s="15" t="inlineStr">
        <is>
          <t>0.11</t>
        </is>
      </c>
      <c r="K395" s="14" t="inlineStr">
        <is>
          <t>126.95</t>
        </is>
      </c>
      <c r="L395" s="13" t="inlineStr">
        <is>
          <t>6</t>
        </is>
      </c>
      <c r="M395" s="13" t="inlineStr">
        <is>
          <t>COMPLETED</t>
        </is>
      </c>
      <c r="N395" s="13" t="inlineStr">
        <is>
          <t>J. Patel</t>
        </is>
      </c>
    </row>
    <row r="396">
      <c r="A396" s="13" t="inlineStr">
        <is>
          <t>HC-100394</t>
        </is>
      </c>
      <c r="B396" s="13" t="inlineStr">
        <is>
          <t>2025/04/17</t>
        </is>
      </c>
      <c r="C396" s="13" t="inlineStr">
        <is>
          <t>North</t>
        </is>
      </c>
      <c r="D396" s="13" t="inlineStr">
        <is>
          <t>Store</t>
        </is>
      </c>
      <c r="E396" s="13" t="inlineStr">
        <is>
          <t>Textiles</t>
        </is>
      </c>
      <c r="F396" s="13" t="inlineStr">
        <is>
          <t>Cotton Duvet</t>
        </is>
      </c>
      <c r="G396" s="13" t="inlineStr">
        <is>
          <t>Corporate</t>
        </is>
      </c>
      <c r="H396" s="13" t="inlineStr">
        <is>
          <t>2</t>
        </is>
      </c>
      <c r="I396" s="14" t="inlineStr">
        <is>
          <t>122.60</t>
        </is>
      </c>
      <c r="J396" s="15" t="inlineStr">
        <is>
          <t>0.05</t>
        </is>
      </c>
      <c r="K396" s="14" t="inlineStr">
        <is>
          <t>53.95</t>
        </is>
      </c>
      <c r="L396" s="13" t="inlineStr">
        <is>
          <t>3</t>
        </is>
      </c>
      <c r="M396" s="13" t="inlineStr">
        <is>
          <t>Completed</t>
        </is>
      </c>
      <c r="N396" s="13" t="inlineStr">
        <is>
          <t>M. Okonkwo</t>
        </is>
      </c>
    </row>
    <row r="397">
      <c r="A397" s="13" t="inlineStr">
        <is>
          <t>HC-100395</t>
        </is>
      </c>
      <c r="B397" s="13" t="inlineStr">
        <is>
          <t>19.10.2024</t>
        </is>
      </c>
      <c r="C397" s="13" t="inlineStr">
        <is>
          <t>East</t>
        </is>
      </c>
      <c r="D397" s="13" t="inlineStr">
        <is>
          <t>Store</t>
        </is>
      </c>
      <c r="E397" s="13" t="inlineStr">
        <is>
          <t>Lighting</t>
        </is>
      </c>
      <c r="F397" s="13" t="inlineStr">
        <is>
          <t>Pendant Light</t>
        </is>
      </c>
      <c r="G397" s="13" t="inlineStr">
        <is>
          <t>Home Office</t>
        </is>
      </c>
      <c r="H397" s="13" t="inlineStr">
        <is>
          <t>1</t>
        </is>
      </c>
      <c r="I397" s="14" t="inlineStr">
        <is>
          <t>163.04</t>
        </is>
      </c>
      <c r="J397" s="15" t="inlineStr">
        <is>
          <t>0.01</t>
        </is>
      </c>
      <c r="K397" s="14" t="inlineStr">
        <is>
          <t>81.52</t>
        </is>
      </c>
      <c r="L397" s="13" t="inlineStr">
        <is>
          <t>9</t>
        </is>
      </c>
      <c r="M397" s="13" t="inlineStr">
        <is>
          <t>Compleated</t>
        </is>
      </c>
      <c r="N397" s="13" t="inlineStr">
        <is>
          <t>P. Rossi</t>
        </is>
      </c>
    </row>
    <row r="398">
      <c r="A398" s="13" t="inlineStr">
        <is>
          <t>HC-100396</t>
        </is>
      </c>
      <c r="B398" s="13" t="inlineStr">
        <is>
          <t>03/19/2025</t>
        </is>
      </c>
      <c r="C398" s="13" t="inlineStr">
        <is>
          <t>South</t>
        </is>
      </c>
      <c r="D398" s="13" t="inlineStr">
        <is>
          <t>Online</t>
        </is>
      </c>
      <c r="E398" s="13" t="inlineStr">
        <is>
          <t>FURNITURE</t>
        </is>
      </c>
      <c r="F398" s="13" t="inlineStr">
        <is>
          <t>Linen Sofa</t>
        </is>
      </c>
      <c r="G398" s="13" t="inlineStr">
        <is>
          <t>Consumer</t>
        </is>
      </c>
      <c r="H398" s="13" t="inlineStr">
        <is>
          <t>1</t>
        </is>
      </c>
      <c r="I398" s="14" t="inlineStr">
        <is>
          <t>1338.63</t>
        </is>
      </c>
      <c r="J398" s="15" t="inlineStr">
        <is>
          <t>0.15</t>
        </is>
      </c>
      <c r="K398" s="14" t="inlineStr">
        <is>
          <t>883.50</t>
        </is>
      </c>
      <c r="L398" s="13" t="inlineStr">
        <is>
          <t>3</t>
        </is>
      </c>
      <c r="M398" s="13" t="inlineStr">
        <is>
          <t>Completed</t>
        </is>
      </c>
      <c r="N398" s="13" t="inlineStr">
        <is>
          <t>M. Okonkwo</t>
        </is>
      </c>
    </row>
    <row r="399">
      <c r="A399" s="13" t="inlineStr">
        <is>
          <t>HC-100397</t>
        </is>
      </c>
      <c r="B399" s="13" t="inlineStr">
        <is>
          <t>09-Jan-24</t>
        </is>
      </c>
      <c r="C399" s="13" t="inlineStr">
        <is>
          <t>West</t>
        </is>
      </c>
      <c r="D399" s="13" t="inlineStr">
        <is>
          <t>Online</t>
        </is>
      </c>
      <c r="E399" s="13" t="inlineStr">
        <is>
          <t>Textiles</t>
        </is>
      </c>
      <c r="F399" s="13" t="inlineStr">
        <is>
          <t>Cotton Duvet</t>
        </is>
      </c>
      <c r="G399" s="13" t="inlineStr"/>
      <c r="H399" s="13" t="inlineStr">
        <is>
          <t>3</t>
        </is>
      </c>
      <c r="I399" s="14" t="inlineStr">
        <is>
          <t>125.73</t>
        </is>
      </c>
      <c r="J399" s="15" t="inlineStr">
        <is>
          <t>0.09</t>
        </is>
      </c>
      <c r="K399" s="14" t="inlineStr">
        <is>
          <t>55.32</t>
        </is>
      </c>
      <c r="L399" s="13" t="inlineStr">
        <is>
          <t>6</t>
        </is>
      </c>
      <c r="M399" s="13" t="inlineStr">
        <is>
          <t>Returned</t>
        </is>
      </c>
      <c r="N399" s="13" t="inlineStr">
        <is>
          <t>P. Rossi</t>
        </is>
      </c>
    </row>
    <row r="400">
      <c r="A400" s="13" t="inlineStr">
        <is>
          <t>HC-100398</t>
        </is>
      </c>
      <c r="B400" s="13" t="inlineStr">
        <is>
          <t>2024/03/10</t>
        </is>
      </c>
      <c r="C400" s="13" t="inlineStr">
        <is>
          <t>North</t>
        </is>
      </c>
      <c r="D400" s="13" t="inlineStr">
        <is>
          <t>Wholesale</t>
        </is>
      </c>
      <c r="E400" s="13" t="inlineStr">
        <is>
          <t>Furniture</t>
        </is>
      </c>
      <c r="F400" s="13" t="inlineStr">
        <is>
          <t>Walnut Shelf</t>
        </is>
      </c>
      <c r="G400" s="13" t="inlineStr">
        <is>
          <t>Home Office</t>
        </is>
      </c>
      <c r="H400" s="13" t="inlineStr">
        <is>
          <t>10</t>
        </is>
      </c>
      <c r="I400" s="14" t="inlineStr">
        <is>
          <t>233.82</t>
        </is>
      </c>
      <c r="J400" s="15" t="inlineStr">
        <is>
          <t>0.31</t>
        </is>
      </c>
      <c r="K400" s="14" t="inlineStr">
        <is>
          <t>128.60</t>
        </is>
      </c>
      <c r="L400" s="13" t="inlineStr">
        <is>
          <t>7</t>
        </is>
      </c>
      <c r="M400" s="13" t="inlineStr">
        <is>
          <t>Completed</t>
        </is>
      </c>
      <c r="N400" s="13" t="inlineStr">
        <is>
          <t>R. Ibarra</t>
        </is>
      </c>
    </row>
    <row r="401">
      <c r="A401" s="13" t="inlineStr">
        <is>
          <t>HC-100399</t>
        </is>
      </c>
      <c r="B401" s="13" t="inlineStr">
        <is>
          <t>21.10.2024</t>
        </is>
      </c>
      <c r="C401" s="13" t="inlineStr">
        <is>
          <t>North</t>
        </is>
      </c>
      <c r="D401" s="13" t="inlineStr">
        <is>
          <t>Store</t>
        </is>
      </c>
      <c r="E401" s="13" t="inlineStr">
        <is>
          <t>Furniture</t>
        </is>
      </c>
      <c r="F401" s="13" t="inlineStr">
        <is>
          <t>Walnut Shelf</t>
        </is>
      </c>
      <c r="G401" s="13" t="inlineStr">
        <is>
          <t>consumer</t>
        </is>
      </c>
      <c r="H401" s="13" t="inlineStr">
        <is>
          <t>4</t>
        </is>
      </c>
      <c r="I401" s="14" t="inlineStr">
        <is>
          <t>212.27</t>
        </is>
      </c>
      <c r="J401" s="15" t="inlineStr">
        <is>
          <t>0.05</t>
        </is>
      </c>
      <c r="K401" s="14" t="inlineStr">
        <is>
          <t>116.75</t>
        </is>
      </c>
      <c r="L401" s="13" t="inlineStr">
        <is>
          <t>5</t>
        </is>
      </c>
      <c r="M401" s="13" t="inlineStr">
        <is>
          <t>Completed</t>
        </is>
      </c>
      <c r="N401" s="13" t="inlineStr">
        <is>
          <t>S. Nguyen</t>
        </is>
      </c>
    </row>
    <row r="402">
      <c r="A402" s="13" t="inlineStr">
        <is>
          <t>HC-100400</t>
        </is>
      </c>
      <c r="B402" s="13" t="inlineStr">
        <is>
          <t>07/26/2025</t>
        </is>
      </c>
      <c r="C402" s="13" t="inlineStr">
        <is>
          <t>East</t>
        </is>
      </c>
      <c r="D402" s="13" t="inlineStr">
        <is>
          <t>Online</t>
        </is>
      </c>
      <c r="E402" s="13" t="inlineStr">
        <is>
          <t>Furniture</t>
        </is>
      </c>
      <c r="F402" s="13" t="inlineStr">
        <is>
          <t>Oak Desk</t>
        </is>
      </c>
      <c r="G402" s="13" t="inlineStr">
        <is>
          <t>Consumer</t>
        </is>
      </c>
      <c r="H402" s="13" t="inlineStr">
        <is>
          <t>3</t>
        </is>
      </c>
      <c r="I402" s="14" t="inlineStr">
        <is>
          <t>696.26</t>
        </is>
      </c>
      <c r="J402" s="15" t="inlineStr">
        <is>
          <t>0.11</t>
        </is>
      </c>
      <c r="K402" s="14" t="inlineStr">
        <is>
          <t>431.68</t>
        </is>
      </c>
      <c r="L402" s="13" t="inlineStr">
        <is>
          <t>7</t>
        </is>
      </c>
      <c r="M402" s="13" t="inlineStr">
        <is>
          <t>Completed</t>
        </is>
      </c>
      <c r="N402" s="13" t="inlineStr">
        <is>
          <t>J. Patel</t>
        </is>
      </c>
    </row>
    <row r="403">
      <c r="A403" s="13" t="inlineStr">
        <is>
          <t>HC-100401</t>
        </is>
      </c>
      <c r="B403" s="13" t="inlineStr">
        <is>
          <t>18-Sep-24</t>
        </is>
      </c>
      <c r="C403" s="13" t="inlineStr">
        <is>
          <t>East</t>
        </is>
      </c>
      <c r="D403" s="13" t="inlineStr">
        <is>
          <t>Wholesale</t>
        </is>
      </c>
      <c r="E403" s="13" t="inlineStr">
        <is>
          <t>Furniture</t>
        </is>
      </c>
      <c r="F403" s="13" t="inlineStr">
        <is>
          <t>Lounge Chair</t>
        </is>
      </c>
      <c r="G403" s="13" t="inlineStr">
        <is>
          <t>Consumer</t>
        </is>
      </c>
      <c r="H403" s="13" t="inlineStr">
        <is>
          <t>23</t>
        </is>
      </c>
      <c r="I403" s="14" t="inlineStr">
        <is>
          <t>440.12</t>
        </is>
      </c>
      <c r="J403" s="15" t="inlineStr">
        <is>
          <t>14%</t>
        </is>
      </c>
      <c r="K403" s="14" t="inlineStr">
        <is>
          <t>264.07</t>
        </is>
      </c>
      <c r="L403" s="13" t="inlineStr">
        <is>
          <t>10</t>
        </is>
      </c>
      <c r="M403" s="13" t="inlineStr">
        <is>
          <t>Completed</t>
        </is>
      </c>
      <c r="N403" s="13" t="inlineStr">
        <is>
          <t>L. Berger</t>
        </is>
      </c>
    </row>
    <row r="404">
      <c r="A404" s="13" t="inlineStr">
        <is>
          <t>HC-100402</t>
        </is>
      </c>
      <c r="B404" s="13" t="inlineStr">
        <is>
          <t>2025/04/05</t>
        </is>
      </c>
      <c r="C404" s="13" t="inlineStr">
        <is>
          <t>North</t>
        </is>
      </c>
      <c r="D404" s="13" t="inlineStr">
        <is>
          <t>Store</t>
        </is>
      </c>
      <c r="E404" s="13" t="inlineStr">
        <is>
          <t>Kitchen</t>
        </is>
      </c>
      <c r="F404" s="13" t="inlineStr">
        <is>
          <t>Cast Skillet</t>
        </is>
      </c>
      <c r="G404" s="13" t="inlineStr">
        <is>
          <t>Home Office</t>
        </is>
      </c>
      <c r="H404" s="13" t="inlineStr">
        <is>
          <t>1</t>
        </is>
      </c>
      <c r="I404" s="14" t="inlineStr">
        <is>
          <t>51.26</t>
        </is>
      </c>
      <c r="J404" s="15" t="inlineStr">
        <is>
          <t>0.03</t>
        </is>
      </c>
      <c r="K404" s="14" t="inlineStr">
        <is>
          <t>20.50</t>
        </is>
      </c>
      <c r="L404" s="13" t="inlineStr">
        <is>
          <t>2</t>
        </is>
      </c>
      <c r="M404" s="13" t="inlineStr">
        <is>
          <t>Completed</t>
        </is>
      </c>
      <c r="N404" s="13" t="inlineStr">
        <is>
          <t>K. Mensah</t>
        </is>
      </c>
    </row>
    <row r="405">
      <c r="A405" s="13" t="inlineStr">
        <is>
          <t>HC-100403</t>
        </is>
      </c>
      <c r="B405" s="13" t="inlineStr">
        <is>
          <t>11.04.2024</t>
        </is>
      </c>
      <c r="C405" s="13" t="inlineStr">
        <is>
          <t>East</t>
        </is>
      </c>
      <c r="D405" s="13" t="inlineStr">
        <is>
          <t>Online</t>
        </is>
      </c>
      <c r="E405" s="13" t="inlineStr">
        <is>
          <t>Furniture</t>
        </is>
      </c>
      <c r="F405" s="13" t="inlineStr">
        <is>
          <t>Lounge Chair</t>
        </is>
      </c>
      <c r="G405" s="13" t="inlineStr">
        <is>
          <t>Consumer</t>
        </is>
      </c>
      <c r="H405" s="13" t="inlineStr">
        <is>
          <t>3</t>
        </is>
      </c>
      <c r="I405" s="14" t="inlineStr">
        <is>
          <t>414.29</t>
        </is>
      </c>
      <c r="J405" s="15" t="inlineStr">
        <is>
          <t>0.07</t>
        </is>
      </c>
      <c r="K405" s="14" t="inlineStr">
        <is>
          <t>248.58</t>
        </is>
      </c>
      <c r="L405" s="13" t="inlineStr">
        <is>
          <t>13</t>
        </is>
      </c>
      <c r="M405" s="13" t="inlineStr">
        <is>
          <t>Completed</t>
        </is>
      </c>
      <c r="N405" s="13" t="inlineStr">
        <is>
          <t>R. Ibarra</t>
        </is>
      </c>
    </row>
    <row r="406">
      <c r="A406" s="13" t="inlineStr">
        <is>
          <t>HC-100404</t>
        </is>
      </c>
      <c r="B406" s="13" t="inlineStr">
        <is>
          <t>01/12/2024</t>
        </is>
      </c>
      <c r="C406" s="13" t="inlineStr">
        <is>
          <t>North</t>
        </is>
      </c>
      <c r="D406" s="13" t="inlineStr">
        <is>
          <t>Online</t>
        </is>
      </c>
      <c r="E406" s="13" t="inlineStr">
        <is>
          <t>Furniture</t>
        </is>
      </c>
      <c r="F406" s="13" t="inlineStr">
        <is>
          <t>Linen Sofa</t>
        </is>
      </c>
      <c r="G406" s="13" t="inlineStr">
        <is>
          <t>consumer</t>
        </is>
      </c>
      <c r="H406" s="13" t="inlineStr">
        <is>
          <t>2</t>
        </is>
      </c>
      <c r="I406" s="14" t="inlineStr">
        <is>
          <t>1256.88</t>
        </is>
      </c>
      <c r="J406" s="15" t="inlineStr">
        <is>
          <t>0.08</t>
        </is>
      </c>
      <c r="K406" s="14" t="inlineStr">
        <is>
          <t>829.54</t>
        </is>
      </c>
      <c r="L406" s="13" t="inlineStr">
        <is>
          <t>9</t>
        </is>
      </c>
      <c r="M406" s="13" t="inlineStr">
        <is>
          <t>Completed</t>
        </is>
      </c>
      <c r="N406" s="13" t="inlineStr">
        <is>
          <t>R. Ibarra</t>
        </is>
      </c>
    </row>
    <row r="407">
      <c r="A407" s="13" t="inlineStr">
        <is>
          <t>HC-100405</t>
        </is>
      </c>
      <c r="B407" s="13" t="inlineStr">
        <is>
          <t>04-Feb-25</t>
        </is>
      </c>
      <c r="C407" s="13" t="inlineStr">
        <is>
          <t>south</t>
        </is>
      </c>
      <c r="D407" s="13" t="inlineStr">
        <is>
          <t>Store</t>
        </is>
      </c>
      <c r="E407" s="13" t="inlineStr">
        <is>
          <t>Textiles</t>
        </is>
      </c>
      <c r="F407" s="13" t="inlineStr">
        <is>
          <t>Linen Curtain</t>
        </is>
      </c>
      <c r="G407" s="13" t="inlineStr">
        <is>
          <t>consumer</t>
        </is>
      </c>
      <c r="H407" s="13" t="inlineStr">
        <is>
          <t>1</t>
        </is>
      </c>
      <c r="I407" s="14" t="inlineStr">
        <is>
          <t>102.42</t>
        </is>
      </c>
      <c r="J407" s="15" t="inlineStr">
        <is>
          <t>0.04</t>
        </is>
      </c>
      <c r="K407" s="14" t="inlineStr">
        <is>
          <t>46.09</t>
        </is>
      </c>
      <c r="L407" s="13" t="inlineStr">
        <is>
          <t>5</t>
        </is>
      </c>
      <c r="M407" s="13" t="inlineStr">
        <is>
          <t>Completed</t>
        </is>
      </c>
      <c r="N407" s="13" t="inlineStr">
        <is>
          <t>A. Shah</t>
        </is>
      </c>
    </row>
    <row r="408">
      <c r="A408" s="13" t="inlineStr">
        <is>
          <t>HC-100406</t>
        </is>
      </c>
      <c r="B408" s="13" t="inlineStr">
        <is>
          <t>2025/04/05</t>
        </is>
      </c>
      <c r="C408" s="13" t="inlineStr">
        <is>
          <t>West</t>
        </is>
      </c>
      <c r="D408" s="13" t="inlineStr">
        <is>
          <t>Online</t>
        </is>
      </c>
      <c r="E408" s="13" t="inlineStr">
        <is>
          <t>FURNITURE</t>
        </is>
      </c>
      <c r="F408" s="13" t="inlineStr">
        <is>
          <t>Walnut Shelf</t>
        </is>
      </c>
      <c r="G408" s="13" t="inlineStr">
        <is>
          <t>Consumer</t>
        </is>
      </c>
      <c r="H408" s="13" t="inlineStr">
        <is>
          <t>3</t>
        </is>
      </c>
      <c r="I408" s="14" t="inlineStr">
        <is>
          <t>204.13</t>
        </is>
      </c>
      <c r="J408" s="15" t="inlineStr">
        <is>
          <t>0.07</t>
        </is>
      </c>
      <c r="K408" s="14" t="inlineStr">
        <is>
          <t>112.27</t>
        </is>
      </c>
      <c r="L408" s="13" t="inlineStr">
        <is>
          <t>5</t>
        </is>
      </c>
      <c r="M408" s="13" t="inlineStr">
        <is>
          <t>COMPLETED</t>
        </is>
      </c>
      <c r="N408" s="13" t="inlineStr">
        <is>
          <t>K. Mensah</t>
        </is>
      </c>
    </row>
    <row r="409">
      <c r="A409" s="13" t="inlineStr">
        <is>
          <t>HC-100407</t>
        </is>
      </c>
      <c r="B409" s="13" t="inlineStr">
        <is>
          <t>16.07.2024</t>
        </is>
      </c>
      <c r="C409" s="13" t="inlineStr">
        <is>
          <t>North</t>
        </is>
      </c>
      <c r="D409" s="13" t="inlineStr">
        <is>
          <t>Store</t>
        </is>
      </c>
      <c r="E409" s="13" t="inlineStr">
        <is>
          <t>Furniture</t>
        </is>
      </c>
      <c r="F409" s="13" t="inlineStr">
        <is>
          <t>Lounge Chair</t>
        </is>
      </c>
      <c r="G409" s="13" t="inlineStr">
        <is>
          <t>Consumer</t>
        </is>
      </c>
      <c r="H409" s="13" t="inlineStr">
        <is>
          <t>4</t>
        </is>
      </c>
      <c r="I409" s="14" t="inlineStr">
        <is>
          <t>460.63</t>
        </is>
      </c>
      <c r="J409" s="15" t="inlineStr">
        <is>
          <t>0.08</t>
        </is>
      </c>
      <c r="K409" s="14" t="inlineStr">
        <is>
          <t>276.38</t>
        </is>
      </c>
      <c r="L409" s="13" t="inlineStr">
        <is>
          <t>6</t>
        </is>
      </c>
      <c r="M409" s="13" t="inlineStr">
        <is>
          <t>Completed</t>
        </is>
      </c>
      <c r="N409" s="13" t="inlineStr">
        <is>
          <t>R. Ibarra</t>
        </is>
      </c>
    </row>
    <row r="410">
      <c r="A410" s="13" t="inlineStr">
        <is>
          <t>HC-100408</t>
        </is>
      </c>
      <c r="B410" s="13" t="inlineStr">
        <is>
          <t>09/11/2025</t>
        </is>
      </c>
      <c r="C410" s="13" t="inlineStr">
        <is>
          <t xml:space="preserve"> west </t>
        </is>
      </c>
      <c r="D410" s="13" t="inlineStr">
        <is>
          <t>retail</t>
        </is>
      </c>
      <c r="E410" s="13" t="inlineStr">
        <is>
          <t>Textiles</t>
        </is>
      </c>
      <c r="F410" s="13" t="inlineStr">
        <is>
          <t>Cotton Duvet</t>
        </is>
      </c>
      <c r="G410" s="13" t="inlineStr">
        <is>
          <t>Consumer</t>
        </is>
      </c>
      <c r="H410" s="13" t="inlineStr">
        <is>
          <t>2</t>
        </is>
      </c>
      <c r="I410" s="14" t="inlineStr">
        <is>
          <t>121.86</t>
        </is>
      </c>
      <c r="J410" s="15" t="inlineStr">
        <is>
          <t>0.08</t>
        </is>
      </c>
      <c r="K410" s="14" t="inlineStr">
        <is>
          <t>53.62</t>
        </is>
      </c>
      <c r="L410" s="13" t="inlineStr">
        <is>
          <t>7</t>
        </is>
      </c>
      <c r="M410" s="13" t="inlineStr">
        <is>
          <t>Returned</t>
        </is>
      </c>
      <c r="N410" s="13" t="inlineStr">
        <is>
          <t>S. Nguyen</t>
        </is>
      </c>
    </row>
    <row r="411">
      <c r="A411" s="13" t="inlineStr">
        <is>
          <t>HC-100409</t>
        </is>
      </c>
      <c r="B411" s="13" t="inlineStr">
        <is>
          <t>22-Jun-24</t>
        </is>
      </c>
      <c r="C411" s="13" t="inlineStr">
        <is>
          <t>North</t>
        </is>
      </c>
      <c r="D411" s="13" t="inlineStr">
        <is>
          <t>e-commerce</t>
        </is>
      </c>
      <c r="E411" s="13" t="inlineStr">
        <is>
          <t>Furniture</t>
        </is>
      </c>
      <c r="F411" s="13" t="inlineStr">
        <is>
          <t>Oak Desk</t>
        </is>
      </c>
      <c r="G411" s="13" t="inlineStr">
        <is>
          <t>Consumer</t>
        </is>
      </c>
      <c r="H411" s="13" t="inlineStr">
        <is>
          <t>1</t>
        </is>
      </c>
      <c r="I411" s="14" t="inlineStr">
        <is>
          <t>840.81</t>
        </is>
      </c>
      <c r="J411" s="15" t="inlineStr">
        <is>
          <t>0.15</t>
        </is>
      </c>
      <c r="K411" s="14" t="inlineStr">
        <is>
          <t>521.30</t>
        </is>
      </c>
      <c r="L411" s="13" t="inlineStr">
        <is>
          <t>5</t>
        </is>
      </c>
      <c r="M411" s="13" t="inlineStr">
        <is>
          <t>Completed</t>
        </is>
      </c>
      <c r="N411" s="13" t="inlineStr">
        <is>
          <t>A. Shah</t>
        </is>
      </c>
    </row>
    <row r="412">
      <c r="A412" s="13" t="inlineStr">
        <is>
          <t>HC-100410</t>
        </is>
      </c>
      <c r="B412" s="13" t="inlineStr">
        <is>
          <t>2024/10/19</t>
        </is>
      </c>
      <c r="C412" s="13" t="inlineStr">
        <is>
          <t>north</t>
        </is>
      </c>
      <c r="D412" s="13" t="inlineStr">
        <is>
          <t>Store</t>
        </is>
      </c>
      <c r="E412" s="13" t="inlineStr">
        <is>
          <t>Lighting</t>
        </is>
      </c>
      <c r="F412" s="13" t="inlineStr">
        <is>
          <t>Arc Lamp</t>
        </is>
      </c>
      <c r="G412" s="13" t="inlineStr">
        <is>
          <t>Consumer</t>
        </is>
      </c>
      <c r="H412" s="13" t="inlineStr">
        <is>
          <t>3</t>
        </is>
      </c>
      <c r="I412" s="14" t="inlineStr">
        <is>
          <t>324.23</t>
        </is>
      </c>
      <c r="J412" s="15" t="inlineStr">
        <is>
          <t>0.02</t>
        </is>
      </c>
      <c r="K412" s="14" t="inlineStr">
        <is>
          <t>155.63</t>
        </is>
      </c>
      <c r="L412" s="13" t="inlineStr">
        <is>
          <t>5</t>
        </is>
      </c>
      <c r="M412" s="13" t="inlineStr">
        <is>
          <t>Completed</t>
        </is>
      </c>
      <c r="N412" s="13" t="inlineStr">
        <is>
          <t>P. Rossi</t>
        </is>
      </c>
    </row>
    <row r="413">
      <c r="A413" s="13" t="inlineStr">
        <is>
          <t>HC-100411</t>
        </is>
      </c>
      <c r="B413" s="13" t="inlineStr">
        <is>
          <t>04.09.2024</t>
        </is>
      </c>
      <c r="C413" s="13" t="inlineStr">
        <is>
          <t>South</t>
        </is>
      </c>
      <c r="D413" s="13" t="inlineStr">
        <is>
          <t>Store</t>
        </is>
      </c>
      <c r="E413" s="13" t="inlineStr">
        <is>
          <t>Textiles</t>
        </is>
      </c>
      <c r="F413" s="13" t="inlineStr">
        <is>
          <t>Wool Throw</t>
        </is>
      </c>
      <c r="G413" s="13" t="inlineStr">
        <is>
          <t>Consumer</t>
        </is>
      </c>
      <c r="H413" s="13" t="inlineStr">
        <is>
          <t>3</t>
        </is>
      </c>
      <c r="I413" s="14" t="inlineStr">
        <is>
          <t>78.16</t>
        </is>
      </c>
      <c r="J413" s="15" t="inlineStr">
        <is>
          <t>0.06</t>
        </is>
      </c>
      <c r="K413" s="14" t="inlineStr">
        <is>
          <t>32.83</t>
        </is>
      </c>
      <c r="L413" s="13" t="inlineStr">
        <is>
          <t>7</t>
        </is>
      </c>
      <c r="M413" s="13" t="inlineStr">
        <is>
          <t>Compleated</t>
        </is>
      </c>
      <c r="N413" s="13" t="inlineStr">
        <is>
          <t>R. Ibarra</t>
        </is>
      </c>
    </row>
    <row r="414">
      <c r="A414" s="13" t="inlineStr">
        <is>
          <t>HC-100412</t>
        </is>
      </c>
      <c r="B414" s="13" t="inlineStr">
        <is>
          <t>12/21/2024</t>
        </is>
      </c>
      <c r="C414" s="13" t="inlineStr">
        <is>
          <t>West</t>
        </is>
      </c>
      <c r="D414" s="13" t="inlineStr">
        <is>
          <t>Store</t>
        </is>
      </c>
      <c r="E414" s="13" t="inlineStr">
        <is>
          <t>TEXTILES</t>
        </is>
      </c>
      <c r="F414" s="13" t="inlineStr">
        <is>
          <t>Wool Throw</t>
        </is>
      </c>
      <c r="G414" s="13" t="inlineStr">
        <is>
          <t>Consumer</t>
        </is>
      </c>
      <c r="H414" s="13" t="inlineStr">
        <is>
          <t>5</t>
        </is>
      </c>
      <c r="I414" s="14" t="inlineStr">
        <is>
          <t>71.86</t>
        </is>
      </c>
      <c r="J414" s="15" t="inlineStr">
        <is>
          <t>0.02</t>
        </is>
      </c>
      <c r="K414" s="14" t="inlineStr">
        <is>
          <t>30.18</t>
        </is>
      </c>
      <c r="L414" s="13" t="inlineStr">
        <is>
          <t>6</t>
        </is>
      </c>
      <c r="M414" s="13" t="inlineStr">
        <is>
          <t>Completed</t>
        </is>
      </c>
      <c r="N414" s="13" t="inlineStr">
        <is>
          <t>M. Okonkwo</t>
        </is>
      </c>
    </row>
    <row r="415">
      <c r="A415" s="13" t="inlineStr">
        <is>
          <t>HC-100413</t>
        </is>
      </c>
      <c r="B415" s="13" t="inlineStr">
        <is>
          <t>09-Mar-24</t>
        </is>
      </c>
      <c r="C415" s="13" t="inlineStr">
        <is>
          <t>EAST</t>
        </is>
      </c>
      <c r="D415" s="13" t="inlineStr">
        <is>
          <t>Online</t>
        </is>
      </c>
      <c r="E415" s="13" t="inlineStr">
        <is>
          <t>Textiles</t>
        </is>
      </c>
      <c r="F415" s="13" t="inlineStr">
        <is>
          <t>Linen Curtain</t>
        </is>
      </c>
      <c r="G415" s="13" t="inlineStr">
        <is>
          <t>Consumer</t>
        </is>
      </c>
      <c r="H415" s="13" t="inlineStr">
        <is>
          <t>1</t>
        </is>
      </c>
      <c r="I415" s="14" t="inlineStr">
        <is>
          <t>89.58</t>
        </is>
      </c>
      <c r="J415" s="15" t="inlineStr">
        <is>
          <t>0.09</t>
        </is>
      </c>
      <c r="K415" s="14" t="inlineStr">
        <is>
          <t>40.31</t>
        </is>
      </c>
      <c r="L415" s="13" t="inlineStr">
        <is>
          <t>6</t>
        </is>
      </c>
      <c r="M415" s="13" t="inlineStr">
        <is>
          <t>Returned</t>
        </is>
      </c>
      <c r="N415" s="13" t="inlineStr">
        <is>
          <t>M. Okonkwo</t>
        </is>
      </c>
    </row>
    <row r="416">
      <c r="A416" s="13" t="inlineStr">
        <is>
          <t>HC-100414</t>
        </is>
      </c>
      <c r="B416" s="13" t="inlineStr">
        <is>
          <t>2024/08/30</t>
        </is>
      </c>
      <c r="C416" s="13" t="inlineStr">
        <is>
          <t>West</t>
        </is>
      </c>
      <c r="D416" s="13" t="inlineStr">
        <is>
          <t>Online</t>
        </is>
      </c>
      <c r="E416" s="13" t="inlineStr">
        <is>
          <t>Textiles</t>
        </is>
      </c>
      <c r="F416" s="13" t="inlineStr">
        <is>
          <t>Cotton Duvet</t>
        </is>
      </c>
      <c r="G416" s="13" t="inlineStr"/>
      <c r="H416" s="13" t="inlineStr">
        <is>
          <t>2</t>
        </is>
      </c>
      <c r="I416" s="14" t="inlineStr">
        <is>
          <t>113.00</t>
        </is>
      </c>
      <c r="J416" s="15" t="inlineStr">
        <is>
          <t>0.12</t>
        </is>
      </c>
      <c r="K416" s="14" t="inlineStr">
        <is>
          <t>49.72</t>
        </is>
      </c>
      <c r="L416" s="13" t="inlineStr">
        <is>
          <t>5</t>
        </is>
      </c>
      <c r="M416" s="13" t="inlineStr">
        <is>
          <t>Completed</t>
        </is>
      </c>
      <c r="N416" s="13" t="inlineStr">
        <is>
          <t>P. Rossi</t>
        </is>
      </c>
    </row>
    <row r="417">
      <c r="A417" s="13" t="inlineStr">
        <is>
          <t>HC-100415</t>
        </is>
      </c>
      <c r="B417" s="13" t="inlineStr">
        <is>
          <t>01.12.2024</t>
        </is>
      </c>
      <c r="C417" s="13" t="inlineStr">
        <is>
          <t>West</t>
        </is>
      </c>
      <c r="D417" s="13" t="inlineStr">
        <is>
          <t>Store</t>
        </is>
      </c>
      <c r="E417" s="13" t="inlineStr">
        <is>
          <t>KITCHEN</t>
        </is>
      </c>
      <c r="F417" s="13" t="inlineStr">
        <is>
          <t>Cast Skillet</t>
        </is>
      </c>
      <c r="G417" s="13" t="inlineStr">
        <is>
          <t>Corporate</t>
        </is>
      </c>
      <c r="H417" s="13" t="inlineStr">
        <is>
          <t>4</t>
        </is>
      </c>
      <c r="I417" s="14" t="inlineStr">
        <is>
          <t>57.42</t>
        </is>
      </c>
      <c r="J417" s="15" t="inlineStr">
        <is>
          <t>0.09</t>
        </is>
      </c>
      <c r="K417" s="14" t="inlineStr">
        <is>
          <t>22.97</t>
        </is>
      </c>
      <c r="L417" s="13" t="inlineStr">
        <is>
          <t>5</t>
        </is>
      </c>
      <c r="M417" s="13" t="inlineStr">
        <is>
          <t>Completed</t>
        </is>
      </c>
      <c r="N417" s="13" t="inlineStr">
        <is>
          <t>K. Mensah</t>
        </is>
      </c>
    </row>
    <row r="418">
      <c r="A418" s="13" t="inlineStr">
        <is>
          <t>HC-100416</t>
        </is>
      </c>
      <c r="B418" s="13" t="inlineStr">
        <is>
          <t>12/27/2024</t>
        </is>
      </c>
      <c r="C418" s="13" t="inlineStr">
        <is>
          <t>North</t>
        </is>
      </c>
      <c r="D418" s="13" t="inlineStr">
        <is>
          <t>Online</t>
        </is>
      </c>
      <c r="E418" s="13" t="inlineStr">
        <is>
          <t>Textiles</t>
        </is>
      </c>
      <c r="F418" s="13" t="inlineStr">
        <is>
          <t>Cotton Duvet</t>
        </is>
      </c>
      <c r="G418" s="13" t="inlineStr">
        <is>
          <t>Consumer</t>
        </is>
      </c>
      <c r="H418" s="13" t="inlineStr">
        <is>
          <t>4</t>
        </is>
      </c>
      <c r="I418" s="14" t="inlineStr">
        <is>
          <t>113.84</t>
        </is>
      </c>
      <c r="J418" s="15" t="inlineStr">
        <is>
          <t>0.13</t>
        </is>
      </c>
      <c r="K418" s="14" t="inlineStr">
        <is>
          <t>50.09</t>
        </is>
      </c>
      <c r="L418" s="13" t="inlineStr">
        <is>
          <t>6</t>
        </is>
      </c>
      <c r="M418" s="13" t="inlineStr">
        <is>
          <t>Completed</t>
        </is>
      </c>
      <c r="N418" s="13" t="inlineStr">
        <is>
          <t>M. Okonkwo</t>
        </is>
      </c>
    </row>
    <row r="419">
      <c r="A419" s="13" t="inlineStr">
        <is>
          <t>HC-100417</t>
        </is>
      </c>
      <c r="B419" s="13" t="inlineStr">
        <is>
          <t>19-Dec-24</t>
        </is>
      </c>
      <c r="C419" s="13" t="inlineStr">
        <is>
          <t>West</t>
        </is>
      </c>
      <c r="D419" s="13" t="inlineStr">
        <is>
          <t>B2B</t>
        </is>
      </c>
      <c r="E419" s="13" t="inlineStr">
        <is>
          <t>FURNITURE</t>
        </is>
      </c>
      <c r="F419" s="13" t="inlineStr">
        <is>
          <t>Oak Desk</t>
        </is>
      </c>
      <c r="G419" s="13" t="inlineStr">
        <is>
          <t>Consumer</t>
        </is>
      </c>
      <c r="H419" s="13" t="inlineStr">
        <is>
          <t>20</t>
        </is>
      </c>
      <c r="I419" s="14" t="inlineStr">
        <is>
          <t>824.87</t>
        </is>
      </c>
      <c r="J419" s="15" t="inlineStr">
        <is>
          <t>16%</t>
        </is>
      </c>
      <c r="K419" s="14" t="inlineStr">
        <is>
          <t>511.42</t>
        </is>
      </c>
      <c r="L419" s="13" t="inlineStr">
        <is>
          <t>2</t>
        </is>
      </c>
      <c r="M419" s="13" t="inlineStr">
        <is>
          <t>Completed</t>
        </is>
      </c>
      <c r="N419" s="13" t="inlineStr">
        <is>
          <t>M. Okonkwo</t>
        </is>
      </c>
    </row>
    <row r="420">
      <c r="A420" s="13" t="inlineStr">
        <is>
          <t>HC-100418</t>
        </is>
      </c>
      <c r="B420" s="13" t="inlineStr">
        <is>
          <t>2024/07/13</t>
        </is>
      </c>
      <c r="C420" s="13" t="inlineStr">
        <is>
          <t>West</t>
        </is>
      </c>
      <c r="D420" s="13" t="inlineStr">
        <is>
          <t>Online</t>
        </is>
      </c>
      <c r="E420" s="13" t="inlineStr">
        <is>
          <t>Furniture</t>
        </is>
      </c>
      <c r="F420" s="13" t="inlineStr">
        <is>
          <t>Linen Sofa</t>
        </is>
      </c>
      <c r="G420" s="13" t="inlineStr"/>
      <c r="H420" s="13" t="inlineStr">
        <is>
          <t>2</t>
        </is>
      </c>
      <c r="I420" s="14" t="inlineStr">
        <is>
          <t>1337.47</t>
        </is>
      </c>
      <c r="J420" s="15" t="inlineStr">
        <is>
          <t>0.14</t>
        </is>
      </c>
      <c r="K420" s="14" t="inlineStr">
        <is>
          <t>882.73</t>
        </is>
      </c>
      <c r="L420" s="13" t="inlineStr">
        <is>
          <t>5</t>
        </is>
      </c>
      <c r="M420" s="13" t="inlineStr">
        <is>
          <t>Completed</t>
        </is>
      </c>
      <c r="N420" s="13" t="inlineStr">
        <is>
          <t>K. Mensah</t>
        </is>
      </c>
    </row>
    <row r="421">
      <c r="A421" s="13" t="inlineStr">
        <is>
          <t>HC-100419</t>
        </is>
      </c>
      <c r="B421" s="13" t="inlineStr">
        <is>
          <t>18.04.2024</t>
        </is>
      </c>
      <c r="C421" s="13" t="inlineStr">
        <is>
          <t>South</t>
        </is>
      </c>
      <c r="D421" s="13" t="inlineStr">
        <is>
          <t>Store</t>
        </is>
      </c>
      <c r="E421" s="13" t="inlineStr">
        <is>
          <t>Furniture</t>
        </is>
      </c>
      <c r="F421" s="13" t="inlineStr">
        <is>
          <t>Oak Desk</t>
        </is>
      </c>
      <c r="G421" s="13" t="inlineStr">
        <is>
          <t>Consumer</t>
        </is>
      </c>
      <c r="H421" s="13" t="inlineStr">
        <is>
          <t>1</t>
        </is>
      </c>
      <c r="I421" s="14" t="inlineStr">
        <is>
          <t>878.16</t>
        </is>
      </c>
      <c r="J421" s="15" t="inlineStr">
        <is>
          <t>0.11</t>
        </is>
      </c>
      <c r="K421" s="14" t="inlineStr">
        <is>
          <t>544.46</t>
        </is>
      </c>
      <c r="L421" s="13" t="inlineStr">
        <is>
          <t>7</t>
        </is>
      </c>
      <c r="M421" s="13" t="inlineStr">
        <is>
          <t>Completed</t>
        </is>
      </c>
      <c r="N421" s="13" t="inlineStr">
        <is>
          <t>M. Okonkwo</t>
        </is>
      </c>
    </row>
    <row r="422">
      <c r="A422" s="13" t="inlineStr">
        <is>
          <t>HC-100420</t>
        </is>
      </c>
      <c r="B422" s="13" t="inlineStr">
        <is>
          <t>12/30/2024</t>
        </is>
      </c>
      <c r="C422" s="13" t="inlineStr">
        <is>
          <t>West</t>
        </is>
      </c>
      <c r="D422" s="13" t="inlineStr">
        <is>
          <t>Online</t>
        </is>
      </c>
      <c r="E422" s="13" t="inlineStr">
        <is>
          <t>Lighting</t>
        </is>
      </c>
      <c r="F422" s="13" t="inlineStr">
        <is>
          <t>Arc Lamp</t>
        </is>
      </c>
      <c r="G422" s="13" t="inlineStr">
        <is>
          <t>Corporate</t>
        </is>
      </c>
      <c r="H422" s="13" t="inlineStr">
        <is>
          <t>3</t>
        </is>
      </c>
      <c r="I422" s="14" t="inlineStr">
        <is>
          <t>302.29</t>
        </is>
      </c>
      <c r="J422" s="15" t="inlineStr">
        <is>
          <t>0.02</t>
        </is>
      </c>
      <c r="K422" s="14" t="inlineStr">
        <is>
          <t>145.10</t>
        </is>
      </c>
      <c r="L422" s="13" t="inlineStr">
        <is>
          <t>4</t>
        </is>
      </c>
      <c r="M422" s="13" t="inlineStr">
        <is>
          <t>Completed</t>
        </is>
      </c>
      <c r="N422" s="13" t="inlineStr">
        <is>
          <t>P. Rossi</t>
        </is>
      </c>
    </row>
    <row r="423">
      <c r="A423" s="13" t="inlineStr">
        <is>
          <t>HC-100421</t>
        </is>
      </c>
      <c r="B423" s="13" t="inlineStr">
        <is>
          <t>19-Jan-24</t>
        </is>
      </c>
      <c r="C423" s="13" t="inlineStr">
        <is>
          <t>West</t>
        </is>
      </c>
      <c r="D423" s="13" t="inlineStr">
        <is>
          <t>Store</t>
        </is>
      </c>
      <c r="E423" s="13" t="inlineStr">
        <is>
          <t>FURNITURE</t>
        </is>
      </c>
      <c r="F423" s="13" t="inlineStr">
        <is>
          <t>Linen Sofa</t>
        </is>
      </c>
      <c r="G423" s="13" t="inlineStr">
        <is>
          <t>Corporate</t>
        </is>
      </c>
      <c r="H423" s="13" t="inlineStr">
        <is>
          <t>2</t>
        </is>
      </c>
      <c r="I423" s="14" t="inlineStr">
        <is>
          <t>1307.19</t>
        </is>
      </c>
      <c r="J423" s="15" t="inlineStr">
        <is>
          <t>0.09</t>
        </is>
      </c>
      <c r="K423" s="14" t="inlineStr">
        <is>
          <t>862.74</t>
        </is>
      </c>
      <c r="L423" s="13" t="inlineStr">
        <is>
          <t>7</t>
        </is>
      </c>
      <c r="M423" s="13" t="inlineStr">
        <is>
          <t>Completed</t>
        </is>
      </c>
      <c r="N423" s="13" t="inlineStr">
        <is>
          <t>A. Shah</t>
        </is>
      </c>
    </row>
    <row r="424">
      <c r="A424" s="13" t="inlineStr">
        <is>
          <t>HC-100422</t>
        </is>
      </c>
      <c r="B424" s="13" t="inlineStr">
        <is>
          <t>2025/01/10</t>
        </is>
      </c>
      <c r="C424" s="13" t="inlineStr">
        <is>
          <t>North</t>
        </is>
      </c>
      <c r="D424" s="13" t="inlineStr">
        <is>
          <t>Store</t>
        </is>
      </c>
      <c r="E424" s="13" t="inlineStr">
        <is>
          <t>Textiles</t>
        </is>
      </c>
      <c r="F424" s="13" t="inlineStr">
        <is>
          <t>Cotton Duvet</t>
        </is>
      </c>
      <c r="G424" s="13" t="inlineStr">
        <is>
          <t>Home Office</t>
        </is>
      </c>
      <c r="H424" s="13" t="inlineStr">
        <is>
          <t>3</t>
        </is>
      </c>
      <c r="I424" s="14" t="inlineStr">
        <is>
          <t>$113.61</t>
        </is>
      </c>
      <c r="J424" s="15" t="inlineStr">
        <is>
          <t>0.04</t>
        </is>
      </c>
      <c r="K424" s="14" t="inlineStr">
        <is>
          <t>49.99</t>
        </is>
      </c>
      <c r="L424" s="13" t="inlineStr">
        <is>
          <t>8</t>
        </is>
      </c>
      <c r="M424" s="13" t="inlineStr">
        <is>
          <t>Completed</t>
        </is>
      </c>
      <c r="N424" s="13" t="inlineStr">
        <is>
          <t>K. Mensah</t>
        </is>
      </c>
    </row>
    <row r="425">
      <c r="A425" s="13" t="inlineStr">
        <is>
          <t>HC-100423</t>
        </is>
      </c>
      <c r="B425" s="13" t="inlineStr">
        <is>
          <t>17.12.2024</t>
        </is>
      </c>
      <c r="C425" s="13" t="inlineStr">
        <is>
          <t>Eas</t>
        </is>
      </c>
      <c r="D425" s="13" t="inlineStr">
        <is>
          <t>e-commerce</t>
        </is>
      </c>
      <c r="E425" s="13" t="inlineStr">
        <is>
          <t>Kitchen</t>
        </is>
      </c>
      <c r="F425" s="13" t="inlineStr">
        <is>
          <t>Chef Knife</t>
        </is>
      </c>
      <c r="G425" s="13" t="inlineStr">
        <is>
          <t>Consumer</t>
        </is>
      </c>
      <c r="H425" s="13" t="inlineStr">
        <is>
          <t>3</t>
        </is>
      </c>
      <c r="I425" s="14" t="inlineStr">
        <is>
          <t>55.58</t>
        </is>
      </c>
      <c r="J425" s="15" t="inlineStr">
        <is>
          <t>0.14</t>
        </is>
      </c>
      <c r="K425" s="14" t="inlineStr">
        <is>
          <t>20.01</t>
        </is>
      </c>
      <c r="L425" s="13" t="inlineStr">
        <is>
          <t>9</t>
        </is>
      </c>
      <c r="M425" s="13" t="inlineStr">
        <is>
          <t>Cancelled</t>
        </is>
      </c>
      <c r="N425" s="13" t="inlineStr">
        <is>
          <t>M. Okonkwo</t>
        </is>
      </c>
    </row>
    <row r="426">
      <c r="A426" s="13" t="inlineStr">
        <is>
          <t>HC-100424</t>
        </is>
      </c>
      <c r="B426" s="13" t="inlineStr">
        <is>
          <t>11/11/2024</t>
        </is>
      </c>
      <c r="C426" s="13" t="inlineStr">
        <is>
          <t xml:space="preserve"> North </t>
        </is>
      </c>
      <c r="D426" s="13" t="inlineStr">
        <is>
          <t>Store</t>
        </is>
      </c>
      <c r="E426" s="13" t="inlineStr">
        <is>
          <t>Textiles</t>
        </is>
      </c>
      <c r="F426" s="13" t="inlineStr">
        <is>
          <t>Linen Curtain</t>
        </is>
      </c>
      <c r="G426" s="13" t="inlineStr">
        <is>
          <t>Corporate</t>
        </is>
      </c>
      <c r="H426" s="13" t="inlineStr">
        <is>
          <t>2</t>
        </is>
      </c>
      <c r="I426" s="14" t="inlineStr">
        <is>
          <t>97.98</t>
        </is>
      </c>
      <c r="J426" s="15" t="inlineStr">
        <is>
          <t>0.07</t>
        </is>
      </c>
      <c r="K426" s="14" t="inlineStr">
        <is>
          <t>44.09</t>
        </is>
      </c>
      <c r="L426" s="13" t="inlineStr">
        <is>
          <t>7</t>
        </is>
      </c>
      <c r="M426" s="13" t="inlineStr">
        <is>
          <t>Completed</t>
        </is>
      </c>
      <c r="N426" s="13" t="inlineStr">
        <is>
          <t>A. Shah</t>
        </is>
      </c>
    </row>
    <row r="427">
      <c r="A427" s="13" t="inlineStr">
        <is>
          <t>HC-100425</t>
        </is>
      </c>
      <c r="B427" s="13" t="inlineStr">
        <is>
          <t>25-Nov-24</t>
        </is>
      </c>
      <c r="C427" s="13" t="inlineStr">
        <is>
          <t>South</t>
        </is>
      </c>
      <c r="D427" s="13" t="inlineStr">
        <is>
          <t>Online</t>
        </is>
      </c>
      <c r="E427" s="13" t="inlineStr">
        <is>
          <t>Kitchen</t>
        </is>
      </c>
      <c r="F427" s="13" t="inlineStr">
        <is>
          <t>Cast Skillet</t>
        </is>
      </c>
      <c r="G427" s="13" t="inlineStr">
        <is>
          <t>Home Office</t>
        </is>
      </c>
      <c r="H427" s="13" t="inlineStr">
        <is>
          <t>4</t>
        </is>
      </c>
      <c r="I427" s="14" t="inlineStr">
        <is>
          <t>52.59</t>
        </is>
      </c>
      <c r="J427" s="15" t="inlineStr">
        <is>
          <t>0.03</t>
        </is>
      </c>
      <c r="K427" s="14" t="inlineStr">
        <is>
          <t>21.03</t>
        </is>
      </c>
      <c r="L427" s="13" t="inlineStr">
        <is>
          <t>5</t>
        </is>
      </c>
      <c r="M427" s="13" t="inlineStr">
        <is>
          <t>Completed</t>
        </is>
      </c>
      <c r="N427" s="13" t="inlineStr">
        <is>
          <t>A. Shah</t>
        </is>
      </c>
    </row>
    <row r="428">
      <c r="A428" s="13" t="inlineStr">
        <is>
          <t>HC-100426</t>
        </is>
      </c>
      <c r="B428" s="13" t="inlineStr">
        <is>
          <t>2024/08/01</t>
        </is>
      </c>
      <c r="C428" s="13" t="inlineStr">
        <is>
          <t>North</t>
        </is>
      </c>
      <c r="D428" s="13" t="inlineStr">
        <is>
          <t>Store</t>
        </is>
      </c>
      <c r="E428" s="13" t="inlineStr">
        <is>
          <t>Kitchen</t>
        </is>
      </c>
      <c r="F428" s="13" t="inlineStr">
        <is>
          <t>Ceramic Set</t>
        </is>
      </c>
      <c r="G428" s="13" t="inlineStr"/>
      <c r="H428" s="13" t="inlineStr">
        <is>
          <t>3</t>
        </is>
      </c>
      <c r="I428" s="14" t="inlineStr">
        <is>
          <t>87.12</t>
        </is>
      </c>
      <c r="J428" s="15" t="inlineStr">
        <is>
          <t>0.01</t>
        </is>
      </c>
      <c r="K428" s="14" t="inlineStr">
        <is>
          <t>33.10</t>
        </is>
      </c>
      <c r="L428" s="13" t="inlineStr">
        <is>
          <t>7</t>
        </is>
      </c>
      <c r="M428" s="13" t="inlineStr">
        <is>
          <t>Completed</t>
        </is>
      </c>
      <c r="N428" s="13" t="inlineStr">
        <is>
          <t>R. Ibarra</t>
        </is>
      </c>
    </row>
    <row r="429">
      <c r="A429" s="13" t="inlineStr">
        <is>
          <t>HC-100427</t>
        </is>
      </c>
      <c r="B429" s="13" t="inlineStr">
        <is>
          <t>12.05.2024</t>
        </is>
      </c>
      <c r="C429" s="13" t="inlineStr">
        <is>
          <t>SOUTH</t>
        </is>
      </c>
      <c r="D429" s="13" t="inlineStr">
        <is>
          <t>Online</t>
        </is>
      </c>
      <c r="E429" s="13" t="inlineStr">
        <is>
          <t>TEXTILES</t>
        </is>
      </c>
      <c r="F429" s="13" t="inlineStr">
        <is>
          <t>Cotton Duvet</t>
        </is>
      </c>
      <c r="G429" s="13" t="inlineStr">
        <is>
          <t>Corporate</t>
        </is>
      </c>
      <c r="H429" s="13" t="inlineStr">
        <is>
          <t>1</t>
        </is>
      </c>
      <c r="I429" s="14" t="inlineStr">
        <is>
          <t>116.58</t>
        </is>
      </c>
      <c r="J429" s="15" t="inlineStr">
        <is>
          <t>0.05</t>
        </is>
      </c>
      <c r="K429" s="14" t="inlineStr">
        <is>
          <t>51.29</t>
        </is>
      </c>
      <c r="L429" s="13" t="inlineStr">
        <is>
          <t>N/A</t>
        </is>
      </c>
      <c r="M429" s="13" t="inlineStr">
        <is>
          <t>COMPLETED</t>
        </is>
      </c>
      <c r="N429" s="13" t="inlineStr">
        <is>
          <t>L. Berger</t>
        </is>
      </c>
    </row>
    <row r="430">
      <c r="A430" s="13" t="inlineStr">
        <is>
          <t>HC-100428</t>
        </is>
      </c>
      <c r="B430" s="13" t="inlineStr">
        <is>
          <t>07/19/2024</t>
        </is>
      </c>
      <c r="C430" s="13" t="inlineStr">
        <is>
          <t>South</t>
        </is>
      </c>
      <c r="D430" s="13" t="inlineStr">
        <is>
          <t>Store</t>
        </is>
      </c>
      <c r="E430" s="13" t="inlineStr">
        <is>
          <t>Textiles</t>
        </is>
      </c>
      <c r="F430" s="13" t="inlineStr">
        <is>
          <t>Linen Curtain</t>
        </is>
      </c>
      <c r="G430" s="13" t="inlineStr">
        <is>
          <t>Consumer</t>
        </is>
      </c>
      <c r="H430" s="13" t="inlineStr">
        <is>
          <t>1</t>
        </is>
      </c>
      <c r="I430" s="14" t="inlineStr">
        <is>
          <t>90.78</t>
        </is>
      </c>
      <c r="J430" s="15" t="inlineStr">
        <is>
          <t>0.02</t>
        </is>
      </c>
      <c r="K430" s="14" t="inlineStr">
        <is>
          <t>40.85</t>
        </is>
      </c>
      <c r="L430" s="13" t="inlineStr">
        <is>
          <t>6</t>
        </is>
      </c>
      <c r="M430" s="13" t="inlineStr">
        <is>
          <t>Completed</t>
        </is>
      </c>
      <c r="N430" s="13" t="inlineStr">
        <is>
          <t>S. Nguyen</t>
        </is>
      </c>
    </row>
    <row r="431">
      <c r="A431" s="13" t="inlineStr">
        <is>
          <t>HC-100429</t>
        </is>
      </c>
      <c r="B431" s="13" t="inlineStr">
        <is>
          <t>10-Nov-24</t>
        </is>
      </c>
      <c r="C431" s="13" t="inlineStr">
        <is>
          <t>South</t>
        </is>
      </c>
      <c r="D431" s="13" t="inlineStr">
        <is>
          <t>Wholesale</t>
        </is>
      </c>
      <c r="E431" s="13" t="inlineStr">
        <is>
          <t>Lighting</t>
        </is>
      </c>
      <c r="F431" s="13" t="inlineStr">
        <is>
          <t>Brass Sconce</t>
        </is>
      </c>
      <c r="G431" s="13" t="inlineStr">
        <is>
          <t>Consumer</t>
        </is>
      </c>
      <c r="H431" s="13" t="inlineStr">
        <is>
          <t>32</t>
        </is>
      </c>
      <c r="I431" s="14" t="inlineStr">
        <is>
          <t>138.51</t>
        </is>
      </c>
      <c r="J431" s="15" t="inlineStr">
        <is>
          <t>0.21</t>
        </is>
      </c>
      <c r="K431" s="14" t="inlineStr">
        <is>
          <t>63.72</t>
        </is>
      </c>
      <c r="L431" s="13" t="inlineStr">
        <is>
          <t>6</t>
        </is>
      </c>
      <c r="M431" s="13" t="inlineStr">
        <is>
          <t>Completed</t>
        </is>
      </c>
      <c r="N431" s="13" t="inlineStr">
        <is>
          <t>R. Ibarra</t>
        </is>
      </c>
    </row>
    <row r="432">
      <c r="A432" s="13" t="inlineStr">
        <is>
          <t>HC-100430</t>
        </is>
      </c>
      <c r="B432" s="13" t="inlineStr">
        <is>
          <t>2025/01/13</t>
        </is>
      </c>
      <c r="C432" s="13" t="inlineStr">
        <is>
          <t>East</t>
        </is>
      </c>
      <c r="D432" s="13" t="inlineStr">
        <is>
          <t>retail</t>
        </is>
      </c>
      <c r="E432" s="13" t="inlineStr">
        <is>
          <t>Textiles</t>
        </is>
      </c>
      <c r="F432" s="13" t="inlineStr">
        <is>
          <t>Wool Throw</t>
        </is>
      </c>
      <c r="G432" s="13" t="inlineStr">
        <is>
          <t>Corporate</t>
        </is>
      </c>
      <c r="H432" s="13" t="inlineStr">
        <is>
          <t>1</t>
        </is>
      </c>
      <c r="I432" s="14" t="inlineStr">
        <is>
          <t>62.38</t>
        </is>
      </c>
      <c r="J432" s="15" t="inlineStr">
        <is>
          <t>0.07</t>
        </is>
      </c>
      <c r="K432" s="14" t="inlineStr">
        <is>
          <t>26.20</t>
        </is>
      </c>
      <c r="L432" s="13" t="inlineStr">
        <is>
          <t>10</t>
        </is>
      </c>
      <c r="M432" s="13" t="inlineStr">
        <is>
          <t>Completed</t>
        </is>
      </c>
      <c r="N432" s="13" t="inlineStr">
        <is>
          <t>R. Ibarra</t>
        </is>
      </c>
    </row>
    <row r="433">
      <c r="A433" s="13" t="inlineStr">
        <is>
          <t>HC-100431</t>
        </is>
      </c>
      <c r="B433" s="13" t="inlineStr">
        <is>
          <t>14.04.2024</t>
        </is>
      </c>
      <c r="C433" s="13" t="inlineStr">
        <is>
          <t>South</t>
        </is>
      </c>
      <c r="D433" s="13" t="inlineStr">
        <is>
          <t>Store</t>
        </is>
      </c>
      <c r="E433" s="13" t="inlineStr">
        <is>
          <t>Textiles</t>
        </is>
      </c>
      <c r="F433" s="13" t="inlineStr">
        <is>
          <t>Wool Throw</t>
        </is>
      </c>
      <c r="G433" s="13" t="inlineStr">
        <is>
          <t>Consumer</t>
        </is>
      </c>
      <c r="H433" s="13" t="inlineStr">
        <is>
          <t>4</t>
        </is>
      </c>
      <c r="I433" s="14" t="inlineStr">
        <is>
          <t>79.97</t>
        </is>
      </c>
      <c r="J433" s="15" t="inlineStr">
        <is>
          <t>0.06</t>
        </is>
      </c>
      <c r="K433" s="14" t="inlineStr">
        <is>
          <t>33.59</t>
        </is>
      </c>
      <c r="L433" s="13" t="inlineStr">
        <is>
          <t>1</t>
        </is>
      </c>
      <c r="M433" s="13" t="inlineStr">
        <is>
          <t>Completed</t>
        </is>
      </c>
      <c r="N433" s="13" t="inlineStr">
        <is>
          <t>M. Okonkwo</t>
        </is>
      </c>
    </row>
    <row r="434">
      <c r="A434" s="13" t="inlineStr">
        <is>
          <t>HC-100432</t>
        </is>
      </c>
      <c r="B434" s="13" t="inlineStr">
        <is>
          <t>05/13/2024</t>
        </is>
      </c>
      <c r="C434" s="13" t="inlineStr">
        <is>
          <t>east</t>
        </is>
      </c>
      <c r="D434" s="13" t="inlineStr">
        <is>
          <t>Store</t>
        </is>
      </c>
      <c r="E434" s="13" t="inlineStr">
        <is>
          <t>Furniture</t>
        </is>
      </c>
      <c r="F434" s="13" t="inlineStr">
        <is>
          <t>Linen Sofa</t>
        </is>
      </c>
      <c r="G434" s="13" t="inlineStr">
        <is>
          <t>Consumer</t>
        </is>
      </c>
      <c r="H434" s="13" t="inlineStr">
        <is>
          <t>4</t>
        </is>
      </c>
      <c r="I434" s="14" t="inlineStr">
        <is>
          <t>1122.77</t>
        </is>
      </c>
      <c r="J434" s="15" t="inlineStr">
        <is>
          <t>0.12</t>
        </is>
      </c>
      <c r="K434" s="14" t="inlineStr">
        <is>
          <t>741.03</t>
        </is>
      </c>
      <c r="L434" s="13" t="inlineStr">
        <is>
          <t>8</t>
        </is>
      </c>
      <c r="M434" s="13" t="inlineStr">
        <is>
          <t>Completed</t>
        </is>
      </c>
      <c r="N434" s="13" t="inlineStr">
        <is>
          <t>R. Ibarra</t>
        </is>
      </c>
    </row>
    <row r="435">
      <c r="A435" s="13" t="inlineStr">
        <is>
          <t>HC-100433</t>
        </is>
      </c>
      <c r="B435" s="13" t="inlineStr">
        <is>
          <t>30-Jul-24</t>
        </is>
      </c>
      <c r="C435" s="13" t="inlineStr">
        <is>
          <t>North</t>
        </is>
      </c>
      <c r="D435" s="13" t="inlineStr">
        <is>
          <t>Online</t>
        </is>
      </c>
      <c r="E435" s="13" t="inlineStr">
        <is>
          <t>Furniture</t>
        </is>
      </c>
      <c r="F435" s="13" t="inlineStr">
        <is>
          <t>Walnut Shelf</t>
        </is>
      </c>
      <c r="G435" s="13" t="inlineStr">
        <is>
          <t>Home Office</t>
        </is>
      </c>
      <c r="H435" s="13" t="inlineStr">
        <is>
          <t>2</t>
        </is>
      </c>
      <c r="I435" s="14" t="inlineStr">
        <is>
          <t>212.74</t>
        </is>
      </c>
      <c r="J435" s="15" t="inlineStr">
        <is>
          <t>0.06</t>
        </is>
      </c>
      <c r="K435" s="14" t="inlineStr">
        <is>
          <t>117.00</t>
        </is>
      </c>
      <c r="L435" s="13" t="inlineStr">
        <is>
          <t>4</t>
        </is>
      </c>
      <c r="M435" s="13" t="inlineStr">
        <is>
          <t>COMPLETED</t>
        </is>
      </c>
      <c r="N435" s="13" t="inlineStr">
        <is>
          <t>S. Nguyen</t>
        </is>
      </c>
    </row>
    <row r="436">
      <c r="A436" s="13" t="inlineStr">
        <is>
          <t>HC-100434</t>
        </is>
      </c>
      <c r="B436" s="13" t="inlineStr">
        <is>
          <t>2024/03/27</t>
        </is>
      </c>
      <c r="C436" s="13" t="inlineStr">
        <is>
          <t>Nort</t>
        </is>
      </c>
      <c r="D436" s="13" t="inlineStr">
        <is>
          <t>Online</t>
        </is>
      </c>
      <c r="E436" s="13" t="inlineStr">
        <is>
          <t>Kitchen</t>
        </is>
      </c>
      <c r="F436" s="13" t="inlineStr">
        <is>
          <t>Cast Skillet</t>
        </is>
      </c>
      <c r="G436" s="13" t="inlineStr">
        <is>
          <t>Consumer</t>
        </is>
      </c>
      <c r="H436" s="13" t="inlineStr">
        <is>
          <t>3</t>
        </is>
      </c>
      <c r="I436" s="14" t="inlineStr">
        <is>
          <t>$51.08</t>
        </is>
      </c>
      <c r="J436" s="15" t="inlineStr">
        <is>
          <t>0.15</t>
        </is>
      </c>
      <c r="K436" s="14" t="inlineStr">
        <is>
          <t>20.43</t>
        </is>
      </c>
      <c r="L436" s="13" t="inlineStr">
        <is>
          <t>2</t>
        </is>
      </c>
      <c r="M436" s="13" t="inlineStr">
        <is>
          <t>Cancelled</t>
        </is>
      </c>
      <c r="N436" s="13" t="inlineStr">
        <is>
          <t>A. Shah</t>
        </is>
      </c>
    </row>
    <row r="437">
      <c r="A437" s="13" t="inlineStr">
        <is>
          <t>HC-100435</t>
        </is>
      </c>
      <c r="B437" s="13" t="inlineStr">
        <is>
          <t>08.04.2024</t>
        </is>
      </c>
      <c r="C437" s="13" t="inlineStr">
        <is>
          <t>South</t>
        </is>
      </c>
      <c r="D437" s="13" t="inlineStr">
        <is>
          <t>Online</t>
        </is>
      </c>
      <c r="E437" s="13" t="inlineStr">
        <is>
          <t>Textiles</t>
        </is>
      </c>
      <c r="F437" s="13" t="inlineStr">
        <is>
          <t>Wool Throw</t>
        </is>
      </c>
      <c r="G437" s="13" t="inlineStr">
        <is>
          <t>Consumer</t>
        </is>
      </c>
      <c r="H437" s="13" t="inlineStr">
        <is>
          <t>2</t>
        </is>
      </c>
      <c r="I437" s="14" t="inlineStr">
        <is>
          <t>74.92</t>
        </is>
      </c>
      <c r="J437" s="15" t="inlineStr">
        <is>
          <t>0.07</t>
        </is>
      </c>
      <c r="K437" s="14" t="inlineStr">
        <is>
          <t>31.47</t>
        </is>
      </c>
      <c r="L437" s="13" t="inlineStr">
        <is>
          <t>6</t>
        </is>
      </c>
      <c r="M437" s="13" t="inlineStr">
        <is>
          <t>Completed</t>
        </is>
      </c>
      <c r="N437" s="13" t="inlineStr">
        <is>
          <t>J. Patel</t>
        </is>
      </c>
    </row>
    <row r="438">
      <c r="A438" s="13" t="inlineStr">
        <is>
          <t>HC-100436</t>
        </is>
      </c>
      <c r="B438" s="13" t="inlineStr">
        <is>
          <t>06/11/2024</t>
        </is>
      </c>
      <c r="C438" s="13" t="inlineStr">
        <is>
          <t>West</t>
        </is>
      </c>
      <c r="D438" s="13" t="inlineStr">
        <is>
          <t>Store</t>
        </is>
      </c>
      <c r="E438" s="13" t="inlineStr">
        <is>
          <t>LIGHTING</t>
        </is>
      </c>
      <c r="F438" s="13" t="inlineStr">
        <is>
          <t>Pendant Light</t>
        </is>
      </c>
      <c r="G438" s="13" t="inlineStr">
        <is>
          <t>corporate</t>
        </is>
      </c>
      <c r="H438" s="13" t="inlineStr">
        <is>
          <t>2</t>
        </is>
      </c>
      <c r="I438" s="14" t="inlineStr">
        <is>
          <t>185.92</t>
        </is>
      </c>
      <c r="J438" s="15" t="inlineStr">
        <is>
          <t>0.01</t>
        </is>
      </c>
      <c r="K438" s="14" t="inlineStr">
        <is>
          <t>92.96</t>
        </is>
      </c>
      <c r="L438" s="13" t="inlineStr">
        <is>
          <t>5</t>
        </is>
      </c>
      <c r="M438" s="13" t="inlineStr">
        <is>
          <t>Completed</t>
        </is>
      </c>
      <c r="N438" s="13" t="inlineStr">
        <is>
          <t>J. Patel</t>
        </is>
      </c>
    </row>
    <row r="439">
      <c r="A439" s="13" t="inlineStr">
        <is>
          <t>HC-100437</t>
        </is>
      </c>
      <c r="B439" s="13" t="inlineStr">
        <is>
          <t>06-Jun-25</t>
        </is>
      </c>
      <c r="C439" s="13" t="inlineStr">
        <is>
          <t>South</t>
        </is>
      </c>
      <c r="D439" s="13" t="inlineStr">
        <is>
          <t>Wholesale</t>
        </is>
      </c>
      <c r="E439" s="13" t="inlineStr">
        <is>
          <t>Kitchen</t>
        </is>
      </c>
      <c r="F439" s="13" t="inlineStr">
        <is>
          <t>Ceramic Set</t>
        </is>
      </c>
      <c r="G439" s="13" t="inlineStr">
        <is>
          <t>Home Office</t>
        </is>
      </c>
      <c r="H439" s="13" t="inlineStr">
        <is>
          <t>14</t>
        </is>
      </c>
      <c r="I439" s="14" t="inlineStr">
        <is>
          <t>81.56</t>
        </is>
      </c>
      <c r="J439" s="15" t="inlineStr">
        <is>
          <t>0.22</t>
        </is>
      </c>
      <c r="K439" s="14" t="inlineStr">
        <is>
          <t>30.99</t>
        </is>
      </c>
      <c r="L439" s="13" t="inlineStr">
        <is>
          <t>6</t>
        </is>
      </c>
      <c r="M439" s="13" t="inlineStr">
        <is>
          <t>COMPLETED</t>
        </is>
      </c>
      <c r="N439" s="13" t="inlineStr">
        <is>
          <t>J. Patel</t>
        </is>
      </c>
    </row>
    <row r="440">
      <c r="A440" s="13" t="inlineStr">
        <is>
          <t>HC-100438</t>
        </is>
      </c>
      <c r="B440" s="13" t="inlineStr">
        <is>
          <t>2025/08/13</t>
        </is>
      </c>
      <c r="C440" s="13" t="inlineStr">
        <is>
          <t>East</t>
        </is>
      </c>
      <c r="D440" s="13" t="inlineStr">
        <is>
          <t>Store</t>
        </is>
      </c>
      <c r="E440" s="13" t="inlineStr">
        <is>
          <t>Textiles</t>
        </is>
      </c>
      <c r="F440" s="13" t="inlineStr">
        <is>
          <t>Linen Curtain</t>
        </is>
      </c>
      <c r="G440" s="13" t="inlineStr">
        <is>
          <t>Corporate</t>
        </is>
      </c>
      <c r="H440" s="13" t="inlineStr">
        <is>
          <t>2</t>
        </is>
      </c>
      <c r="I440" s="14" t="inlineStr">
        <is>
          <t>86.46</t>
        </is>
      </c>
      <c r="J440" s="15" t="inlineStr">
        <is>
          <t>0.03</t>
        </is>
      </c>
      <c r="K440" s="14" t="inlineStr">
        <is>
          <t>38.91</t>
        </is>
      </c>
      <c r="L440" s="13" t="inlineStr">
        <is>
          <t>11</t>
        </is>
      </c>
      <c r="M440" s="13" t="inlineStr">
        <is>
          <t>Completed</t>
        </is>
      </c>
      <c r="N440" s="13" t="inlineStr">
        <is>
          <t>S. Nguyen</t>
        </is>
      </c>
    </row>
    <row r="441">
      <c r="A441" s="13" t="inlineStr">
        <is>
          <t>HC-100439</t>
        </is>
      </c>
      <c r="B441" s="13" t="inlineStr">
        <is>
          <t>29.05.2025</t>
        </is>
      </c>
      <c r="C441" s="13" t="inlineStr">
        <is>
          <t>North</t>
        </is>
      </c>
      <c r="D441" s="13" t="inlineStr">
        <is>
          <t>Online</t>
        </is>
      </c>
      <c r="E441" s="13" t="inlineStr">
        <is>
          <t>Furniture</t>
        </is>
      </c>
      <c r="F441" s="13" t="inlineStr">
        <is>
          <t>Linen Sofa</t>
        </is>
      </c>
      <c r="G441" s="13" t="inlineStr">
        <is>
          <t>Consumer</t>
        </is>
      </c>
      <c r="H441" s="13" t="inlineStr">
        <is>
          <t>1</t>
        </is>
      </c>
      <c r="I441" s="14" t="inlineStr">
        <is>
          <t>1243.96</t>
        </is>
      </c>
      <c r="J441" s="15" t="inlineStr">
        <is>
          <t>0.13</t>
        </is>
      </c>
      <c r="K441" s="14" t="inlineStr">
        <is>
          <t>821.01</t>
        </is>
      </c>
      <c r="L441" s="13" t="inlineStr">
        <is>
          <t>5</t>
        </is>
      </c>
      <c r="M441" s="13" t="inlineStr">
        <is>
          <t>Completed</t>
        </is>
      </c>
      <c r="N441" s="13" t="inlineStr">
        <is>
          <t>S. Nguyen</t>
        </is>
      </c>
    </row>
    <row r="442">
      <c r="A442" s="13" t="inlineStr">
        <is>
          <t>HC-100440</t>
        </is>
      </c>
      <c r="B442" s="13" t="inlineStr">
        <is>
          <t>08/06/2024</t>
        </is>
      </c>
      <c r="C442" s="13" t="inlineStr">
        <is>
          <t>North</t>
        </is>
      </c>
      <c r="D442" s="13" t="inlineStr">
        <is>
          <t>Online</t>
        </is>
      </c>
      <c r="E442" s="13" t="inlineStr">
        <is>
          <t>FURNITURE</t>
        </is>
      </c>
      <c r="F442" s="13" t="inlineStr">
        <is>
          <t>Oak Desk</t>
        </is>
      </c>
      <c r="G442" s="13" t="inlineStr">
        <is>
          <t>Consumer</t>
        </is>
      </c>
      <c r="H442" s="13" t="inlineStr">
        <is>
          <t>3</t>
        </is>
      </c>
      <c r="I442" s="14" t="inlineStr">
        <is>
          <t>826.51</t>
        </is>
      </c>
      <c r="J442" s="15" t="inlineStr">
        <is>
          <t>0.11</t>
        </is>
      </c>
      <c r="K442" s="14" t="inlineStr">
        <is>
          <t>512.44</t>
        </is>
      </c>
      <c r="L442" s="13" t="inlineStr">
        <is>
          <t>3</t>
        </is>
      </c>
      <c r="M442" s="13" t="inlineStr">
        <is>
          <t>Completed</t>
        </is>
      </c>
      <c r="N442" s="13" t="inlineStr">
        <is>
          <t>P. Rossi</t>
        </is>
      </c>
    </row>
    <row r="443">
      <c r="A443" s="13" t="inlineStr">
        <is>
          <t>HC-100441</t>
        </is>
      </c>
      <c r="B443" s="13" t="inlineStr">
        <is>
          <t>05-Jul-24</t>
        </is>
      </c>
      <c r="C443" s="13" t="inlineStr">
        <is>
          <t>East</t>
        </is>
      </c>
      <c r="D443" s="13" t="inlineStr">
        <is>
          <t>Online</t>
        </is>
      </c>
      <c r="E443" s="13" t="inlineStr">
        <is>
          <t>Textiles</t>
        </is>
      </c>
      <c r="F443" s="13" t="inlineStr">
        <is>
          <t>Cotton Duvet</t>
        </is>
      </c>
      <c r="G443" s="13" t="inlineStr">
        <is>
          <t>Home Office</t>
        </is>
      </c>
      <c r="H443" s="13" t="inlineStr">
        <is>
          <t>1</t>
        </is>
      </c>
      <c r="I443" s="14" t="inlineStr">
        <is>
          <t>113.47</t>
        </is>
      </c>
      <c r="J443" s="15" t="inlineStr">
        <is>
          <t>0.13</t>
        </is>
      </c>
      <c r="K443" s="14" t="inlineStr">
        <is>
          <t>49.93</t>
        </is>
      </c>
      <c r="L443" s="13" t="inlineStr">
        <is>
          <t>9</t>
        </is>
      </c>
      <c r="M443" s="13" t="inlineStr">
        <is>
          <t>Completed</t>
        </is>
      </c>
      <c r="N443" s="13" t="inlineStr">
        <is>
          <t>L. Berger</t>
        </is>
      </c>
    </row>
    <row r="444">
      <c r="A444" s="13" t="inlineStr">
        <is>
          <t>HC-100442</t>
        </is>
      </c>
      <c r="B444" s="13" t="inlineStr">
        <is>
          <t>2024/11/21</t>
        </is>
      </c>
      <c r="C444" s="13" t="inlineStr">
        <is>
          <t>WEST</t>
        </is>
      </c>
      <c r="D444" s="13" t="inlineStr">
        <is>
          <t>Online</t>
        </is>
      </c>
      <c r="E444" s="13" t="inlineStr">
        <is>
          <t>Lighting</t>
        </is>
      </c>
      <c r="F444" s="13" t="inlineStr">
        <is>
          <t>Brass Sconce</t>
        </is>
      </c>
      <c r="G444" s="13" t="inlineStr">
        <is>
          <t>Corporate</t>
        </is>
      </c>
      <c r="H444" s="13" t="inlineStr">
        <is>
          <t>4</t>
        </is>
      </c>
      <c r="I444" s="14" t="inlineStr">
        <is>
          <t>134.17</t>
        </is>
      </c>
      <c r="J444" s="15" t="inlineStr">
        <is>
          <t>0.15</t>
        </is>
      </c>
      <c r="K444" s="14" t="inlineStr">
        <is>
          <t>61.72</t>
        </is>
      </c>
      <c r="L444" s="13" t="inlineStr">
        <is>
          <t>5</t>
        </is>
      </c>
      <c r="M444" s="13" t="inlineStr">
        <is>
          <t>Completed</t>
        </is>
      </c>
      <c r="N444" s="13" t="inlineStr">
        <is>
          <t>L. Berger</t>
        </is>
      </c>
    </row>
    <row r="445">
      <c r="A445" s="13" t="inlineStr">
        <is>
          <t>HC-100443</t>
        </is>
      </c>
      <c r="B445" s="13" t="inlineStr">
        <is>
          <t>24.11.2024</t>
        </is>
      </c>
      <c r="C445" s="13" t="inlineStr">
        <is>
          <t>East</t>
        </is>
      </c>
      <c r="D445" s="13" t="inlineStr">
        <is>
          <t>Online</t>
        </is>
      </c>
      <c r="E445" s="13" t="inlineStr">
        <is>
          <t>Furniture</t>
        </is>
      </c>
      <c r="F445" s="13" t="inlineStr">
        <is>
          <t>Walnut Shelf</t>
        </is>
      </c>
      <c r="G445" s="13" t="inlineStr">
        <is>
          <t>Home Office</t>
        </is>
      </c>
      <c r="H445" s="13" t="inlineStr">
        <is>
          <t>3</t>
        </is>
      </c>
      <c r="I445" s="14" t="inlineStr">
        <is>
          <t>$193.00</t>
        </is>
      </c>
      <c r="J445" s="15" t="inlineStr">
        <is>
          <t>12%</t>
        </is>
      </c>
      <c r="K445" s="14" t="inlineStr">
        <is>
          <t>106.15</t>
        </is>
      </c>
      <c r="L445" s="13" t="inlineStr">
        <is>
          <t>13</t>
        </is>
      </c>
      <c r="M445" s="13" t="inlineStr">
        <is>
          <t>Completed</t>
        </is>
      </c>
      <c r="N445" s="13" t="inlineStr">
        <is>
          <t>P. Rossi</t>
        </is>
      </c>
    </row>
    <row r="446">
      <c r="A446" s="13" t="inlineStr">
        <is>
          <t>HC-100444</t>
        </is>
      </c>
      <c r="B446" s="13" t="inlineStr">
        <is>
          <t>12/30/2024</t>
        </is>
      </c>
      <c r="C446" s="13" t="inlineStr">
        <is>
          <t>North</t>
        </is>
      </c>
      <c r="D446" s="13" t="inlineStr">
        <is>
          <t>Store</t>
        </is>
      </c>
      <c r="E446" s="13" t="inlineStr">
        <is>
          <t>Textiles</t>
        </is>
      </c>
      <c r="F446" s="13" t="inlineStr">
        <is>
          <t>Linen Curtain</t>
        </is>
      </c>
      <c r="G446" s="13" t="inlineStr">
        <is>
          <t>Corporate</t>
        </is>
      </c>
      <c r="H446" s="13" t="inlineStr">
        <is>
          <t>3</t>
        </is>
      </c>
      <c r="I446" s="14" t="inlineStr">
        <is>
          <t>90.53</t>
        </is>
      </c>
      <c r="J446" s="15" t="inlineStr">
        <is>
          <t>0.06</t>
        </is>
      </c>
      <c r="K446" s="14" t="inlineStr">
        <is>
          <t>40.74</t>
        </is>
      </c>
      <c r="L446" s="13" t="inlineStr">
        <is>
          <t>8</t>
        </is>
      </c>
      <c r="M446" s="13" t="inlineStr">
        <is>
          <t>Completed</t>
        </is>
      </c>
      <c r="N446" s="13" t="inlineStr">
        <is>
          <t>K. Mensah</t>
        </is>
      </c>
    </row>
    <row r="447">
      <c r="A447" s="13" t="inlineStr">
        <is>
          <t>HC-100445</t>
        </is>
      </c>
      <c r="B447" s="13" t="inlineStr">
        <is>
          <t>05-Jul-24</t>
        </is>
      </c>
      <c r="C447" s="13" t="inlineStr">
        <is>
          <t>South</t>
        </is>
      </c>
      <c r="D447" s="13" t="inlineStr">
        <is>
          <t>Store</t>
        </is>
      </c>
      <c r="E447" s="13" t="inlineStr">
        <is>
          <t>Lighting</t>
        </is>
      </c>
      <c r="F447" s="13" t="inlineStr">
        <is>
          <t>Pendant Light</t>
        </is>
      </c>
      <c r="G447" s="13" t="inlineStr">
        <is>
          <t>consumer</t>
        </is>
      </c>
      <c r="H447" s="13" t="inlineStr">
        <is>
          <t>1</t>
        </is>
      </c>
      <c r="I447" s="14" t="inlineStr">
        <is>
          <t>188.67</t>
        </is>
      </c>
      <c r="J447" s="15" t="inlineStr">
        <is>
          <t>0.03</t>
        </is>
      </c>
      <c r="K447" s="14" t="inlineStr">
        <is>
          <t>94.33</t>
        </is>
      </c>
      <c r="L447" s="13" t="inlineStr">
        <is>
          <t>5</t>
        </is>
      </c>
      <c r="M447" s="13" t="inlineStr">
        <is>
          <t>Completed</t>
        </is>
      </c>
      <c r="N447" s="13" t="inlineStr">
        <is>
          <t>J. Patel</t>
        </is>
      </c>
    </row>
    <row r="448">
      <c r="A448" s="13" t="inlineStr">
        <is>
          <t>HC-100446</t>
        </is>
      </c>
      <c r="B448" s="13" t="inlineStr">
        <is>
          <t>2025/01/06</t>
        </is>
      </c>
      <c r="C448" s="13" t="inlineStr">
        <is>
          <t>East</t>
        </is>
      </c>
      <c r="D448" s="13" t="inlineStr">
        <is>
          <t>Store</t>
        </is>
      </c>
      <c r="E448" s="13" t="inlineStr">
        <is>
          <t>Textiles</t>
        </is>
      </c>
      <c r="F448" s="13" t="inlineStr">
        <is>
          <t>Linen Curtain</t>
        </is>
      </c>
      <c r="G448" s="13" t="inlineStr">
        <is>
          <t>Consumer</t>
        </is>
      </c>
      <c r="H448" s="13" t="inlineStr">
        <is>
          <t>1</t>
        </is>
      </c>
      <c r="I448" s="14" t="inlineStr">
        <is>
          <t>79.79</t>
        </is>
      </c>
      <c r="J448" s="15" t="inlineStr">
        <is>
          <t>0.00</t>
        </is>
      </c>
      <c r="K448" s="14" t="inlineStr">
        <is>
          <t>35.90</t>
        </is>
      </c>
      <c r="L448" s="13" t="inlineStr">
        <is>
          <t>7</t>
        </is>
      </c>
      <c r="M448" s="13" t="inlineStr">
        <is>
          <t>Completed</t>
        </is>
      </c>
      <c r="N448" s="13" t="inlineStr">
        <is>
          <t>J. Patel</t>
        </is>
      </c>
    </row>
    <row r="449">
      <c r="A449" s="13" t="inlineStr">
        <is>
          <t>HC-100447</t>
        </is>
      </c>
      <c r="B449" s="13" t="inlineStr">
        <is>
          <t>23.09.2025</t>
        </is>
      </c>
      <c r="C449" s="13" t="inlineStr">
        <is>
          <t xml:space="preserve"> west </t>
        </is>
      </c>
      <c r="D449" s="13" t="inlineStr">
        <is>
          <t>Store</t>
        </is>
      </c>
      <c r="E449" s="13" t="inlineStr">
        <is>
          <t>Kitchen</t>
        </is>
      </c>
      <c r="F449" s="13" t="inlineStr">
        <is>
          <t>Ceramic Set</t>
        </is>
      </c>
      <c r="G449" s="13" t="inlineStr">
        <is>
          <t>Consumer</t>
        </is>
      </c>
      <c r="H449" s="13" t="inlineStr">
        <is>
          <t>4</t>
        </is>
      </c>
      <c r="I449" s="14" t="inlineStr">
        <is>
          <t>80.25</t>
        </is>
      </c>
      <c r="J449" s="15" t="inlineStr">
        <is>
          <t>0.07</t>
        </is>
      </c>
      <c r="K449" s="14" t="inlineStr">
        <is>
          <t>30.49</t>
        </is>
      </c>
      <c r="L449" s="13" t="inlineStr">
        <is>
          <t>3</t>
        </is>
      </c>
      <c r="M449" s="13" t="inlineStr">
        <is>
          <t>Completed</t>
        </is>
      </c>
      <c r="N449" s="13" t="inlineStr">
        <is>
          <t>K. Mensah</t>
        </is>
      </c>
    </row>
    <row r="450">
      <c r="A450" s="13" t="inlineStr">
        <is>
          <t>HC-100448</t>
        </is>
      </c>
      <c r="B450" s="13" t="inlineStr">
        <is>
          <t>03/05/2024</t>
        </is>
      </c>
      <c r="C450" s="13" t="inlineStr">
        <is>
          <t>South</t>
        </is>
      </c>
      <c r="D450" s="13" t="inlineStr">
        <is>
          <t>Store</t>
        </is>
      </c>
      <c r="E450" s="13" t="inlineStr">
        <is>
          <t>Kitchen</t>
        </is>
      </c>
      <c r="F450" s="13" t="inlineStr">
        <is>
          <t>Chef Knife</t>
        </is>
      </c>
      <c r="G450" s="13" t="inlineStr">
        <is>
          <t>Consumer</t>
        </is>
      </c>
      <c r="H450" s="13" t="inlineStr">
        <is>
          <t>2</t>
        </is>
      </c>
      <c r="I450" s="14" t="inlineStr">
        <is>
          <t>67.94</t>
        </is>
      </c>
      <c r="J450" s="15" t="inlineStr">
        <is>
          <t>0.11</t>
        </is>
      </c>
      <c r="K450" s="14" t="inlineStr">
        <is>
          <t>24.46</t>
        </is>
      </c>
      <c r="L450" s="13" t="inlineStr">
        <is>
          <t>6</t>
        </is>
      </c>
      <c r="M450" s="13" t="inlineStr">
        <is>
          <t>COMPLETED</t>
        </is>
      </c>
      <c r="N450" s="13" t="inlineStr">
        <is>
          <t>M. Okonkwo</t>
        </is>
      </c>
    </row>
    <row r="451">
      <c r="A451" s="13" t="inlineStr">
        <is>
          <t>HC-100449</t>
        </is>
      </c>
      <c r="B451" s="13" t="inlineStr">
        <is>
          <t>15-Feb-25</t>
        </is>
      </c>
      <c r="C451" s="13" t="inlineStr">
        <is>
          <t>West</t>
        </is>
      </c>
      <c r="D451" s="13" t="inlineStr">
        <is>
          <t>Online</t>
        </is>
      </c>
      <c r="E451" s="13" t="inlineStr">
        <is>
          <t>Kitchen</t>
        </is>
      </c>
      <c r="F451" s="13" t="inlineStr">
        <is>
          <t>Cast Skillet</t>
        </is>
      </c>
      <c r="G451" s="13" t="inlineStr">
        <is>
          <t>Home Office</t>
        </is>
      </c>
      <c r="H451" s="13" t="inlineStr">
        <is>
          <t>2</t>
        </is>
      </c>
      <c r="I451" s="14" t="inlineStr">
        <is>
          <t>51.72</t>
        </is>
      </c>
      <c r="J451" s="15" t="inlineStr">
        <is>
          <t>0.16</t>
        </is>
      </c>
      <c r="K451" s="14" t="inlineStr">
        <is>
          <t>20.69</t>
        </is>
      </c>
      <c r="L451" s="13" t="inlineStr">
        <is>
          <t>4</t>
        </is>
      </c>
      <c r="M451" s="13" t="inlineStr">
        <is>
          <t>Completed</t>
        </is>
      </c>
      <c r="N451" s="13" t="inlineStr">
        <is>
          <t>K. Mensah</t>
        </is>
      </c>
    </row>
    <row r="452">
      <c r="A452" s="13" t="inlineStr">
        <is>
          <t>HC-100450</t>
        </is>
      </c>
      <c r="B452" s="13" t="inlineStr">
        <is>
          <t>2025/01/30</t>
        </is>
      </c>
      <c r="C452" s="13" t="inlineStr">
        <is>
          <t>North</t>
        </is>
      </c>
      <c r="D452" s="13" t="inlineStr">
        <is>
          <t>Store</t>
        </is>
      </c>
      <c r="E452" s="13" t="inlineStr">
        <is>
          <t>Furniture</t>
        </is>
      </c>
      <c r="F452" s="13" t="inlineStr">
        <is>
          <t>Walnut Shelf</t>
        </is>
      </c>
      <c r="G452" s="13" t="inlineStr">
        <is>
          <t>Consumer</t>
        </is>
      </c>
      <c r="H452" s="13" t="inlineStr">
        <is>
          <t>2</t>
        </is>
      </c>
      <c r="I452" s="14" t="inlineStr">
        <is>
          <t>220.76</t>
        </is>
      </c>
      <c r="J452" s="15" t="inlineStr">
        <is>
          <t>0.08</t>
        </is>
      </c>
      <c r="K452" s="14" t="inlineStr">
        <is>
          <t>121.42</t>
        </is>
      </c>
      <c r="L452" s="13" t="inlineStr">
        <is>
          <t>5</t>
        </is>
      </c>
      <c r="M452" s="13" t="inlineStr">
        <is>
          <t>Completed</t>
        </is>
      </c>
      <c r="N452" s="13" t="inlineStr">
        <is>
          <t>S. Nguyen</t>
        </is>
      </c>
    </row>
    <row r="453">
      <c r="A453" s="13" t="inlineStr">
        <is>
          <t>HC-100451</t>
        </is>
      </c>
      <c r="B453" s="13" t="inlineStr">
        <is>
          <t>02.04.2025</t>
        </is>
      </c>
      <c r="C453" s="13" t="inlineStr">
        <is>
          <t>North</t>
        </is>
      </c>
      <c r="D453" s="13" t="inlineStr">
        <is>
          <t>Online</t>
        </is>
      </c>
      <c r="E453" s="13" t="inlineStr">
        <is>
          <t>Furniture</t>
        </is>
      </c>
      <c r="F453" s="13" t="inlineStr">
        <is>
          <t>Oak Desk</t>
        </is>
      </c>
      <c r="G453" s="13" t="inlineStr">
        <is>
          <t>Consumer</t>
        </is>
      </c>
      <c r="H453" s="13" t="inlineStr">
        <is>
          <t>3</t>
        </is>
      </c>
      <c r="I453" s="14" t="inlineStr">
        <is>
          <t>782.69</t>
        </is>
      </c>
      <c r="J453" s="15" t="inlineStr">
        <is>
          <t>0.04</t>
        </is>
      </c>
      <c r="K453" s="14" t="inlineStr">
        <is>
          <t>485.27</t>
        </is>
      </c>
      <c r="L453" s="13" t="inlineStr">
        <is>
          <t>2</t>
        </is>
      </c>
      <c r="M453" s="13" t="inlineStr">
        <is>
          <t>Completed</t>
        </is>
      </c>
      <c r="N453" s="13" t="inlineStr">
        <is>
          <t>S. Nguyen</t>
        </is>
      </c>
    </row>
    <row r="454">
      <c r="A454" s="13" t="inlineStr">
        <is>
          <t>HC-100452</t>
        </is>
      </c>
      <c r="B454" s="13" t="inlineStr">
        <is>
          <t>11/25/2024</t>
        </is>
      </c>
      <c r="C454" s="13" t="inlineStr">
        <is>
          <t>South</t>
        </is>
      </c>
      <c r="D454" s="13" t="inlineStr">
        <is>
          <t>Store</t>
        </is>
      </c>
      <c r="E454" s="13" t="inlineStr">
        <is>
          <t>LIGHTING</t>
        </is>
      </c>
      <c r="F454" s="13" t="inlineStr">
        <is>
          <t>Brass Sconce</t>
        </is>
      </c>
      <c r="G454" s="13" t="inlineStr">
        <is>
          <t>Consumer</t>
        </is>
      </c>
      <c r="H454" s="13" t="inlineStr">
        <is>
          <t>4</t>
        </is>
      </c>
      <c r="I454" s="14" t="inlineStr">
        <is>
          <t>140.66</t>
        </is>
      </c>
      <c r="J454" s="15" t="inlineStr">
        <is>
          <t>0.06</t>
        </is>
      </c>
      <c r="K454" s="14" t="inlineStr">
        <is>
          <t>64.70</t>
        </is>
      </c>
      <c r="L454" s="13" t="inlineStr">
        <is>
          <t>7</t>
        </is>
      </c>
      <c r="M454" s="13" t="inlineStr">
        <is>
          <t>Completed</t>
        </is>
      </c>
      <c r="N454" s="13" t="inlineStr">
        <is>
          <t>K. Mensah</t>
        </is>
      </c>
    </row>
    <row r="455">
      <c r="A455" s="13" t="inlineStr">
        <is>
          <t>HC-100453</t>
        </is>
      </c>
      <c r="B455" s="13" t="inlineStr">
        <is>
          <t>06-Oct-24</t>
        </is>
      </c>
      <c r="C455" s="13" t="inlineStr">
        <is>
          <t>Nort</t>
        </is>
      </c>
      <c r="D455" s="13" t="inlineStr">
        <is>
          <t>Store</t>
        </is>
      </c>
      <c r="E455" s="13" t="inlineStr">
        <is>
          <t>TEXTILES</t>
        </is>
      </c>
      <c r="F455" s="13" t="inlineStr">
        <is>
          <t>Linen Curtain</t>
        </is>
      </c>
      <c r="G455" s="13" t="inlineStr">
        <is>
          <t>Corporate</t>
        </is>
      </c>
      <c r="H455" s="13" t="inlineStr">
        <is>
          <t>3</t>
        </is>
      </c>
      <c r="I455" s="14" t="inlineStr">
        <is>
          <t>98.53</t>
        </is>
      </c>
      <c r="J455" s="15" t="inlineStr">
        <is>
          <t>0.02</t>
        </is>
      </c>
      <c r="K455" s="14" t="inlineStr">
        <is>
          <t>44.34</t>
        </is>
      </c>
      <c r="L455" s="13" t="inlineStr">
        <is>
          <t>2</t>
        </is>
      </c>
      <c r="M455" s="13" t="inlineStr">
        <is>
          <t>Returned</t>
        </is>
      </c>
      <c r="N455" s="13" t="inlineStr">
        <is>
          <t>M. Okonkwo</t>
        </is>
      </c>
    </row>
    <row r="456">
      <c r="A456" s="13" t="inlineStr">
        <is>
          <t>HC-100454</t>
        </is>
      </c>
      <c r="B456" s="13" t="inlineStr">
        <is>
          <t>2024/12/21</t>
        </is>
      </c>
      <c r="C456" s="13" t="inlineStr">
        <is>
          <t>East</t>
        </is>
      </c>
      <c r="D456" s="13" t="inlineStr">
        <is>
          <t>Store</t>
        </is>
      </c>
      <c r="E456" s="13" t="inlineStr">
        <is>
          <t>TEXTILES</t>
        </is>
      </c>
      <c r="F456" s="13" t="inlineStr">
        <is>
          <t>Linen Curtain</t>
        </is>
      </c>
      <c r="G456" s="13" t="inlineStr">
        <is>
          <t>Consumer</t>
        </is>
      </c>
      <c r="H456" s="13" t="inlineStr">
        <is>
          <t>2</t>
        </is>
      </c>
      <c r="I456" s="14" t="inlineStr">
        <is>
          <t>80.04</t>
        </is>
      </c>
      <c r="J456" s="15" t="inlineStr">
        <is>
          <t>0.11</t>
        </is>
      </c>
      <c r="K456" s="14" t="inlineStr">
        <is>
          <t>36.02</t>
        </is>
      </c>
      <c r="L456" s="13" t="inlineStr">
        <is>
          <t>13</t>
        </is>
      </c>
      <c r="M456" s="13" t="inlineStr">
        <is>
          <t>Returned</t>
        </is>
      </c>
      <c r="N456" s="13" t="inlineStr">
        <is>
          <t>M. Okonkwo</t>
        </is>
      </c>
    </row>
    <row r="457">
      <c r="A457" s="13" t="inlineStr">
        <is>
          <t>HC-100455</t>
        </is>
      </c>
      <c r="B457" s="13" t="inlineStr">
        <is>
          <t>15.08.2025</t>
        </is>
      </c>
      <c r="C457" s="13" t="inlineStr">
        <is>
          <t>South</t>
        </is>
      </c>
      <c r="D457" s="13" t="inlineStr">
        <is>
          <t>Store</t>
        </is>
      </c>
      <c r="E457" s="13" t="inlineStr">
        <is>
          <t>Textiles</t>
        </is>
      </c>
      <c r="F457" s="13" t="inlineStr">
        <is>
          <t>Cotton Duvet</t>
        </is>
      </c>
      <c r="G457" s="13" t="inlineStr">
        <is>
          <t>Home Office</t>
        </is>
      </c>
      <c r="H457" s="13" t="inlineStr">
        <is>
          <t>2</t>
        </is>
      </c>
      <c r="I457" s="14" t="inlineStr">
        <is>
          <t>111.86</t>
        </is>
      </c>
      <c r="J457" s="15" t="inlineStr">
        <is>
          <t>0.10</t>
        </is>
      </c>
      <c r="K457" s="14" t="inlineStr">
        <is>
          <t>49.22</t>
        </is>
      </c>
      <c r="L457" s="13" t="inlineStr">
        <is>
          <t>8</t>
        </is>
      </c>
      <c r="M457" s="13" t="inlineStr">
        <is>
          <t>Completed</t>
        </is>
      </c>
      <c r="N457" s="13" t="inlineStr">
        <is>
          <t>R. Ibarra</t>
        </is>
      </c>
    </row>
    <row r="458">
      <c r="A458" s="13" t="inlineStr">
        <is>
          <t>HC-100456</t>
        </is>
      </c>
      <c r="B458" s="13" t="inlineStr">
        <is>
          <t>10/29/2024</t>
        </is>
      </c>
      <c r="C458" s="13" t="inlineStr">
        <is>
          <t>East</t>
        </is>
      </c>
      <c r="D458" s="13" t="inlineStr">
        <is>
          <t>Store</t>
        </is>
      </c>
      <c r="E458" s="13" t="inlineStr">
        <is>
          <t>Kitchen</t>
        </is>
      </c>
      <c r="F458" s="13" t="inlineStr">
        <is>
          <t>Cast Skillet</t>
        </is>
      </c>
      <c r="G458" s="13" t="inlineStr">
        <is>
          <t>Consumer</t>
        </is>
      </c>
      <c r="H458" s="13" t="inlineStr">
        <is>
          <t>2</t>
        </is>
      </c>
      <c r="I458" s="14" t="inlineStr">
        <is>
          <t>44.75</t>
        </is>
      </c>
      <c r="J458" s="15" t="inlineStr">
        <is>
          <t>0.02</t>
        </is>
      </c>
      <c r="K458" s="14" t="inlineStr">
        <is>
          <t>17.90</t>
        </is>
      </c>
      <c r="L458" s="13" t="inlineStr">
        <is>
          <t>6</t>
        </is>
      </c>
      <c r="M458" s="13" t="inlineStr">
        <is>
          <t>Completed</t>
        </is>
      </c>
      <c r="N458" s="13" t="inlineStr">
        <is>
          <t>A. Shah</t>
        </is>
      </c>
    </row>
    <row r="459">
      <c r="A459" s="13" t="inlineStr">
        <is>
          <t>HC-100457</t>
        </is>
      </c>
      <c r="B459" s="13" t="inlineStr">
        <is>
          <t>19-Mar-24</t>
        </is>
      </c>
      <c r="C459" s="13" t="inlineStr">
        <is>
          <t>West</t>
        </is>
      </c>
      <c r="D459" s="13" t="inlineStr">
        <is>
          <t>Store</t>
        </is>
      </c>
      <c r="E459" s="13" t="inlineStr">
        <is>
          <t>FURNITURE</t>
        </is>
      </c>
      <c r="F459" s="13" t="inlineStr">
        <is>
          <t>Oak Desk</t>
        </is>
      </c>
      <c r="G459" s="13" t="inlineStr"/>
      <c r="H459" s="13" t="inlineStr">
        <is>
          <t>2</t>
        </is>
      </c>
      <c r="I459" s="14" t="inlineStr">
        <is>
          <t>897.00</t>
        </is>
      </c>
      <c r="J459" s="15" t="inlineStr">
        <is>
          <t>0.09</t>
        </is>
      </c>
      <c r="K459" s="14" t="inlineStr">
        <is>
          <t>556.14</t>
        </is>
      </c>
      <c r="L459" s="13" t="inlineStr">
        <is>
          <t>4</t>
        </is>
      </c>
      <c r="M459" s="13" t="inlineStr">
        <is>
          <t>Completed</t>
        </is>
      </c>
      <c r="N459" s="13" t="inlineStr">
        <is>
          <t>M. Okonkwo</t>
        </is>
      </c>
    </row>
    <row r="460">
      <c r="A460" s="13" t="inlineStr">
        <is>
          <t>HC-100458</t>
        </is>
      </c>
      <c r="B460" s="13" t="inlineStr">
        <is>
          <t>2025/04/26</t>
        </is>
      </c>
      <c r="C460" s="13" t="inlineStr">
        <is>
          <t>South</t>
        </is>
      </c>
      <c r="D460" s="13" t="inlineStr">
        <is>
          <t>Store</t>
        </is>
      </c>
      <c r="E460" s="13" t="inlineStr">
        <is>
          <t>Textiles</t>
        </is>
      </c>
      <c r="F460" s="13" t="inlineStr">
        <is>
          <t>Linen Curtain</t>
        </is>
      </c>
      <c r="G460" s="13" t="inlineStr">
        <is>
          <t>consumer</t>
        </is>
      </c>
      <c r="H460" s="13" t="inlineStr">
        <is>
          <t>4</t>
        </is>
      </c>
      <c r="I460" s="14" t="inlineStr">
        <is>
          <t>91.21</t>
        </is>
      </c>
      <c r="J460" s="15" t="inlineStr">
        <is>
          <t>0.03</t>
        </is>
      </c>
      <c r="K460" s="14" t="inlineStr">
        <is>
          <t>41.04</t>
        </is>
      </c>
      <c r="L460" s="13" t="inlineStr">
        <is>
          <t>5</t>
        </is>
      </c>
      <c r="M460" s="13" t="inlineStr">
        <is>
          <t>Completed</t>
        </is>
      </c>
      <c r="N460" s="13" t="inlineStr">
        <is>
          <t>K. Mensah</t>
        </is>
      </c>
    </row>
    <row r="461">
      <c r="A461" s="13" t="inlineStr">
        <is>
          <t>HC-100459</t>
        </is>
      </c>
      <c r="B461" s="13" t="inlineStr">
        <is>
          <t>03.12.2024</t>
        </is>
      </c>
      <c r="C461" s="13" t="inlineStr">
        <is>
          <t>east</t>
        </is>
      </c>
      <c r="D461" s="13" t="inlineStr">
        <is>
          <t>Online</t>
        </is>
      </c>
      <c r="E461" s="13" t="inlineStr">
        <is>
          <t>Kitchen</t>
        </is>
      </c>
      <c r="F461" s="13" t="inlineStr">
        <is>
          <t>Ceramic Set</t>
        </is>
      </c>
      <c r="G461" s="13" t="inlineStr">
        <is>
          <t>Home Office</t>
        </is>
      </c>
      <c r="H461" s="13" t="inlineStr">
        <is>
          <t>3</t>
        </is>
      </c>
      <c r="I461" s="14" t="inlineStr">
        <is>
          <t>81.59</t>
        </is>
      </c>
      <c r="J461" s="15" t="inlineStr">
        <is>
          <t>0.16</t>
        </is>
      </c>
      <c r="K461" s="14" t="inlineStr">
        <is>
          <t>31.00</t>
        </is>
      </c>
      <c r="L461" s="13" t="inlineStr">
        <is>
          <t>7</t>
        </is>
      </c>
      <c r="M461" s="13" t="inlineStr">
        <is>
          <t>Completed</t>
        </is>
      </c>
      <c r="N461" s="13" t="inlineStr">
        <is>
          <t>R. Ibarra</t>
        </is>
      </c>
    </row>
    <row r="462">
      <c r="A462" s="13" t="inlineStr">
        <is>
          <t>HC-100460</t>
        </is>
      </c>
      <c r="B462" s="13" t="inlineStr">
        <is>
          <t>07/29/2024</t>
        </is>
      </c>
      <c r="C462" s="13" t="inlineStr">
        <is>
          <t>South</t>
        </is>
      </c>
      <c r="D462" s="13" t="inlineStr">
        <is>
          <t>retail</t>
        </is>
      </c>
      <c r="E462" s="13" t="inlineStr">
        <is>
          <t>Textiles</t>
        </is>
      </c>
      <c r="F462" s="13" t="inlineStr">
        <is>
          <t>Cotton Duvet</t>
        </is>
      </c>
      <c r="G462" s="13" t="inlineStr">
        <is>
          <t>Consumer</t>
        </is>
      </c>
      <c r="H462" s="13" t="inlineStr">
        <is>
          <t>2</t>
        </is>
      </c>
      <c r="I462" s="14" t="inlineStr">
        <is>
          <t>117.58</t>
        </is>
      </c>
      <c r="J462" s="15" t="inlineStr">
        <is>
          <t>0.01</t>
        </is>
      </c>
      <c r="K462" s="14" t="inlineStr">
        <is>
          <t>51.73</t>
        </is>
      </c>
      <c r="L462" s="13" t="inlineStr">
        <is>
          <t>4</t>
        </is>
      </c>
      <c r="M462" s="13" t="inlineStr">
        <is>
          <t>Completed</t>
        </is>
      </c>
      <c r="N462" s="13" t="inlineStr">
        <is>
          <t>P. Rossi</t>
        </is>
      </c>
    </row>
    <row r="463">
      <c r="A463" s="13" t="inlineStr">
        <is>
          <t>HC-100461</t>
        </is>
      </c>
      <c r="B463" s="13" t="inlineStr">
        <is>
          <t>04-Feb-25</t>
        </is>
      </c>
      <c r="C463" s="13" t="inlineStr">
        <is>
          <t>Nort</t>
        </is>
      </c>
      <c r="D463" s="13" t="inlineStr">
        <is>
          <t>Store</t>
        </is>
      </c>
      <c r="E463" s="13" t="inlineStr">
        <is>
          <t>Furniture</t>
        </is>
      </c>
      <c r="F463" s="13" t="inlineStr">
        <is>
          <t>Walnut Shelf</t>
        </is>
      </c>
      <c r="G463" s="13" t="inlineStr">
        <is>
          <t>Consumer</t>
        </is>
      </c>
      <c r="H463" s="13" t="inlineStr">
        <is>
          <t>4</t>
        </is>
      </c>
      <c r="I463" s="14" t="inlineStr">
        <is>
          <t>206.65</t>
        </is>
      </c>
      <c r="J463" s="15" t="inlineStr">
        <is>
          <t>0.03</t>
        </is>
      </c>
      <c r="K463" s="14" t="inlineStr">
        <is>
          <t>113.66</t>
        </is>
      </c>
      <c r="L463" s="13" t="inlineStr">
        <is>
          <t>5</t>
        </is>
      </c>
      <c r="M463" s="13" t="inlineStr">
        <is>
          <t>Completed</t>
        </is>
      </c>
      <c r="N463" s="13" t="inlineStr">
        <is>
          <t>M. Okonkwo</t>
        </is>
      </c>
    </row>
    <row r="464">
      <c r="A464" s="13" t="inlineStr">
        <is>
          <t>HC-100462</t>
        </is>
      </c>
      <c r="B464" s="13" t="inlineStr">
        <is>
          <t>2024/02/12</t>
        </is>
      </c>
      <c r="C464" s="13" t="inlineStr">
        <is>
          <t>South</t>
        </is>
      </c>
      <c r="D464" s="13" t="inlineStr">
        <is>
          <t>Online</t>
        </is>
      </c>
      <c r="E464" s="13" t="inlineStr">
        <is>
          <t>Furniture</t>
        </is>
      </c>
      <c r="F464" s="13" t="inlineStr">
        <is>
          <t>Linen Sofa</t>
        </is>
      </c>
      <c r="G464" s="13" t="inlineStr">
        <is>
          <t>Consumer</t>
        </is>
      </c>
      <c r="H464" s="13" t="inlineStr">
        <is>
          <t>2</t>
        </is>
      </c>
      <c r="I464" s="14" t="inlineStr">
        <is>
          <t>1161.10</t>
        </is>
      </c>
      <c r="J464" s="15" t="inlineStr">
        <is>
          <t>12%</t>
        </is>
      </c>
      <c r="K464" s="14" t="inlineStr">
        <is>
          <t>766.32</t>
        </is>
      </c>
      <c r="L464" s="13" t="inlineStr">
        <is>
          <t>4</t>
        </is>
      </c>
      <c r="M464" s="13" t="inlineStr">
        <is>
          <t>Returned</t>
        </is>
      </c>
      <c r="N464" s="13" t="inlineStr">
        <is>
          <t>K. Mensah</t>
        </is>
      </c>
    </row>
    <row r="465">
      <c r="A465" s="13" t="inlineStr">
        <is>
          <t>HC-100463</t>
        </is>
      </c>
      <c r="B465" s="13" t="inlineStr">
        <is>
          <t>01.11.2024</t>
        </is>
      </c>
      <c r="C465" s="13" t="inlineStr">
        <is>
          <t>South</t>
        </is>
      </c>
      <c r="D465" s="13" t="inlineStr">
        <is>
          <t>Online</t>
        </is>
      </c>
      <c r="E465" s="13" t="inlineStr">
        <is>
          <t>Furniture</t>
        </is>
      </c>
      <c r="F465" s="13" t="inlineStr">
        <is>
          <t>Walnut Shelf</t>
        </is>
      </c>
      <c r="G465" s="13" t="inlineStr">
        <is>
          <t>Consumer</t>
        </is>
      </c>
      <c r="H465" s="13" t="inlineStr">
        <is>
          <t>4</t>
        </is>
      </c>
      <c r="I465" s="14" t="inlineStr">
        <is>
          <t>232.30</t>
        </is>
      </c>
      <c r="J465" s="15" t="inlineStr">
        <is>
          <t>0.13</t>
        </is>
      </c>
      <c r="K465" s="14" t="inlineStr">
        <is>
          <t>127.77</t>
        </is>
      </c>
      <c r="L465" s="13" t="inlineStr">
        <is>
          <t>3</t>
        </is>
      </c>
      <c r="M465" s="13" t="inlineStr">
        <is>
          <t>Completed</t>
        </is>
      </c>
      <c r="N465" s="13" t="inlineStr">
        <is>
          <t>A. Shah</t>
        </is>
      </c>
    </row>
    <row r="466">
      <c r="A466" s="13" t="inlineStr">
        <is>
          <t>HC-100464</t>
        </is>
      </c>
      <c r="B466" s="13" t="inlineStr">
        <is>
          <t>02/25/2024</t>
        </is>
      </c>
      <c r="C466" s="13" t="inlineStr">
        <is>
          <t>north</t>
        </is>
      </c>
      <c r="D466" s="13" t="inlineStr">
        <is>
          <t>Online</t>
        </is>
      </c>
      <c r="E466" s="13" t="inlineStr">
        <is>
          <t>Lighting</t>
        </is>
      </c>
      <c r="F466" s="13" t="inlineStr">
        <is>
          <t>Brass Sconce</t>
        </is>
      </c>
      <c r="G466" s="13" t="inlineStr">
        <is>
          <t>Consumer</t>
        </is>
      </c>
      <c r="H466" s="13" t="inlineStr">
        <is>
          <t>one</t>
        </is>
      </c>
      <c r="I466" s="14" t="inlineStr">
        <is>
          <t>130.93</t>
        </is>
      </c>
      <c r="J466" s="15" t="inlineStr">
        <is>
          <t>0.04</t>
        </is>
      </c>
      <c r="K466" s="14" t="inlineStr">
        <is>
          <t>60.23</t>
        </is>
      </c>
      <c r="L466" s="13" t="inlineStr">
        <is>
          <t>9</t>
        </is>
      </c>
      <c r="M466" s="13" t="inlineStr">
        <is>
          <t>complete</t>
        </is>
      </c>
      <c r="N466" s="13" t="inlineStr">
        <is>
          <t>M. Okonkwo</t>
        </is>
      </c>
    </row>
    <row r="467">
      <c r="A467" s="13" t="inlineStr">
        <is>
          <t>HC-100465</t>
        </is>
      </c>
      <c r="B467" s="13" t="inlineStr">
        <is>
          <t>26-Feb-25</t>
        </is>
      </c>
      <c r="C467" s="13" t="inlineStr">
        <is>
          <t>North</t>
        </is>
      </c>
      <c r="D467" s="13" t="inlineStr">
        <is>
          <t>Store</t>
        </is>
      </c>
      <c r="E467" s="13" t="inlineStr">
        <is>
          <t>LIGHTING</t>
        </is>
      </c>
      <c r="F467" s="13" t="inlineStr">
        <is>
          <t>Arc Lamp</t>
        </is>
      </c>
      <c r="G467" s="13" t="inlineStr">
        <is>
          <t>Consumer</t>
        </is>
      </c>
      <c r="H467" s="13" t="inlineStr">
        <is>
          <t>4</t>
        </is>
      </c>
      <c r="I467" s="14" t="inlineStr">
        <is>
          <t>293.89</t>
        </is>
      </c>
      <c r="J467" s="15" t="inlineStr">
        <is>
          <t>0.10</t>
        </is>
      </c>
      <c r="K467" s="14" t="inlineStr">
        <is>
          <t>141.07</t>
        </is>
      </c>
      <c r="L467" s="13" t="inlineStr">
        <is>
          <t>9</t>
        </is>
      </c>
      <c r="M467" s="13" t="inlineStr">
        <is>
          <t>Completed</t>
        </is>
      </c>
      <c r="N467" s="13" t="inlineStr">
        <is>
          <t>J. Patel</t>
        </is>
      </c>
    </row>
    <row r="468">
      <c r="A468" s="13" t="inlineStr">
        <is>
          <t>HC-100466</t>
        </is>
      </c>
      <c r="B468" s="13" t="inlineStr">
        <is>
          <t>2025/07/21</t>
        </is>
      </c>
      <c r="C468" s="13" t="inlineStr">
        <is>
          <t>East</t>
        </is>
      </c>
      <c r="D468" s="13" t="inlineStr">
        <is>
          <t>Online</t>
        </is>
      </c>
      <c r="E468" s="13" t="inlineStr">
        <is>
          <t>Textiles</t>
        </is>
      </c>
      <c r="F468" s="13" t="inlineStr">
        <is>
          <t>Linen Curtain</t>
        </is>
      </c>
      <c r="G468" s="13" t="inlineStr">
        <is>
          <t>Corporate</t>
        </is>
      </c>
      <c r="H468" s="13" t="inlineStr">
        <is>
          <t>3</t>
        </is>
      </c>
      <c r="I468" s="14" t="inlineStr">
        <is>
          <t>91.26</t>
        </is>
      </c>
      <c r="J468" s="15" t="inlineStr">
        <is>
          <t>0.13</t>
        </is>
      </c>
      <c r="K468" s="14" t="inlineStr">
        <is>
          <t>41.07</t>
        </is>
      </c>
      <c r="L468" s="13" t="inlineStr">
        <is>
          <t>6</t>
        </is>
      </c>
      <c r="M468" s="13" t="inlineStr">
        <is>
          <t>Completed</t>
        </is>
      </c>
      <c r="N468" s="13" t="inlineStr">
        <is>
          <t>J. Patel</t>
        </is>
      </c>
    </row>
    <row r="469">
      <c r="A469" s="13" t="inlineStr">
        <is>
          <t>HC-100467</t>
        </is>
      </c>
      <c r="B469" s="13" t="inlineStr">
        <is>
          <t>16.08.2024</t>
        </is>
      </c>
      <c r="C469" s="13" t="inlineStr">
        <is>
          <t>South</t>
        </is>
      </c>
      <c r="D469" s="13" t="inlineStr">
        <is>
          <t>Online</t>
        </is>
      </c>
      <c r="E469" s="13" t="inlineStr">
        <is>
          <t>Lighting</t>
        </is>
      </c>
      <c r="F469" s="13" t="inlineStr">
        <is>
          <t>Pendant Light</t>
        </is>
      </c>
      <c r="G469" s="13" t="inlineStr">
        <is>
          <t>Consumer</t>
        </is>
      </c>
      <c r="H469" s="13" t="inlineStr">
        <is>
          <t>1</t>
        </is>
      </c>
      <c r="I469" s="14" t="inlineStr">
        <is>
          <t>171.49</t>
        </is>
      </c>
      <c r="J469" s="15" t="inlineStr">
        <is>
          <t>0.16</t>
        </is>
      </c>
      <c r="K469" s="14" t="inlineStr">
        <is>
          <t>85.75</t>
        </is>
      </c>
      <c r="L469" s="13" t="inlineStr">
        <is>
          <t>8</t>
        </is>
      </c>
      <c r="M469" s="13" t="inlineStr">
        <is>
          <t>Completed</t>
        </is>
      </c>
      <c r="N469" s="13" t="inlineStr">
        <is>
          <t>A. Shah</t>
        </is>
      </c>
    </row>
    <row r="470">
      <c r="A470" s="13" t="inlineStr">
        <is>
          <t>HC-100468</t>
        </is>
      </c>
      <c r="B470" s="13" t="inlineStr">
        <is>
          <t>07/05/2024</t>
        </is>
      </c>
      <c r="C470" s="13" t="inlineStr">
        <is>
          <t>North</t>
        </is>
      </c>
      <c r="D470" s="13" t="inlineStr">
        <is>
          <t>Online</t>
        </is>
      </c>
      <c r="E470" s="13" t="inlineStr">
        <is>
          <t>Textiles</t>
        </is>
      </c>
      <c r="F470" s="13" t="inlineStr">
        <is>
          <t>Wool Throw</t>
        </is>
      </c>
      <c r="G470" s="13" t="inlineStr">
        <is>
          <t>consumer</t>
        </is>
      </c>
      <c r="H470" s="13" t="inlineStr">
        <is>
          <t>2</t>
        </is>
      </c>
      <c r="I470" s="14" t="inlineStr">
        <is>
          <t>78.44</t>
        </is>
      </c>
      <c r="J470" s="15" t="inlineStr">
        <is>
          <t>0.06</t>
        </is>
      </c>
      <c r="K470" s="14" t="inlineStr">
        <is>
          <t>32.94</t>
        </is>
      </c>
      <c r="L470" s="13" t="inlineStr">
        <is>
          <t>5</t>
        </is>
      </c>
      <c r="M470" s="13" t="inlineStr">
        <is>
          <t>Completed</t>
        </is>
      </c>
      <c r="N470" s="13" t="inlineStr">
        <is>
          <t>J. Patel</t>
        </is>
      </c>
    </row>
    <row r="471">
      <c r="A471" s="13" t="inlineStr">
        <is>
          <t>HC-100469</t>
        </is>
      </c>
      <c r="B471" s="13" t="inlineStr">
        <is>
          <t>07-Apr-25</t>
        </is>
      </c>
      <c r="C471" s="13" t="inlineStr">
        <is>
          <t>South</t>
        </is>
      </c>
      <c r="D471" s="13" t="inlineStr">
        <is>
          <t>Store</t>
        </is>
      </c>
      <c r="E471" s="13" t="inlineStr">
        <is>
          <t>Lighting</t>
        </is>
      </c>
      <c r="F471" s="13" t="inlineStr">
        <is>
          <t>Arc Lamp</t>
        </is>
      </c>
      <c r="G471" s="13" t="inlineStr">
        <is>
          <t>Consumer</t>
        </is>
      </c>
      <c r="H471" s="13" t="inlineStr">
        <is>
          <t>4</t>
        </is>
      </c>
      <c r="I471" s="14" t="inlineStr">
        <is>
          <t>333.63</t>
        </is>
      </c>
      <c r="J471" s="15" t="inlineStr">
        <is>
          <t>0.02</t>
        </is>
      </c>
      <c r="K471" s="14" t="inlineStr">
        <is>
          <t>160.14</t>
        </is>
      </c>
      <c r="L471" s="13" t="inlineStr">
        <is>
          <t>5</t>
        </is>
      </c>
      <c r="M471" s="13" t="inlineStr">
        <is>
          <t>Completed</t>
        </is>
      </c>
      <c r="N471" s="13" t="inlineStr">
        <is>
          <t>R. Ibarra</t>
        </is>
      </c>
    </row>
    <row r="472">
      <c r="A472" s="13" t="inlineStr">
        <is>
          <t>HC-100470</t>
        </is>
      </c>
      <c r="B472" s="13" t="inlineStr">
        <is>
          <t>2024/03/17</t>
        </is>
      </c>
      <c r="C472" s="13" t="inlineStr">
        <is>
          <t>North</t>
        </is>
      </c>
      <c r="D472" s="13" t="inlineStr">
        <is>
          <t>Store</t>
        </is>
      </c>
      <c r="E472" s="13" t="inlineStr">
        <is>
          <t>Furniture</t>
        </is>
      </c>
      <c r="F472" s="13" t="inlineStr">
        <is>
          <t>Linen Sofa</t>
        </is>
      </c>
      <c r="G472" s="13" t="inlineStr">
        <is>
          <t>Corporate</t>
        </is>
      </c>
      <c r="H472" s="13" t="inlineStr">
        <is>
          <t>4</t>
        </is>
      </c>
      <c r="I472" s="14" t="inlineStr">
        <is>
          <t>1271.52</t>
        </is>
      </c>
      <c r="J472" s="15" t="inlineStr">
        <is>
          <t>0.07</t>
        </is>
      </c>
      <c r="K472" s="14" t="inlineStr">
        <is>
          <t>839.20</t>
        </is>
      </c>
      <c r="L472" s="13" t="inlineStr">
        <is>
          <t>9</t>
        </is>
      </c>
      <c r="M472" s="13" t="inlineStr">
        <is>
          <t>Returned</t>
        </is>
      </c>
      <c r="N472" s="13" t="inlineStr">
        <is>
          <t>P. Rossi</t>
        </is>
      </c>
    </row>
    <row r="473">
      <c r="A473" s="13" t="inlineStr">
        <is>
          <t>HC-100471</t>
        </is>
      </c>
      <c r="B473" s="13" t="inlineStr">
        <is>
          <t>11.11.2024</t>
        </is>
      </c>
      <c r="C473" s="13" t="inlineStr">
        <is>
          <t>West</t>
        </is>
      </c>
      <c r="D473" s="13" t="inlineStr">
        <is>
          <t>Online</t>
        </is>
      </c>
      <c r="E473" s="13" t="inlineStr">
        <is>
          <t>Furniture</t>
        </is>
      </c>
      <c r="F473" s="13" t="inlineStr">
        <is>
          <t>Linen Sofa</t>
        </is>
      </c>
      <c r="G473" s="13" t="inlineStr">
        <is>
          <t>Consumer</t>
        </is>
      </c>
      <c r="H473" s="13" t="inlineStr">
        <is>
          <t>2</t>
        </is>
      </c>
      <c r="I473" s="14" t="inlineStr">
        <is>
          <t>1181.43</t>
        </is>
      </c>
      <c r="J473" s="15" t="inlineStr">
        <is>
          <t>0.07</t>
        </is>
      </c>
      <c r="K473" s="14" t="inlineStr">
        <is>
          <t>779.74</t>
        </is>
      </c>
      <c r="L473" s="13" t="inlineStr">
        <is>
          <t>3</t>
        </is>
      </c>
      <c r="M473" s="13" t="inlineStr">
        <is>
          <t>complete</t>
        </is>
      </c>
      <c r="N473" s="13" t="inlineStr">
        <is>
          <t>S. Nguyen</t>
        </is>
      </c>
    </row>
    <row r="474">
      <c r="A474" s="13" t="inlineStr">
        <is>
          <t>HC-100472</t>
        </is>
      </c>
      <c r="B474" s="13" t="inlineStr">
        <is>
          <t>05/30/2024</t>
        </is>
      </c>
      <c r="C474" s="13" t="inlineStr">
        <is>
          <t>South</t>
        </is>
      </c>
      <c r="D474" s="13" t="inlineStr">
        <is>
          <t>Wholesale</t>
        </is>
      </c>
      <c r="E474" s="13" t="inlineStr">
        <is>
          <t>Furniture</t>
        </is>
      </c>
      <c r="F474" s="13" t="inlineStr">
        <is>
          <t>Linen Sofa</t>
        </is>
      </c>
      <c r="G474" s="13" t="inlineStr">
        <is>
          <t>Consumer</t>
        </is>
      </c>
      <c r="H474" s="13" t="inlineStr">
        <is>
          <t>8</t>
        </is>
      </c>
      <c r="I474" s="14" t="inlineStr">
        <is>
          <t>1182.39</t>
        </is>
      </c>
      <c r="J474" s="15" t="inlineStr">
        <is>
          <t>0.31</t>
        </is>
      </c>
      <c r="K474" s="14" t="inlineStr">
        <is>
          <t>780.37</t>
        </is>
      </c>
      <c r="L474" s="13" t="inlineStr">
        <is>
          <t>N/A</t>
        </is>
      </c>
      <c r="M474" s="13" t="inlineStr">
        <is>
          <t>Compleated</t>
        </is>
      </c>
      <c r="N474" s="13" t="inlineStr">
        <is>
          <t>M. Okonkwo</t>
        </is>
      </c>
    </row>
    <row r="475">
      <c r="A475" s="13" t="inlineStr">
        <is>
          <t>HC-100473</t>
        </is>
      </c>
      <c r="B475" s="13" t="inlineStr">
        <is>
          <t>31-Jan-25</t>
        </is>
      </c>
      <c r="C475" s="13" t="inlineStr">
        <is>
          <t>East</t>
        </is>
      </c>
      <c r="D475" s="13" t="inlineStr">
        <is>
          <t>Store</t>
        </is>
      </c>
      <c r="E475" s="13" t="inlineStr">
        <is>
          <t>Lighting</t>
        </is>
      </c>
      <c r="F475" s="13" t="inlineStr">
        <is>
          <t>Brass Sconce</t>
        </is>
      </c>
      <c r="G475" s="13" t="inlineStr"/>
      <c r="H475" s="13" t="inlineStr">
        <is>
          <t>3</t>
        </is>
      </c>
      <c r="I475" s="14" t="inlineStr">
        <is>
          <t>135.32</t>
        </is>
      </c>
      <c r="J475" s="15" t="inlineStr">
        <is>
          <t>0.05</t>
        </is>
      </c>
      <c r="K475" s="14" t="inlineStr">
        <is>
          <t>62.25</t>
        </is>
      </c>
      <c r="L475" s="13" t="inlineStr">
        <is>
          <t>8</t>
        </is>
      </c>
      <c r="M475" s="13" t="inlineStr">
        <is>
          <t>Compleated</t>
        </is>
      </c>
      <c r="N475" s="13" t="inlineStr">
        <is>
          <t>L. Berger</t>
        </is>
      </c>
    </row>
    <row r="476">
      <c r="A476" s="13" t="inlineStr">
        <is>
          <t>HC-100474</t>
        </is>
      </c>
      <c r="B476" s="13" t="inlineStr">
        <is>
          <t>2025/06/14</t>
        </is>
      </c>
      <c r="C476" s="13" t="inlineStr">
        <is>
          <t>East</t>
        </is>
      </c>
      <c r="D476" s="13" t="inlineStr">
        <is>
          <t>B2B</t>
        </is>
      </c>
      <c r="E476" s="13" t="inlineStr">
        <is>
          <t>Lighting</t>
        </is>
      </c>
      <c r="F476" s="13" t="inlineStr">
        <is>
          <t>Arc Lamp</t>
        </is>
      </c>
      <c r="G476" s="13" t="inlineStr">
        <is>
          <t>Consumer</t>
        </is>
      </c>
      <c r="H476" s="13" t="inlineStr">
        <is>
          <t>15</t>
        </is>
      </c>
      <c r="I476" s="14" t="inlineStr">
        <is>
          <t>261.40</t>
        </is>
      </c>
      <c r="J476" s="15" t="inlineStr">
        <is>
          <t>0.16</t>
        </is>
      </c>
      <c r="K476" s="14" t="inlineStr">
        <is>
          <t>125.47</t>
        </is>
      </c>
      <c r="L476" s="13" t="inlineStr">
        <is>
          <t>9</t>
        </is>
      </c>
      <c r="M476" s="13" t="inlineStr">
        <is>
          <t>Completed</t>
        </is>
      </c>
      <c r="N476" s="13" t="inlineStr">
        <is>
          <t>J. Patel</t>
        </is>
      </c>
    </row>
    <row r="477">
      <c r="A477" s="13" t="inlineStr">
        <is>
          <t>HC-100475</t>
        </is>
      </c>
      <c r="B477" s="13" t="inlineStr">
        <is>
          <t>23.09.2025</t>
        </is>
      </c>
      <c r="C477" s="13" t="inlineStr">
        <is>
          <t>East</t>
        </is>
      </c>
      <c r="D477" s="13" t="inlineStr">
        <is>
          <t>Online</t>
        </is>
      </c>
      <c r="E477" s="13" t="inlineStr">
        <is>
          <t>Textiles</t>
        </is>
      </c>
      <c r="F477" s="13" t="inlineStr">
        <is>
          <t>Linen Curtain</t>
        </is>
      </c>
      <c r="G477" s="13" t="inlineStr">
        <is>
          <t>Consumer</t>
        </is>
      </c>
      <c r="H477" s="13" t="inlineStr">
        <is>
          <t>3</t>
        </is>
      </c>
      <c r="I477" s="14" t="inlineStr">
        <is>
          <t>85.46</t>
        </is>
      </c>
      <c r="J477" s="15" t="inlineStr">
        <is>
          <t>0.05</t>
        </is>
      </c>
      <c r="K477" s="14" t="inlineStr">
        <is>
          <t>38.46</t>
        </is>
      </c>
      <c r="L477" s="13" t="inlineStr">
        <is>
          <t>7</t>
        </is>
      </c>
      <c r="M477" s="13" t="inlineStr">
        <is>
          <t>Compleated</t>
        </is>
      </c>
      <c r="N477" s="13" t="inlineStr">
        <is>
          <t>S. Nguyen</t>
        </is>
      </c>
    </row>
    <row r="478">
      <c r="A478" s="13" t="inlineStr">
        <is>
          <t>HC-100476</t>
        </is>
      </c>
      <c r="B478" s="13" t="inlineStr">
        <is>
          <t>02/03/2025</t>
        </is>
      </c>
      <c r="C478" s="13" t="inlineStr">
        <is>
          <t>South</t>
        </is>
      </c>
      <c r="D478" s="13" t="inlineStr">
        <is>
          <t>Wholesale</t>
        </is>
      </c>
      <c r="E478" s="13" t="inlineStr">
        <is>
          <t>Kitchen</t>
        </is>
      </c>
      <c r="F478" s="13" t="inlineStr">
        <is>
          <t>Ceramic Set</t>
        </is>
      </c>
      <c r="G478" s="13" t="inlineStr">
        <is>
          <t>Consumer</t>
        </is>
      </c>
      <c r="H478" s="13" t="inlineStr">
        <is>
          <t>15</t>
        </is>
      </c>
      <c r="I478" s="14" t="inlineStr">
        <is>
          <t>$83.22</t>
        </is>
      </c>
      <c r="J478" s="15" t="inlineStr">
        <is>
          <t>0.19</t>
        </is>
      </c>
      <c r="K478" s="14" t="inlineStr">
        <is>
          <t>31.62</t>
        </is>
      </c>
      <c r="L478" s="13" t="inlineStr">
        <is>
          <t>10</t>
        </is>
      </c>
      <c r="M478" s="13" t="inlineStr">
        <is>
          <t>Completed</t>
        </is>
      </c>
      <c r="N478" s="13" t="inlineStr">
        <is>
          <t>L. Berger</t>
        </is>
      </c>
    </row>
    <row r="479">
      <c r="A479" s="13" t="inlineStr">
        <is>
          <t>HC-100477</t>
        </is>
      </c>
      <c r="B479" s="13" t="inlineStr">
        <is>
          <t>08-May-24</t>
        </is>
      </c>
      <c r="C479" s="13" t="inlineStr">
        <is>
          <t>NORTH</t>
        </is>
      </c>
      <c r="D479" s="13" t="inlineStr">
        <is>
          <t>Wholesale</t>
        </is>
      </c>
      <c r="E479" s="13" t="inlineStr">
        <is>
          <t>Furniture</t>
        </is>
      </c>
      <c r="F479" s="13" t="inlineStr">
        <is>
          <t>Linen Sofa</t>
        </is>
      </c>
      <c r="G479" s="13" t="inlineStr">
        <is>
          <t>consumer</t>
        </is>
      </c>
      <c r="H479" s="13" t="inlineStr">
        <is>
          <t>15</t>
        </is>
      </c>
      <c r="I479" s="14" t="inlineStr">
        <is>
          <t>1171.31</t>
        </is>
      </c>
      <c r="J479" s="15" t="inlineStr">
        <is>
          <t>0.30</t>
        </is>
      </c>
      <c r="K479" s="14" t="inlineStr">
        <is>
          <t>773.07</t>
        </is>
      </c>
      <c r="L479" s="13" t="inlineStr">
        <is>
          <t>3</t>
        </is>
      </c>
      <c r="M479" s="13" t="inlineStr">
        <is>
          <t>Completed</t>
        </is>
      </c>
      <c r="N479" s="13" t="inlineStr">
        <is>
          <t>R. Ibarra</t>
        </is>
      </c>
    </row>
    <row r="480">
      <c r="A480" s="13" t="inlineStr">
        <is>
          <t>HC-100478</t>
        </is>
      </c>
      <c r="B480" s="13" t="inlineStr">
        <is>
          <t>2025/08/23</t>
        </is>
      </c>
      <c r="C480" s="13" t="inlineStr">
        <is>
          <t>North</t>
        </is>
      </c>
      <c r="D480" s="13" t="inlineStr">
        <is>
          <t>Store</t>
        </is>
      </c>
      <c r="E480" s="13" t="inlineStr">
        <is>
          <t>Lighting</t>
        </is>
      </c>
      <c r="F480" s="13" t="inlineStr">
        <is>
          <t>Brass Sconce</t>
        </is>
      </c>
      <c r="G480" s="13" t="inlineStr">
        <is>
          <t>Consumer</t>
        </is>
      </c>
      <c r="H480" s="13" t="inlineStr">
        <is>
          <t>3</t>
        </is>
      </c>
      <c r="I480" s="14" t="inlineStr">
        <is>
          <t>148.91</t>
        </is>
      </c>
      <c r="J480" s="15" t="inlineStr">
        <is>
          <t>0.06</t>
        </is>
      </c>
      <c r="K480" s="14" t="inlineStr">
        <is>
          <t>68.50</t>
        </is>
      </c>
      <c r="L480" s="13" t="inlineStr">
        <is>
          <t>9</t>
        </is>
      </c>
      <c r="M480" s="13" t="inlineStr">
        <is>
          <t>Completed</t>
        </is>
      </c>
      <c r="N480" s="13" t="inlineStr">
        <is>
          <t>A. Shah</t>
        </is>
      </c>
    </row>
    <row r="481">
      <c r="A481" s="13" t="inlineStr">
        <is>
          <t>HC-100479</t>
        </is>
      </c>
      <c r="B481" s="13" t="inlineStr">
        <is>
          <t>11.07.2025</t>
        </is>
      </c>
      <c r="C481" s="13" t="inlineStr">
        <is>
          <t>West</t>
        </is>
      </c>
      <c r="D481" s="13" t="inlineStr">
        <is>
          <t>Wholesale</t>
        </is>
      </c>
      <c r="E481" s="13" t="inlineStr">
        <is>
          <t>FURNITURE</t>
        </is>
      </c>
      <c r="F481" s="13" t="inlineStr">
        <is>
          <t>Linen Sofa</t>
        </is>
      </c>
      <c r="G481" s="13" t="inlineStr">
        <is>
          <t>Corporate</t>
        </is>
      </c>
      <c r="H481" s="13" t="inlineStr">
        <is>
          <t>22</t>
        </is>
      </c>
      <c r="I481" s="14" t="inlineStr">
        <is>
          <t>1327.48</t>
        </is>
      </c>
      <c r="J481" s="15" t="inlineStr">
        <is>
          <t>18%</t>
        </is>
      </c>
      <c r="K481" s="14" t="inlineStr">
        <is>
          <t>876.13</t>
        </is>
      </c>
      <c r="L481" s="13" t="inlineStr">
        <is>
          <t>7</t>
        </is>
      </c>
      <c r="M481" s="13" t="inlineStr">
        <is>
          <t>Completed</t>
        </is>
      </c>
      <c r="N481" s="13" t="inlineStr">
        <is>
          <t>R. Ibarra</t>
        </is>
      </c>
    </row>
    <row r="482">
      <c r="A482" s="13" t="inlineStr">
        <is>
          <t>HC-100480</t>
        </is>
      </c>
      <c r="B482" s="13" t="inlineStr">
        <is>
          <t>12/03/2024</t>
        </is>
      </c>
      <c r="C482" s="13" t="inlineStr">
        <is>
          <t>South</t>
        </is>
      </c>
      <c r="D482" s="13" t="inlineStr">
        <is>
          <t>Store</t>
        </is>
      </c>
      <c r="E482" s="13" t="inlineStr">
        <is>
          <t>Furniture</t>
        </is>
      </c>
      <c r="F482" s="13" t="inlineStr">
        <is>
          <t>Oak Desk</t>
        </is>
      </c>
      <c r="G482" s="13" t="inlineStr">
        <is>
          <t>Home Office</t>
        </is>
      </c>
      <c r="H482" s="13" t="inlineStr">
        <is>
          <t>5</t>
        </is>
      </c>
      <c r="I482" s="14" t="inlineStr">
        <is>
          <t>813.77</t>
        </is>
      </c>
      <c r="J482" s="15" t="inlineStr">
        <is>
          <t>0.01</t>
        </is>
      </c>
      <c r="K482" s="14" t="inlineStr">
        <is>
          <t>504.54</t>
        </is>
      </c>
      <c r="L482" s="13" t="inlineStr">
        <is>
          <t>6</t>
        </is>
      </c>
      <c r="M482" s="13" t="inlineStr">
        <is>
          <t>Completed</t>
        </is>
      </c>
      <c r="N482" s="13" t="inlineStr">
        <is>
          <t>R. Ibarra</t>
        </is>
      </c>
    </row>
    <row r="483">
      <c r="A483" s="13" t="inlineStr">
        <is>
          <t>HC-100481</t>
        </is>
      </c>
      <c r="B483" s="13" t="inlineStr">
        <is>
          <t>03-Jun-24</t>
        </is>
      </c>
      <c r="C483" s="13" t="inlineStr">
        <is>
          <t>North</t>
        </is>
      </c>
      <c r="D483" s="13" t="inlineStr">
        <is>
          <t>Store</t>
        </is>
      </c>
      <c r="E483" s="13" t="inlineStr">
        <is>
          <t>FURNITURE</t>
        </is>
      </c>
      <c r="F483" s="13" t="inlineStr">
        <is>
          <t>Linen Sofa</t>
        </is>
      </c>
      <c r="G483" s="13" t="inlineStr">
        <is>
          <t>Corporate</t>
        </is>
      </c>
      <c r="H483" s="13" t="inlineStr">
        <is>
          <t>2</t>
        </is>
      </c>
      <c r="I483" s="14" t="inlineStr">
        <is>
          <t>1263.00</t>
        </is>
      </c>
      <c r="J483" s="15" t="inlineStr">
        <is>
          <t>0.00</t>
        </is>
      </c>
      <c r="K483" s="14" t="inlineStr">
        <is>
          <t>833.58</t>
        </is>
      </c>
      <c r="L483" s="13" t="inlineStr">
        <is>
          <t>8</t>
        </is>
      </c>
      <c r="M483" s="13" t="inlineStr">
        <is>
          <t>Completed</t>
        </is>
      </c>
      <c r="N483" s="13" t="inlineStr">
        <is>
          <t>S. Nguyen</t>
        </is>
      </c>
    </row>
    <row r="484">
      <c r="A484" s="13" t="inlineStr">
        <is>
          <t>HC-100482</t>
        </is>
      </c>
      <c r="B484" s="13" t="inlineStr">
        <is>
          <t>2024/02/04</t>
        </is>
      </c>
      <c r="C484" s="13" t="inlineStr">
        <is>
          <t>South</t>
        </is>
      </c>
      <c r="D484" s="13" t="inlineStr">
        <is>
          <t>Online</t>
        </is>
      </c>
      <c r="E484" s="13" t="inlineStr">
        <is>
          <t>Furniture</t>
        </is>
      </c>
      <c r="F484" s="13" t="inlineStr">
        <is>
          <t>Linen Sofa</t>
        </is>
      </c>
      <c r="G484" s="13" t="inlineStr">
        <is>
          <t>Consumer</t>
        </is>
      </c>
      <c r="H484" s="13" t="inlineStr">
        <is>
          <t>3</t>
        </is>
      </c>
      <c r="I484" s="14" t="inlineStr">
        <is>
          <t>$1,199.87</t>
        </is>
      </c>
      <c r="J484" s="15" t="inlineStr">
        <is>
          <t>0.15</t>
        </is>
      </c>
      <c r="K484" s="14" t="inlineStr">
        <is>
          <t>791.91</t>
        </is>
      </c>
      <c r="L484" s="13" t="inlineStr">
        <is>
          <t>7</t>
        </is>
      </c>
      <c r="M484" s="13" t="inlineStr">
        <is>
          <t>Completed</t>
        </is>
      </c>
      <c r="N484" s="13" t="inlineStr">
        <is>
          <t>L. Berger</t>
        </is>
      </c>
    </row>
    <row r="485">
      <c r="A485" s="13" t="inlineStr">
        <is>
          <t>HC-100483</t>
        </is>
      </c>
      <c r="B485" s="13" t="inlineStr">
        <is>
          <t>08.05.2025</t>
        </is>
      </c>
      <c r="C485" s="13" t="inlineStr">
        <is>
          <t>West</t>
        </is>
      </c>
      <c r="D485" s="13" t="inlineStr">
        <is>
          <t>B2B</t>
        </is>
      </c>
      <c r="E485" s="13" t="inlineStr">
        <is>
          <t>Furniture</t>
        </is>
      </c>
      <c r="F485" s="13" t="inlineStr">
        <is>
          <t>Linen Sofa</t>
        </is>
      </c>
      <c r="G485" s="13" t="inlineStr">
        <is>
          <t>Home Office</t>
        </is>
      </c>
      <c r="H485" s="13" t="inlineStr">
        <is>
          <t>27</t>
        </is>
      </c>
      <c r="I485" s="14" t="inlineStr">
        <is>
          <t>1327.64</t>
        </is>
      </c>
      <c r="J485" s="15" t="inlineStr">
        <is>
          <t>0.18</t>
        </is>
      </c>
      <c r="K485" s="14" t="inlineStr">
        <is>
          <t>876.24</t>
        </is>
      </c>
      <c r="L485" s="13" t="inlineStr">
        <is>
          <t>5</t>
        </is>
      </c>
      <c r="M485" s="13" t="inlineStr">
        <is>
          <t>Completed</t>
        </is>
      </c>
      <c r="N485" s="13" t="inlineStr">
        <is>
          <t>S. Nguyen</t>
        </is>
      </c>
    </row>
    <row r="486">
      <c r="A486" s="13" t="inlineStr">
        <is>
          <t>HC-100484</t>
        </is>
      </c>
      <c r="B486" s="13" t="inlineStr">
        <is>
          <t>03/08/2025</t>
        </is>
      </c>
      <c r="C486" s="13" t="inlineStr">
        <is>
          <t>East</t>
        </is>
      </c>
      <c r="D486" s="13" t="inlineStr">
        <is>
          <t>Store</t>
        </is>
      </c>
      <c r="E486" s="13" t="inlineStr">
        <is>
          <t>Furniture</t>
        </is>
      </c>
      <c r="F486" s="13" t="inlineStr">
        <is>
          <t>Lounge Chair</t>
        </is>
      </c>
      <c r="G486" s="13" t="inlineStr">
        <is>
          <t>Corporate</t>
        </is>
      </c>
      <c r="H486" s="13" t="inlineStr">
        <is>
          <t>2</t>
        </is>
      </c>
      <c r="I486" s="14" t="inlineStr">
        <is>
          <t>429.87</t>
        </is>
      </c>
      <c r="J486" s="15" t="inlineStr">
        <is>
          <t>0.09</t>
        </is>
      </c>
      <c r="K486" s="14" t="inlineStr">
        <is>
          <t>257.92</t>
        </is>
      </c>
      <c r="L486" s="13" t="inlineStr">
        <is>
          <t>13</t>
        </is>
      </c>
      <c r="M486" s="13" t="inlineStr">
        <is>
          <t>Completed</t>
        </is>
      </c>
      <c r="N486" s="13" t="inlineStr">
        <is>
          <t>M. Okonkwo</t>
        </is>
      </c>
    </row>
    <row r="487">
      <c r="A487" s="13" t="inlineStr">
        <is>
          <t>HC-100485</t>
        </is>
      </c>
      <c r="B487" s="13" t="inlineStr">
        <is>
          <t>17-Apr-25</t>
        </is>
      </c>
      <c r="C487" s="13" t="inlineStr">
        <is>
          <t>South</t>
        </is>
      </c>
      <c r="D487" s="13" t="inlineStr">
        <is>
          <t>Store</t>
        </is>
      </c>
      <c r="E487" s="13" t="inlineStr">
        <is>
          <t>Textiles</t>
        </is>
      </c>
      <c r="F487" s="13" t="inlineStr">
        <is>
          <t>Linen Curtain</t>
        </is>
      </c>
      <c r="G487" s="13" t="inlineStr">
        <is>
          <t>Consumer</t>
        </is>
      </c>
      <c r="H487" s="13" t="inlineStr">
        <is>
          <t>2</t>
        </is>
      </c>
      <c r="I487" s="14" t="inlineStr">
        <is>
          <t>96.26</t>
        </is>
      </c>
      <c r="J487" s="15" t="inlineStr">
        <is>
          <t>5%</t>
        </is>
      </c>
      <c r="K487" s="14" t="inlineStr">
        <is>
          <t>43.32</t>
        </is>
      </c>
      <c r="L487" s="13" t="inlineStr">
        <is>
          <t>6</t>
        </is>
      </c>
      <c r="M487" s="13" t="inlineStr">
        <is>
          <t>Cancelled</t>
        </is>
      </c>
      <c r="N487" s="13" t="inlineStr">
        <is>
          <t>P. Rossi</t>
        </is>
      </c>
    </row>
    <row r="488">
      <c r="A488" s="13" t="inlineStr">
        <is>
          <t>HC-100486</t>
        </is>
      </c>
      <c r="B488" s="13" t="inlineStr">
        <is>
          <t>2025/09/08</t>
        </is>
      </c>
      <c r="C488" s="13" t="inlineStr">
        <is>
          <t>WEST</t>
        </is>
      </c>
      <c r="D488" s="13" t="inlineStr">
        <is>
          <t>Store</t>
        </is>
      </c>
      <c r="E488" s="13" t="inlineStr">
        <is>
          <t>Lighting</t>
        </is>
      </c>
      <c r="F488" s="13" t="inlineStr">
        <is>
          <t>Brass Sconce</t>
        </is>
      </c>
      <c r="G488" s="13" t="inlineStr">
        <is>
          <t>Consumer</t>
        </is>
      </c>
      <c r="H488" s="13" t="inlineStr">
        <is>
          <t>2</t>
        </is>
      </c>
      <c r="I488" s="14" t="inlineStr">
        <is>
          <t>146.88</t>
        </is>
      </c>
      <c r="J488" s="15" t="inlineStr">
        <is>
          <t>0.05</t>
        </is>
      </c>
      <c r="K488" s="14" t="inlineStr">
        <is>
          <t>67.57</t>
        </is>
      </c>
      <c r="L488" s="13" t="inlineStr">
        <is>
          <t>N/A</t>
        </is>
      </c>
      <c r="M488" s="13" t="inlineStr">
        <is>
          <t>Completed</t>
        </is>
      </c>
      <c r="N488" s="13" t="inlineStr">
        <is>
          <t>J. Patel</t>
        </is>
      </c>
    </row>
    <row r="489">
      <c r="A489" s="13" t="inlineStr">
        <is>
          <t>HC-100487</t>
        </is>
      </c>
      <c r="B489" s="13" t="inlineStr">
        <is>
          <t>17.08.2025</t>
        </is>
      </c>
      <c r="C489" s="13" t="inlineStr">
        <is>
          <t>West</t>
        </is>
      </c>
      <c r="D489" s="13" t="inlineStr">
        <is>
          <t>Store</t>
        </is>
      </c>
      <c r="E489" s="13" t="inlineStr">
        <is>
          <t>Textiles</t>
        </is>
      </c>
      <c r="F489" s="13" t="inlineStr">
        <is>
          <t>Cotton Duvet</t>
        </is>
      </c>
      <c r="G489" s="13" t="inlineStr">
        <is>
          <t>Corporate</t>
        </is>
      </c>
      <c r="H489" s="13" t="inlineStr">
        <is>
          <t>2</t>
        </is>
      </c>
      <c r="I489" s="14" t="inlineStr">
        <is>
          <t>110.75</t>
        </is>
      </c>
      <c r="J489" s="15" t="inlineStr">
        <is>
          <t>0.12</t>
        </is>
      </c>
      <c r="K489" s="14" t="inlineStr">
        <is>
          <t>48.73</t>
        </is>
      </c>
      <c r="L489" s="13" t="inlineStr">
        <is>
          <t>6</t>
        </is>
      </c>
      <c r="M489" s="13" t="inlineStr">
        <is>
          <t>Returned</t>
        </is>
      </c>
      <c r="N489" s="13" t="inlineStr">
        <is>
          <t>K. Mensah</t>
        </is>
      </c>
    </row>
    <row r="490">
      <c r="A490" s="13" t="inlineStr">
        <is>
          <t>HC-100488</t>
        </is>
      </c>
      <c r="B490" s="13" t="inlineStr">
        <is>
          <t>11/10/2024</t>
        </is>
      </c>
      <c r="C490" s="13" t="inlineStr">
        <is>
          <t>East</t>
        </is>
      </c>
      <c r="D490" s="13" t="inlineStr">
        <is>
          <t>Online</t>
        </is>
      </c>
      <c r="E490" s="13" t="inlineStr">
        <is>
          <t>Kitchen</t>
        </is>
      </c>
      <c r="F490" s="13" t="inlineStr">
        <is>
          <t>Chef Knife</t>
        </is>
      </c>
      <c r="G490" s="13" t="inlineStr">
        <is>
          <t>corporate</t>
        </is>
      </c>
      <c r="H490" s="13" t="inlineStr">
        <is>
          <t>3</t>
        </is>
      </c>
      <c r="I490" s="14" t="inlineStr">
        <is>
          <t>59.26</t>
        </is>
      </c>
      <c r="J490" s="15" t="inlineStr">
        <is>
          <t>0.05</t>
        </is>
      </c>
      <c r="K490" s="14" t="inlineStr">
        <is>
          <t>21.33</t>
        </is>
      </c>
      <c r="L490" s="13" t="inlineStr">
        <is>
          <t>6</t>
        </is>
      </c>
      <c r="M490" s="13" t="inlineStr">
        <is>
          <t>Completed</t>
        </is>
      </c>
      <c r="N490" s="13" t="inlineStr">
        <is>
          <t>S. Nguyen</t>
        </is>
      </c>
    </row>
    <row r="491">
      <c r="A491" s="13" t="inlineStr">
        <is>
          <t>HC-100489</t>
        </is>
      </c>
      <c r="B491" s="13" t="inlineStr">
        <is>
          <t>30-Jul-24</t>
        </is>
      </c>
      <c r="C491" s="13" t="inlineStr">
        <is>
          <t xml:space="preserve"> North </t>
        </is>
      </c>
      <c r="D491" s="13" t="inlineStr">
        <is>
          <t>Online</t>
        </is>
      </c>
      <c r="E491" s="13" t="inlineStr">
        <is>
          <t>Textiles</t>
        </is>
      </c>
      <c r="F491" s="13" t="inlineStr">
        <is>
          <t>Cotton Duvet</t>
        </is>
      </c>
      <c r="G491" s="13" t="inlineStr">
        <is>
          <t>Consumer</t>
        </is>
      </c>
      <c r="H491" s="13" t="inlineStr">
        <is>
          <t>3</t>
        </is>
      </c>
      <c r="I491" s="14" t="inlineStr">
        <is>
          <t>125.06</t>
        </is>
      </c>
      <c r="J491" s="15" t="inlineStr">
        <is>
          <t>15%</t>
        </is>
      </c>
      <c r="K491" s="14" t="inlineStr">
        <is>
          <t>55.03</t>
        </is>
      </c>
      <c r="L491" s="13" t="inlineStr">
        <is>
          <t>5</t>
        </is>
      </c>
      <c r="M491" s="13" t="inlineStr">
        <is>
          <t>Completed</t>
        </is>
      </c>
      <c r="N491" s="13" t="inlineStr">
        <is>
          <t>A. Shah</t>
        </is>
      </c>
    </row>
    <row r="492">
      <c r="A492" s="13" t="inlineStr">
        <is>
          <t>HC-100490</t>
        </is>
      </c>
      <c r="B492" s="13" t="inlineStr">
        <is>
          <t>2025/06/06</t>
        </is>
      </c>
      <c r="C492" s="13" t="inlineStr">
        <is>
          <t>West</t>
        </is>
      </c>
      <c r="D492" s="13" t="inlineStr">
        <is>
          <t>Store</t>
        </is>
      </c>
      <c r="E492" s="13" t="inlineStr">
        <is>
          <t>Lighting</t>
        </is>
      </c>
      <c r="F492" s="13" t="inlineStr">
        <is>
          <t>Brass Sconce</t>
        </is>
      </c>
      <c r="G492" s="13" t="inlineStr">
        <is>
          <t>Corporate</t>
        </is>
      </c>
      <c r="H492" s="13" t="inlineStr">
        <is>
          <t>3</t>
        </is>
      </c>
      <c r="I492" s="14" t="inlineStr">
        <is>
          <t>133.30</t>
        </is>
      </c>
      <c r="J492" s="15" t="inlineStr">
        <is>
          <t>3%</t>
        </is>
      </c>
      <c r="K492" s="14" t="inlineStr">
        <is>
          <t>61.32</t>
        </is>
      </c>
      <c r="L492" s="13" t="inlineStr">
        <is>
          <t>4</t>
        </is>
      </c>
      <c r="M492" s="13" t="inlineStr">
        <is>
          <t>Compleated</t>
        </is>
      </c>
      <c r="N492" s="13" t="inlineStr">
        <is>
          <t>R. Ibarra</t>
        </is>
      </c>
    </row>
    <row r="493">
      <c r="A493" s="13" t="inlineStr">
        <is>
          <t>HC-100491</t>
        </is>
      </c>
      <c r="B493" s="13" t="inlineStr">
        <is>
          <t>17.05.2024</t>
        </is>
      </c>
      <c r="C493" s="13" t="inlineStr">
        <is>
          <t>south</t>
        </is>
      </c>
      <c r="D493" s="13" t="inlineStr">
        <is>
          <t>Store</t>
        </is>
      </c>
      <c r="E493" s="13" t="inlineStr">
        <is>
          <t>Textiles</t>
        </is>
      </c>
      <c r="F493" s="13" t="inlineStr">
        <is>
          <t>Cotton Duvet</t>
        </is>
      </c>
      <c r="G493" s="13" t="inlineStr">
        <is>
          <t>Consumer</t>
        </is>
      </c>
      <c r="H493" s="13" t="inlineStr">
        <is>
          <t>2</t>
        </is>
      </c>
      <c r="I493" s="14" t="inlineStr">
        <is>
          <t>125.47</t>
        </is>
      </c>
      <c r="J493" s="15" t="inlineStr">
        <is>
          <t>0.01</t>
        </is>
      </c>
      <c r="K493" s="14" t="inlineStr">
        <is>
          <t>55.21</t>
        </is>
      </c>
      <c r="L493" s="13" t="inlineStr">
        <is>
          <t>3</t>
        </is>
      </c>
      <c r="M493" s="13" t="inlineStr">
        <is>
          <t>Completed</t>
        </is>
      </c>
      <c r="N493" s="13" t="inlineStr">
        <is>
          <t>K. Mensah</t>
        </is>
      </c>
    </row>
    <row r="494">
      <c r="A494" s="13" t="inlineStr">
        <is>
          <t>HC-100492</t>
        </is>
      </c>
      <c r="B494" s="13" t="inlineStr">
        <is>
          <t>09/10/2025</t>
        </is>
      </c>
      <c r="C494" s="13" t="inlineStr">
        <is>
          <t>East</t>
        </is>
      </c>
      <c r="D494" s="13" t="inlineStr">
        <is>
          <t>Store</t>
        </is>
      </c>
      <c r="E494" s="13" t="inlineStr">
        <is>
          <t>Kitchen</t>
        </is>
      </c>
      <c r="F494" s="13" t="inlineStr">
        <is>
          <t>Chef Knife</t>
        </is>
      </c>
      <c r="G494" s="13" t="inlineStr">
        <is>
          <t>Corporate</t>
        </is>
      </c>
      <c r="H494" s="13" t="inlineStr">
        <is>
          <t>4</t>
        </is>
      </c>
      <c r="I494" s="14" t="inlineStr">
        <is>
          <t>55.53</t>
        </is>
      </c>
      <c r="J494" s="15" t="inlineStr">
        <is>
          <t>0.01</t>
        </is>
      </c>
      <c r="K494" s="14" t="inlineStr">
        <is>
          <t>19.99</t>
        </is>
      </c>
      <c r="L494" s="13" t="inlineStr">
        <is>
          <t>N/A</t>
        </is>
      </c>
      <c r="M494" s="13" t="inlineStr">
        <is>
          <t>Completed</t>
        </is>
      </c>
      <c r="N494" s="13" t="inlineStr">
        <is>
          <t>A. Shah</t>
        </is>
      </c>
    </row>
    <row r="495">
      <c r="A495" s="13" t="inlineStr">
        <is>
          <t>HC-100493</t>
        </is>
      </c>
      <c r="B495" s="13" t="inlineStr">
        <is>
          <t>12-Jun-24</t>
        </is>
      </c>
      <c r="C495" s="13" t="inlineStr">
        <is>
          <t>west</t>
        </is>
      </c>
      <c r="D495" s="13" t="inlineStr">
        <is>
          <t>Store</t>
        </is>
      </c>
      <c r="E495" s="13" t="inlineStr">
        <is>
          <t>Furniture</t>
        </is>
      </c>
      <c r="F495" s="13" t="inlineStr">
        <is>
          <t>Linen Sofa</t>
        </is>
      </c>
      <c r="G495" s="13" t="inlineStr">
        <is>
          <t>Corporate</t>
        </is>
      </c>
      <c r="H495" s="13" t="inlineStr">
        <is>
          <t>2</t>
        </is>
      </c>
      <c r="I495" s="14" t="inlineStr">
        <is>
          <t>$1,197.16</t>
        </is>
      </c>
      <c r="J495" s="15" t="inlineStr">
        <is>
          <t>0.03</t>
        </is>
      </c>
      <c r="K495" s="14" t="inlineStr">
        <is>
          <t>790.13</t>
        </is>
      </c>
      <c r="L495" s="13" t="inlineStr">
        <is>
          <t>6</t>
        </is>
      </c>
      <c r="M495" s="13" t="inlineStr">
        <is>
          <t>Completed</t>
        </is>
      </c>
      <c r="N495" s="13" t="inlineStr">
        <is>
          <t>L. Berger</t>
        </is>
      </c>
    </row>
    <row r="496">
      <c r="A496" s="13" t="inlineStr">
        <is>
          <t>HC-100494</t>
        </is>
      </c>
      <c r="B496" s="13" t="inlineStr">
        <is>
          <t>2025/01/05</t>
        </is>
      </c>
      <c r="C496" s="13" t="inlineStr">
        <is>
          <t>North</t>
        </is>
      </c>
      <c r="D496" s="13" t="inlineStr">
        <is>
          <t>Wholesale</t>
        </is>
      </c>
      <c r="E496" s="13" t="inlineStr">
        <is>
          <t>Textiles</t>
        </is>
      </c>
      <c r="F496" s="13" t="inlineStr">
        <is>
          <t>Wool Throw</t>
        </is>
      </c>
      <c r="G496" s="13" t="inlineStr">
        <is>
          <t>Home Office</t>
        </is>
      </c>
      <c r="H496" s="13" t="inlineStr">
        <is>
          <t>35</t>
        </is>
      </c>
      <c r="I496" s="14" t="inlineStr">
        <is>
          <t>$80.40</t>
        </is>
      </c>
      <c r="J496" s="15" t="inlineStr">
        <is>
          <t>0.21</t>
        </is>
      </c>
      <c r="K496" s="14" t="inlineStr">
        <is>
          <t>33.77</t>
        </is>
      </c>
      <c r="L496" s="13" t="inlineStr">
        <is>
          <t>5</t>
        </is>
      </c>
      <c r="M496" s="13" t="inlineStr">
        <is>
          <t>Completed</t>
        </is>
      </c>
      <c r="N496" s="13" t="inlineStr">
        <is>
          <t>L. Berger</t>
        </is>
      </c>
    </row>
    <row r="497">
      <c r="A497" s="13" t="inlineStr">
        <is>
          <t>HC-100495</t>
        </is>
      </c>
      <c r="B497" s="13" t="inlineStr">
        <is>
          <t>11.04.2025</t>
        </is>
      </c>
      <c r="C497" s="13" t="inlineStr">
        <is>
          <t>NORTH</t>
        </is>
      </c>
      <c r="D497" s="13" t="inlineStr">
        <is>
          <t>Store</t>
        </is>
      </c>
      <c r="E497" s="13" t="inlineStr">
        <is>
          <t>Textiles</t>
        </is>
      </c>
      <c r="F497" s="13" t="inlineStr">
        <is>
          <t>Cotton Duvet</t>
        </is>
      </c>
      <c r="G497" s="13" t="inlineStr">
        <is>
          <t>Consumer</t>
        </is>
      </c>
      <c r="H497" s="13" t="inlineStr">
        <is>
          <t>One</t>
        </is>
      </c>
      <c r="I497" s="14" t="inlineStr">
        <is>
          <t>113.53</t>
        </is>
      </c>
      <c r="J497" s="15" t="inlineStr">
        <is>
          <t>0.09</t>
        </is>
      </c>
      <c r="K497" s="14" t="inlineStr">
        <is>
          <t>49.95</t>
        </is>
      </c>
      <c r="L497" s="13" t="inlineStr">
        <is>
          <t>5</t>
        </is>
      </c>
      <c r="M497" s="13" t="inlineStr">
        <is>
          <t>Completed</t>
        </is>
      </c>
      <c r="N497" s="13" t="inlineStr">
        <is>
          <t>S. Nguyen</t>
        </is>
      </c>
    </row>
    <row r="498">
      <c r="A498" s="13" t="inlineStr">
        <is>
          <t>HC-100496</t>
        </is>
      </c>
      <c r="B498" s="13" t="inlineStr">
        <is>
          <t>04/20/2024</t>
        </is>
      </c>
      <c r="C498" s="13" t="inlineStr">
        <is>
          <t>South</t>
        </is>
      </c>
      <c r="D498" s="13" t="inlineStr">
        <is>
          <t>Online</t>
        </is>
      </c>
      <c r="E498" s="13" t="inlineStr">
        <is>
          <t>Furniture</t>
        </is>
      </c>
      <c r="F498" s="13" t="inlineStr">
        <is>
          <t>Lounge Chair</t>
        </is>
      </c>
      <c r="G498" s="13" t="inlineStr">
        <is>
          <t>Corporate</t>
        </is>
      </c>
      <c r="H498" s="13" t="inlineStr">
        <is>
          <t>2</t>
        </is>
      </c>
      <c r="I498" s="14" t="inlineStr">
        <is>
          <t>453.66</t>
        </is>
      </c>
      <c r="J498" s="15" t="inlineStr">
        <is>
          <t>0.13</t>
        </is>
      </c>
      <c r="K498" s="14" t="inlineStr">
        <is>
          <t>272.20</t>
        </is>
      </c>
      <c r="L498" s="13" t="inlineStr">
        <is>
          <t>7</t>
        </is>
      </c>
      <c r="M498" s="13" t="inlineStr">
        <is>
          <t>Completed</t>
        </is>
      </c>
      <c r="N498" s="13" t="inlineStr">
        <is>
          <t>A. Shah</t>
        </is>
      </c>
    </row>
    <row r="499">
      <c r="A499" s="13" t="inlineStr">
        <is>
          <t>HC-100497</t>
        </is>
      </c>
      <c r="B499" s="13" t="inlineStr">
        <is>
          <t>17-Dec-24</t>
        </is>
      </c>
      <c r="C499" s="13" t="inlineStr">
        <is>
          <t>West</t>
        </is>
      </c>
      <c r="D499" s="13" t="inlineStr">
        <is>
          <t>Store</t>
        </is>
      </c>
      <c r="E499" s="13" t="inlineStr">
        <is>
          <t>Kitchen</t>
        </is>
      </c>
      <c r="F499" s="13" t="inlineStr">
        <is>
          <t>Ceramic Set</t>
        </is>
      </c>
      <c r="G499" s="13" t="inlineStr">
        <is>
          <t>Corporate</t>
        </is>
      </c>
      <c r="H499" s="13" t="inlineStr">
        <is>
          <t>2</t>
        </is>
      </c>
      <c r="I499" s="14" t="inlineStr">
        <is>
          <t>91.77</t>
        </is>
      </c>
      <c r="J499" s="15" t="inlineStr">
        <is>
          <t>0.09</t>
        </is>
      </c>
      <c r="K499" s="14" t="inlineStr">
        <is>
          <t>34.87</t>
        </is>
      </c>
      <c r="L499" s="13" t="inlineStr">
        <is>
          <t>8</t>
        </is>
      </c>
      <c r="M499" s="13" t="inlineStr">
        <is>
          <t>Completed</t>
        </is>
      </c>
      <c r="N499" s="13" t="inlineStr">
        <is>
          <t>M. Okonkwo</t>
        </is>
      </c>
    </row>
    <row r="500">
      <c r="A500" s="13" t="inlineStr">
        <is>
          <t>HC-100498</t>
        </is>
      </c>
      <c r="B500" s="13" t="inlineStr">
        <is>
          <t>2024/12/27</t>
        </is>
      </c>
      <c r="C500" s="13" t="inlineStr">
        <is>
          <t>South</t>
        </is>
      </c>
      <c r="D500" s="13" t="inlineStr">
        <is>
          <t>Store</t>
        </is>
      </c>
      <c r="E500" s="13" t="inlineStr">
        <is>
          <t>LIGHTING</t>
        </is>
      </c>
      <c r="F500" s="13" t="inlineStr">
        <is>
          <t>Pendant Light</t>
        </is>
      </c>
      <c r="G500" s="13" t="inlineStr">
        <is>
          <t>Consumer</t>
        </is>
      </c>
      <c r="H500" s="13" t="inlineStr">
        <is>
          <t>5</t>
        </is>
      </c>
      <c r="I500" s="14" t="inlineStr">
        <is>
          <t>187.88</t>
        </is>
      </c>
      <c r="J500" s="15" t="inlineStr">
        <is>
          <t>0.08</t>
        </is>
      </c>
      <c r="K500" s="14" t="inlineStr">
        <is>
          <t>93.94</t>
        </is>
      </c>
      <c r="L500" s="13" t="inlineStr">
        <is>
          <t>6</t>
        </is>
      </c>
      <c r="M500" s="13" t="inlineStr">
        <is>
          <t>Completed</t>
        </is>
      </c>
      <c r="N500" s="13" t="inlineStr">
        <is>
          <t>M. Okonkwo</t>
        </is>
      </c>
    </row>
    <row r="501">
      <c r="A501" s="13" t="inlineStr">
        <is>
          <t>HC-100499</t>
        </is>
      </c>
      <c r="B501" s="13" t="inlineStr">
        <is>
          <t>24.06.2025</t>
        </is>
      </c>
      <c r="C501" s="13" t="inlineStr">
        <is>
          <t>East</t>
        </is>
      </c>
      <c r="D501" s="13" t="inlineStr">
        <is>
          <t>Store</t>
        </is>
      </c>
      <c r="E501" s="13" t="inlineStr">
        <is>
          <t>Kitchen</t>
        </is>
      </c>
      <c r="F501" s="13" t="inlineStr">
        <is>
          <t>Ceramic Set</t>
        </is>
      </c>
      <c r="G501" s="13" t="inlineStr">
        <is>
          <t>Corporate</t>
        </is>
      </c>
      <c r="H501" s="13" t="inlineStr">
        <is>
          <t>2</t>
        </is>
      </c>
      <c r="I501" s="14" t="inlineStr">
        <is>
          <t>77.06</t>
        </is>
      </c>
      <c r="J501" s="15" t="inlineStr">
        <is>
          <t>0.03</t>
        </is>
      </c>
      <c r="K501" s="14" t="inlineStr">
        <is>
          <t>29.28</t>
        </is>
      </c>
      <c r="L501" s="13" t="inlineStr">
        <is>
          <t>8</t>
        </is>
      </c>
      <c r="M501" s="13" t="inlineStr">
        <is>
          <t>Completed</t>
        </is>
      </c>
      <c r="N501" s="13" t="inlineStr">
        <is>
          <t>R. Ibarra</t>
        </is>
      </c>
    </row>
    <row r="502">
      <c r="A502" s="13" t="inlineStr">
        <is>
          <t>HC-100500</t>
        </is>
      </c>
      <c r="B502" s="13" t="inlineStr">
        <is>
          <t>07/24/2025</t>
        </is>
      </c>
      <c r="C502" s="13" t="inlineStr">
        <is>
          <t>North</t>
        </is>
      </c>
      <c r="D502" s="13" t="inlineStr">
        <is>
          <t>Online</t>
        </is>
      </c>
      <c r="E502" s="13" t="inlineStr">
        <is>
          <t>Lighting</t>
        </is>
      </c>
      <c r="F502" s="13" t="inlineStr">
        <is>
          <t>Arc Lamp</t>
        </is>
      </c>
      <c r="G502" s="13" t="inlineStr">
        <is>
          <t>consumer</t>
        </is>
      </c>
      <c r="H502" s="13" t="inlineStr">
        <is>
          <t>1</t>
        </is>
      </c>
      <c r="I502" s="14" t="inlineStr">
        <is>
          <t>332.79</t>
        </is>
      </c>
      <c r="J502" s="15" t="inlineStr">
        <is>
          <t>0.13</t>
        </is>
      </c>
      <c r="K502" s="14" t="inlineStr">
        <is>
          <t>159.74</t>
        </is>
      </c>
      <c r="L502" s="13" t="inlineStr">
        <is>
          <t>10</t>
        </is>
      </c>
      <c r="M502" s="13" t="inlineStr">
        <is>
          <t>Completed</t>
        </is>
      </c>
      <c r="N502" s="13" t="inlineStr">
        <is>
          <t>S. Nguyen</t>
        </is>
      </c>
    </row>
    <row r="503">
      <c r="A503" s="13" t="inlineStr">
        <is>
          <t>HC-100501</t>
        </is>
      </c>
      <c r="B503" s="13" t="inlineStr">
        <is>
          <t>29-Jan-25</t>
        </is>
      </c>
      <c r="C503" s="13" t="inlineStr">
        <is>
          <t>East</t>
        </is>
      </c>
      <c r="D503" s="13" t="inlineStr">
        <is>
          <t>Store</t>
        </is>
      </c>
      <c r="E503" s="13" t="inlineStr">
        <is>
          <t>Kitchen</t>
        </is>
      </c>
      <c r="F503" s="13" t="inlineStr">
        <is>
          <t>Ceramic Set</t>
        </is>
      </c>
      <c r="G503" s="13" t="inlineStr">
        <is>
          <t>Corporate</t>
        </is>
      </c>
      <c r="H503" s="13" t="inlineStr">
        <is>
          <t>4</t>
        </is>
      </c>
      <c r="I503" s="14" t="inlineStr">
        <is>
          <t>75.04</t>
        </is>
      </c>
      <c r="J503" s="15" t="inlineStr">
        <is>
          <t>0.07</t>
        </is>
      </c>
      <c r="K503" s="14" t="inlineStr">
        <is>
          <t>28.51</t>
        </is>
      </c>
      <c r="L503" s="13" t="inlineStr">
        <is>
          <t>7</t>
        </is>
      </c>
      <c r="M503" s="13" t="inlineStr">
        <is>
          <t>Completed</t>
        </is>
      </c>
      <c r="N503" s="13" t="inlineStr">
        <is>
          <t>S. Nguyen</t>
        </is>
      </c>
    </row>
    <row r="504">
      <c r="A504" s="13" t="inlineStr">
        <is>
          <t>HC-100502</t>
        </is>
      </c>
      <c r="B504" s="13" t="inlineStr">
        <is>
          <t>2024/08/31</t>
        </is>
      </c>
      <c r="C504" s="13" t="inlineStr">
        <is>
          <t>North</t>
        </is>
      </c>
      <c r="D504" s="13" t="inlineStr">
        <is>
          <t>Online</t>
        </is>
      </c>
      <c r="E504" s="13" t="inlineStr">
        <is>
          <t>Textiles</t>
        </is>
      </c>
      <c r="F504" s="13" t="inlineStr">
        <is>
          <t>Linen Curtain</t>
        </is>
      </c>
      <c r="G504" s="13" t="inlineStr">
        <is>
          <t>Corporate</t>
        </is>
      </c>
      <c r="H504" s="13" t="inlineStr">
        <is>
          <t>2</t>
        </is>
      </c>
      <c r="I504" s="14" t="inlineStr">
        <is>
          <t>89.41</t>
        </is>
      </c>
      <c r="J504" s="15" t="inlineStr">
        <is>
          <t>0.10</t>
        </is>
      </c>
      <c r="K504" s="14" t="inlineStr">
        <is>
          <t>40.23</t>
        </is>
      </c>
      <c r="L504" s="13" t="inlineStr">
        <is>
          <t>2</t>
        </is>
      </c>
      <c r="M504" s="13" t="inlineStr">
        <is>
          <t>Completed</t>
        </is>
      </c>
      <c r="N504" s="13" t="inlineStr">
        <is>
          <t>R. Ibarra</t>
        </is>
      </c>
    </row>
    <row r="505">
      <c r="A505" s="13" t="inlineStr">
        <is>
          <t>HC-100503</t>
        </is>
      </c>
      <c r="B505" s="13" t="inlineStr">
        <is>
          <t>04.12.2024</t>
        </is>
      </c>
      <c r="C505" s="13" t="inlineStr">
        <is>
          <t>West</t>
        </is>
      </c>
      <c r="D505" s="13" t="inlineStr">
        <is>
          <t>Store</t>
        </is>
      </c>
      <c r="E505" s="13" t="inlineStr">
        <is>
          <t>Lighting</t>
        </is>
      </c>
      <c r="F505" s="13" t="inlineStr">
        <is>
          <t>Pendant Light</t>
        </is>
      </c>
      <c r="G505" s="13" t="inlineStr">
        <is>
          <t>Consumer</t>
        </is>
      </c>
      <c r="H505" s="13" t="inlineStr">
        <is>
          <t>4</t>
        </is>
      </c>
      <c r="I505" s="14" t="inlineStr">
        <is>
          <t>$189.05</t>
        </is>
      </c>
      <c r="J505" s="15" t="inlineStr">
        <is>
          <t>0.10</t>
        </is>
      </c>
      <c r="K505" s="14" t="inlineStr">
        <is>
          <t>94.52</t>
        </is>
      </c>
      <c r="L505" s="13" t="inlineStr">
        <is>
          <t>4</t>
        </is>
      </c>
      <c r="M505" s="13" t="inlineStr">
        <is>
          <t>Completed</t>
        </is>
      </c>
      <c r="N505" s="13" t="inlineStr">
        <is>
          <t>R. Ibarra</t>
        </is>
      </c>
    </row>
    <row r="506">
      <c r="A506" s="13" t="inlineStr">
        <is>
          <t>HC-100504</t>
        </is>
      </c>
      <c r="B506" s="13" t="inlineStr">
        <is>
          <t>11/01/2024</t>
        </is>
      </c>
      <c r="C506" s="13" t="inlineStr">
        <is>
          <t>West</t>
        </is>
      </c>
      <c r="D506" s="13" t="inlineStr">
        <is>
          <t>Online</t>
        </is>
      </c>
      <c r="E506" s="13" t="inlineStr">
        <is>
          <t>Textiles</t>
        </is>
      </c>
      <c r="F506" s="13" t="inlineStr">
        <is>
          <t>Cotton Duvet</t>
        </is>
      </c>
      <c r="G506" s="13" t="inlineStr">
        <is>
          <t>Home Office</t>
        </is>
      </c>
      <c r="H506" s="13" t="inlineStr">
        <is>
          <t>4</t>
        </is>
      </c>
      <c r="I506" s="14" t="inlineStr">
        <is>
          <t>123.26</t>
        </is>
      </c>
      <c r="J506" s="15" t="inlineStr">
        <is>
          <t>0.04</t>
        </is>
      </c>
      <c r="K506" s="14" t="inlineStr">
        <is>
          <t>54.23</t>
        </is>
      </c>
      <c r="L506" s="13" t="inlineStr">
        <is>
          <t>6</t>
        </is>
      </c>
      <c r="M506" s="13" t="inlineStr">
        <is>
          <t>Completed</t>
        </is>
      </c>
      <c r="N506" s="13" t="inlineStr">
        <is>
          <t>R. Ibarra</t>
        </is>
      </c>
    </row>
    <row r="507">
      <c r="A507" s="13" t="inlineStr">
        <is>
          <t>HC-100505</t>
        </is>
      </c>
      <c r="B507" s="13" t="inlineStr">
        <is>
          <t>01-May-25</t>
        </is>
      </c>
      <c r="C507" s="13" t="inlineStr">
        <is>
          <t>East</t>
        </is>
      </c>
      <c r="D507" s="13" t="inlineStr">
        <is>
          <t>Store</t>
        </is>
      </c>
      <c r="E507" s="13" t="inlineStr">
        <is>
          <t>Furniture</t>
        </is>
      </c>
      <c r="F507" s="13" t="inlineStr">
        <is>
          <t>Oak Desk</t>
        </is>
      </c>
      <c r="G507" s="13" t="inlineStr"/>
      <c r="H507" s="13" t="inlineStr">
        <is>
          <t>3</t>
        </is>
      </c>
      <c r="I507" s="14" t="inlineStr">
        <is>
          <t>814.86</t>
        </is>
      </c>
      <c r="J507" s="15" t="inlineStr">
        <is>
          <t>0.02</t>
        </is>
      </c>
      <c r="K507" s="14" t="inlineStr">
        <is>
          <t>505.21</t>
        </is>
      </c>
      <c r="L507" s="13" t="inlineStr">
        <is>
          <t>7</t>
        </is>
      </c>
      <c r="M507" s="13" t="inlineStr">
        <is>
          <t>Cancelled</t>
        </is>
      </c>
      <c r="N507" s="13" t="inlineStr">
        <is>
          <t>A. Shah</t>
        </is>
      </c>
    </row>
    <row r="508">
      <c r="A508" s="13" t="inlineStr">
        <is>
          <t>HC-100506</t>
        </is>
      </c>
      <c r="B508" s="13" t="inlineStr">
        <is>
          <t>2024/09/01</t>
        </is>
      </c>
      <c r="C508" s="13" t="inlineStr">
        <is>
          <t>South</t>
        </is>
      </c>
      <c r="D508" s="13" t="inlineStr">
        <is>
          <t>Wholesale</t>
        </is>
      </c>
      <c r="E508" s="13" t="inlineStr">
        <is>
          <t>Textiles</t>
        </is>
      </c>
      <c r="F508" s="13" t="inlineStr">
        <is>
          <t>Linen Curtain</t>
        </is>
      </c>
      <c r="G508" s="13" t="inlineStr">
        <is>
          <t>Corporate</t>
        </is>
      </c>
      <c r="H508" s="13" t="inlineStr">
        <is>
          <t>24</t>
        </is>
      </c>
      <c r="I508" s="14" t="inlineStr">
        <is>
          <t>99.15</t>
        </is>
      </c>
      <c r="J508" s="15" t="inlineStr">
        <is>
          <t>0.28</t>
        </is>
      </c>
      <c r="K508" s="14" t="inlineStr">
        <is>
          <t>44.62</t>
        </is>
      </c>
      <c r="L508" s="13" t="inlineStr">
        <is>
          <t>10</t>
        </is>
      </c>
      <c r="M508" s="13" t="inlineStr">
        <is>
          <t>Completed</t>
        </is>
      </c>
      <c r="N508" s="13" t="inlineStr">
        <is>
          <t>A. Shah</t>
        </is>
      </c>
    </row>
    <row r="509">
      <c r="A509" s="13" t="inlineStr">
        <is>
          <t>HC-100507</t>
        </is>
      </c>
      <c r="B509" s="13" t="inlineStr">
        <is>
          <t>10.08.2025</t>
        </is>
      </c>
      <c r="C509" s="13" t="inlineStr">
        <is>
          <t>West</t>
        </is>
      </c>
      <c r="D509" s="13" t="inlineStr">
        <is>
          <t>In-Store</t>
        </is>
      </c>
      <c r="E509" s="13" t="inlineStr">
        <is>
          <t>Textiles</t>
        </is>
      </c>
      <c r="F509" s="13" t="inlineStr">
        <is>
          <t>Cotton Duvet</t>
        </is>
      </c>
      <c r="G509" s="13" t="inlineStr">
        <is>
          <t>Consumer</t>
        </is>
      </c>
      <c r="H509" s="13" t="inlineStr">
        <is>
          <t>1</t>
        </is>
      </c>
      <c r="I509" s="14" t="inlineStr">
        <is>
          <t>122.61</t>
        </is>
      </c>
      <c r="J509" s="15" t="inlineStr">
        <is>
          <t>0.10</t>
        </is>
      </c>
      <c r="K509" s="14" t="inlineStr">
        <is>
          <t>53.95</t>
        </is>
      </c>
      <c r="L509" s="13" t="inlineStr">
        <is>
          <t>3</t>
        </is>
      </c>
      <c r="M509" s="13" t="inlineStr">
        <is>
          <t>Completed</t>
        </is>
      </c>
      <c r="N509" s="13" t="inlineStr">
        <is>
          <t>S. Nguyen</t>
        </is>
      </c>
    </row>
    <row r="510">
      <c r="A510" s="13" t="inlineStr">
        <is>
          <t>HC-100508</t>
        </is>
      </c>
      <c r="B510" s="13" t="inlineStr">
        <is>
          <t>11/26/2024</t>
        </is>
      </c>
      <c r="C510" s="13" t="inlineStr">
        <is>
          <t>East</t>
        </is>
      </c>
      <c r="D510" s="13" t="inlineStr">
        <is>
          <t>Store</t>
        </is>
      </c>
      <c r="E510" s="13" t="inlineStr">
        <is>
          <t>Furniture</t>
        </is>
      </c>
      <c r="F510" s="13" t="inlineStr">
        <is>
          <t>Linen Sofa</t>
        </is>
      </c>
      <c r="G510" s="13" t="inlineStr">
        <is>
          <t>Consumer</t>
        </is>
      </c>
      <c r="H510" s="13" t="inlineStr">
        <is>
          <t>5</t>
        </is>
      </c>
      <c r="I510" s="14" t="inlineStr">
        <is>
          <t>1167.80</t>
        </is>
      </c>
      <c r="J510" s="15" t="inlineStr">
        <is>
          <t>0.10</t>
        </is>
      </c>
      <c r="K510" s="14" t="inlineStr">
        <is>
          <t>770.75</t>
        </is>
      </c>
      <c r="L510" s="13" t="inlineStr">
        <is>
          <t>8</t>
        </is>
      </c>
      <c r="M510" s="13" t="inlineStr">
        <is>
          <t>Completed</t>
        </is>
      </c>
      <c r="N510" s="13" t="inlineStr">
        <is>
          <t>J. Patel</t>
        </is>
      </c>
    </row>
    <row r="511">
      <c r="A511" s="13" t="inlineStr">
        <is>
          <t>HC-100509</t>
        </is>
      </c>
      <c r="B511" s="13" t="inlineStr">
        <is>
          <t>25-Mar-24</t>
        </is>
      </c>
      <c r="C511" s="13" t="inlineStr">
        <is>
          <t>East</t>
        </is>
      </c>
      <c r="D511" s="13" t="inlineStr">
        <is>
          <t>Store</t>
        </is>
      </c>
      <c r="E511" s="13" t="inlineStr">
        <is>
          <t>Textiles</t>
        </is>
      </c>
      <c r="F511" s="13" t="inlineStr">
        <is>
          <t>Wool Throw</t>
        </is>
      </c>
      <c r="G511" s="13" t="inlineStr">
        <is>
          <t>consumer</t>
        </is>
      </c>
      <c r="H511" s="13" t="inlineStr">
        <is>
          <t>3</t>
        </is>
      </c>
      <c r="I511" s="14" t="inlineStr">
        <is>
          <t>65.27</t>
        </is>
      </c>
      <c r="J511" s="15" t="inlineStr">
        <is>
          <t>0.03</t>
        </is>
      </c>
      <c r="K511" s="14" t="inlineStr">
        <is>
          <t>27.41</t>
        </is>
      </c>
      <c r="L511" s="13" t="inlineStr">
        <is>
          <t>7</t>
        </is>
      </c>
      <c r="M511" s="13" t="inlineStr">
        <is>
          <t>Completed</t>
        </is>
      </c>
      <c r="N511" s="13" t="inlineStr">
        <is>
          <t>S. Nguyen</t>
        </is>
      </c>
    </row>
    <row r="512">
      <c r="A512" s="13" t="inlineStr">
        <is>
          <t>HC-100510</t>
        </is>
      </c>
      <c r="B512" s="13" t="inlineStr">
        <is>
          <t>2024/03/06</t>
        </is>
      </c>
      <c r="C512" s="13" t="inlineStr">
        <is>
          <t>South</t>
        </is>
      </c>
      <c r="D512" s="13" t="inlineStr">
        <is>
          <t>Store</t>
        </is>
      </c>
      <c r="E512" s="13" t="inlineStr">
        <is>
          <t>Textiles</t>
        </is>
      </c>
      <c r="F512" s="13" t="inlineStr">
        <is>
          <t>Wool Throw</t>
        </is>
      </c>
      <c r="G512" s="13" t="inlineStr">
        <is>
          <t>Consumer</t>
        </is>
      </c>
      <c r="H512" s="13" t="inlineStr">
        <is>
          <t>3</t>
        </is>
      </c>
      <c r="I512" s="14" t="inlineStr">
        <is>
          <t>76.33</t>
        </is>
      </c>
      <c r="J512" s="15" t="inlineStr">
        <is>
          <t>0.06</t>
        </is>
      </c>
      <c r="K512" s="14" t="inlineStr">
        <is>
          <t>32.06</t>
        </is>
      </c>
      <c r="L512" s="13" t="inlineStr">
        <is>
          <t>5</t>
        </is>
      </c>
      <c r="M512" s="13" t="inlineStr">
        <is>
          <t>Completed</t>
        </is>
      </c>
      <c r="N512" s="13" t="inlineStr">
        <is>
          <t>P. Rossi</t>
        </is>
      </c>
    </row>
    <row r="513">
      <c r="A513" s="13" t="inlineStr">
        <is>
          <t>HC-100511</t>
        </is>
      </c>
      <c r="B513" s="13" t="inlineStr">
        <is>
          <t>24.06.2024</t>
        </is>
      </c>
      <c r="C513" s="13" t="inlineStr">
        <is>
          <t>North</t>
        </is>
      </c>
      <c r="D513" s="13" t="inlineStr">
        <is>
          <t>Wholesale</t>
        </is>
      </c>
      <c r="E513" s="13" t="inlineStr">
        <is>
          <t>Textiles</t>
        </is>
      </c>
      <c r="F513" s="13" t="inlineStr">
        <is>
          <t>Linen Curtain</t>
        </is>
      </c>
      <c r="G513" s="13" t="inlineStr">
        <is>
          <t>Consumer</t>
        </is>
      </c>
      <c r="H513" s="13" t="inlineStr">
        <is>
          <t>18</t>
        </is>
      </c>
      <c r="I513" s="14" t="inlineStr">
        <is>
          <t>95.10</t>
        </is>
      </c>
      <c r="J513" s="15" t="inlineStr">
        <is>
          <t>0.28</t>
        </is>
      </c>
      <c r="K513" s="14" t="inlineStr">
        <is>
          <t>42.79</t>
        </is>
      </c>
      <c r="L513" s="13" t="inlineStr">
        <is>
          <t>7</t>
        </is>
      </c>
      <c r="M513" s="13" t="inlineStr">
        <is>
          <t>Completed</t>
        </is>
      </c>
      <c r="N513" s="13" t="inlineStr">
        <is>
          <t>A. Shah</t>
        </is>
      </c>
    </row>
    <row r="514">
      <c r="A514" s="13" t="inlineStr">
        <is>
          <t>HC-100512</t>
        </is>
      </c>
      <c r="B514" s="13" t="inlineStr">
        <is>
          <t>07/11/2024</t>
        </is>
      </c>
      <c r="C514" s="13" t="inlineStr">
        <is>
          <t>EAST</t>
        </is>
      </c>
      <c r="D514" s="13" t="inlineStr">
        <is>
          <t>Store</t>
        </is>
      </c>
      <c r="E514" s="13" t="inlineStr">
        <is>
          <t>Furniture</t>
        </is>
      </c>
      <c r="F514" s="13" t="inlineStr">
        <is>
          <t>Oak Desk</t>
        </is>
      </c>
      <c r="G514" s="13" t="inlineStr">
        <is>
          <t>Corporate</t>
        </is>
      </c>
      <c r="H514" s="13" t="inlineStr">
        <is>
          <t>1</t>
        </is>
      </c>
      <c r="I514" s="14" t="inlineStr">
        <is>
          <t>813.23</t>
        </is>
      </c>
      <c r="J514" s="15" t="inlineStr">
        <is>
          <t>0.08</t>
        </is>
      </c>
      <c r="K514" s="14" t="inlineStr">
        <is>
          <t>504.20</t>
        </is>
      </c>
      <c r="L514" s="13" t="inlineStr">
        <is>
          <t>9</t>
        </is>
      </c>
      <c r="M514" s="13" t="inlineStr">
        <is>
          <t>Completed</t>
        </is>
      </c>
      <c r="N514" s="13" t="inlineStr">
        <is>
          <t>A. Shah</t>
        </is>
      </c>
    </row>
    <row r="515">
      <c r="A515" s="13" t="inlineStr">
        <is>
          <t>HC-100513</t>
        </is>
      </c>
      <c r="B515" s="13" t="inlineStr">
        <is>
          <t>31-Jul-25</t>
        </is>
      </c>
      <c r="C515" s="13" t="inlineStr">
        <is>
          <t>North</t>
        </is>
      </c>
      <c r="D515" s="13" t="inlineStr">
        <is>
          <t>Online</t>
        </is>
      </c>
      <c r="E515" s="13" t="inlineStr">
        <is>
          <t>Kitchen</t>
        </is>
      </c>
      <c r="F515" s="13" t="inlineStr">
        <is>
          <t>Ceramic Set</t>
        </is>
      </c>
      <c r="G515" s="13" t="inlineStr"/>
      <c r="H515" s="13" t="inlineStr">
        <is>
          <t>2</t>
        </is>
      </c>
      <c r="I515" s="14" t="inlineStr">
        <is>
          <t>83.13</t>
        </is>
      </c>
      <c r="J515" s="15" t="inlineStr">
        <is>
          <t>0.03</t>
        </is>
      </c>
      <c r="K515" s="14" t="inlineStr">
        <is>
          <t>31.59</t>
        </is>
      </c>
      <c r="L515" s="13" t="inlineStr">
        <is>
          <t>7</t>
        </is>
      </c>
      <c r="M515" s="13" t="inlineStr">
        <is>
          <t>Completed</t>
        </is>
      </c>
      <c r="N515" s="13" t="inlineStr">
        <is>
          <t>M. Okonkwo</t>
        </is>
      </c>
    </row>
    <row r="516">
      <c r="A516" s="13" t="inlineStr">
        <is>
          <t>HC-100514</t>
        </is>
      </c>
      <c r="B516" s="13" t="inlineStr">
        <is>
          <t>2024/06/21</t>
        </is>
      </c>
      <c r="C516" s="13" t="inlineStr">
        <is>
          <t>North</t>
        </is>
      </c>
      <c r="D516" s="13" t="inlineStr">
        <is>
          <t>Online</t>
        </is>
      </c>
      <c r="E516" s="13" t="inlineStr">
        <is>
          <t>Furniture</t>
        </is>
      </c>
      <c r="F516" s="13" t="inlineStr">
        <is>
          <t>Lounge Chair</t>
        </is>
      </c>
      <c r="G516" s="13" t="inlineStr">
        <is>
          <t>corporate</t>
        </is>
      </c>
      <c r="H516" s="13" t="inlineStr">
        <is>
          <t>3</t>
        </is>
      </c>
      <c r="I516" s="14" t="inlineStr">
        <is>
          <t>496.16</t>
        </is>
      </c>
      <c r="J516" s="15" t="inlineStr">
        <is>
          <t>0.17</t>
        </is>
      </c>
      <c r="K516" s="14" t="inlineStr">
        <is>
          <t>297.69</t>
        </is>
      </c>
      <c r="L516" s="13" t="inlineStr">
        <is>
          <t>7</t>
        </is>
      </c>
      <c r="M516" s="13" t="inlineStr">
        <is>
          <t>Completed</t>
        </is>
      </c>
      <c r="N516" s="13" t="inlineStr">
        <is>
          <t>J. Patel</t>
        </is>
      </c>
    </row>
    <row r="517">
      <c r="A517" s="13" t="inlineStr">
        <is>
          <t>HC-100515</t>
        </is>
      </c>
      <c r="B517" s="13" t="inlineStr">
        <is>
          <t>29.05.2024</t>
        </is>
      </c>
      <c r="C517" s="13" t="inlineStr">
        <is>
          <t>East</t>
        </is>
      </c>
      <c r="D517" s="13" t="inlineStr">
        <is>
          <t>Wholesale</t>
        </is>
      </c>
      <c r="E517" s="13" t="inlineStr">
        <is>
          <t>Kitchen</t>
        </is>
      </c>
      <c r="F517" s="13" t="inlineStr">
        <is>
          <t>Cast Skillet</t>
        </is>
      </c>
      <c r="G517" s="13" t="inlineStr">
        <is>
          <t>Consumer</t>
        </is>
      </c>
      <c r="H517" s="13" t="inlineStr">
        <is>
          <t>18</t>
        </is>
      </c>
      <c r="I517" s="14" t="inlineStr">
        <is>
          <t>50.85</t>
        </is>
      </c>
      <c r="J517" s="15" t="inlineStr">
        <is>
          <t>0.17</t>
        </is>
      </c>
      <c r="K517" s="14" t="inlineStr">
        <is>
          <t>20.34</t>
        </is>
      </c>
      <c r="L517" s="13" t="inlineStr">
        <is>
          <t>8</t>
        </is>
      </c>
      <c r="M517" s="13" t="inlineStr">
        <is>
          <t>Completed</t>
        </is>
      </c>
      <c r="N517" s="13" t="inlineStr">
        <is>
          <t>J. Patel</t>
        </is>
      </c>
    </row>
    <row r="518">
      <c r="A518" s="13" t="inlineStr">
        <is>
          <t>HC-100516</t>
        </is>
      </c>
      <c r="B518" s="13" t="inlineStr">
        <is>
          <t>09/04/2025</t>
        </is>
      </c>
      <c r="C518" s="13" t="inlineStr">
        <is>
          <t>West</t>
        </is>
      </c>
      <c r="D518" s="13" t="inlineStr">
        <is>
          <t>Online</t>
        </is>
      </c>
      <c r="E518" s="13" t="inlineStr">
        <is>
          <t>Lighting</t>
        </is>
      </c>
      <c r="F518" s="13" t="inlineStr">
        <is>
          <t>Arc Lamp</t>
        </is>
      </c>
      <c r="G518" s="13" t="inlineStr">
        <is>
          <t>Home Office</t>
        </is>
      </c>
      <c r="H518" s="13" t="inlineStr">
        <is>
          <t>1</t>
        </is>
      </c>
      <c r="I518" s="14" t="inlineStr">
        <is>
          <t>331.74</t>
        </is>
      </c>
      <c r="J518" s="15" t="inlineStr">
        <is>
          <t>0.08</t>
        </is>
      </c>
      <c r="K518" s="14" t="inlineStr">
        <is>
          <t>159.23</t>
        </is>
      </c>
      <c r="L518" s="13" t="inlineStr">
        <is>
          <t>6</t>
        </is>
      </c>
      <c r="M518" s="13" t="inlineStr">
        <is>
          <t>Completed</t>
        </is>
      </c>
      <c r="N518" s="13" t="inlineStr">
        <is>
          <t>K. Mensah</t>
        </is>
      </c>
    </row>
    <row r="519">
      <c r="A519" s="13" t="inlineStr">
        <is>
          <t>HC-100517</t>
        </is>
      </c>
      <c r="B519" s="13" t="inlineStr">
        <is>
          <t>30-Nov-24</t>
        </is>
      </c>
      <c r="C519" s="13" t="inlineStr">
        <is>
          <t>west</t>
        </is>
      </c>
      <c r="D519" s="13" t="inlineStr">
        <is>
          <t>Online</t>
        </is>
      </c>
      <c r="E519" s="13" t="inlineStr">
        <is>
          <t>Lighting</t>
        </is>
      </c>
      <c r="F519" s="13" t="inlineStr">
        <is>
          <t>Arc Lamp</t>
        </is>
      </c>
      <c r="G519" s="13" t="inlineStr">
        <is>
          <t>Consumer</t>
        </is>
      </c>
      <c r="H519" s="13" t="inlineStr">
        <is>
          <t>3</t>
        </is>
      </c>
      <c r="I519" s="14" t="inlineStr">
        <is>
          <t>330.48</t>
        </is>
      </c>
      <c r="J519" s="15" t="inlineStr">
        <is>
          <t>0.16</t>
        </is>
      </c>
      <c r="K519" s="14" t="inlineStr">
        <is>
          <t>158.63</t>
        </is>
      </c>
      <c r="L519" s="13" t="inlineStr">
        <is>
          <t>4</t>
        </is>
      </c>
      <c r="M519" s="13" t="inlineStr">
        <is>
          <t>Completed</t>
        </is>
      </c>
      <c r="N519" s="13" t="inlineStr">
        <is>
          <t>P. Rossi</t>
        </is>
      </c>
    </row>
    <row r="520">
      <c r="A520" s="13" t="inlineStr">
        <is>
          <t>HC-100518</t>
        </is>
      </c>
      <c r="B520" s="13" t="inlineStr">
        <is>
          <t>2025/09/10</t>
        </is>
      </c>
      <c r="C520" s="13" t="inlineStr">
        <is>
          <t>West</t>
        </is>
      </c>
      <c r="D520" s="13" t="inlineStr">
        <is>
          <t>Online</t>
        </is>
      </c>
      <c r="E520" s="13" t="inlineStr">
        <is>
          <t>Textiles</t>
        </is>
      </c>
      <c r="F520" s="13" t="inlineStr">
        <is>
          <t>Wool Throw</t>
        </is>
      </c>
      <c r="G520" s="13" t="inlineStr">
        <is>
          <t>Corporate</t>
        </is>
      </c>
      <c r="H520" s="13" t="inlineStr">
        <is>
          <t>2</t>
        </is>
      </c>
      <c r="I520" s="14" t="inlineStr">
        <is>
          <t>79.16</t>
        </is>
      </c>
      <c r="J520" s="15" t="inlineStr">
        <is>
          <t>0.05</t>
        </is>
      </c>
      <c r="K520" s="14" t="inlineStr">
        <is>
          <t>33.25</t>
        </is>
      </c>
      <c r="L520" s="13" t="inlineStr">
        <is>
          <t>3</t>
        </is>
      </c>
      <c r="M520" s="13" t="inlineStr">
        <is>
          <t>Completed</t>
        </is>
      </c>
      <c r="N520" s="13" t="inlineStr">
        <is>
          <t>S. Nguyen</t>
        </is>
      </c>
    </row>
    <row r="521">
      <c r="A521" s="13" t="inlineStr">
        <is>
          <t>HC-100519</t>
        </is>
      </c>
      <c r="B521" s="13" t="inlineStr">
        <is>
          <t>02.08.2024</t>
        </is>
      </c>
      <c r="C521" s="13" t="inlineStr">
        <is>
          <t>East</t>
        </is>
      </c>
      <c r="D521" s="13" t="inlineStr">
        <is>
          <t>Wholesale</t>
        </is>
      </c>
      <c r="E521" s="13" t="inlineStr">
        <is>
          <t>Textiles</t>
        </is>
      </c>
      <c r="F521" s="13" t="inlineStr">
        <is>
          <t>Linen Curtain</t>
        </is>
      </c>
      <c r="G521" s="13" t="inlineStr">
        <is>
          <t>Consumer</t>
        </is>
      </c>
      <c r="H521" s="13" t="inlineStr">
        <is>
          <t>29</t>
        </is>
      </c>
      <c r="I521" s="14" t="inlineStr">
        <is>
          <t>86.47</t>
        </is>
      </c>
      <c r="J521" s="15" t="inlineStr">
        <is>
          <t>0.32</t>
        </is>
      </c>
      <c r="K521" s="14" t="inlineStr">
        <is>
          <t>38.91</t>
        </is>
      </c>
      <c r="L521" s="13" t="inlineStr">
        <is>
          <t>N/A</t>
        </is>
      </c>
      <c r="M521" s="13" t="inlineStr">
        <is>
          <t>Completed</t>
        </is>
      </c>
      <c r="N521" s="13" t="inlineStr">
        <is>
          <t>L. Berger</t>
        </is>
      </c>
    </row>
    <row r="522">
      <c r="A522" s="13" t="inlineStr">
        <is>
          <t>HC-100520</t>
        </is>
      </c>
      <c r="B522" s="13" t="inlineStr">
        <is>
          <t>11/04/2024</t>
        </is>
      </c>
      <c r="C522" s="13" t="inlineStr">
        <is>
          <t>South</t>
        </is>
      </c>
      <c r="D522" s="13" t="inlineStr">
        <is>
          <t>Store</t>
        </is>
      </c>
      <c r="E522" s="13" t="inlineStr">
        <is>
          <t>Kitchen</t>
        </is>
      </c>
      <c r="F522" s="13" t="inlineStr">
        <is>
          <t>Cast Skillet</t>
        </is>
      </c>
      <c r="G522" s="13" t="inlineStr">
        <is>
          <t>Consumer</t>
        </is>
      </c>
      <c r="H522" s="13" t="inlineStr">
        <is>
          <t>5</t>
        </is>
      </c>
      <c r="I522" s="14" t="inlineStr">
        <is>
          <t>57.55</t>
        </is>
      </c>
      <c r="J522" s="15" t="inlineStr">
        <is>
          <t>0.10</t>
        </is>
      </c>
      <c r="K522" s="14" t="inlineStr">
        <is>
          <t>23.02</t>
        </is>
      </c>
      <c r="L522" s="13" t="inlineStr">
        <is>
          <t>3</t>
        </is>
      </c>
      <c r="M522" s="13" t="inlineStr">
        <is>
          <t>Completed</t>
        </is>
      </c>
      <c r="N522" s="13" t="inlineStr">
        <is>
          <t>S. Nguyen</t>
        </is>
      </c>
    </row>
    <row r="523">
      <c r="A523" s="13" t="inlineStr">
        <is>
          <t>HC-100521</t>
        </is>
      </c>
      <c r="B523" s="13" t="inlineStr">
        <is>
          <t>21-Jul-24</t>
        </is>
      </c>
      <c r="C523" s="13" t="inlineStr">
        <is>
          <t>South</t>
        </is>
      </c>
      <c r="D523" s="13" t="inlineStr">
        <is>
          <t>Wholesale</t>
        </is>
      </c>
      <c r="E523" s="13" t="inlineStr">
        <is>
          <t>Lighting</t>
        </is>
      </c>
      <c r="F523" s="13" t="inlineStr">
        <is>
          <t>Arc Lamp</t>
        </is>
      </c>
      <c r="G523" s="13" t="inlineStr">
        <is>
          <t>Consumer</t>
        </is>
      </c>
      <c r="H523" s="13" t="inlineStr">
        <is>
          <t>19</t>
        </is>
      </c>
      <c r="I523" s="14" t="inlineStr">
        <is>
          <t>295.89</t>
        </is>
      </c>
      <c r="J523" s="15" t="inlineStr">
        <is>
          <t>0.27</t>
        </is>
      </c>
      <c r="K523" s="14" t="inlineStr">
        <is>
          <t>142.03</t>
        </is>
      </c>
      <c r="L523" s="13" t="inlineStr">
        <is>
          <t>4</t>
        </is>
      </c>
      <c r="M523" s="13" t="inlineStr">
        <is>
          <t>Completed</t>
        </is>
      </c>
      <c r="N523" s="13" t="inlineStr">
        <is>
          <t>L. Berger</t>
        </is>
      </c>
    </row>
    <row r="524">
      <c r="A524" s="13" t="inlineStr">
        <is>
          <t>HC-100522</t>
        </is>
      </c>
      <c r="B524" s="13" t="inlineStr">
        <is>
          <t>2024/09/23</t>
        </is>
      </c>
      <c r="C524" s="13" t="inlineStr">
        <is>
          <t>North</t>
        </is>
      </c>
      <c r="D524" s="13" t="inlineStr">
        <is>
          <t>Wholesale</t>
        </is>
      </c>
      <c r="E524" s="13" t="inlineStr">
        <is>
          <t>Furniture</t>
        </is>
      </c>
      <c r="F524" s="13" t="inlineStr">
        <is>
          <t>Lounge Chair</t>
        </is>
      </c>
      <c r="G524" s="13" t="inlineStr">
        <is>
          <t>Corporate</t>
        </is>
      </c>
      <c r="H524" s="13" t="inlineStr">
        <is>
          <t>25</t>
        </is>
      </c>
      <c r="I524" s="14" t="inlineStr">
        <is>
          <t>447.96</t>
        </is>
      </c>
      <c r="J524" s="15" t="inlineStr">
        <is>
          <t>0.18</t>
        </is>
      </c>
      <c r="K524" s="14" t="inlineStr">
        <is>
          <t>268.78</t>
        </is>
      </c>
      <c r="L524" s="13" t="inlineStr">
        <is>
          <t>9</t>
        </is>
      </c>
      <c r="M524" s="13" t="inlineStr">
        <is>
          <t>Compleated</t>
        </is>
      </c>
      <c r="N524" s="13" t="inlineStr">
        <is>
          <t>J. Patel</t>
        </is>
      </c>
    </row>
    <row r="525">
      <c r="A525" s="13" t="inlineStr">
        <is>
          <t>HC-100523</t>
        </is>
      </c>
      <c r="B525" s="13" t="inlineStr">
        <is>
          <t>22.12.2024</t>
        </is>
      </c>
      <c r="C525" s="13" t="inlineStr">
        <is>
          <t xml:space="preserve"> North </t>
        </is>
      </c>
      <c r="D525" s="13" t="inlineStr">
        <is>
          <t>Online</t>
        </is>
      </c>
      <c r="E525" s="13" t="inlineStr">
        <is>
          <t>Lighting</t>
        </is>
      </c>
      <c r="F525" s="13" t="inlineStr">
        <is>
          <t>Pendant Light</t>
        </is>
      </c>
      <c r="G525" s="13" t="inlineStr">
        <is>
          <t>Consumer</t>
        </is>
      </c>
      <c r="H525" s="13" t="inlineStr">
        <is>
          <t>2</t>
        </is>
      </c>
      <c r="I525" s="14" t="inlineStr">
        <is>
          <t>167.09</t>
        </is>
      </c>
      <c r="J525" s="15" t="inlineStr">
        <is>
          <t>0.15</t>
        </is>
      </c>
      <c r="K525" s="14" t="inlineStr">
        <is>
          <t>83.55</t>
        </is>
      </c>
      <c r="L525" s="13" t="inlineStr">
        <is>
          <t>5</t>
        </is>
      </c>
      <c r="M525" s="13" t="inlineStr">
        <is>
          <t>Completed</t>
        </is>
      </c>
      <c r="N525" s="13" t="inlineStr">
        <is>
          <t>P. Rossi</t>
        </is>
      </c>
    </row>
    <row r="526">
      <c r="A526" s="13" t="inlineStr">
        <is>
          <t>HC-100524</t>
        </is>
      </c>
      <c r="B526" s="13" t="inlineStr">
        <is>
          <t>11/21/2024</t>
        </is>
      </c>
      <c r="C526" s="13" t="inlineStr">
        <is>
          <t>South</t>
        </is>
      </c>
      <c r="D526" s="13" t="inlineStr">
        <is>
          <t>Online</t>
        </is>
      </c>
      <c r="E526" s="13" t="inlineStr">
        <is>
          <t>Lighting</t>
        </is>
      </c>
      <c r="F526" s="13" t="inlineStr">
        <is>
          <t>Arc Lamp</t>
        </is>
      </c>
      <c r="G526" s="13" t="inlineStr">
        <is>
          <t>Consumer</t>
        </is>
      </c>
      <c r="H526" s="13" t="inlineStr">
        <is>
          <t>3</t>
        </is>
      </c>
      <c r="I526" s="14" t="inlineStr">
        <is>
          <t>307.17</t>
        </is>
      </c>
      <c r="J526" s="15" t="inlineStr">
        <is>
          <t>0.08</t>
        </is>
      </c>
      <c r="K526" s="14" t="inlineStr">
        <is>
          <t>147.44</t>
        </is>
      </c>
      <c r="L526" s="13" t="inlineStr">
        <is>
          <t>6</t>
        </is>
      </c>
      <c r="M526" s="13" t="inlineStr">
        <is>
          <t>Completed</t>
        </is>
      </c>
      <c r="N526" s="13" t="inlineStr">
        <is>
          <t>M. Okonkwo</t>
        </is>
      </c>
    </row>
    <row r="527">
      <c r="A527" s="13" t="inlineStr">
        <is>
          <t>HC-100525</t>
        </is>
      </c>
      <c r="B527" s="13" t="inlineStr">
        <is>
          <t>29-Sep-25</t>
        </is>
      </c>
      <c r="C527" s="13" t="inlineStr">
        <is>
          <t>West</t>
        </is>
      </c>
      <c r="D527" s="13" t="inlineStr">
        <is>
          <t>Wholesale</t>
        </is>
      </c>
      <c r="E527" s="13" t="inlineStr">
        <is>
          <t>Kitchen</t>
        </is>
      </c>
      <c r="F527" s="13" t="inlineStr">
        <is>
          <t>Chef Knife</t>
        </is>
      </c>
      <c r="G527" s="13" t="inlineStr">
        <is>
          <t>Corporate</t>
        </is>
      </c>
      <c r="H527" s="13" t="inlineStr">
        <is>
          <t>33</t>
        </is>
      </c>
      <c r="I527" s="14" t="inlineStr">
        <is>
          <t>60.63</t>
        </is>
      </c>
      <c r="J527" s="15" t="inlineStr">
        <is>
          <t>0.22</t>
        </is>
      </c>
      <c r="K527" s="14" t="inlineStr">
        <is>
          <t>21.83</t>
        </is>
      </c>
      <c r="L527" s="13" t="inlineStr">
        <is>
          <t>7</t>
        </is>
      </c>
      <c r="M527" s="13" t="inlineStr">
        <is>
          <t>Compleated</t>
        </is>
      </c>
      <c r="N527" s="13" t="inlineStr">
        <is>
          <t>A. Shah</t>
        </is>
      </c>
    </row>
    <row r="528">
      <c r="A528" s="13" t="inlineStr">
        <is>
          <t>HC-100526</t>
        </is>
      </c>
      <c r="B528" s="13" t="inlineStr">
        <is>
          <t>2024/06/02</t>
        </is>
      </c>
      <c r="C528" s="13" t="inlineStr">
        <is>
          <t>North</t>
        </is>
      </c>
      <c r="D528" s="13" t="inlineStr">
        <is>
          <t>B2B</t>
        </is>
      </c>
      <c r="E528" s="13" t="inlineStr">
        <is>
          <t>Kitchen</t>
        </is>
      </c>
      <c r="F528" s="13" t="inlineStr">
        <is>
          <t>Chef Knife</t>
        </is>
      </c>
      <c r="G528" s="13" t="inlineStr">
        <is>
          <t>Home Office</t>
        </is>
      </c>
      <c r="H528" s="13" t="inlineStr">
        <is>
          <t>13</t>
        </is>
      </c>
      <c r="I528" s="14" t="inlineStr">
        <is>
          <t>$60.81</t>
        </is>
      </c>
      <c r="J528" s="15" t="inlineStr">
        <is>
          <t>0.17</t>
        </is>
      </c>
      <c r="K528" s="14" t="inlineStr">
        <is>
          <t>21.89</t>
        </is>
      </c>
      <c r="L528" s="13" t="inlineStr">
        <is>
          <t>6</t>
        </is>
      </c>
      <c r="M528" s="13" t="inlineStr">
        <is>
          <t>Completed</t>
        </is>
      </c>
      <c r="N528" s="13" t="inlineStr">
        <is>
          <t>S. Nguyen</t>
        </is>
      </c>
    </row>
    <row r="529">
      <c r="A529" s="13" t="inlineStr">
        <is>
          <t>HC-100527</t>
        </is>
      </c>
      <c r="B529" s="13" t="inlineStr">
        <is>
          <t>11.12.2024</t>
        </is>
      </c>
      <c r="C529" s="13" t="inlineStr">
        <is>
          <t>South</t>
        </is>
      </c>
      <c r="D529" s="13" t="inlineStr">
        <is>
          <t>Online</t>
        </is>
      </c>
      <c r="E529" s="13" t="inlineStr">
        <is>
          <t>Kitchen</t>
        </is>
      </c>
      <c r="F529" s="13" t="inlineStr">
        <is>
          <t>Chef Knife</t>
        </is>
      </c>
      <c r="G529" s="13" t="inlineStr">
        <is>
          <t>Consumer</t>
        </is>
      </c>
      <c r="H529" s="13" t="inlineStr">
        <is>
          <t>4</t>
        </is>
      </c>
      <c r="I529" s="14" t="inlineStr">
        <is>
          <t>59.06</t>
        </is>
      </c>
      <c r="J529" s="15" t="inlineStr">
        <is>
          <t>0.06</t>
        </is>
      </c>
      <c r="K529" s="14" t="inlineStr">
        <is>
          <t>21.26</t>
        </is>
      </c>
      <c r="L529" s="13" t="inlineStr">
        <is>
          <t>9</t>
        </is>
      </c>
      <c r="M529" s="13" t="inlineStr">
        <is>
          <t>Completed</t>
        </is>
      </c>
      <c r="N529" s="13" t="inlineStr">
        <is>
          <t>S. Nguyen</t>
        </is>
      </c>
    </row>
    <row r="530">
      <c r="A530" s="13" t="inlineStr">
        <is>
          <t>HC-100528</t>
        </is>
      </c>
      <c r="B530" s="13" t="inlineStr">
        <is>
          <t>01/02/2025</t>
        </is>
      </c>
      <c r="C530" s="13" t="inlineStr">
        <is>
          <t>North</t>
        </is>
      </c>
      <c r="D530" s="13" t="inlineStr">
        <is>
          <t>Store</t>
        </is>
      </c>
      <c r="E530" s="13" t="inlineStr">
        <is>
          <t>FURNITURE</t>
        </is>
      </c>
      <c r="F530" s="13" t="inlineStr">
        <is>
          <t>Oak Desk</t>
        </is>
      </c>
      <c r="G530" s="13" t="inlineStr">
        <is>
          <t>Consumer</t>
        </is>
      </c>
      <c r="H530" s="13" t="inlineStr">
        <is>
          <t>4</t>
        </is>
      </c>
      <c r="I530" s="14" t="inlineStr">
        <is>
          <t>862.61</t>
        </is>
      </c>
      <c r="J530" s="15" t="inlineStr">
        <is>
          <t>0.01</t>
        </is>
      </c>
      <c r="K530" s="14" t="inlineStr">
        <is>
          <t>534.82</t>
        </is>
      </c>
      <c r="L530" s="13" t="inlineStr">
        <is>
          <t>3</t>
        </is>
      </c>
      <c r="M530" s="13" t="inlineStr">
        <is>
          <t>Completed</t>
        </is>
      </c>
      <c r="N530" s="13" t="inlineStr">
        <is>
          <t>P. Rossi</t>
        </is>
      </c>
    </row>
    <row r="531">
      <c r="A531" s="13" t="inlineStr">
        <is>
          <t>HC-100529</t>
        </is>
      </c>
      <c r="B531" s="13" t="inlineStr">
        <is>
          <t>30-Jul-25</t>
        </is>
      </c>
      <c r="C531" s="13" t="inlineStr">
        <is>
          <t>South</t>
        </is>
      </c>
      <c r="D531" s="13" t="inlineStr">
        <is>
          <t>Online</t>
        </is>
      </c>
      <c r="E531" s="13" t="inlineStr">
        <is>
          <t>Lighting</t>
        </is>
      </c>
      <c r="F531" s="13" t="inlineStr">
        <is>
          <t>Pendant Light</t>
        </is>
      </c>
      <c r="G531" s="13" t="inlineStr">
        <is>
          <t>Consumer</t>
        </is>
      </c>
      <c r="H531" s="13" t="inlineStr">
        <is>
          <t>2</t>
        </is>
      </c>
      <c r="I531" s="14" t="inlineStr">
        <is>
          <t>179.45</t>
        </is>
      </c>
      <c r="J531" s="15" t="inlineStr">
        <is>
          <t>0.03</t>
        </is>
      </c>
      <c r="K531" s="14" t="inlineStr">
        <is>
          <t>89.73</t>
        </is>
      </c>
      <c r="L531" s="13" t="inlineStr">
        <is>
          <t>7</t>
        </is>
      </c>
      <c r="M531" s="13" t="inlineStr">
        <is>
          <t>Completed</t>
        </is>
      </c>
      <c r="N531" s="13" t="inlineStr">
        <is>
          <t>P. Rossi</t>
        </is>
      </c>
    </row>
    <row r="532">
      <c r="A532" s="13" t="inlineStr">
        <is>
          <t>HC-100530</t>
        </is>
      </c>
      <c r="B532" s="13" t="inlineStr">
        <is>
          <t>2025/04/22</t>
        </is>
      </c>
      <c r="C532" s="13" t="inlineStr">
        <is>
          <t xml:space="preserve"> North </t>
        </is>
      </c>
      <c r="D532" s="13" t="inlineStr">
        <is>
          <t>Online</t>
        </is>
      </c>
      <c r="E532" s="13" t="inlineStr">
        <is>
          <t>Furniture</t>
        </is>
      </c>
      <c r="F532" s="13" t="inlineStr">
        <is>
          <t>Walnut Shelf</t>
        </is>
      </c>
      <c r="G532" s="13" t="inlineStr">
        <is>
          <t>Consumer</t>
        </is>
      </c>
      <c r="H532" s="13" t="inlineStr">
        <is>
          <t>2</t>
        </is>
      </c>
      <c r="I532" s="14" t="inlineStr">
        <is>
          <t>$231.32</t>
        </is>
      </c>
      <c r="J532" s="15" t="inlineStr">
        <is>
          <t>0.12</t>
        </is>
      </c>
      <c r="K532" s="14" t="inlineStr">
        <is>
          <t>127.23</t>
        </is>
      </c>
      <c r="L532" s="13" t="inlineStr">
        <is>
          <t>9</t>
        </is>
      </c>
      <c r="M532" s="13" t="inlineStr">
        <is>
          <t>Completed</t>
        </is>
      </c>
      <c r="N532" s="13" t="inlineStr">
        <is>
          <t>S. Nguyen</t>
        </is>
      </c>
    </row>
    <row r="533">
      <c r="A533" s="13" t="inlineStr">
        <is>
          <t>HC-100531</t>
        </is>
      </c>
      <c r="B533" s="13" t="inlineStr">
        <is>
          <t>17.07.2024</t>
        </is>
      </c>
      <c r="C533" s="13" t="inlineStr">
        <is>
          <t>East</t>
        </is>
      </c>
      <c r="D533" s="13" t="inlineStr">
        <is>
          <t>Wholesale</t>
        </is>
      </c>
      <c r="E533" s="13" t="inlineStr">
        <is>
          <t>Textiles</t>
        </is>
      </c>
      <c r="F533" s="13" t="inlineStr">
        <is>
          <t>Wool Throw</t>
        </is>
      </c>
      <c r="G533" s="13" t="inlineStr">
        <is>
          <t>consumer</t>
        </is>
      </c>
      <c r="H533" s="13" t="inlineStr">
        <is>
          <t>16</t>
        </is>
      </c>
      <c r="I533" s="14" t="inlineStr">
        <is>
          <t>63.58</t>
        </is>
      </c>
      <c r="J533" s="15" t="inlineStr">
        <is>
          <t>0.13</t>
        </is>
      </c>
      <c r="K533" s="14" t="inlineStr">
        <is>
          <t>26.70</t>
        </is>
      </c>
      <c r="L533" s="13" t="inlineStr">
        <is>
          <t>8</t>
        </is>
      </c>
      <c r="M533" s="13" t="inlineStr">
        <is>
          <t>Completed</t>
        </is>
      </c>
      <c r="N533" s="13" t="inlineStr">
        <is>
          <t>R. Ibarra</t>
        </is>
      </c>
    </row>
    <row r="534">
      <c r="A534" s="13" t="inlineStr">
        <is>
          <t>HC-100532</t>
        </is>
      </c>
      <c r="B534" s="13" t="inlineStr">
        <is>
          <t>08/06/2024</t>
        </is>
      </c>
      <c r="C534" s="13" t="inlineStr">
        <is>
          <t>North</t>
        </is>
      </c>
      <c r="D534" s="13" t="inlineStr">
        <is>
          <t>Online</t>
        </is>
      </c>
      <c r="E534" s="13" t="inlineStr">
        <is>
          <t>Lighting</t>
        </is>
      </c>
      <c r="F534" s="13" t="inlineStr">
        <is>
          <t>Brass Sconce</t>
        </is>
      </c>
      <c r="G534" s="13" t="inlineStr">
        <is>
          <t>Consumer</t>
        </is>
      </c>
      <c r="H534" s="13" t="inlineStr">
        <is>
          <t>1</t>
        </is>
      </c>
      <c r="I534" s="14" t="inlineStr">
        <is>
          <t>135.18</t>
        </is>
      </c>
      <c r="J534" s="15" t="inlineStr">
        <is>
          <t>0.16</t>
        </is>
      </c>
      <c r="K534" s="14" t="inlineStr">
        <is>
          <t>62.18</t>
        </is>
      </c>
      <c r="L534" s="13" t="inlineStr">
        <is>
          <t>8</t>
        </is>
      </c>
      <c r="M534" s="13" t="inlineStr">
        <is>
          <t>Returned</t>
        </is>
      </c>
      <c r="N534" s="13" t="inlineStr">
        <is>
          <t>M. Okonkwo</t>
        </is>
      </c>
    </row>
    <row r="535">
      <c r="A535" s="13" t="inlineStr">
        <is>
          <t>HC-100533</t>
        </is>
      </c>
      <c r="B535" s="13" t="inlineStr">
        <is>
          <t>14-Nov-24</t>
        </is>
      </c>
      <c r="C535" s="13" t="inlineStr">
        <is>
          <t>West</t>
        </is>
      </c>
      <c r="D535" s="13" t="inlineStr">
        <is>
          <t>Online</t>
        </is>
      </c>
      <c r="E535" s="13" t="inlineStr">
        <is>
          <t>Textiles</t>
        </is>
      </c>
      <c r="F535" s="13" t="inlineStr">
        <is>
          <t>Linen Curtain</t>
        </is>
      </c>
      <c r="G535" s="13" t="inlineStr">
        <is>
          <t>Consumer</t>
        </is>
      </c>
      <c r="H535" s="13" t="inlineStr">
        <is>
          <t>two</t>
        </is>
      </c>
      <c r="I535" s="14" t="inlineStr">
        <is>
          <t>100.71</t>
        </is>
      </c>
      <c r="J535" s="15" t="inlineStr">
        <is>
          <t>0.06</t>
        </is>
      </c>
      <c r="K535" s="14" t="inlineStr">
        <is>
          <t>45.32</t>
        </is>
      </c>
      <c r="L535" s="13" t="inlineStr">
        <is>
          <t>8</t>
        </is>
      </c>
      <c r="M535" s="13" t="inlineStr">
        <is>
          <t>COMPLETED</t>
        </is>
      </c>
      <c r="N535" s="13" t="inlineStr">
        <is>
          <t>S. Nguyen</t>
        </is>
      </c>
    </row>
    <row r="536">
      <c r="A536" s="13" t="inlineStr">
        <is>
          <t>HC-100534</t>
        </is>
      </c>
      <c r="B536" s="13" t="inlineStr">
        <is>
          <t>2025/07/04</t>
        </is>
      </c>
      <c r="C536" s="13" t="inlineStr">
        <is>
          <t>north</t>
        </is>
      </c>
      <c r="D536" s="13" t="inlineStr">
        <is>
          <t>Store</t>
        </is>
      </c>
      <c r="E536" s="13" t="inlineStr">
        <is>
          <t>Textiles</t>
        </is>
      </c>
      <c r="F536" s="13" t="inlineStr">
        <is>
          <t>Cotton Duvet</t>
        </is>
      </c>
      <c r="G536" s="13" t="inlineStr">
        <is>
          <t>Consumer</t>
        </is>
      </c>
      <c r="H536" s="13" t="inlineStr">
        <is>
          <t>1</t>
        </is>
      </c>
      <c r="I536" s="14" t="inlineStr">
        <is>
          <t>128.87</t>
        </is>
      </c>
      <c r="J536" s="15" t="inlineStr">
        <is>
          <t>0.10</t>
        </is>
      </c>
      <c r="K536" s="14" t="inlineStr">
        <is>
          <t>56.70</t>
        </is>
      </c>
      <c r="L536" s="13" t="inlineStr">
        <is>
          <t>6</t>
        </is>
      </c>
      <c r="M536" s="13" t="inlineStr">
        <is>
          <t>Completed</t>
        </is>
      </c>
      <c r="N536" s="13" t="inlineStr">
        <is>
          <t>J. Patel</t>
        </is>
      </c>
    </row>
    <row r="537">
      <c r="A537" s="13" t="inlineStr">
        <is>
          <t>HC-100535</t>
        </is>
      </c>
      <c r="B537" s="13" t="inlineStr">
        <is>
          <t>08.11.2024</t>
        </is>
      </c>
      <c r="C537" s="13" t="inlineStr">
        <is>
          <t>West</t>
        </is>
      </c>
      <c r="D537" s="13" t="inlineStr">
        <is>
          <t>Store</t>
        </is>
      </c>
      <c r="E537" s="13" t="inlineStr">
        <is>
          <t>Lighting</t>
        </is>
      </c>
      <c r="F537" s="13" t="inlineStr">
        <is>
          <t>Arc Lamp</t>
        </is>
      </c>
      <c r="G537" s="13" t="inlineStr">
        <is>
          <t>Consumer</t>
        </is>
      </c>
      <c r="H537" s="13" t="inlineStr">
        <is>
          <t>5</t>
        </is>
      </c>
      <c r="I537" s="14" t="inlineStr">
        <is>
          <t>305.95</t>
        </is>
      </c>
      <c r="J537" s="15" t="inlineStr">
        <is>
          <t>0.01</t>
        </is>
      </c>
      <c r="K537" s="14" t="inlineStr">
        <is>
          <t>146.86</t>
        </is>
      </c>
      <c r="L537" s="13" t="inlineStr">
        <is>
          <t>5</t>
        </is>
      </c>
      <c r="M537" s="13" t="inlineStr">
        <is>
          <t>Completed</t>
        </is>
      </c>
      <c r="N537" s="13" t="inlineStr">
        <is>
          <t>P. Rossi</t>
        </is>
      </c>
    </row>
    <row r="538">
      <c r="A538" s="13" t="inlineStr">
        <is>
          <t>HC-100536</t>
        </is>
      </c>
      <c r="B538" s="13" t="inlineStr">
        <is>
          <t>05/05/2024</t>
        </is>
      </c>
      <c r="C538" s="13" t="inlineStr">
        <is>
          <t>West</t>
        </is>
      </c>
      <c r="D538" s="13" t="inlineStr">
        <is>
          <t>Online</t>
        </is>
      </c>
      <c r="E538" s="13" t="inlineStr">
        <is>
          <t>Kitchen</t>
        </is>
      </c>
      <c r="F538" s="13" t="inlineStr">
        <is>
          <t>Ceramic Set</t>
        </is>
      </c>
      <c r="G538" s="13" t="inlineStr">
        <is>
          <t>Consumer</t>
        </is>
      </c>
      <c r="H538" s="13" t="inlineStr">
        <is>
          <t>1</t>
        </is>
      </c>
      <c r="I538" s="14" t="inlineStr">
        <is>
          <t>80.89</t>
        </is>
      </c>
      <c r="J538" s="15" t="inlineStr">
        <is>
          <t>0.09</t>
        </is>
      </c>
      <c r="K538" s="14" t="inlineStr">
        <is>
          <t>30.74</t>
        </is>
      </c>
      <c r="L538" s="13" t="inlineStr">
        <is>
          <t>4</t>
        </is>
      </c>
      <c r="M538" s="13" t="inlineStr">
        <is>
          <t>Returned</t>
        </is>
      </c>
      <c r="N538" s="13" t="inlineStr">
        <is>
          <t>A. Shah</t>
        </is>
      </c>
    </row>
    <row r="539">
      <c r="A539" s="13" t="inlineStr">
        <is>
          <t>HC-100537</t>
        </is>
      </c>
      <c r="B539" s="13" t="inlineStr">
        <is>
          <t>28-Mar-25</t>
        </is>
      </c>
      <c r="C539" s="13" t="inlineStr">
        <is>
          <t>Nort</t>
        </is>
      </c>
      <c r="D539" s="13" t="inlineStr">
        <is>
          <t>Store</t>
        </is>
      </c>
      <c r="E539" s="13" t="inlineStr">
        <is>
          <t>Furniture</t>
        </is>
      </c>
      <c r="F539" s="13" t="inlineStr">
        <is>
          <t>Linen Sofa</t>
        </is>
      </c>
      <c r="G539" s="13" t="inlineStr">
        <is>
          <t>Corporate</t>
        </is>
      </c>
      <c r="H539" s="13" t="inlineStr">
        <is>
          <t>2</t>
        </is>
      </c>
      <c r="I539" s="14" t="inlineStr">
        <is>
          <t>1235.59</t>
        </is>
      </c>
      <c r="J539" s="15" t="inlineStr">
        <is>
          <t>0.08</t>
        </is>
      </c>
      <c r="K539" s="14" t="inlineStr">
        <is>
          <t>815.49</t>
        </is>
      </c>
      <c r="L539" s="13" t="inlineStr">
        <is>
          <t>5</t>
        </is>
      </c>
      <c r="M539" s="13" t="inlineStr">
        <is>
          <t>Completed</t>
        </is>
      </c>
      <c r="N539" s="13" t="inlineStr">
        <is>
          <t>L. Berger</t>
        </is>
      </c>
    </row>
    <row r="540">
      <c r="A540" s="13" t="inlineStr">
        <is>
          <t>HC-100538</t>
        </is>
      </c>
      <c r="B540" s="13" t="inlineStr">
        <is>
          <t>2024/11/03</t>
        </is>
      </c>
      <c r="C540" s="13" t="inlineStr">
        <is>
          <t>North</t>
        </is>
      </c>
      <c r="D540" s="13" t="inlineStr">
        <is>
          <t>Store</t>
        </is>
      </c>
      <c r="E540" s="13" t="inlineStr">
        <is>
          <t>Kitchen</t>
        </is>
      </c>
      <c r="F540" s="13" t="inlineStr">
        <is>
          <t>Ceramic Set</t>
        </is>
      </c>
      <c r="G540" s="13" t="inlineStr">
        <is>
          <t>corporate</t>
        </is>
      </c>
      <c r="H540" s="13" t="inlineStr">
        <is>
          <t>2</t>
        </is>
      </c>
      <c r="I540" s="14" t="inlineStr">
        <is>
          <t>89.43</t>
        </is>
      </c>
      <c r="J540" s="15" t="inlineStr">
        <is>
          <t>0.11</t>
        </is>
      </c>
      <c r="K540" s="14" t="inlineStr">
        <is>
          <t>33.98</t>
        </is>
      </c>
      <c r="L540" s="13" t="inlineStr">
        <is>
          <t>6</t>
        </is>
      </c>
      <c r="M540" s="13" t="inlineStr">
        <is>
          <t>Compleated</t>
        </is>
      </c>
      <c r="N540" s="13" t="inlineStr">
        <is>
          <t>S. Nguyen</t>
        </is>
      </c>
    </row>
    <row r="541">
      <c r="A541" s="13" t="inlineStr">
        <is>
          <t>HC-100539</t>
        </is>
      </c>
      <c r="B541" s="13" t="inlineStr">
        <is>
          <t>20.04.2024</t>
        </is>
      </c>
      <c r="C541" s="13" t="inlineStr">
        <is>
          <t>NORTH</t>
        </is>
      </c>
      <c r="D541" s="13" t="inlineStr">
        <is>
          <t>Online</t>
        </is>
      </c>
      <c r="E541" s="13" t="inlineStr">
        <is>
          <t>Kitchen</t>
        </is>
      </c>
      <c r="F541" s="13" t="inlineStr">
        <is>
          <t>Ceramic Set</t>
        </is>
      </c>
      <c r="G541" s="13" t="inlineStr"/>
      <c r="H541" s="13" t="inlineStr">
        <is>
          <t>2</t>
        </is>
      </c>
      <c r="I541" s="14" t="inlineStr">
        <is>
          <t>83.76</t>
        </is>
      </c>
      <c r="J541" s="15" t="inlineStr">
        <is>
          <t>0.11</t>
        </is>
      </c>
      <c r="K541" s="14" t="inlineStr">
        <is>
          <t>31.83</t>
        </is>
      </c>
      <c r="L541" s="13" t="inlineStr">
        <is>
          <t>6</t>
        </is>
      </c>
      <c r="M541" s="13" t="inlineStr">
        <is>
          <t>complete</t>
        </is>
      </c>
      <c r="N541" s="13" t="inlineStr">
        <is>
          <t>L. Berger</t>
        </is>
      </c>
    </row>
    <row r="542">
      <c r="A542" s="13" t="inlineStr">
        <is>
          <t>HC-100540</t>
        </is>
      </c>
      <c r="B542" s="13" t="inlineStr">
        <is>
          <t>09/09/2025</t>
        </is>
      </c>
      <c r="C542" s="13" t="inlineStr">
        <is>
          <t>South</t>
        </is>
      </c>
      <c r="D542" s="13" t="inlineStr">
        <is>
          <t>Store</t>
        </is>
      </c>
      <c r="E542" s="13" t="inlineStr">
        <is>
          <t>Textiles</t>
        </is>
      </c>
      <c r="F542" s="13" t="inlineStr">
        <is>
          <t>Cotton Duvet</t>
        </is>
      </c>
      <c r="G542" s="13" t="inlineStr">
        <is>
          <t>Consumer</t>
        </is>
      </c>
      <c r="H542" s="13" t="inlineStr">
        <is>
          <t>1</t>
        </is>
      </c>
      <c r="I542" s="14" t="inlineStr">
        <is>
          <t>111.42</t>
        </is>
      </c>
      <c r="J542" s="15" t="inlineStr">
        <is>
          <t>0.03</t>
        </is>
      </c>
      <c r="K542" s="14" t="inlineStr">
        <is>
          <t>49.03</t>
        </is>
      </c>
      <c r="L542" s="13" t="inlineStr">
        <is>
          <t>5</t>
        </is>
      </c>
      <c r="M542" s="13" t="inlineStr">
        <is>
          <t>Returned</t>
        </is>
      </c>
      <c r="N542" s="13" t="inlineStr">
        <is>
          <t>P. Rossi</t>
        </is>
      </c>
    </row>
    <row r="543">
      <c r="A543" s="13" t="inlineStr">
        <is>
          <t>HC-100541</t>
        </is>
      </c>
      <c r="B543" s="13" t="inlineStr">
        <is>
          <t>13-Feb-24</t>
        </is>
      </c>
      <c r="C543" s="13" t="inlineStr">
        <is>
          <t>North</t>
        </is>
      </c>
      <c r="D543" s="13" t="inlineStr">
        <is>
          <t>Store</t>
        </is>
      </c>
      <c r="E543" s="13" t="inlineStr">
        <is>
          <t>FURNITURE</t>
        </is>
      </c>
      <c r="F543" s="13" t="inlineStr">
        <is>
          <t>Lounge Chair</t>
        </is>
      </c>
      <c r="G543" s="13" t="inlineStr">
        <is>
          <t>Corporate</t>
        </is>
      </c>
      <c r="H543" s="13" t="inlineStr">
        <is>
          <t>1</t>
        </is>
      </c>
      <c r="I543" s="14" t="inlineStr">
        <is>
          <t>502.90</t>
        </is>
      </c>
      <c r="J543" s="15" t="inlineStr">
        <is>
          <t>0.10</t>
        </is>
      </c>
      <c r="K543" s="14" t="inlineStr">
        <is>
          <t>301.74</t>
        </is>
      </c>
      <c r="L543" s="13" t="inlineStr">
        <is>
          <t>N/A</t>
        </is>
      </c>
      <c r="M543" s="13" t="inlineStr">
        <is>
          <t>Completed</t>
        </is>
      </c>
      <c r="N543" s="13" t="inlineStr">
        <is>
          <t>R. Ibarra</t>
        </is>
      </c>
    </row>
    <row r="544">
      <c r="A544" s="13" t="inlineStr">
        <is>
          <t>HC-100542</t>
        </is>
      </c>
      <c r="B544" s="13" t="inlineStr">
        <is>
          <t>2024/05/04</t>
        </is>
      </c>
      <c r="C544" s="13" t="inlineStr">
        <is>
          <t>East</t>
        </is>
      </c>
      <c r="D544" s="13" t="inlineStr">
        <is>
          <t>Store</t>
        </is>
      </c>
      <c r="E544" s="13" t="inlineStr">
        <is>
          <t>Furniture</t>
        </is>
      </c>
      <c r="F544" s="13" t="inlineStr">
        <is>
          <t>Linen Sofa</t>
        </is>
      </c>
      <c r="G544" s="13" t="inlineStr"/>
      <c r="H544" s="13" t="inlineStr">
        <is>
          <t>4</t>
        </is>
      </c>
      <c r="I544" s="14" t="inlineStr">
        <is>
          <t>1105.90</t>
        </is>
      </c>
      <c r="J544" s="15" t="inlineStr">
        <is>
          <t>0.06</t>
        </is>
      </c>
      <c r="K544" s="14" t="inlineStr">
        <is>
          <t>729.89</t>
        </is>
      </c>
      <c r="L544" s="13" t="inlineStr">
        <is>
          <t>7</t>
        </is>
      </c>
      <c r="M544" s="13" t="inlineStr">
        <is>
          <t>Completed</t>
        </is>
      </c>
      <c r="N544" s="13" t="inlineStr">
        <is>
          <t>K. Mensah</t>
        </is>
      </c>
    </row>
    <row r="545">
      <c r="A545" s="13" t="inlineStr">
        <is>
          <t>HC-100543</t>
        </is>
      </c>
      <c r="B545" s="13" t="inlineStr">
        <is>
          <t>19.04.2024</t>
        </is>
      </c>
      <c r="C545" s="13" t="inlineStr">
        <is>
          <t>North</t>
        </is>
      </c>
      <c r="D545" s="13" t="inlineStr">
        <is>
          <t>Store</t>
        </is>
      </c>
      <c r="E545" s="13" t="inlineStr">
        <is>
          <t>Kitchen</t>
        </is>
      </c>
      <c r="F545" s="13" t="inlineStr">
        <is>
          <t>Chef Knife</t>
        </is>
      </c>
      <c r="G545" s="13" t="inlineStr">
        <is>
          <t>Home Office</t>
        </is>
      </c>
      <c r="H545" s="13" t="inlineStr">
        <is>
          <t>2</t>
        </is>
      </c>
      <c r="I545" s="14" t="inlineStr">
        <is>
          <t>64.71</t>
        </is>
      </c>
      <c r="J545" s="15" t="inlineStr">
        <is>
          <t>3%</t>
        </is>
      </c>
      <c r="K545" s="14" t="inlineStr">
        <is>
          <t>23.30</t>
        </is>
      </c>
      <c r="L545" s="13" t="inlineStr">
        <is>
          <t>6</t>
        </is>
      </c>
      <c r="M545" s="13" t="inlineStr">
        <is>
          <t>Completed</t>
        </is>
      </c>
      <c r="N545" s="13" t="inlineStr">
        <is>
          <t>P. Rossi</t>
        </is>
      </c>
    </row>
    <row r="546">
      <c r="A546" s="13" t="inlineStr">
        <is>
          <t>HC-100544</t>
        </is>
      </c>
      <c r="B546" s="13" t="inlineStr">
        <is>
          <t>03/09/2024</t>
        </is>
      </c>
      <c r="C546" s="13" t="inlineStr">
        <is>
          <t>South</t>
        </is>
      </c>
      <c r="D546" s="13" t="inlineStr">
        <is>
          <t>Store</t>
        </is>
      </c>
      <c r="E546" s="13" t="inlineStr">
        <is>
          <t>Textiles</t>
        </is>
      </c>
      <c r="F546" s="13" t="inlineStr">
        <is>
          <t>Wool Throw</t>
        </is>
      </c>
      <c r="G546" s="13" t="inlineStr">
        <is>
          <t>Consumer</t>
        </is>
      </c>
      <c r="H546" s="13" t="inlineStr">
        <is>
          <t>3</t>
        </is>
      </c>
      <c r="I546" s="14" t="inlineStr">
        <is>
          <t>69.59</t>
        </is>
      </c>
      <c r="J546" s="15" t="inlineStr">
        <is>
          <t>0.10</t>
        </is>
      </c>
      <c r="K546" s="14" t="inlineStr">
        <is>
          <t>29.23</t>
        </is>
      </c>
      <c r="L546" s="13" t="inlineStr">
        <is>
          <t>8</t>
        </is>
      </c>
      <c r="M546" s="13" t="inlineStr">
        <is>
          <t>Completed</t>
        </is>
      </c>
      <c r="N546" s="13" t="inlineStr">
        <is>
          <t>K. Mensah</t>
        </is>
      </c>
    </row>
    <row r="547">
      <c r="A547" s="13" t="inlineStr">
        <is>
          <t>HC-100545</t>
        </is>
      </c>
      <c r="B547" s="13" t="inlineStr">
        <is>
          <t>22-Oct-24</t>
        </is>
      </c>
      <c r="C547" s="13" t="inlineStr">
        <is>
          <t>West</t>
        </is>
      </c>
      <c r="D547" s="13" t="inlineStr">
        <is>
          <t>Online</t>
        </is>
      </c>
      <c r="E547" s="13" t="inlineStr">
        <is>
          <t>TEXTILES</t>
        </is>
      </c>
      <c r="F547" s="13" t="inlineStr">
        <is>
          <t>Wool Throw</t>
        </is>
      </c>
      <c r="G547" s="13" t="inlineStr">
        <is>
          <t>Consumer</t>
        </is>
      </c>
      <c r="H547" s="13" t="inlineStr">
        <is>
          <t>1</t>
        </is>
      </c>
      <c r="I547" s="14" t="inlineStr">
        <is>
          <t>74.30</t>
        </is>
      </c>
      <c r="J547" s="15" t="inlineStr">
        <is>
          <t>0.11</t>
        </is>
      </c>
      <c r="K547" s="14" t="inlineStr">
        <is>
          <t>31.21</t>
        </is>
      </c>
      <c r="L547" s="13" t="inlineStr">
        <is>
          <t>5</t>
        </is>
      </c>
      <c r="M547" s="13" t="inlineStr">
        <is>
          <t>Completed</t>
        </is>
      </c>
      <c r="N547" s="13" t="inlineStr">
        <is>
          <t>K. Mensah</t>
        </is>
      </c>
    </row>
    <row r="548">
      <c r="A548" s="13" t="inlineStr">
        <is>
          <t>HC-100546</t>
        </is>
      </c>
      <c r="B548" s="13" t="inlineStr">
        <is>
          <t>2024/08/29</t>
        </is>
      </c>
      <c r="C548" s="13" t="inlineStr">
        <is>
          <t>Eas</t>
        </is>
      </c>
      <c r="D548" s="13" t="inlineStr">
        <is>
          <t>Online</t>
        </is>
      </c>
      <c r="E548" s="13" t="inlineStr">
        <is>
          <t>Lighting</t>
        </is>
      </c>
      <c r="F548" s="13" t="inlineStr">
        <is>
          <t>Arc Lamp</t>
        </is>
      </c>
      <c r="G548" s="13" t="inlineStr">
        <is>
          <t>Corporate</t>
        </is>
      </c>
      <c r="H548" s="13" t="inlineStr">
        <is>
          <t>3</t>
        </is>
      </c>
      <c r="I548" s="14" t="inlineStr">
        <is>
          <t>273.77</t>
        </is>
      </c>
      <c r="J548" s="15" t="inlineStr">
        <is>
          <t>0.07</t>
        </is>
      </c>
      <c r="K548" s="14" t="inlineStr">
        <is>
          <t>131.41</t>
        </is>
      </c>
      <c r="L548" s="13" t="inlineStr">
        <is>
          <t>5</t>
        </is>
      </c>
      <c r="M548" s="13" t="inlineStr">
        <is>
          <t>Completed</t>
        </is>
      </c>
      <c r="N548" s="13" t="inlineStr">
        <is>
          <t>K. Mensah</t>
        </is>
      </c>
    </row>
    <row r="549">
      <c r="A549" s="13" t="inlineStr">
        <is>
          <t>HC-100547</t>
        </is>
      </c>
      <c r="B549" s="13" t="inlineStr">
        <is>
          <t>24.03.2025</t>
        </is>
      </c>
      <c r="C549" s="13" t="inlineStr">
        <is>
          <t>WEST</t>
        </is>
      </c>
      <c r="D549" s="13" t="inlineStr">
        <is>
          <t>Store</t>
        </is>
      </c>
      <c r="E549" s="13" t="inlineStr">
        <is>
          <t>Furniture</t>
        </is>
      </c>
      <c r="F549" s="13" t="inlineStr">
        <is>
          <t>Oak Desk</t>
        </is>
      </c>
      <c r="G549" s="13" t="inlineStr">
        <is>
          <t>Consumer</t>
        </is>
      </c>
      <c r="H549" s="13" t="inlineStr">
        <is>
          <t>4</t>
        </is>
      </c>
      <c r="I549" s="14" t="inlineStr">
        <is>
          <t>786.39</t>
        </is>
      </c>
      <c r="J549" s="15" t="inlineStr">
        <is>
          <t>0.02</t>
        </is>
      </c>
      <c r="K549" s="14" t="inlineStr">
        <is>
          <t>487.56</t>
        </is>
      </c>
      <c r="L549" s="13" t="inlineStr">
        <is>
          <t>6</t>
        </is>
      </c>
      <c r="M549" s="13" t="inlineStr">
        <is>
          <t>Completed</t>
        </is>
      </c>
      <c r="N549" s="13" t="inlineStr">
        <is>
          <t>J. Patel</t>
        </is>
      </c>
    </row>
    <row r="550">
      <c r="A550" s="13" t="inlineStr">
        <is>
          <t>HC-100548</t>
        </is>
      </c>
      <c r="B550" s="13" t="inlineStr">
        <is>
          <t>05/03/2025</t>
        </is>
      </c>
      <c r="C550" s="13" t="inlineStr">
        <is>
          <t>South</t>
        </is>
      </c>
      <c r="D550" s="13" t="inlineStr">
        <is>
          <t>Online</t>
        </is>
      </c>
      <c r="E550" s="13" t="inlineStr">
        <is>
          <t>Textiles</t>
        </is>
      </c>
      <c r="F550" s="13" t="inlineStr">
        <is>
          <t>Wool Throw</t>
        </is>
      </c>
      <c r="G550" s="13" t="inlineStr">
        <is>
          <t>Corporate</t>
        </is>
      </c>
      <c r="H550" s="13" t="inlineStr">
        <is>
          <t>3</t>
        </is>
      </c>
      <c r="I550" s="14" t="inlineStr">
        <is>
          <t>71.51</t>
        </is>
      </c>
      <c r="J550" s="15" t="inlineStr">
        <is>
          <t>0.07</t>
        </is>
      </c>
      <c r="K550" s="14" t="inlineStr">
        <is>
          <t>30.03</t>
        </is>
      </c>
      <c r="L550" s="13" t="inlineStr">
        <is>
          <t>4</t>
        </is>
      </c>
      <c r="M550" s="13" t="inlineStr">
        <is>
          <t>Canceled</t>
        </is>
      </c>
      <c r="N550" s="13" t="inlineStr">
        <is>
          <t>S. Nguyen</t>
        </is>
      </c>
    </row>
    <row r="551">
      <c r="A551" s="13" t="inlineStr">
        <is>
          <t>HC-100549</t>
        </is>
      </c>
      <c r="B551" s="13" t="inlineStr">
        <is>
          <t>04-Mar-24</t>
        </is>
      </c>
      <c r="C551" s="13" t="inlineStr">
        <is>
          <t>East</t>
        </is>
      </c>
      <c r="D551" s="13" t="inlineStr">
        <is>
          <t>Online</t>
        </is>
      </c>
      <c r="E551" s="13" t="inlineStr">
        <is>
          <t>Furniture</t>
        </is>
      </c>
      <c r="F551" s="13" t="inlineStr">
        <is>
          <t>Linen Sofa</t>
        </is>
      </c>
      <c r="G551" s="13" t="inlineStr">
        <is>
          <t>Consumer</t>
        </is>
      </c>
      <c r="H551" s="13" t="inlineStr">
        <is>
          <t>2</t>
        </is>
      </c>
      <c r="I551" s="14" t="inlineStr">
        <is>
          <t>1096.01</t>
        </is>
      </c>
      <c r="J551" s="15" t="inlineStr">
        <is>
          <t>0.08</t>
        </is>
      </c>
      <c r="K551" s="14" t="inlineStr">
        <is>
          <t>723.36</t>
        </is>
      </c>
      <c r="L551" s="13" t="inlineStr">
        <is>
          <t>11</t>
        </is>
      </c>
      <c r="M551" s="13" t="inlineStr">
        <is>
          <t>Completed</t>
        </is>
      </c>
      <c r="N551" s="13" t="inlineStr">
        <is>
          <t>S. Nguyen</t>
        </is>
      </c>
    </row>
    <row r="552">
      <c r="A552" s="13" t="inlineStr">
        <is>
          <t>HC-100550</t>
        </is>
      </c>
      <c r="B552" s="13" t="inlineStr">
        <is>
          <t>2024/07/27</t>
        </is>
      </c>
      <c r="C552" s="13" t="inlineStr">
        <is>
          <t>West</t>
        </is>
      </c>
      <c r="D552" s="13" t="inlineStr">
        <is>
          <t>web</t>
        </is>
      </c>
      <c r="E552" s="13" t="inlineStr">
        <is>
          <t>Textiles</t>
        </is>
      </c>
      <c r="F552" s="13" t="inlineStr">
        <is>
          <t>Cotton Duvet</t>
        </is>
      </c>
      <c r="G552" s="13" t="inlineStr">
        <is>
          <t>Consumer</t>
        </is>
      </c>
      <c r="H552" s="13" t="inlineStr">
        <is>
          <t>2</t>
        </is>
      </c>
      <c r="I552" s="14" t="inlineStr">
        <is>
          <t>123.25</t>
        </is>
      </c>
      <c r="J552" s="15" t="inlineStr">
        <is>
          <t>0.09</t>
        </is>
      </c>
      <c r="K552" s="14" t="inlineStr">
        <is>
          <t>54.23</t>
        </is>
      </c>
      <c r="L552" s="13" t="inlineStr">
        <is>
          <t>6</t>
        </is>
      </c>
      <c r="M552" s="13" t="inlineStr">
        <is>
          <t>Completed</t>
        </is>
      </c>
      <c r="N552" s="13" t="inlineStr">
        <is>
          <t>J. Patel</t>
        </is>
      </c>
    </row>
    <row r="553">
      <c r="A553" s="13" t="inlineStr">
        <is>
          <t>HC-100551</t>
        </is>
      </c>
      <c r="B553" s="13" t="inlineStr">
        <is>
          <t>07.06.2025</t>
        </is>
      </c>
      <c r="C553" s="13" t="inlineStr">
        <is>
          <t>West</t>
        </is>
      </c>
      <c r="D553" s="13" t="inlineStr">
        <is>
          <t>Store</t>
        </is>
      </c>
      <c r="E553" s="13" t="inlineStr">
        <is>
          <t>Furniture</t>
        </is>
      </c>
      <c r="F553" s="13" t="inlineStr">
        <is>
          <t>Linen Sofa</t>
        </is>
      </c>
      <c r="G553" s="13" t="inlineStr">
        <is>
          <t>Consumer</t>
        </is>
      </c>
      <c r="H553" s="13" t="inlineStr">
        <is>
          <t>3</t>
        </is>
      </c>
      <c r="I553" s="14" t="inlineStr">
        <is>
          <t>1190.54</t>
        </is>
      </c>
      <c r="J553" s="15" t="inlineStr">
        <is>
          <t>0.08</t>
        </is>
      </c>
      <c r="K553" s="14" t="inlineStr">
        <is>
          <t>785.76</t>
        </is>
      </c>
      <c r="L553" s="13" t="inlineStr">
        <is>
          <t>3</t>
        </is>
      </c>
      <c r="M553" s="13" t="inlineStr">
        <is>
          <t>Completed</t>
        </is>
      </c>
      <c r="N553" s="13" t="inlineStr">
        <is>
          <t>M. Okonkwo</t>
        </is>
      </c>
    </row>
    <row r="554">
      <c r="A554" s="13" t="inlineStr">
        <is>
          <t>HC-100552</t>
        </is>
      </c>
      <c r="B554" s="13" t="inlineStr">
        <is>
          <t>10/10/2024</t>
        </is>
      </c>
      <c r="C554" s="13" t="inlineStr">
        <is>
          <t>South</t>
        </is>
      </c>
      <c r="D554" s="13" t="inlineStr">
        <is>
          <t>Store</t>
        </is>
      </c>
      <c r="E554" s="13" t="inlineStr">
        <is>
          <t>LIGHTING</t>
        </is>
      </c>
      <c r="F554" s="13" t="inlineStr">
        <is>
          <t>Brass Sconce</t>
        </is>
      </c>
      <c r="G554" s="13" t="inlineStr">
        <is>
          <t>Corporate</t>
        </is>
      </c>
      <c r="H554" s="13" t="inlineStr">
        <is>
          <t>3</t>
        </is>
      </c>
      <c r="I554" s="14" t="inlineStr">
        <is>
          <t>130.02</t>
        </is>
      </c>
      <c r="J554" s="15" t="inlineStr">
        <is>
          <t>0.07</t>
        </is>
      </c>
      <c r="K554" s="14" t="inlineStr">
        <is>
          <t>59.81</t>
        </is>
      </c>
      <c r="L554" s="13" t="inlineStr">
        <is>
          <t>3</t>
        </is>
      </c>
      <c r="M554" s="13" t="inlineStr">
        <is>
          <t>Completed</t>
        </is>
      </c>
      <c r="N554" s="13" t="inlineStr">
        <is>
          <t>K. Mensah</t>
        </is>
      </c>
    </row>
    <row r="555">
      <c r="A555" s="13" t="inlineStr">
        <is>
          <t>HC-100553</t>
        </is>
      </c>
      <c r="B555" s="13" t="inlineStr">
        <is>
          <t>27-Nov-24</t>
        </is>
      </c>
      <c r="C555" s="13" t="inlineStr">
        <is>
          <t>East</t>
        </is>
      </c>
      <c r="D555" s="13" t="inlineStr">
        <is>
          <t>Online</t>
        </is>
      </c>
      <c r="E555" s="13" t="inlineStr">
        <is>
          <t>Furniture</t>
        </is>
      </c>
      <c r="F555" s="13" t="inlineStr">
        <is>
          <t>Linen Sofa</t>
        </is>
      </c>
      <c r="G555" s="13" t="inlineStr">
        <is>
          <t>Corporate</t>
        </is>
      </c>
      <c r="H555" s="13" t="inlineStr">
        <is>
          <t>4</t>
        </is>
      </c>
      <c r="I555" s="14" t="inlineStr">
        <is>
          <t>1208.59</t>
        </is>
      </c>
      <c r="J555" s="15" t="inlineStr">
        <is>
          <t>0.08</t>
        </is>
      </c>
      <c r="K555" s="14" t="inlineStr">
        <is>
          <t>797.67</t>
        </is>
      </c>
      <c r="L555" s="13" t="inlineStr">
        <is>
          <t>6</t>
        </is>
      </c>
      <c r="M555" s="13" t="inlineStr">
        <is>
          <t>Completed</t>
        </is>
      </c>
      <c r="N555" s="13" t="inlineStr">
        <is>
          <t>J. Patel</t>
        </is>
      </c>
    </row>
    <row r="556">
      <c r="A556" s="13" t="inlineStr">
        <is>
          <t>HC-100554</t>
        </is>
      </c>
      <c r="B556" s="13" t="inlineStr">
        <is>
          <t>2025/04/11</t>
        </is>
      </c>
      <c r="C556" s="13" t="inlineStr">
        <is>
          <t>West</t>
        </is>
      </c>
      <c r="D556" s="13" t="inlineStr">
        <is>
          <t>Store</t>
        </is>
      </c>
      <c r="E556" s="13" t="inlineStr">
        <is>
          <t>Textiles</t>
        </is>
      </c>
      <c r="F556" s="13" t="inlineStr">
        <is>
          <t>Linen Curtain</t>
        </is>
      </c>
      <c r="G556" s="13" t="inlineStr">
        <is>
          <t>Consumer</t>
        </is>
      </c>
      <c r="H556" s="13" t="inlineStr">
        <is>
          <t>3</t>
        </is>
      </c>
      <c r="I556" s="14" t="inlineStr">
        <is>
          <t>97.60</t>
        </is>
      </c>
      <c r="J556" s="15" t="inlineStr">
        <is>
          <t>0.08</t>
        </is>
      </c>
      <c r="K556" s="14" t="inlineStr">
        <is>
          <t>43.92</t>
        </is>
      </c>
      <c r="L556" s="13" t="inlineStr">
        <is>
          <t>N/A</t>
        </is>
      </c>
      <c r="M556" s="13" t="inlineStr">
        <is>
          <t>RETURNED</t>
        </is>
      </c>
      <c r="N556" s="13" t="inlineStr">
        <is>
          <t>M. Okonkwo</t>
        </is>
      </c>
    </row>
    <row r="557">
      <c r="A557" s="13" t="inlineStr">
        <is>
          <t>HC-100555</t>
        </is>
      </c>
      <c r="B557" s="13" t="inlineStr">
        <is>
          <t>07.09.2024</t>
        </is>
      </c>
      <c r="C557" s="13" t="inlineStr">
        <is>
          <t>South</t>
        </is>
      </c>
      <c r="D557" s="13" t="inlineStr">
        <is>
          <t>Online</t>
        </is>
      </c>
      <c r="E557" s="13" t="inlineStr">
        <is>
          <t>Furniture</t>
        </is>
      </c>
      <c r="F557" s="13" t="inlineStr">
        <is>
          <t>Walnut Shelf</t>
        </is>
      </c>
      <c r="G557" s="13" t="inlineStr">
        <is>
          <t>consumer</t>
        </is>
      </c>
      <c r="H557" s="13" t="inlineStr">
        <is>
          <t>2</t>
        </is>
      </c>
      <c r="I557" s="14" t="inlineStr">
        <is>
          <t>214.56</t>
        </is>
      </c>
      <c r="J557" s="15" t="inlineStr">
        <is>
          <t>0.02</t>
        </is>
      </c>
      <c r="K557" s="14" t="inlineStr">
        <is>
          <t>118.01</t>
        </is>
      </c>
      <c r="L557" s="13" t="inlineStr">
        <is>
          <t>4</t>
        </is>
      </c>
      <c r="M557" s="13" t="inlineStr">
        <is>
          <t>Completed</t>
        </is>
      </c>
      <c r="N557" s="13" t="inlineStr">
        <is>
          <t>A. Shah</t>
        </is>
      </c>
    </row>
    <row r="558">
      <c r="A558" s="13" t="inlineStr">
        <is>
          <t>HC-100556</t>
        </is>
      </c>
      <c r="B558" s="13" t="inlineStr">
        <is>
          <t>01/30/2025</t>
        </is>
      </c>
      <c r="C558" s="13" t="inlineStr">
        <is>
          <t>North</t>
        </is>
      </c>
      <c r="D558" s="13" t="inlineStr">
        <is>
          <t>Online</t>
        </is>
      </c>
      <c r="E558" s="13" t="inlineStr">
        <is>
          <t>Textiles</t>
        </is>
      </c>
      <c r="F558" s="13" t="inlineStr">
        <is>
          <t>Cotton Duvet</t>
        </is>
      </c>
      <c r="G558" s="13" t="inlineStr">
        <is>
          <t>Consumer</t>
        </is>
      </c>
      <c r="H558" s="13" t="inlineStr">
        <is>
          <t>2</t>
        </is>
      </c>
      <c r="I558" s="14" t="inlineStr">
        <is>
          <t>113.60</t>
        </is>
      </c>
      <c r="J558" s="15" t="inlineStr">
        <is>
          <t>0.07</t>
        </is>
      </c>
      <c r="K558" s="14" t="inlineStr">
        <is>
          <t>49.98</t>
        </is>
      </c>
      <c r="L558" s="13" t="inlineStr">
        <is>
          <t>6</t>
        </is>
      </c>
      <c r="M558" s="13" t="inlineStr">
        <is>
          <t>Completed</t>
        </is>
      </c>
      <c r="N558" s="13" t="inlineStr">
        <is>
          <t>R. Ibarra</t>
        </is>
      </c>
    </row>
    <row r="559">
      <c r="A559" s="13" t="inlineStr">
        <is>
          <t>HC-100557</t>
        </is>
      </c>
      <c r="B559" s="13" t="inlineStr">
        <is>
          <t>04-Aug-25</t>
        </is>
      </c>
      <c r="C559" s="13" t="inlineStr">
        <is>
          <t>South</t>
        </is>
      </c>
      <c r="D559" s="13" t="inlineStr">
        <is>
          <t>Online</t>
        </is>
      </c>
      <c r="E559" s="13" t="inlineStr">
        <is>
          <t>Textiles</t>
        </is>
      </c>
      <c r="F559" s="13" t="inlineStr">
        <is>
          <t>Linen Curtain</t>
        </is>
      </c>
      <c r="G559" s="13" t="inlineStr">
        <is>
          <t>Corporate</t>
        </is>
      </c>
      <c r="H559" s="13" t="inlineStr">
        <is>
          <t>1</t>
        </is>
      </c>
      <c r="I559" s="14" t="inlineStr">
        <is>
          <t>94.29</t>
        </is>
      </c>
      <c r="J559" s="15" t="inlineStr">
        <is>
          <t>0.03</t>
        </is>
      </c>
      <c r="K559" s="14" t="inlineStr">
        <is>
          <t>42.43</t>
        </is>
      </c>
      <c r="L559" s="13" t="inlineStr">
        <is>
          <t>8</t>
        </is>
      </c>
      <c r="M559" s="13" t="inlineStr">
        <is>
          <t>Completed</t>
        </is>
      </c>
      <c r="N559" s="13" t="inlineStr">
        <is>
          <t>M. Okonkwo</t>
        </is>
      </c>
    </row>
    <row r="560">
      <c r="A560" s="13" t="inlineStr">
        <is>
          <t>HC-100558</t>
        </is>
      </c>
      <c r="B560" s="13" t="inlineStr">
        <is>
          <t>2024/11/15</t>
        </is>
      </c>
      <c r="C560" s="13" t="inlineStr">
        <is>
          <t>West</t>
        </is>
      </c>
      <c r="D560" s="13" t="inlineStr">
        <is>
          <t>Online</t>
        </is>
      </c>
      <c r="E560" s="13" t="inlineStr">
        <is>
          <t>Kitchen</t>
        </is>
      </c>
      <c r="F560" s="13" t="inlineStr">
        <is>
          <t>Ceramic Set</t>
        </is>
      </c>
      <c r="G560" s="13" t="inlineStr">
        <is>
          <t>Consumer</t>
        </is>
      </c>
      <c r="H560" s="13" t="inlineStr">
        <is>
          <t>2</t>
        </is>
      </c>
      <c r="I560" s="14" t="inlineStr">
        <is>
          <t>91.69</t>
        </is>
      </c>
      <c r="J560" s="15" t="inlineStr">
        <is>
          <t>0.02</t>
        </is>
      </c>
      <c r="K560" s="14" t="inlineStr">
        <is>
          <t>34.84</t>
        </is>
      </c>
      <c r="L560" s="13" t="inlineStr">
        <is>
          <t>5</t>
        </is>
      </c>
      <c r="M560" s="13" t="inlineStr">
        <is>
          <t>Completed</t>
        </is>
      </c>
      <c r="N560" s="13" t="inlineStr">
        <is>
          <t>P. Rossi</t>
        </is>
      </c>
    </row>
    <row r="561">
      <c r="A561" s="13" t="inlineStr">
        <is>
          <t>HC-100559</t>
        </is>
      </c>
      <c r="B561" s="13" t="inlineStr">
        <is>
          <t>15.06.2024</t>
        </is>
      </c>
      <c r="C561" s="13" t="inlineStr">
        <is>
          <t>North</t>
        </is>
      </c>
      <c r="D561" s="13" t="inlineStr">
        <is>
          <t>Online</t>
        </is>
      </c>
      <c r="E561" s="13" t="inlineStr">
        <is>
          <t>Textiles</t>
        </is>
      </c>
      <c r="F561" s="13" t="inlineStr">
        <is>
          <t>Wool Throw</t>
        </is>
      </c>
      <c r="G561" s="13" t="inlineStr">
        <is>
          <t>Consumer</t>
        </is>
      </c>
      <c r="H561" s="13" t="inlineStr">
        <is>
          <t>3</t>
        </is>
      </c>
      <c r="I561" s="14" t="inlineStr">
        <is>
          <t>80.94</t>
        </is>
      </c>
      <c r="J561" s="15" t="inlineStr">
        <is>
          <t>0.17</t>
        </is>
      </c>
      <c r="K561" s="14" t="inlineStr">
        <is>
          <t>34.00</t>
        </is>
      </c>
      <c r="L561" s="13" t="inlineStr">
        <is>
          <t>N/A</t>
        </is>
      </c>
      <c r="M561" s="13" t="inlineStr">
        <is>
          <t>Returned</t>
        </is>
      </c>
      <c r="N561" s="13" t="inlineStr">
        <is>
          <t>S. Nguyen</t>
        </is>
      </c>
    </row>
    <row r="562">
      <c r="A562" s="13" t="inlineStr">
        <is>
          <t>HC-100560</t>
        </is>
      </c>
      <c r="B562" s="13" t="inlineStr">
        <is>
          <t>09/27/2024</t>
        </is>
      </c>
      <c r="C562" s="13" t="inlineStr">
        <is>
          <t>North</t>
        </is>
      </c>
      <c r="D562" s="13" t="inlineStr">
        <is>
          <t>Store</t>
        </is>
      </c>
      <c r="E562" s="13" t="inlineStr">
        <is>
          <t>Textiles</t>
        </is>
      </c>
      <c r="F562" s="13" t="inlineStr">
        <is>
          <t>Linen Curtain</t>
        </is>
      </c>
      <c r="G562" s="13" t="inlineStr">
        <is>
          <t>Consumer</t>
        </is>
      </c>
      <c r="H562" s="13" t="inlineStr">
        <is>
          <t>2</t>
        </is>
      </c>
      <c r="I562" s="14" t="inlineStr">
        <is>
          <t>96.40</t>
        </is>
      </c>
      <c r="J562" s="15" t="inlineStr">
        <is>
          <t>10%</t>
        </is>
      </c>
      <c r="K562" s="14" t="inlineStr">
        <is>
          <t>43.38</t>
        </is>
      </c>
      <c r="L562" s="13" t="inlineStr">
        <is>
          <t>3</t>
        </is>
      </c>
      <c r="M562" s="13" t="inlineStr">
        <is>
          <t>retrned</t>
        </is>
      </c>
      <c r="N562" s="13" t="inlineStr">
        <is>
          <t>S. Nguyen</t>
        </is>
      </c>
    </row>
    <row r="563">
      <c r="A563" s="13" t="inlineStr">
        <is>
          <t>HC-100561</t>
        </is>
      </c>
      <c r="B563" s="13" t="inlineStr">
        <is>
          <t>28-Jul-24</t>
        </is>
      </c>
      <c r="C563" s="13" t="inlineStr">
        <is>
          <t>West</t>
        </is>
      </c>
      <c r="D563" s="13" t="inlineStr">
        <is>
          <t>Store</t>
        </is>
      </c>
      <c r="E563" s="13" t="inlineStr">
        <is>
          <t>Lighting</t>
        </is>
      </c>
      <c r="F563" s="13" t="inlineStr">
        <is>
          <t>Pendant Light</t>
        </is>
      </c>
      <c r="G563" s="13" t="inlineStr">
        <is>
          <t>Corporate</t>
        </is>
      </c>
      <c r="H563" s="13" t="inlineStr">
        <is>
          <t>2</t>
        </is>
      </c>
      <c r="I563" s="14" t="inlineStr">
        <is>
          <t>173.62</t>
        </is>
      </c>
      <c r="J563" s="15" t="inlineStr">
        <is>
          <t>0.03</t>
        </is>
      </c>
      <c r="K563" s="14" t="inlineStr">
        <is>
          <t>86.81</t>
        </is>
      </c>
      <c r="L563" s="13" t="inlineStr">
        <is>
          <t>2</t>
        </is>
      </c>
      <c r="M563" s="13" t="inlineStr">
        <is>
          <t>Completed</t>
        </is>
      </c>
      <c r="N563" s="13" t="inlineStr">
        <is>
          <t>R. Ibarra</t>
        </is>
      </c>
    </row>
    <row r="564">
      <c r="A564" s="13" t="inlineStr">
        <is>
          <t>HC-100562</t>
        </is>
      </c>
      <c r="B564" s="13" t="inlineStr">
        <is>
          <t>2025/09/18</t>
        </is>
      </c>
      <c r="C564" s="13" t="inlineStr">
        <is>
          <t>West</t>
        </is>
      </c>
      <c r="D564" s="13" t="inlineStr">
        <is>
          <t>Online</t>
        </is>
      </c>
      <c r="E564" s="13" t="inlineStr">
        <is>
          <t>Textiles</t>
        </is>
      </c>
      <c r="F564" s="13" t="inlineStr">
        <is>
          <t>Cotton Duvet</t>
        </is>
      </c>
      <c r="G564" s="13" t="inlineStr">
        <is>
          <t>Corporate</t>
        </is>
      </c>
      <c r="H564" s="13" t="inlineStr">
        <is>
          <t>3</t>
        </is>
      </c>
      <c r="I564" s="14" t="inlineStr">
        <is>
          <t>117.10</t>
        </is>
      </c>
      <c r="J564" s="15" t="inlineStr">
        <is>
          <t>0.05</t>
        </is>
      </c>
      <c r="K564" s="14" t="inlineStr">
        <is>
          <t>51.52</t>
        </is>
      </c>
      <c r="L564" s="13" t="inlineStr">
        <is>
          <t>3</t>
        </is>
      </c>
      <c r="M564" s="13" t="inlineStr">
        <is>
          <t>Completed</t>
        </is>
      </c>
      <c r="N564" s="13" t="inlineStr">
        <is>
          <t>K. Mensah</t>
        </is>
      </c>
    </row>
    <row r="565">
      <c r="A565" s="13" t="inlineStr">
        <is>
          <t>HC-100563</t>
        </is>
      </c>
      <c r="B565" s="13" t="inlineStr">
        <is>
          <t>07.04.2025</t>
        </is>
      </c>
      <c r="C565" s="13" t="inlineStr">
        <is>
          <t>South</t>
        </is>
      </c>
      <c r="D565" s="13" t="inlineStr">
        <is>
          <t>Store</t>
        </is>
      </c>
      <c r="E565" s="13" t="inlineStr">
        <is>
          <t>Furniture</t>
        </is>
      </c>
      <c r="F565" s="13" t="inlineStr">
        <is>
          <t>Walnut Shelf</t>
        </is>
      </c>
      <c r="G565" s="13" t="inlineStr">
        <is>
          <t>Consumer</t>
        </is>
      </c>
      <c r="H565" s="13" t="inlineStr">
        <is>
          <t>2</t>
        </is>
      </c>
      <c r="I565" s="14" t="inlineStr">
        <is>
          <t>207.40</t>
        </is>
      </c>
      <c r="J565" s="15" t="inlineStr">
        <is>
          <t>0.08</t>
        </is>
      </c>
      <c r="K565" s="14" t="inlineStr">
        <is>
          <t>114.07</t>
        </is>
      </c>
      <c r="L565" s="13" t="inlineStr">
        <is>
          <t>5</t>
        </is>
      </c>
      <c r="M565" s="13" t="inlineStr">
        <is>
          <t>complete</t>
        </is>
      </c>
      <c r="N565" s="13" t="inlineStr">
        <is>
          <t>M. Okonkwo</t>
        </is>
      </c>
    </row>
    <row r="566">
      <c r="A566" s="13" t="inlineStr">
        <is>
          <t>HC-100564</t>
        </is>
      </c>
      <c r="B566" s="13" t="inlineStr">
        <is>
          <t>05/31/2024</t>
        </is>
      </c>
      <c r="C566" s="13" t="inlineStr">
        <is>
          <t>West</t>
        </is>
      </c>
      <c r="D566" s="13" t="inlineStr">
        <is>
          <t>Store</t>
        </is>
      </c>
      <c r="E566" s="13" t="inlineStr">
        <is>
          <t>Furniture</t>
        </is>
      </c>
      <c r="F566" s="13" t="inlineStr">
        <is>
          <t>Linen Sofa</t>
        </is>
      </c>
      <c r="G566" s="13" t="inlineStr">
        <is>
          <t>corporate</t>
        </is>
      </c>
      <c r="H566" s="13" t="inlineStr">
        <is>
          <t>1</t>
        </is>
      </c>
      <c r="I566" s="14" t="inlineStr">
        <is>
          <t>1209.17</t>
        </is>
      </c>
      <c r="J566" s="15" t="inlineStr">
        <is>
          <t>0.09</t>
        </is>
      </c>
      <c r="K566" s="14" t="inlineStr">
        <is>
          <t>798.05</t>
        </is>
      </c>
      <c r="L566" s="13" t="inlineStr">
        <is>
          <t>9</t>
        </is>
      </c>
      <c r="M566" s="13" t="inlineStr">
        <is>
          <t>Completed</t>
        </is>
      </c>
      <c r="N566" s="13" t="inlineStr">
        <is>
          <t>P. Rossi</t>
        </is>
      </c>
    </row>
    <row r="567">
      <c r="A567" s="13" t="inlineStr">
        <is>
          <t>HC-100565</t>
        </is>
      </c>
      <c r="B567" s="13" t="inlineStr">
        <is>
          <t>02-Nov-24</t>
        </is>
      </c>
      <c r="C567" s="13" t="inlineStr">
        <is>
          <t>North</t>
        </is>
      </c>
      <c r="D567" s="13" t="inlineStr">
        <is>
          <t>retail</t>
        </is>
      </c>
      <c r="E567" s="13" t="inlineStr">
        <is>
          <t>Furniture</t>
        </is>
      </c>
      <c r="F567" s="13" t="inlineStr">
        <is>
          <t>Oak Desk</t>
        </is>
      </c>
      <c r="G567" s="13" t="inlineStr">
        <is>
          <t>Corporate</t>
        </is>
      </c>
      <c r="H567" s="13" t="inlineStr">
        <is>
          <t>4</t>
        </is>
      </c>
      <c r="I567" s="14" t="inlineStr">
        <is>
          <t>862.42</t>
        </is>
      </c>
      <c r="J567" s="15" t="inlineStr">
        <is>
          <t>0.11</t>
        </is>
      </c>
      <c r="K567" s="14" t="inlineStr">
        <is>
          <t>534.70</t>
        </is>
      </c>
      <c r="L567" s="13" t="inlineStr">
        <is>
          <t>5</t>
        </is>
      </c>
      <c r="M567" s="13" t="inlineStr">
        <is>
          <t>COMPLETED</t>
        </is>
      </c>
      <c r="N567" s="13" t="inlineStr">
        <is>
          <t>M. Okonkwo</t>
        </is>
      </c>
    </row>
    <row r="568">
      <c r="A568" s="13" t="inlineStr">
        <is>
          <t>HC-100566</t>
        </is>
      </c>
      <c r="B568" s="13" t="inlineStr">
        <is>
          <t>2024/05/13</t>
        </is>
      </c>
      <c r="C568" s="13" t="inlineStr">
        <is>
          <t>NORTH</t>
        </is>
      </c>
      <c r="D568" s="13" t="inlineStr">
        <is>
          <t>Wholesale</t>
        </is>
      </c>
      <c r="E568" s="13" t="inlineStr">
        <is>
          <t>Textiles</t>
        </is>
      </c>
      <c r="F568" s="13" t="inlineStr">
        <is>
          <t>Wool Throw</t>
        </is>
      </c>
      <c r="G568" s="13" t="inlineStr">
        <is>
          <t>Consumer</t>
        </is>
      </c>
      <c r="H568" s="13" t="inlineStr">
        <is>
          <t>10</t>
        </is>
      </c>
      <c r="I568" s="14" t="inlineStr">
        <is>
          <t>69.63</t>
        </is>
      </c>
      <c r="J568" s="15" t="inlineStr">
        <is>
          <t>31%</t>
        </is>
      </c>
      <c r="K568" s="14" t="inlineStr">
        <is>
          <t>29.25</t>
        </is>
      </c>
      <c r="L568" s="13" t="inlineStr">
        <is>
          <t>4</t>
        </is>
      </c>
      <c r="M568" s="13" t="inlineStr">
        <is>
          <t>Returned</t>
        </is>
      </c>
      <c r="N568" s="13" t="inlineStr">
        <is>
          <t>R. Ibarra</t>
        </is>
      </c>
    </row>
    <row r="569">
      <c r="A569" s="13" t="inlineStr">
        <is>
          <t>HC-100567</t>
        </is>
      </c>
      <c r="B569" s="13" t="inlineStr">
        <is>
          <t>31.07.2025</t>
        </is>
      </c>
      <c r="C569" s="13" t="inlineStr">
        <is>
          <t>South</t>
        </is>
      </c>
      <c r="D569" s="13" t="inlineStr">
        <is>
          <t>Store</t>
        </is>
      </c>
      <c r="E569" s="13" t="inlineStr">
        <is>
          <t>Lighting</t>
        </is>
      </c>
      <c r="F569" s="13" t="inlineStr">
        <is>
          <t>Pendant Light</t>
        </is>
      </c>
      <c r="G569" s="13" t="inlineStr">
        <is>
          <t>Home Office</t>
        </is>
      </c>
      <c r="H569" s="13" t="inlineStr">
        <is>
          <t>1</t>
        </is>
      </c>
      <c r="I569" s="14" t="inlineStr">
        <is>
          <t>$187.78</t>
        </is>
      </c>
      <c r="J569" s="15" t="inlineStr">
        <is>
          <t>0.08</t>
        </is>
      </c>
      <c r="K569" s="14" t="inlineStr">
        <is>
          <t>93.89</t>
        </is>
      </c>
      <c r="L569" s="13" t="inlineStr">
        <is>
          <t>4</t>
        </is>
      </c>
      <c r="M569" s="13" t="inlineStr">
        <is>
          <t>Completed</t>
        </is>
      </c>
      <c r="N569" s="13" t="inlineStr">
        <is>
          <t>R. Ibarra</t>
        </is>
      </c>
    </row>
    <row r="570">
      <c r="A570" s="13" t="inlineStr">
        <is>
          <t>HC-100568</t>
        </is>
      </c>
      <c r="B570" s="13" t="inlineStr">
        <is>
          <t>09/16/2024</t>
        </is>
      </c>
      <c r="C570" s="13" t="inlineStr">
        <is>
          <t>South</t>
        </is>
      </c>
      <c r="D570" s="13" t="inlineStr">
        <is>
          <t>Online</t>
        </is>
      </c>
      <c r="E570" s="13" t="inlineStr">
        <is>
          <t>Lighting</t>
        </is>
      </c>
      <c r="F570" s="13" t="inlineStr">
        <is>
          <t>Pendant Light</t>
        </is>
      </c>
      <c r="G570" s="13" t="inlineStr">
        <is>
          <t>Consumer</t>
        </is>
      </c>
      <c r="H570" s="13" t="inlineStr">
        <is>
          <t>1</t>
        </is>
      </c>
      <c r="I570" s="14" t="inlineStr">
        <is>
          <t>178.24</t>
        </is>
      </c>
      <c r="J570" s="15" t="inlineStr">
        <is>
          <t>0.03</t>
        </is>
      </c>
      <c r="K570" s="14" t="inlineStr">
        <is>
          <t>89.12</t>
        </is>
      </c>
      <c r="L570" s="13" t="inlineStr">
        <is>
          <t>4</t>
        </is>
      </c>
      <c r="M570" s="13" t="inlineStr">
        <is>
          <t>COMPLETED</t>
        </is>
      </c>
      <c r="N570" s="13" t="inlineStr">
        <is>
          <t>K. Mensah</t>
        </is>
      </c>
    </row>
    <row r="571">
      <c r="A571" s="13" t="inlineStr">
        <is>
          <t>HC-100569</t>
        </is>
      </c>
      <c r="B571" s="13" t="inlineStr">
        <is>
          <t>30-Mar-24</t>
        </is>
      </c>
      <c r="C571" s="13" t="inlineStr">
        <is>
          <t>West</t>
        </is>
      </c>
      <c r="D571" s="13" t="inlineStr">
        <is>
          <t>Store</t>
        </is>
      </c>
      <c r="E571" s="13" t="inlineStr">
        <is>
          <t>LIGHTING</t>
        </is>
      </c>
      <c r="F571" s="13" t="inlineStr">
        <is>
          <t>Pendant Light</t>
        </is>
      </c>
      <c r="G571" s="13" t="inlineStr">
        <is>
          <t>Consumer</t>
        </is>
      </c>
      <c r="H571" s="13" t="inlineStr">
        <is>
          <t>4</t>
        </is>
      </c>
      <c r="I571" s="14" t="inlineStr">
        <is>
          <t>194.25</t>
        </is>
      </c>
      <c r="J571" s="15" t="inlineStr">
        <is>
          <t>0.07</t>
        </is>
      </c>
      <c r="K571" s="14" t="inlineStr">
        <is>
          <t>97.13</t>
        </is>
      </c>
      <c r="L571" s="13" t="inlineStr">
        <is>
          <t>8</t>
        </is>
      </c>
      <c r="M571" s="13" t="inlineStr">
        <is>
          <t>Completed</t>
        </is>
      </c>
      <c r="N571" s="13" t="inlineStr">
        <is>
          <t>A. Shah</t>
        </is>
      </c>
    </row>
    <row r="572">
      <c r="A572" s="13" t="inlineStr">
        <is>
          <t>HC-100570</t>
        </is>
      </c>
      <c r="B572" s="13" t="inlineStr">
        <is>
          <t>2025/01/04</t>
        </is>
      </c>
      <c r="C572" s="13" t="inlineStr">
        <is>
          <t xml:space="preserve"> North </t>
        </is>
      </c>
      <c r="D572" s="13" t="inlineStr">
        <is>
          <t>Store</t>
        </is>
      </c>
      <c r="E572" s="13" t="inlineStr">
        <is>
          <t>Lighting</t>
        </is>
      </c>
      <c r="F572" s="13" t="inlineStr">
        <is>
          <t>Pendant Light</t>
        </is>
      </c>
      <c r="G572" s="13" t="inlineStr">
        <is>
          <t>Consumer</t>
        </is>
      </c>
      <c r="H572" s="13" t="inlineStr">
        <is>
          <t>2</t>
        </is>
      </c>
      <c r="I572" s="14" t="inlineStr">
        <is>
          <t>176.75</t>
        </is>
      </c>
      <c r="J572" s="15" t="inlineStr">
        <is>
          <t>0.05</t>
        </is>
      </c>
      <c r="K572" s="14" t="inlineStr">
        <is>
          <t>88.38</t>
        </is>
      </c>
      <c r="L572" s="13" t="inlineStr">
        <is>
          <t>N/A</t>
        </is>
      </c>
      <c r="M572" s="13" t="inlineStr">
        <is>
          <t>Completed</t>
        </is>
      </c>
      <c r="N572" s="13" t="inlineStr">
        <is>
          <t>R. Ibarra</t>
        </is>
      </c>
    </row>
    <row r="573">
      <c r="A573" s="13" t="inlineStr">
        <is>
          <t>HC-100571</t>
        </is>
      </c>
      <c r="B573" s="13" t="inlineStr">
        <is>
          <t>14.10.2024</t>
        </is>
      </c>
      <c r="C573" s="13" t="inlineStr">
        <is>
          <t>WEST</t>
        </is>
      </c>
      <c r="D573" s="13" t="inlineStr">
        <is>
          <t>Store</t>
        </is>
      </c>
      <c r="E573" s="13" t="inlineStr">
        <is>
          <t>Textiles</t>
        </is>
      </c>
      <c r="F573" s="13" t="inlineStr">
        <is>
          <t>Linen Curtain</t>
        </is>
      </c>
      <c r="G573" s="13" t="inlineStr">
        <is>
          <t>Consumer</t>
        </is>
      </c>
      <c r="H573" s="13" t="inlineStr">
        <is>
          <t>2</t>
        </is>
      </c>
      <c r="I573" s="14" t="inlineStr">
        <is>
          <t>98.33</t>
        </is>
      </c>
      <c r="J573" s="15" t="inlineStr">
        <is>
          <t>0.05</t>
        </is>
      </c>
      <c r="K573" s="14" t="inlineStr">
        <is>
          <t>44.25</t>
        </is>
      </c>
      <c r="L573" s="13" t="inlineStr">
        <is>
          <t>3</t>
        </is>
      </c>
      <c r="M573" s="13" t="inlineStr">
        <is>
          <t>Completed</t>
        </is>
      </c>
      <c r="N573" s="13" t="inlineStr">
        <is>
          <t>S. Nguyen</t>
        </is>
      </c>
    </row>
    <row r="574">
      <c r="A574" s="13" t="inlineStr">
        <is>
          <t>HC-100572</t>
        </is>
      </c>
      <c r="B574" s="13" t="inlineStr">
        <is>
          <t>08/03/2024</t>
        </is>
      </c>
      <c r="C574" s="13" t="inlineStr">
        <is>
          <t xml:space="preserve"> west </t>
        </is>
      </c>
      <c r="D574" s="13" t="inlineStr">
        <is>
          <t>web</t>
        </is>
      </c>
      <c r="E574" s="13" t="inlineStr">
        <is>
          <t>Lighting</t>
        </is>
      </c>
      <c r="F574" s="13" t="inlineStr">
        <is>
          <t>Brass Sconce</t>
        </is>
      </c>
      <c r="G574" s="13" t="inlineStr">
        <is>
          <t>Corporate</t>
        </is>
      </c>
      <c r="H574" s="13" t="inlineStr">
        <is>
          <t>2</t>
        </is>
      </c>
      <c r="I574" s="14" t="inlineStr">
        <is>
          <t>$145.93</t>
        </is>
      </c>
      <c r="J574" s="15" t="inlineStr">
        <is>
          <t>0.15</t>
        </is>
      </c>
      <c r="K574" s="14" t="inlineStr">
        <is>
          <t>67.13</t>
        </is>
      </c>
      <c r="L574" s="13" t="inlineStr">
        <is>
          <t>6</t>
        </is>
      </c>
      <c r="M574" s="13" t="inlineStr">
        <is>
          <t>Completed</t>
        </is>
      </c>
      <c r="N574" s="13" t="inlineStr">
        <is>
          <t>K. Mensah</t>
        </is>
      </c>
    </row>
    <row r="575">
      <c r="A575" s="13" t="inlineStr">
        <is>
          <t>HC-100573</t>
        </is>
      </c>
      <c r="B575" s="13" t="inlineStr">
        <is>
          <t>20-Mar-25</t>
        </is>
      </c>
      <c r="C575" s="13" t="inlineStr">
        <is>
          <t>West</t>
        </is>
      </c>
      <c r="D575" s="13" t="inlineStr">
        <is>
          <t>Online</t>
        </is>
      </c>
      <c r="E575" s="13" t="inlineStr">
        <is>
          <t>Furniture</t>
        </is>
      </c>
      <c r="F575" s="13" t="inlineStr">
        <is>
          <t>Oak Desk</t>
        </is>
      </c>
      <c r="G575" s="13" t="inlineStr">
        <is>
          <t>Consumer</t>
        </is>
      </c>
      <c r="H575" s="13" t="inlineStr">
        <is>
          <t>1</t>
        </is>
      </c>
      <c r="I575" s="14" t="inlineStr">
        <is>
          <t>857.27</t>
        </is>
      </c>
      <c r="J575" s="15" t="inlineStr">
        <is>
          <t>0.02</t>
        </is>
      </c>
      <c r="K575" s="14" t="inlineStr">
        <is>
          <t>531.51</t>
        </is>
      </c>
      <c r="L575" s="13" t="inlineStr">
        <is>
          <t>2</t>
        </is>
      </c>
      <c r="M575" s="13" t="inlineStr">
        <is>
          <t>Completed</t>
        </is>
      </c>
      <c r="N575" s="13" t="inlineStr">
        <is>
          <t>J. Patel</t>
        </is>
      </c>
    </row>
    <row r="576">
      <c r="A576" s="13" t="inlineStr">
        <is>
          <t>HC-100574</t>
        </is>
      </c>
      <c r="B576" s="13" t="inlineStr">
        <is>
          <t>2024/10/15</t>
        </is>
      </c>
      <c r="C576" s="13" t="inlineStr">
        <is>
          <t>West</t>
        </is>
      </c>
      <c r="D576" s="13" t="inlineStr">
        <is>
          <t>Store</t>
        </is>
      </c>
      <c r="E576" s="13" t="inlineStr">
        <is>
          <t>Lighting</t>
        </is>
      </c>
      <c r="F576" s="13" t="inlineStr">
        <is>
          <t>Arc Lamp</t>
        </is>
      </c>
      <c r="G576" s="13" t="inlineStr">
        <is>
          <t>Consumer</t>
        </is>
      </c>
      <c r="H576" s="13" t="inlineStr">
        <is>
          <t>2</t>
        </is>
      </c>
      <c r="I576" s="14" t="inlineStr">
        <is>
          <t>331.35</t>
        </is>
      </c>
      <c r="J576" s="15" t="inlineStr">
        <is>
          <t>0.10</t>
        </is>
      </c>
      <c r="K576" s="14" t="inlineStr">
        <is>
          <t>159.05</t>
        </is>
      </c>
      <c r="L576" s="13" t="inlineStr">
        <is>
          <t>10</t>
        </is>
      </c>
      <c r="M576" s="13" t="inlineStr">
        <is>
          <t>Completed</t>
        </is>
      </c>
      <c r="N576" s="13" t="inlineStr">
        <is>
          <t>M. Okonkwo</t>
        </is>
      </c>
    </row>
    <row r="577">
      <c r="A577" s="13" t="inlineStr">
        <is>
          <t>HC-100575</t>
        </is>
      </c>
      <c r="B577" s="13" t="inlineStr">
        <is>
          <t>04.12.2024</t>
        </is>
      </c>
      <c r="C577" s="13" t="inlineStr">
        <is>
          <t>west</t>
        </is>
      </c>
      <c r="D577" s="13" t="inlineStr">
        <is>
          <t>Wholesale</t>
        </is>
      </c>
      <c r="E577" s="13" t="inlineStr">
        <is>
          <t>Textiles</t>
        </is>
      </c>
      <c r="F577" s="13" t="inlineStr">
        <is>
          <t>Cotton Duvet</t>
        </is>
      </c>
      <c r="G577" s="13" t="inlineStr">
        <is>
          <t>Consumer</t>
        </is>
      </c>
      <c r="H577" s="13" t="inlineStr">
        <is>
          <t>29</t>
        </is>
      </c>
      <c r="I577" s="14" t="inlineStr">
        <is>
          <t>$120.38</t>
        </is>
      </c>
      <c r="J577" s="15" t="inlineStr">
        <is>
          <t>0.30</t>
        </is>
      </c>
      <c r="K577" s="14" t="inlineStr">
        <is>
          <t>52.97</t>
        </is>
      </c>
      <c r="L577" s="13" t="inlineStr">
        <is>
          <t>5</t>
        </is>
      </c>
      <c r="M577" s="13" t="inlineStr">
        <is>
          <t>Completed</t>
        </is>
      </c>
      <c r="N577" s="13" t="inlineStr">
        <is>
          <t>R. Ibarra</t>
        </is>
      </c>
    </row>
    <row r="578">
      <c r="A578" s="13" t="inlineStr">
        <is>
          <t>HC-100576</t>
        </is>
      </c>
      <c r="B578" s="13" t="inlineStr">
        <is>
          <t>03/21/2025</t>
        </is>
      </c>
      <c r="C578" s="13" t="inlineStr">
        <is>
          <t>West</t>
        </is>
      </c>
      <c r="D578" s="13" t="inlineStr">
        <is>
          <t>Online</t>
        </is>
      </c>
      <c r="E578" s="13" t="inlineStr">
        <is>
          <t>Textiles</t>
        </is>
      </c>
      <c r="F578" s="13" t="inlineStr">
        <is>
          <t>Wool Throw</t>
        </is>
      </c>
      <c r="G578" s="13" t="inlineStr">
        <is>
          <t>Home Office</t>
        </is>
      </c>
      <c r="H578" s="13" t="inlineStr">
        <is>
          <t>3</t>
        </is>
      </c>
      <c r="I578" s="14" t="inlineStr">
        <is>
          <t>71.67</t>
        </is>
      </c>
      <c r="J578" s="15" t="inlineStr">
        <is>
          <t>0.03</t>
        </is>
      </c>
      <c r="K578" s="14" t="inlineStr">
        <is>
          <t>30.10</t>
        </is>
      </c>
      <c r="L578" s="13" t="inlineStr">
        <is>
          <t>6</t>
        </is>
      </c>
      <c r="M578" s="13" t="inlineStr">
        <is>
          <t>Compleated</t>
        </is>
      </c>
      <c r="N578" s="13" t="inlineStr">
        <is>
          <t>P. Rossi</t>
        </is>
      </c>
    </row>
    <row r="579">
      <c r="A579" s="13" t="inlineStr">
        <is>
          <t>HC-100577</t>
        </is>
      </c>
      <c r="B579" s="13" t="inlineStr">
        <is>
          <t>18-Mar-25</t>
        </is>
      </c>
      <c r="C579" s="13" t="inlineStr">
        <is>
          <t>Sout</t>
        </is>
      </c>
      <c r="D579" s="13" t="inlineStr">
        <is>
          <t>e-commerce</t>
        </is>
      </c>
      <c r="E579" s="13" t="inlineStr">
        <is>
          <t>Kitchen</t>
        </is>
      </c>
      <c r="F579" s="13" t="inlineStr">
        <is>
          <t>Ceramic Set</t>
        </is>
      </c>
      <c r="G579" s="13" t="inlineStr">
        <is>
          <t>consumer</t>
        </is>
      </c>
      <c r="H579" s="13" t="inlineStr">
        <is>
          <t>2</t>
        </is>
      </c>
      <c r="I579" s="14" t="inlineStr">
        <is>
          <t>88.72</t>
        </is>
      </c>
      <c r="J579" s="15" t="inlineStr">
        <is>
          <t>0.10</t>
        </is>
      </c>
      <c r="K579" s="14" t="inlineStr">
        <is>
          <t>33.71</t>
        </is>
      </c>
      <c r="L579" s="13" t="inlineStr">
        <is>
          <t>7</t>
        </is>
      </c>
      <c r="M579" s="13" t="inlineStr">
        <is>
          <t>complete</t>
        </is>
      </c>
      <c r="N579" s="13" t="inlineStr">
        <is>
          <t>S. Nguyen</t>
        </is>
      </c>
    </row>
    <row r="580">
      <c r="A580" s="13" t="inlineStr">
        <is>
          <t>HC-100578</t>
        </is>
      </c>
      <c r="B580" s="13" t="inlineStr">
        <is>
          <t>2024/06/28</t>
        </is>
      </c>
      <c r="C580" s="13" t="inlineStr">
        <is>
          <t>West</t>
        </is>
      </c>
      <c r="D580" s="13" t="inlineStr">
        <is>
          <t>Store</t>
        </is>
      </c>
      <c r="E580" s="13" t="inlineStr">
        <is>
          <t>Lighting</t>
        </is>
      </c>
      <c r="F580" s="13" t="inlineStr">
        <is>
          <t>Brass Sconce</t>
        </is>
      </c>
      <c r="G580" s="13" t="inlineStr">
        <is>
          <t>Consumer</t>
        </is>
      </c>
      <c r="H580" s="13" t="inlineStr">
        <is>
          <t>1</t>
        </is>
      </c>
      <c r="I580" s="14" t="inlineStr">
        <is>
          <t>$132.01</t>
        </is>
      </c>
      <c r="J580" s="15" t="inlineStr">
        <is>
          <t>0.01</t>
        </is>
      </c>
      <c r="K580" s="14" t="inlineStr">
        <is>
          <t>60.72</t>
        </is>
      </c>
      <c r="L580" s="13" t="inlineStr">
        <is>
          <t>3</t>
        </is>
      </c>
      <c r="M580" s="13" t="inlineStr">
        <is>
          <t>Completed</t>
        </is>
      </c>
      <c r="N580" s="13" t="inlineStr">
        <is>
          <t>M. Okonkwo</t>
        </is>
      </c>
    </row>
    <row r="581">
      <c r="A581" s="13" t="inlineStr">
        <is>
          <t>HC-100579</t>
        </is>
      </c>
      <c r="B581" s="13" t="inlineStr">
        <is>
          <t>05.01.2025</t>
        </is>
      </c>
      <c r="C581" s="13" t="inlineStr">
        <is>
          <t>North</t>
        </is>
      </c>
      <c r="D581" s="13" t="inlineStr">
        <is>
          <t>Online</t>
        </is>
      </c>
      <c r="E581" s="13" t="inlineStr">
        <is>
          <t>Textiles</t>
        </is>
      </c>
      <c r="F581" s="13" t="inlineStr">
        <is>
          <t>Wool Throw</t>
        </is>
      </c>
      <c r="G581" s="13" t="inlineStr">
        <is>
          <t>Corporate</t>
        </is>
      </c>
      <c r="H581" s="13" t="inlineStr">
        <is>
          <t>3</t>
        </is>
      </c>
      <c r="I581" s="14" t="inlineStr">
        <is>
          <t>77.32</t>
        </is>
      </c>
      <c r="J581" s="15" t="inlineStr">
        <is>
          <t>0.07</t>
        </is>
      </c>
      <c r="K581" s="14" t="inlineStr">
        <is>
          <t>32.48</t>
        </is>
      </c>
      <c r="L581" s="13" t="inlineStr">
        <is>
          <t>8</t>
        </is>
      </c>
      <c r="M581" s="13" t="inlineStr">
        <is>
          <t>Compleated</t>
        </is>
      </c>
      <c r="N581" s="13" t="inlineStr">
        <is>
          <t>M. Okonkwo</t>
        </is>
      </c>
    </row>
    <row r="582">
      <c r="A582" s="13" t="inlineStr">
        <is>
          <t>HC-100580</t>
        </is>
      </c>
      <c r="B582" s="13" t="inlineStr">
        <is>
          <t>09/30/2024</t>
        </is>
      </c>
      <c r="C582" s="13" t="inlineStr">
        <is>
          <t>West</t>
        </is>
      </c>
      <c r="D582" s="13" t="inlineStr">
        <is>
          <t>Online</t>
        </is>
      </c>
      <c r="E582" s="13" t="inlineStr">
        <is>
          <t>Lighting</t>
        </is>
      </c>
      <c r="F582" s="13" t="inlineStr">
        <is>
          <t>Arc Lamp</t>
        </is>
      </c>
      <c r="G582" s="13" t="inlineStr">
        <is>
          <t>Consumer</t>
        </is>
      </c>
      <c r="H582" s="13" t="inlineStr">
        <is>
          <t>2</t>
        </is>
      </c>
      <c r="I582" s="14" t="inlineStr">
        <is>
          <t>294.54</t>
        </is>
      </c>
      <c r="J582" s="15" t="inlineStr">
        <is>
          <t>0.10</t>
        </is>
      </c>
      <c r="K582" s="14" t="inlineStr">
        <is>
          <t>141.38</t>
        </is>
      </c>
      <c r="L582" s="13" t="inlineStr">
        <is>
          <t>4</t>
        </is>
      </c>
      <c r="M582" s="13" t="inlineStr">
        <is>
          <t>Completed</t>
        </is>
      </c>
      <c r="N582" s="13" t="inlineStr">
        <is>
          <t>J. Patel</t>
        </is>
      </c>
    </row>
    <row r="583">
      <c r="A583" s="13" t="inlineStr">
        <is>
          <t>HC-100581</t>
        </is>
      </c>
      <c r="B583" s="13" t="inlineStr">
        <is>
          <t>25-Dec-24</t>
        </is>
      </c>
      <c r="C583" s="13" t="inlineStr">
        <is>
          <t>North</t>
        </is>
      </c>
      <c r="D583" s="13" t="inlineStr">
        <is>
          <t>Online</t>
        </is>
      </c>
      <c r="E583" s="13" t="inlineStr">
        <is>
          <t>Furniture</t>
        </is>
      </c>
      <c r="F583" s="13" t="inlineStr">
        <is>
          <t>Oak Desk</t>
        </is>
      </c>
      <c r="G583" s="13" t="inlineStr">
        <is>
          <t>Consumer</t>
        </is>
      </c>
      <c r="H583" s="13" t="inlineStr">
        <is>
          <t>2</t>
        </is>
      </c>
      <c r="I583" s="14" t="inlineStr">
        <is>
          <t>813.29</t>
        </is>
      </c>
      <c r="J583" s="15" t="inlineStr">
        <is>
          <t>0.13</t>
        </is>
      </c>
      <c r="K583" s="14" t="inlineStr">
        <is>
          <t>504.24</t>
        </is>
      </c>
      <c r="L583" s="13" t="inlineStr">
        <is>
          <t>2</t>
        </is>
      </c>
      <c r="M583" s="13" t="inlineStr">
        <is>
          <t>Completed</t>
        </is>
      </c>
      <c r="N583" s="13" t="inlineStr">
        <is>
          <t>P. Rossi</t>
        </is>
      </c>
    </row>
    <row r="584">
      <c r="A584" s="13" t="inlineStr">
        <is>
          <t>HC-100582</t>
        </is>
      </c>
      <c r="B584" s="13" t="inlineStr">
        <is>
          <t>2024/05/21</t>
        </is>
      </c>
      <c r="C584" s="13" t="inlineStr">
        <is>
          <t>North</t>
        </is>
      </c>
      <c r="D584" s="13" t="inlineStr">
        <is>
          <t>Wholesale</t>
        </is>
      </c>
      <c r="E584" s="13" t="inlineStr">
        <is>
          <t>Lighting</t>
        </is>
      </c>
      <c r="F584" s="13" t="inlineStr">
        <is>
          <t>Brass Sconce</t>
        </is>
      </c>
      <c r="G584" s="13" t="inlineStr">
        <is>
          <t>Consumer</t>
        </is>
      </c>
      <c r="H584" s="13" t="inlineStr">
        <is>
          <t>12</t>
        </is>
      </c>
      <c r="I584" s="14" t="inlineStr">
        <is>
          <t>133.62</t>
        </is>
      </c>
      <c r="J584" s="15" t="inlineStr">
        <is>
          <t>0.24</t>
        </is>
      </c>
      <c r="K584" s="14" t="inlineStr">
        <is>
          <t>61.46</t>
        </is>
      </c>
      <c r="L584" s="13" t="inlineStr">
        <is>
          <t>4</t>
        </is>
      </c>
      <c r="M584" s="13" t="inlineStr">
        <is>
          <t>complete</t>
        </is>
      </c>
      <c r="N584" s="13" t="inlineStr">
        <is>
          <t>R. Ibarra</t>
        </is>
      </c>
    </row>
    <row r="585">
      <c r="A585" s="13" t="inlineStr">
        <is>
          <t>HC-100583</t>
        </is>
      </c>
      <c r="B585" s="13" t="inlineStr">
        <is>
          <t>16.06.2024</t>
        </is>
      </c>
      <c r="C585" s="13" t="inlineStr">
        <is>
          <t>West</t>
        </is>
      </c>
      <c r="D585" s="13" t="inlineStr">
        <is>
          <t>Store</t>
        </is>
      </c>
      <c r="E585" s="13" t="inlineStr">
        <is>
          <t>Furniture</t>
        </is>
      </c>
      <c r="F585" s="13" t="inlineStr">
        <is>
          <t>Linen Sofa</t>
        </is>
      </c>
      <c r="G585" s="13" t="inlineStr">
        <is>
          <t>Corporate</t>
        </is>
      </c>
      <c r="H585" s="13" t="inlineStr">
        <is>
          <t>1</t>
        </is>
      </c>
      <c r="I585" s="14" t="inlineStr">
        <is>
          <t>1187.95</t>
        </is>
      </c>
      <c r="J585" s="15" t="inlineStr">
        <is>
          <t>0.02</t>
        </is>
      </c>
      <c r="K585" s="14" t="inlineStr">
        <is>
          <t>784.05</t>
        </is>
      </c>
      <c r="L585" s="13" t="inlineStr">
        <is>
          <t>2</t>
        </is>
      </c>
      <c r="M585" s="13" t="inlineStr">
        <is>
          <t>Completed</t>
        </is>
      </c>
      <c r="N585" s="13" t="inlineStr">
        <is>
          <t>S. Nguyen</t>
        </is>
      </c>
    </row>
    <row r="586">
      <c r="A586" s="13" t="inlineStr">
        <is>
          <t>HC-100584</t>
        </is>
      </c>
      <c r="B586" s="13" t="inlineStr">
        <is>
          <t>09/08/2024</t>
        </is>
      </c>
      <c r="C586" s="13" t="inlineStr">
        <is>
          <t>South</t>
        </is>
      </c>
      <c r="D586" s="13" t="inlineStr">
        <is>
          <t>Online</t>
        </is>
      </c>
      <c r="E586" s="13" t="inlineStr">
        <is>
          <t>Furniture</t>
        </is>
      </c>
      <c r="F586" s="13" t="inlineStr">
        <is>
          <t>Linen Sofa</t>
        </is>
      </c>
      <c r="G586" s="13" t="inlineStr">
        <is>
          <t>Consumer</t>
        </is>
      </c>
      <c r="H586" s="13" t="inlineStr">
        <is>
          <t>1</t>
        </is>
      </c>
      <c r="I586" s="14" t="inlineStr">
        <is>
          <t>1194.69</t>
        </is>
      </c>
      <c r="J586" s="15" t="inlineStr">
        <is>
          <t>0.08</t>
        </is>
      </c>
      <c r="K586" s="14" t="inlineStr">
        <is>
          <t>788.50</t>
        </is>
      </c>
      <c r="L586" s="13" t="inlineStr">
        <is>
          <t>6</t>
        </is>
      </c>
      <c r="M586" s="13" t="inlineStr">
        <is>
          <t>Completed</t>
        </is>
      </c>
      <c r="N586" s="13" t="inlineStr">
        <is>
          <t>P. Rossi</t>
        </is>
      </c>
    </row>
    <row r="587">
      <c r="A587" s="13" t="inlineStr">
        <is>
          <t>HC-100585</t>
        </is>
      </c>
      <c r="B587" s="13" t="inlineStr">
        <is>
          <t>21-May-25</t>
        </is>
      </c>
      <c r="C587" s="13" t="inlineStr">
        <is>
          <t>West</t>
        </is>
      </c>
      <c r="D587" s="13" t="inlineStr">
        <is>
          <t>Wholesale</t>
        </is>
      </c>
      <c r="E587" s="13" t="inlineStr">
        <is>
          <t>Textiles</t>
        </is>
      </c>
      <c r="F587" s="13" t="inlineStr">
        <is>
          <t>Linen Curtain</t>
        </is>
      </c>
      <c r="G587" s="13" t="inlineStr"/>
      <c r="H587" s="13" t="inlineStr">
        <is>
          <t>35</t>
        </is>
      </c>
      <c r="I587" s="14" t="inlineStr">
        <is>
          <t>87.44</t>
        </is>
      </c>
      <c r="J587" s="15" t="inlineStr">
        <is>
          <t>0.30</t>
        </is>
      </c>
      <c r="K587" s="14" t="inlineStr">
        <is>
          <t>39.35</t>
        </is>
      </c>
      <c r="L587" s="13" t="inlineStr">
        <is>
          <t>5</t>
        </is>
      </c>
      <c r="M587" s="13" t="inlineStr">
        <is>
          <t>Completed</t>
        </is>
      </c>
      <c r="N587" s="13" t="inlineStr">
        <is>
          <t>R. Ibarra</t>
        </is>
      </c>
    </row>
    <row r="588">
      <c r="A588" s="13" t="inlineStr">
        <is>
          <t>HC-100586</t>
        </is>
      </c>
      <c r="B588" s="13" t="inlineStr">
        <is>
          <t>2024/07/02</t>
        </is>
      </c>
      <c r="C588" s="13" t="inlineStr">
        <is>
          <t>North</t>
        </is>
      </c>
      <c r="D588" s="13" t="inlineStr">
        <is>
          <t>Wholesale</t>
        </is>
      </c>
      <c r="E588" s="13" t="inlineStr">
        <is>
          <t>Textiles</t>
        </is>
      </c>
      <c r="F588" s="13" t="inlineStr">
        <is>
          <t>Linen Curtain</t>
        </is>
      </c>
      <c r="G588" s="13" t="inlineStr">
        <is>
          <t>Corporate</t>
        </is>
      </c>
      <c r="H588" s="13" t="inlineStr">
        <is>
          <t>10</t>
        </is>
      </c>
      <c r="I588" s="14" t="inlineStr">
        <is>
          <t>87.68</t>
        </is>
      </c>
      <c r="J588" s="15" t="inlineStr">
        <is>
          <t>0.14</t>
        </is>
      </c>
      <c r="K588" s="14" t="inlineStr">
        <is>
          <t>39.45</t>
        </is>
      </c>
      <c r="L588" s="13" t="inlineStr">
        <is>
          <t>4</t>
        </is>
      </c>
      <c r="M588" s="13" t="inlineStr">
        <is>
          <t>Completed</t>
        </is>
      </c>
      <c r="N588" s="13" t="inlineStr">
        <is>
          <t>S. Nguyen</t>
        </is>
      </c>
    </row>
    <row r="589">
      <c r="A589" s="13" t="inlineStr">
        <is>
          <t>HC-100587</t>
        </is>
      </c>
      <c r="B589" s="13" t="inlineStr">
        <is>
          <t>16.06.2025</t>
        </is>
      </c>
      <c r="C589" s="13" t="inlineStr">
        <is>
          <t xml:space="preserve"> west </t>
        </is>
      </c>
      <c r="D589" s="13" t="inlineStr">
        <is>
          <t>Online</t>
        </is>
      </c>
      <c r="E589" s="13" t="inlineStr">
        <is>
          <t>Kitchen</t>
        </is>
      </c>
      <c r="F589" s="13" t="inlineStr">
        <is>
          <t>Cast Skillet</t>
        </is>
      </c>
      <c r="G589" s="13" t="inlineStr">
        <is>
          <t>Consumer</t>
        </is>
      </c>
      <c r="H589" s="13" t="inlineStr">
        <is>
          <t>1</t>
        </is>
      </c>
      <c r="I589" s="14" t="inlineStr">
        <is>
          <t>56.56</t>
        </is>
      </c>
      <c r="J589" s="15" t="inlineStr">
        <is>
          <t>0.08</t>
        </is>
      </c>
      <c r="K589" s="14" t="inlineStr">
        <is>
          <t>22.62</t>
        </is>
      </c>
      <c r="L589" s="13" t="inlineStr">
        <is>
          <t>7</t>
        </is>
      </c>
      <c r="M589" s="13" t="inlineStr">
        <is>
          <t>Completed</t>
        </is>
      </c>
      <c r="N589" s="13" t="inlineStr">
        <is>
          <t>M. Okonkwo</t>
        </is>
      </c>
    </row>
    <row r="590">
      <c r="A590" s="13" t="inlineStr">
        <is>
          <t>HC-100588</t>
        </is>
      </c>
      <c r="B590" s="13" t="inlineStr">
        <is>
          <t>01/03/2024</t>
        </is>
      </c>
      <c r="C590" s="13" t="inlineStr">
        <is>
          <t>East</t>
        </is>
      </c>
      <c r="D590" s="13" t="inlineStr">
        <is>
          <t>Online</t>
        </is>
      </c>
      <c r="E590" s="13" t="inlineStr">
        <is>
          <t>Textiles</t>
        </is>
      </c>
      <c r="F590" s="13" t="inlineStr">
        <is>
          <t>Wool Throw</t>
        </is>
      </c>
      <c r="G590" s="13" t="inlineStr">
        <is>
          <t>Consumer</t>
        </is>
      </c>
      <c r="H590" s="13" t="inlineStr">
        <is>
          <t>2</t>
        </is>
      </c>
      <c r="I590" s="14" t="inlineStr">
        <is>
          <t>$67.21</t>
        </is>
      </c>
      <c r="J590" s="15" t="inlineStr">
        <is>
          <t>0.17</t>
        </is>
      </c>
      <c r="K590" s="14" t="inlineStr">
        <is>
          <t>28.23</t>
        </is>
      </c>
      <c r="L590" s="13" t="inlineStr">
        <is>
          <t>9</t>
        </is>
      </c>
      <c r="M590" s="13" t="inlineStr">
        <is>
          <t>retrned</t>
        </is>
      </c>
      <c r="N590" s="13" t="inlineStr">
        <is>
          <t>K. Mensah</t>
        </is>
      </c>
    </row>
    <row r="591">
      <c r="A591" s="13" t="inlineStr">
        <is>
          <t>HC-100589</t>
        </is>
      </c>
      <c r="B591" s="13" t="inlineStr">
        <is>
          <t>04-Feb-25</t>
        </is>
      </c>
      <c r="C591" s="13" t="inlineStr">
        <is>
          <t>south</t>
        </is>
      </c>
      <c r="D591" s="13" t="inlineStr">
        <is>
          <t>Store</t>
        </is>
      </c>
      <c r="E591" s="13" t="inlineStr">
        <is>
          <t>Furniture</t>
        </is>
      </c>
      <c r="F591" s="13" t="inlineStr">
        <is>
          <t>Lounge Chair</t>
        </is>
      </c>
      <c r="G591" s="13" t="inlineStr">
        <is>
          <t>consumer</t>
        </is>
      </c>
      <c r="H591" s="13" t="inlineStr">
        <is>
          <t>3</t>
        </is>
      </c>
      <c r="I591" s="14" t="inlineStr">
        <is>
          <t>447.77</t>
        </is>
      </c>
      <c r="J591" s="15" t="inlineStr">
        <is>
          <t>0.09</t>
        </is>
      </c>
      <c r="K591" s="14" t="inlineStr">
        <is>
          <t>268.66</t>
        </is>
      </c>
      <c r="L591" s="13" t="inlineStr">
        <is>
          <t>6</t>
        </is>
      </c>
      <c r="M591" s="13" t="inlineStr">
        <is>
          <t>Completed</t>
        </is>
      </c>
      <c r="N591" s="13" t="inlineStr">
        <is>
          <t>M. Okonkwo</t>
        </is>
      </c>
    </row>
    <row r="592">
      <c r="A592" s="13" t="inlineStr">
        <is>
          <t>HC-100590</t>
        </is>
      </c>
      <c r="B592" s="13" t="inlineStr">
        <is>
          <t>2024/11/22</t>
        </is>
      </c>
      <c r="C592" s="13" t="inlineStr">
        <is>
          <t>south</t>
        </is>
      </c>
      <c r="D592" s="13" t="inlineStr">
        <is>
          <t>Store</t>
        </is>
      </c>
      <c r="E592" s="13" t="inlineStr">
        <is>
          <t>Furniture</t>
        </is>
      </c>
      <c r="F592" s="13" t="inlineStr">
        <is>
          <t>Lounge Chair</t>
        </is>
      </c>
      <c r="G592" s="13" t="inlineStr">
        <is>
          <t>Consumer</t>
        </is>
      </c>
      <c r="H592" s="13" t="inlineStr">
        <is>
          <t>3</t>
        </is>
      </c>
      <c r="I592" s="14" t="inlineStr">
        <is>
          <t>513.69</t>
        </is>
      </c>
      <c r="J592" s="15" t="inlineStr">
        <is>
          <t>0.07</t>
        </is>
      </c>
      <c r="K592" s="14" t="inlineStr">
        <is>
          <t>308.21</t>
        </is>
      </c>
      <c r="L592" s="13" t="inlineStr">
        <is>
          <t>4</t>
        </is>
      </c>
      <c r="M592" s="13" t="inlineStr">
        <is>
          <t>COMPLETED</t>
        </is>
      </c>
      <c r="N592" s="13" t="inlineStr">
        <is>
          <t>A. Shah</t>
        </is>
      </c>
    </row>
    <row r="593">
      <c r="A593" s="13" t="inlineStr">
        <is>
          <t>HC-100591</t>
        </is>
      </c>
      <c r="B593" s="13" t="inlineStr">
        <is>
          <t>06.06.2025</t>
        </is>
      </c>
      <c r="C593" s="13" t="inlineStr">
        <is>
          <t>East</t>
        </is>
      </c>
      <c r="D593" s="13" t="inlineStr">
        <is>
          <t>Store</t>
        </is>
      </c>
      <c r="E593" s="13" t="inlineStr">
        <is>
          <t>Textiles</t>
        </is>
      </c>
      <c r="F593" s="13" t="inlineStr">
        <is>
          <t>Wool Throw</t>
        </is>
      </c>
      <c r="G593" s="13" t="inlineStr">
        <is>
          <t>Consumer</t>
        </is>
      </c>
      <c r="H593" s="13" t="inlineStr">
        <is>
          <t>1</t>
        </is>
      </c>
      <c r="I593" s="14" t="inlineStr">
        <is>
          <t>66.76</t>
        </is>
      </c>
      <c r="J593" s="15" t="inlineStr">
        <is>
          <t>0.07</t>
        </is>
      </c>
      <c r="K593" s="14" t="inlineStr">
        <is>
          <t>28.04</t>
        </is>
      </c>
      <c r="L593" s="13" t="inlineStr">
        <is>
          <t>7</t>
        </is>
      </c>
      <c r="M593" s="13" t="inlineStr">
        <is>
          <t>Completed</t>
        </is>
      </c>
      <c r="N593" s="13" t="inlineStr">
        <is>
          <t>R. Ibarra</t>
        </is>
      </c>
    </row>
    <row r="594">
      <c r="A594" s="13" t="inlineStr">
        <is>
          <t>HC-100592</t>
        </is>
      </c>
      <c r="B594" s="13" t="inlineStr">
        <is>
          <t>07/03/2024</t>
        </is>
      </c>
      <c r="C594" s="13" t="inlineStr">
        <is>
          <t>North</t>
        </is>
      </c>
      <c r="D594" s="13" t="inlineStr">
        <is>
          <t>Store</t>
        </is>
      </c>
      <c r="E594" s="13" t="inlineStr">
        <is>
          <t>Textiles</t>
        </is>
      </c>
      <c r="F594" s="13" t="inlineStr">
        <is>
          <t>Wool Throw</t>
        </is>
      </c>
      <c r="G594" s="13" t="inlineStr">
        <is>
          <t>Home Office</t>
        </is>
      </c>
      <c r="H594" s="13" t="inlineStr">
        <is>
          <t>4</t>
        </is>
      </c>
      <c r="I594" s="14" t="inlineStr">
        <is>
          <t>71.35</t>
        </is>
      </c>
      <c r="J594" s="15" t="inlineStr">
        <is>
          <t>0.04</t>
        </is>
      </c>
      <c r="K594" s="14" t="inlineStr">
        <is>
          <t>29.97</t>
        </is>
      </c>
      <c r="L594" s="13" t="inlineStr">
        <is>
          <t>4</t>
        </is>
      </c>
      <c r="M594" s="13" t="inlineStr">
        <is>
          <t>Completed</t>
        </is>
      </c>
      <c r="N594" s="13" t="inlineStr">
        <is>
          <t>J. Patel</t>
        </is>
      </c>
    </row>
    <row r="595">
      <c r="A595" s="13" t="inlineStr">
        <is>
          <t>HC-100593</t>
        </is>
      </c>
      <c r="B595" s="13" t="inlineStr">
        <is>
          <t>15-May-24</t>
        </is>
      </c>
      <c r="C595" s="13" t="inlineStr">
        <is>
          <t>North</t>
        </is>
      </c>
      <c r="D595" s="13" t="inlineStr">
        <is>
          <t>Online</t>
        </is>
      </c>
      <c r="E595" s="13" t="inlineStr">
        <is>
          <t>Textiles</t>
        </is>
      </c>
      <c r="F595" s="13" t="inlineStr">
        <is>
          <t>Cotton Duvet</t>
        </is>
      </c>
      <c r="G595" s="13" t="inlineStr">
        <is>
          <t>Corporate</t>
        </is>
      </c>
      <c r="H595" s="13" t="inlineStr">
        <is>
          <t>2</t>
        </is>
      </c>
      <c r="I595" s="14" t="inlineStr">
        <is>
          <t>111.54</t>
        </is>
      </c>
      <c r="J595" s="15" t="inlineStr">
        <is>
          <t>0.07</t>
        </is>
      </c>
      <c r="K595" s="14" t="inlineStr">
        <is>
          <t>49.08</t>
        </is>
      </c>
      <c r="L595" s="13" t="inlineStr">
        <is>
          <t>6</t>
        </is>
      </c>
      <c r="M595" s="13" t="inlineStr">
        <is>
          <t>Completed</t>
        </is>
      </c>
      <c r="N595" s="13" t="inlineStr">
        <is>
          <t>A. Shah</t>
        </is>
      </c>
    </row>
    <row r="596">
      <c r="A596" s="13" t="inlineStr">
        <is>
          <t>HC-100594</t>
        </is>
      </c>
      <c r="B596" s="13" t="inlineStr">
        <is>
          <t>2025/08/20</t>
        </is>
      </c>
      <c r="C596" s="13" t="inlineStr">
        <is>
          <t>West</t>
        </is>
      </c>
      <c r="D596" s="13" t="inlineStr">
        <is>
          <t>Store</t>
        </is>
      </c>
      <c r="E596" s="13" t="inlineStr">
        <is>
          <t>Furniture</t>
        </is>
      </c>
      <c r="F596" s="13" t="inlineStr">
        <is>
          <t>Lounge Chair</t>
        </is>
      </c>
      <c r="G596" s="13" t="inlineStr">
        <is>
          <t>Corporate</t>
        </is>
      </c>
      <c r="H596" s="13" t="inlineStr">
        <is>
          <t>4</t>
        </is>
      </c>
      <c r="I596" s="14" t="inlineStr">
        <is>
          <t>511.11</t>
        </is>
      </c>
      <c r="J596" s="15" t="inlineStr">
        <is>
          <t>0.08</t>
        </is>
      </c>
      <c r="K596" s="14" t="inlineStr">
        <is>
          <t>306.67</t>
        </is>
      </c>
      <c r="L596" s="13" t="inlineStr">
        <is>
          <t>8</t>
        </is>
      </c>
      <c r="M596" s="13" t="inlineStr">
        <is>
          <t>COMPLETED</t>
        </is>
      </c>
      <c r="N596" s="13" t="inlineStr">
        <is>
          <t>J. Patel</t>
        </is>
      </c>
    </row>
    <row r="597">
      <c r="A597" s="13" t="inlineStr">
        <is>
          <t>HC-100595</t>
        </is>
      </c>
      <c r="B597" s="13" t="inlineStr">
        <is>
          <t>25.12.2024</t>
        </is>
      </c>
      <c r="C597" s="13" t="inlineStr">
        <is>
          <t>west</t>
        </is>
      </c>
      <c r="D597" s="13" t="inlineStr">
        <is>
          <t>Online</t>
        </is>
      </c>
      <c r="E597" s="13" t="inlineStr">
        <is>
          <t>Textiles</t>
        </is>
      </c>
      <c r="F597" s="13" t="inlineStr">
        <is>
          <t>Linen Curtain</t>
        </is>
      </c>
      <c r="G597" s="13" t="inlineStr">
        <is>
          <t>Home Office</t>
        </is>
      </c>
      <c r="H597" s="13" t="inlineStr">
        <is>
          <t>2</t>
        </is>
      </c>
      <c r="I597" s="14" t="inlineStr">
        <is>
          <t>98.60</t>
        </is>
      </c>
      <c r="J597" s="15" t="inlineStr">
        <is>
          <t>0.07</t>
        </is>
      </c>
      <c r="K597" s="14" t="inlineStr">
        <is>
          <t>44.37</t>
        </is>
      </c>
      <c r="L597" s="13" t="inlineStr">
        <is>
          <t>3</t>
        </is>
      </c>
      <c r="M597" s="13" t="inlineStr">
        <is>
          <t>Compleated</t>
        </is>
      </c>
      <c r="N597" s="13" t="inlineStr">
        <is>
          <t>K. Mensah</t>
        </is>
      </c>
    </row>
    <row r="598">
      <c r="A598" s="13" t="inlineStr">
        <is>
          <t>HC-100596</t>
        </is>
      </c>
      <c r="B598" s="13" t="inlineStr">
        <is>
          <t>07/25/2025</t>
        </is>
      </c>
      <c r="C598" s="13" t="inlineStr">
        <is>
          <t>north</t>
        </is>
      </c>
      <c r="D598" s="13" t="inlineStr">
        <is>
          <t>Store</t>
        </is>
      </c>
      <c r="E598" s="13" t="inlineStr">
        <is>
          <t>Furniture</t>
        </is>
      </c>
      <c r="F598" s="13" t="inlineStr">
        <is>
          <t>Lounge Chair</t>
        </is>
      </c>
      <c r="G598" s="13" t="inlineStr">
        <is>
          <t>Consumer</t>
        </is>
      </c>
      <c r="H598" s="13" t="inlineStr">
        <is>
          <t>2</t>
        </is>
      </c>
      <c r="I598" s="14" t="inlineStr">
        <is>
          <t>500.03</t>
        </is>
      </c>
      <c r="J598" s="15" t="inlineStr">
        <is>
          <t>0.02</t>
        </is>
      </c>
      <c r="K598" s="14" t="inlineStr">
        <is>
          <t>300.02</t>
        </is>
      </c>
      <c r="L598" s="13" t="inlineStr">
        <is>
          <t>7</t>
        </is>
      </c>
      <c r="M598" s="13" t="inlineStr">
        <is>
          <t>Completed</t>
        </is>
      </c>
      <c r="N598" s="13" t="inlineStr">
        <is>
          <t>A. Shah</t>
        </is>
      </c>
    </row>
    <row r="599">
      <c r="A599" s="13" t="inlineStr">
        <is>
          <t>HC-100597</t>
        </is>
      </c>
      <c r="B599" s="13" t="inlineStr">
        <is>
          <t>19-Mar-24</t>
        </is>
      </c>
      <c r="C599" s="13" t="inlineStr">
        <is>
          <t>South</t>
        </is>
      </c>
      <c r="D599" s="13" t="inlineStr">
        <is>
          <t>Wholesale</t>
        </is>
      </c>
      <c r="E599" s="13" t="inlineStr">
        <is>
          <t>Furniture</t>
        </is>
      </c>
      <c r="F599" s="13" t="inlineStr">
        <is>
          <t>Walnut Shelf</t>
        </is>
      </c>
      <c r="G599" s="13" t="inlineStr">
        <is>
          <t>Consumer</t>
        </is>
      </c>
      <c r="H599" s="13" t="inlineStr">
        <is>
          <t>22</t>
        </is>
      </c>
      <c r="I599" s="14" t="inlineStr">
        <is>
          <t>$223.77</t>
        </is>
      </c>
      <c r="J599" s="15" t="inlineStr">
        <is>
          <t>0.15</t>
        </is>
      </c>
      <c r="K599" s="14" t="inlineStr">
        <is>
          <t>123.07</t>
        </is>
      </c>
      <c r="L599" s="13" t="inlineStr">
        <is>
          <t>7</t>
        </is>
      </c>
      <c r="M599" s="13" t="inlineStr">
        <is>
          <t>Completed</t>
        </is>
      </c>
      <c r="N599" s="13" t="inlineStr">
        <is>
          <t>J. Patel</t>
        </is>
      </c>
    </row>
    <row r="600">
      <c r="A600" s="13" t="inlineStr">
        <is>
          <t>HC-100598</t>
        </is>
      </c>
      <c r="B600" s="13" t="inlineStr">
        <is>
          <t>2025/04/01</t>
        </is>
      </c>
      <c r="C600" s="13" t="inlineStr">
        <is>
          <t>North</t>
        </is>
      </c>
      <c r="D600" s="13" t="inlineStr">
        <is>
          <t>Online</t>
        </is>
      </c>
      <c r="E600" s="13" t="inlineStr">
        <is>
          <t>Furniture</t>
        </is>
      </c>
      <c r="F600" s="13" t="inlineStr">
        <is>
          <t>Linen Sofa</t>
        </is>
      </c>
      <c r="G600" s="13" t="inlineStr">
        <is>
          <t>Corporate</t>
        </is>
      </c>
      <c r="H600" s="13" t="inlineStr">
        <is>
          <t>3</t>
        </is>
      </c>
      <c r="I600" s="14" t="inlineStr">
        <is>
          <t>1208.27</t>
        </is>
      </c>
      <c r="J600" s="15" t="inlineStr">
        <is>
          <t>0.17</t>
        </is>
      </c>
      <c r="K600" s="14" t="inlineStr">
        <is>
          <t>797.46</t>
        </is>
      </c>
      <c r="L600" s="13" t="inlineStr">
        <is>
          <t>5</t>
        </is>
      </c>
      <c r="M600" s="13" t="inlineStr">
        <is>
          <t>Completed</t>
        </is>
      </c>
      <c r="N600" s="13" t="inlineStr">
        <is>
          <t>S. Nguyen</t>
        </is>
      </c>
    </row>
    <row r="601">
      <c r="A601" s="13" t="inlineStr">
        <is>
          <t>HC-100599</t>
        </is>
      </c>
      <c r="B601" s="13" t="inlineStr">
        <is>
          <t>08.08.2024</t>
        </is>
      </c>
      <c r="C601" s="13" t="inlineStr">
        <is>
          <t>Eas</t>
        </is>
      </c>
      <c r="D601" s="13" t="inlineStr">
        <is>
          <t>Store</t>
        </is>
      </c>
      <c r="E601" s="13" t="inlineStr">
        <is>
          <t>Textiles</t>
        </is>
      </c>
      <c r="F601" s="13" t="inlineStr">
        <is>
          <t>Wool Throw</t>
        </is>
      </c>
      <c r="G601" s="13" t="inlineStr">
        <is>
          <t>Consumer</t>
        </is>
      </c>
      <c r="H601" s="13" t="inlineStr">
        <is>
          <t>2</t>
        </is>
      </c>
      <c r="I601" s="14" t="inlineStr">
        <is>
          <t>64.89</t>
        </is>
      </c>
      <c r="J601" s="15" t="inlineStr">
        <is>
          <t>0.02</t>
        </is>
      </c>
      <c r="K601" s="14" t="inlineStr">
        <is>
          <t>27.25</t>
        </is>
      </c>
      <c r="L601" s="13" t="inlineStr">
        <is>
          <t>6</t>
        </is>
      </c>
      <c r="M601" s="13" t="inlineStr">
        <is>
          <t>COMPLETED</t>
        </is>
      </c>
      <c r="N601" s="13" t="inlineStr">
        <is>
          <t>S. Nguyen</t>
        </is>
      </c>
    </row>
    <row r="602">
      <c r="A602" s="13" t="inlineStr">
        <is>
          <t>HC-100600</t>
        </is>
      </c>
      <c r="B602" s="13" t="inlineStr">
        <is>
          <t>03/31/2024</t>
        </is>
      </c>
      <c r="C602" s="13" t="inlineStr">
        <is>
          <t>North</t>
        </is>
      </c>
      <c r="D602" s="13" t="inlineStr">
        <is>
          <t>Wholesale</t>
        </is>
      </c>
      <c r="E602" s="13" t="inlineStr">
        <is>
          <t>Textiles</t>
        </is>
      </c>
      <c r="F602" s="13" t="inlineStr">
        <is>
          <t>Linen Curtain</t>
        </is>
      </c>
      <c r="G602" s="13" t="inlineStr">
        <is>
          <t>Home Office</t>
        </is>
      </c>
      <c r="H602" s="13" t="inlineStr">
        <is>
          <t>35</t>
        </is>
      </c>
      <c r="I602" s="14" t="inlineStr">
        <is>
          <t>101.76</t>
        </is>
      </c>
      <c r="J602" s="15" t="inlineStr">
        <is>
          <t>0.18</t>
        </is>
      </c>
      <c r="K602" s="14" t="inlineStr">
        <is>
          <t>45.79</t>
        </is>
      </c>
      <c r="L602" s="13" t="inlineStr">
        <is>
          <t>4</t>
        </is>
      </c>
      <c r="M602" s="13" t="inlineStr">
        <is>
          <t>Completed</t>
        </is>
      </c>
      <c r="N602" s="13" t="inlineStr">
        <is>
          <t>J. Patel</t>
        </is>
      </c>
    </row>
    <row r="603">
      <c r="A603" s="13" t="inlineStr">
        <is>
          <t>HC-100601</t>
        </is>
      </c>
      <c r="B603" s="13" t="inlineStr">
        <is>
          <t>18-Apr-24</t>
        </is>
      </c>
      <c r="C603" s="13" t="inlineStr">
        <is>
          <t>North</t>
        </is>
      </c>
      <c r="D603" s="13" t="inlineStr">
        <is>
          <t>Wholesale</t>
        </is>
      </c>
      <c r="E603" s="13" t="inlineStr">
        <is>
          <t>Kitchen</t>
        </is>
      </c>
      <c r="F603" s="13" t="inlineStr">
        <is>
          <t>Chef Knife</t>
        </is>
      </c>
      <c r="G603" s="13" t="inlineStr">
        <is>
          <t>Consumer</t>
        </is>
      </c>
      <c r="H603" s="13" t="inlineStr">
        <is>
          <t>11</t>
        </is>
      </c>
      <c r="I603" s="14" t="inlineStr">
        <is>
          <t>62.79</t>
        </is>
      </c>
      <c r="J603" s="15" t="inlineStr">
        <is>
          <t>0.18</t>
        </is>
      </c>
      <c r="K603" s="14" t="inlineStr">
        <is>
          <t>22.60</t>
        </is>
      </c>
      <c r="L603" s="13" t="inlineStr">
        <is>
          <t>3</t>
        </is>
      </c>
      <c r="M603" s="13" t="inlineStr">
        <is>
          <t>Completed</t>
        </is>
      </c>
      <c r="N603" s="13" t="inlineStr">
        <is>
          <t>M. Okonkwo</t>
        </is>
      </c>
    </row>
    <row r="604">
      <c r="A604" s="13" t="inlineStr">
        <is>
          <t>HC-100602</t>
        </is>
      </c>
      <c r="B604" s="13" t="inlineStr">
        <is>
          <t>2025/03/08</t>
        </is>
      </c>
      <c r="C604" s="13" t="inlineStr">
        <is>
          <t>South</t>
        </is>
      </c>
      <c r="D604" s="13" t="inlineStr">
        <is>
          <t>Store</t>
        </is>
      </c>
      <c r="E604" s="13" t="inlineStr">
        <is>
          <t>Furniture</t>
        </is>
      </c>
      <c r="F604" s="13" t="inlineStr">
        <is>
          <t>Oak Desk</t>
        </is>
      </c>
      <c r="G604" s="13" t="inlineStr">
        <is>
          <t>Consumer</t>
        </is>
      </c>
      <c r="H604" s="13" t="inlineStr">
        <is>
          <t>2</t>
        </is>
      </c>
      <c r="I604" s="14" t="inlineStr">
        <is>
          <t>875.89</t>
        </is>
      </c>
      <c r="J604" s="15" t="inlineStr">
        <is>
          <t>0.06</t>
        </is>
      </c>
      <c r="K604" s="14" t="inlineStr">
        <is>
          <t>543.05</t>
        </is>
      </c>
      <c r="L604" s="13" t="inlineStr">
        <is>
          <t>3</t>
        </is>
      </c>
      <c r="M604" s="13" t="inlineStr">
        <is>
          <t>Completed</t>
        </is>
      </c>
      <c r="N604" s="13" t="inlineStr">
        <is>
          <t>A. Shah</t>
        </is>
      </c>
    </row>
    <row r="605">
      <c r="A605" s="13" t="inlineStr">
        <is>
          <t>HC-100603</t>
        </is>
      </c>
      <c r="B605" s="13" t="inlineStr">
        <is>
          <t>28.01.2024</t>
        </is>
      </c>
      <c r="C605" s="13" t="inlineStr">
        <is>
          <t>East</t>
        </is>
      </c>
      <c r="D605" s="13" t="inlineStr">
        <is>
          <t>Wholesale</t>
        </is>
      </c>
      <c r="E605" s="13" t="inlineStr">
        <is>
          <t>Furniture</t>
        </is>
      </c>
      <c r="F605" s="13" t="inlineStr">
        <is>
          <t>Oak Desk</t>
        </is>
      </c>
      <c r="G605" s="13" t="inlineStr">
        <is>
          <t>Consumer</t>
        </is>
      </c>
      <c r="H605" s="13" t="inlineStr">
        <is>
          <t>21</t>
        </is>
      </c>
      <c r="I605" s="14" t="inlineStr">
        <is>
          <t>808.30</t>
        </is>
      </c>
      <c r="J605" s="15" t="inlineStr">
        <is>
          <t>0.25</t>
        </is>
      </c>
      <c r="K605" s="14" t="inlineStr">
        <is>
          <t>501.15</t>
        </is>
      </c>
      <c r="L605" s="13" t="inlineStr">
        <is>
          <t>6</t>
        </is>
      </c>
      <c r="M605" s="13" t="inlineStr">
        <is>
          <t>Completed</t>
        </is>
      </c>
      <c r="N605" s="13" t="inlineStr">
        <is>
          <t>S. Nguyen</t>
        </is>
      </c>
    </row>
    <row r="606">
      <c r="A606" s="13" t="inlineStr">
        <is>
          <t>HC-100604</t>
        </is>
      </c>
      <c r="B606" s="13" t="inlineStr">
        <is>
          <t>06/28/2024</t>
        </is>
      </c>
      <c r="C606" s="13" t="inlineStr">
        <is>
          <t>South</t>
        </is>
      </c>
      <c r="D606" s="13" t="inlineStr">
        <is>
          <t>Wholesale</t>
        </is>
      </c>
      <c r="E606" s="13" t="inlineStr">
        <is>
          <t>Kitchen</t>
        </is>
      </c>
      <c r="F606" s="13" t="inlineStr">
        <is>
          <t>Cast Skillet</t>
        </is>
      </c>
      <c r="G606" s="13" t="inlineStr">
        <is>
          <t>Corporate</t>
        </is>
      </c>
      <c r="H606" s="13" t="inlineStr">
        <is>
          <t>16</t>
        </is>
      </c>
      <c r="I606" s="14" t="inlineStr">
        <is>
          <t>51.34</t>
        </is>
      </c>
      <c r="J606" s="15" t="inlineStr">
        <is>
          <t>0.23</t>
        </is>
      </c>
      <c r="K606" s="14" t="inlineStr">
        <is>
          <t>20.54</t>
        </is>
      </c>
      <c r="L606" s="13" t="inlineStr">
        <is>
          <t>5</t>
        </is>
      </c>
      <c r="M606" s="13" t="inlineStr">
        <is>
          <t>Compleated</t>
        </is>
      </c>
      <c r="N606" s="13" t="inlineStr">
        <is>
          <t>S. Nguyen</t>
        </is>
      </c>
    </row>
    <row r="607">
      <c r="A607" s="13" t="inlineStr">
        <is>
          <t>HC-100605</t>
        </is>
      </c>
      <c r="B607" s="13" t="inlineStr">
        <is>
          <t>20-Jul-24</t>
        </is>
      </c>
      <c r="C607" s="13" t="inlineStr">
        <is>
          <t>West</t>
        </is>
      </c>
      <c r="D607" s="13" t="inlineStr">
        <is>
          <t>Store</t>
        </is>
      </c>
      <c r="E607" s="13" t="inlineStr">
        <is>
          <t>Lighting</t>
        </is>
      </c>
      <c r="F607" s="13" t="inlineStr">
        <is>
          <t>Arc Lamp</t>
        </is>
      </c>
      <c r="G607" s="13" t="inlineStr">
        <is>
          <t>Consumer</t>
        </is>
      </c>
      <c r="H607" s="13" t="inlineStr">
        <is>
          <t>1</t>
        </is>
      </c>
      <c r="I607" s="14" t="inlineStr">
        <is>
          <t>305.61</t>
        </is>
      </c>
      <c r="J607" s="15" t="inlineStr">
        <is>
          <t>0.07</t>
        </is>
      </c>
      <c r="K607" s="14" t="inlineStr">
        <is>
          <t>146.69</t>
        </is>
      </c>
      <c r="L607" s="13" t="inlineStr">
        <is>
          <t>3</t>
        </is>
      </c>
      <c r="M607" s="13" t="inlineStr">
        <is>
          <t>Completed</t>
        </is>
      </c>
      <c r="N607" s="13" t="inlineStr">
        <is>
          <t>J. Patel</t>
        </is>
      </c>
    </row>
    <row r="608">
      <c r="A608" s="13" t="inlineStr">
        <is>
          <t>HC-100606</t>
        </is>
      </c>
      <c r="B608" s="13" t="inlineStr">
        <is>
          <t>2025/01/08</t>
        </is>
      </c>
      <c r="C608" s="13" t="inlineStr">
        <is>
          <t>Nort</t>
        </is>
      </c>
      <c r="D608" s="13" t="inlineStr">
        <is>
          <t>e-commerce</t>
        </is>
      </c>
      <c r="E608" s="13" t="inlineStr">
        <is>
          <t>Textiles</t>
        </is>
      </c>
      <c r="F608" s="13" t="inlineStr">
        <is>
          <t>Wool Throw</t>
        </is>
      </c>
      <c r="G608" s="13" t="inlineStr">
        <is>
          <t>home office</t>
        </is>
      </c>
      <c r="H608" s="13" t="inlineStr">
        <is>
          <t>1</t>
        </is>
      </c>
      <c r="I608" s="14" t="inlineStr">
        <is>
          <t>71.89</t>
        </is>
      </c>
      <c r="J608" s="15" t="inlineStr">
        <is>
          <t>0.16</t>
        </is>
      </c>
      <c r="K608" s="14" t="inlineStr">
        <is>
          <t>30.20</t>
        </is>
      </c>
      <c r="L608" s="13" t="inlineStr">
        <is>
          <t>3</t>
        </is>
      </c>
      <c r="M608" s="13" t="inlineStr">
        <is>
          <t>Compleated</t>
        </is>
      </c>
      <c r="N608" s="13" t="inlineStr">
        <is>
          <t>S. Nguyen</t>
        </is>
      </c>
    </row>
    <row r="609">
      <c r="A609" s="13" t="inlineStr">
        <is>
          <t>HC-100607</t>
        </is>
      </c>
      <c r="B609" s="13" t="inlineStr">
        <is>
          <t>26.02.2025</t>
        </is>
      </c>
      <c r="C609" s="13" t="inlineStr">
        <is>
          <t>South</t>
        </is>
      </c>
      <c r="D609" s="13" t="inlineStr">
        <is>
          <t>Store</t>
        </is>
      </c>
      <c r="E609" s="13" t="inlineStr">
        <is>
          <t>Textiles</t>
        </is>
      </c>
      <c r="F609" s="13" t="inlineStr">
        <is>
          <t>Wool Throw</t>
        </is>
      </c>
      <c r="G609" s="13" t="inlineStr">
        <is>
          <t>Consumer</t>
        </is>
      </c>
      <c r="H609" s="13" t="inlineStr">
        <is>
          <t>2</t>
        </is>
      </c>
      <c r="I609" s="14" t="inlineStr">
        <is>
          <t>80.03</t>
        </is>
      </c>
      <c r="J609" s="15" t="inlineStr">
        <is>
          <t>0.10</t>
        </is>
      </c>
      <c r="K609" s="14" t="inlineStr">
        <is>
          <t>33.61</t>
        </is>
      </c>
      <c r="L609" s="13" t="inlineStr">
        <is>
          <t>7</t>
        </is>
      </c>
      <c r="M609" s="13" t="inlineStr">
        <is>
          <t>Returned</t>
        </is>
      </c>
      <c r="N609" s="13" t="inlineStr">
        <is>
          <t>J. Patel</t>
        </is>
      </c>
    </row>
    <row r="610">
      <c r="A610" s="13" t="inlineStr">
        <is>
          <t>HC-100608</t>
        </is>
      </c>
      <c r="B610" s="13" t="inlineStr">
        <is>
          <t>09/27/2024</t>
        </is>
      </c>
      <c r="C610" s="13" t="inlineStr">
        <is>
          <t>North</t>
        </is>
      </c>
      <c r="D610" s="13" t="inlineStr">
        <is>
          <t>Online</t>
        </is>
      </c>
      <c r="E610" s="13" t="inlineStr">
        <is>
          <t>Textiles</t>
        </is>
      </c>
      <c r="F610" s="13" t="inlineStr">
        <is>
          <t>Cotton Duvet</t>
        </is>
      </c>
      <c r="G610" s="13" t="inlineStr">
        <is>
          <t>Consumer</t>
        </is>
      </c>
      <c r="H610" s="13" t="inlineStr">
        <is>
          <t>3</t>
        </is>
      </c>
      <c r="I610" s="14" t="inlineStr">
        <is>
          <t>127.47</t>
        </is>
      </c>
      <c r="J610" s="15" t="inlineStr">
        <is>
          <t>0.04</t>
        </is>
      </c>
      <c r="K610" s="14" t="inlineStr">
        <is>
          <t>56.09</t>
        </is>
      </c>
      <c r="L610" s="13" t="inlineStr">
        <is>
          <t>3</t>
        </is>
      </c>
      <c r="M610" s="13" t="inlineStr">
        <is>
          <t>Completed</t>
        </is>
      </c>
      <c r="N610" s="13" t="inlineStr">
        <is>
          <t>S. Nguyen</t>
        </is>
      </c>
    </row>
    <row r="611">
      <c r="A611" s="13" t="inlineStr">
        <is>
          <t>HC-100609</t>
        </is>
      </c>
      <c r="B611" s="13" t="inlineStr">
        <is>
          <t>01-Dec-24</t>
        </is>
      </c>
      <c r="C611" s="13" t="inlineStr">
        <is>
          <t>West</t>
        </is>
      </c>
      <c r="D611" s="13" t="inlineStr">
        <is>
          <t>Store</t>
        </is>
      </c>
      <c r="E611" s="13" t="inlineStr">
        <is>
          <t>Furniture</t>
        </is>
      </c>
      <c r="F611" s="13" t="inlineStr">
        <is>
          <t>Walnut Shelf</t>
        </is>
      </c>
      <c r="G611" s="13" t="inlineStr">
        <is>
          <t>Consumer</t>
        </is>
      </c>
      <c r="H611" s="13" t="inlineStr">
        <is>
          <t>5</t>
        </is>
      </c>
      <c r="I611" s="14" t="inlineStr">
        <is>
          <t>224.74</t>
        </is>
      </c>
      <c r="J611" s="15" t="inlineStr">
        <is>
          <t>0.01</t>
        </is>
      </c>
      <c r="K611" s="14" t="inlineStr">
        <is>
          <t>123.61</t>
        </is>
      </c>
      <c r="L611" s="13" t="inlineStr">
        <is>
          <t>8</t>
        </is>
      </c>
      <c r="M611" s="13" t="inlineStr">
        <is>
          <t>Completed</t>
        </is>
      </c>
      <c r="N611" s="13" t="inlineStr">
        <is>
          <t>S. Nguyen</t>
        </is>
      </c>
    </row>
    <row r="612">
      <c r="A612" s="13" t="inlineStr">
        <is>
          <t>HC-100610</t>
        </is>
      </c>
      <c r="B612" s="13" t="inlineStr">
        <is>
          <t>2024/11/17</t>
        </is>
      </c>
      <c r="C612" s="13" t="inlineStr">
        <is>
          <t>East</t>
        </is>
      </c>
      <c r="D612" s="13" t="inlineStr">
        <is>
          <t>Online</t>
        </is>
      </c>
      <c r="E612" s="13" t="inlineStr">
        <is>
          <t>Lighting</t>
        </is>
      </c>
      <c r="F612" s="13" t="inlineStr">
        <is>
          <t>Pendant Light</t>
        </is>
      </c>
      <c r="G612" s="13" t="inlineStr">
        <is>
          <t>Consumer</t>
        </is>
      </c>
      <c r="H612" s="13" t="inlineStr">
        <is>
          <t>3</t>
        </is>
      </c>
      <c r="I612" s="14" t="inlineStr">
        <is>
          <t>162.41</t>
        </is>
      </c>
      <c r="J612" s="15" t="inlineStr">
        <is>
          <t>0.06</t>
        </is>
      </c>
      <c r="K612" s="14" t="inlineStr">
        <is>
          <t>81.21</t>
        </is>
      </c>
      <c r="L612" s="13" t="inlineStr">
        <is>
          <t>7</t>
        </is>
      </c>
      <c r="M612" s="13" t="inlineStr">
        <is>
          <t>Completed</t>
        </is>
      </c>
      <c r="N612" s="13" t="inlineStr">
        <is>
          <t>R. Ibarra</t>
        </is>
      </c>
    </row>
    <row r="613">
      <c r="A613" s="13" t="inlineStr">
        <is>
          <t>HC-100611</t>
        </is>
      </c>
      <c r="B613" s="13" t="inlineStr">
        <is>
          <t>06.05.2025</t>
        </is>
      </c>
      <c r="C613" s="13" t="inlineStr">
        <is>
          <t>South</t>
        </is>
      </c>
      <c r="D613" s="13" t="inlineStr">
        <is>
          <t>e-commerce</t>
        </is>
      </c>
      <c r="E613" s="13" t="inlineStr">
        <is>
          <t>Textiles</t>
        </is>
      </c>
      <c r="F613" s="13" t="inlineStr">
        <is>
          <t>Linen Curtain</t>
        </is>
      </c>
      <c r="G613" s="13" t="inlineStr">
        <is>
          <t>Corporate</t>
        </is>
      </c>
      <c r="H613" s="13" t="inlineStr">
        <is>
          <t>1</t>
        </is>
      </c>
      <c r="I613" s="14" t="inlineStr">
        <is>
          <t>93.02</t>
        </is>
      </c>
      <c r="J613" s="15" t="inlineStr">
        <is>
          <t>0.03</t>
        </is>
      </c>
      <c r="K613" s="14" t="inlineStr">
        <is>
          <t>41.86</t>
        </is>
      </c>
      <c r="L613" s="13" t="inlineStr">
        <is>
          <t>5</t>
        </is>
      </c>
      <c r="M613" s="13" t="inlineStr">
        <is>
          <t>Completed</t>
        </is>
      </c>
      <c r="N613" s="13" t="inlineStr">
        <is>
          <t>M. Okonkwo</t>
        </is>
      </c>
    </row>
    <row r="614">
      <c r="A614" s="13" t="inlineStr">
        <is>
          <t>HC-100612</t>
        </is>
      </c>
      <c r="B614" s="13" t="inlineStr">
        <is>
          <t>09/03/2024</t>
        </is>
      </c>
      <c r="C614" s="13" t="inlineStr">
        <is>
          <t>East</t>
        </is>
      </c>
      <c r="D614" s="13" t="inlineStr">
        <is>
          <t>Wholesale</t>
        </is>
      </c>
      <c r="E614" s="13" t="inlineStr">
        <is>
          <t>Furniture</t>
        </is>
      </c>
      <c r="F614" s="13" t="inlineStr">
        <is>
          <t>Oak Desk</t>
        </is>
      </c>
      <c r="G614" s="13" t="inlineStr">
        <is>
          <t>Consumer</t>
        </is>
      </c>
      <c r="H614" s="13" t="inlineStr">
        <is>
          <t>25</t>
        </is>
      </c>
      <c r="I614" s="14" t="inlineStr">
        <is>
          <t>752.87</t>
        </is>
      </c>
      <c r="J614" s="15" t="inlineStr">
        <is>
          <t>0.16</t>
        </is>
      </c>
      <c r="K614" s="14" t="inlineStr">
        <is>
          <t>466.78</t>
        </is>
      </c>
      <c r="L614" s="13" t="inlineStr">
        <is>
          <t>8</t>
        </is>
      </c>
      <c r="M614" s="13" t="inlineStr">
        <is>
          <t>Completed</t>
        </is>
      </c>
      <c r="N614" s="13" t="inlineStr">
        <is>
          <t>M. Okonkwo</t>
        </is>
      </c>
    </row>
    <row r="615">
      <c r="A615" s="13" t="inlineStr">
        <is>
          <t>HC-100613</t>
        </is>
      </c>
      <c r="B615" s="13" t="inlineStr">
        <is>
          <t>25-Oct-24</t>
        </is>
      </c>
      <c r="C615" s="13" t="inlineStr">
        <is>
          <t>East</t>
        </is>
      </c>
      <c r="D615" s="13" t="inlineStr">
        <is>
          <t>Online</t>
        </is>
      </c>
      <c r="E615" s="13" t="inlineStr">
        <is>
          <t>Lighting</t>
        </is>
      </c>
      <c r="F615" s="13" t="inlineStr">
        <is>
          <t>Arc Lamp</t>
        </is>
      </c>
      <c r="G615" s="13" t="inlineStr">
        <is>
          <t>Consumer</t>
        </is>
      </c>
      <c r="H615" s="13" t="inlineStr">
        <is>
          <t>3</t>
        </is>
      </c>
      <c r="I615" s="14" t="inlineStr">
        <is>
          <t>276.90</t>
        </is>
      </c>
      <c r="J615" s="15" t="inlineStr">
        <is>
          <t>0.08</t>
        </is>
      </c>
      <c r="K615" s="14" t="inlineStr">
        <is>
          <t>132.91</t>
        </is>
      </c>
      <c r="L615" s="13" t="inlineStr">
        <is>
          <t>13</t>
        </is>
      </c>
      <c r="M615" s="13" t="inlineStr">
        <is>
          <t>Completed</t>
        </is>
      </c>
      <c r="N615" s="13" t="inlineStr">
        <is>
          <t>K. Mensah</t>
        </is>
      </c>
    </row>
    <row r="616">
      <c r="A616" s="13" t="inlineStr">
        <is>
          <t>HC-100614</t>
        </is>
      </c>
      <c r="B616" s="13" t="inlineStr">
        <is>
          <t>2024/03/16</t>
        </is>
      </c>
      <c r="C616" s="13" t="inlineStr">
        <is>
          <t>South</t>
        </is>
      </c>
      <c r="D616" s="13" t="inlineStr">
        <is>
          <t>Store</t>
        </is>
      </c>
      <c r="E616" s="13" t="inlineStr">
        <is>
          <t>Lighting</t>
        </is>
      </c>
      <c r="F616" s="13" t="inlineStr">
        <is>
          <t>Pendant Light</t>
        </is>
      </c>
      <c r="G616" s="13" t="inlineStr">
        <is>
          <t>Corporate</t>
        </is>
      </c>
      <c r="H616" s="13" t="inlineStr">
        <is>
          <t>2</t>
        </is>
      </c>
      <c r="I616" s="14" t="inlineStr">
        <is>
          <t>169.03</t>
        </is>
      </c>
      <c r="J616" s="15" t="inlineStr">
        <is>
          <t>0.04</t>
        </is>
      </c>
      <c r="K616" s="14" t="inlineStr">
        <is>
          <t>84.52</t>
        </is>
      </c>
      <c r="L616" s="13" t="inlineStr">
        <is>
          <t>5</t>
        </is>
      </c>
      <c r="M616" s="13" t="inlineStr">
        <is>
          <t>Compleated</t>
        </is>
      </c>
      <c r="N616" s="13" t="inlineStr">
        <is>
          <t>A. Shah</t>
        </is>
      </c>
    </row>
    <row r="617">
      <c r="A617" s="13" t="inlineStr">
        <is>
          <t>HC-100615</t>
        </is>
      </c>
      <c r="B617" s="13" t="inlineStr">
        <is>
          <t>31.01.2025</t>
        </is>
      </c>
      <c r="C617" s="13" t="inlineStr">
        <is>
          <t>West</t>
        </is>
      </c>
      <c r="D617" s="13" t="inlineStr">
        <is>
          <t>Store</t>
        </is>
      </c>
      <c r="E617" s="13" t="inlineStr">
        <is>
          <t>Furniture</t>
        </is>
      </c>
      <c r="F617" s="13" t="inlineStr">
        <is>
          <t>Linen Sofa</t>
        </is>
      </c>
      <c r="G617" s="13" t="inlineStr">
        <is>
          <t>Consumer</t>
        </is>
      </c>
      <c r="H617" s="13" t="inlineStr">
        <is>
          <t>4</t>
        </is>
      </c>
      <c r="I617" s="14" t="inlineStr">
        <is>
          <t>1226.66</t>
        </is>
      </c>
      <c r="J617" s="15" t="inlineStr">
        <is>
          <t>2%</t>
        </is>
      </c>
      <c r="K617" s="14" t="inlineStr">
        <is>
          <t>809.60</t>
        </is>
      </c>
      <c r="L617" s="13" t="inlineStr">
        <is>
          <t>2</t>
        </is>
      </c>
      <c r="M617" s="13" t="inlineStr">
        <is>
          <t>Completed</t>
        </is>
      </c>
      <c r="N617" s="13" t="inlineStr">
        <is>
          <t>M. Okonkwo</t>
        </is>
      </c>
    </row>
    <row r="618">
      <c r="A618" s="13" t="inlineStr">
        <is>
          <t>HC-100616</t>
        </is>
      </c>
      <c r="B618" s="13" t="inlineStr">
        <is>
          <t>02/17/2024</t>
        </is>
      </c>
      <c r="C618" s="13" t="inlineStr">
        <is>
          <t>East</t>
        </is>
      </c>
      <c r="D618" s="13" t="inlineStr">
        <is>
          <t>Online</t>
        </is>
      </c>
      <c r="E618" s="13" t="inlineStr">
        <is>
          <t>Furniture</t>
        </is>
      </c>
      <c r="F618" s="13" t="inlineStr">
        <is>
          <t>Walnut Shelf</t>
        </is>
      </c>
      <c r="G618" s="13" t="inlineStr">
        <is>
          <t>Corporate</t>
        </is>
      </c>
      <c r="H618" s="13" t="inlineStr">
        <is>
          <t>2</t>
        </is>
      </c>
      <c r="I618" s="14" t="inlineStr">
        <is>
          <t>182.68</t>
        </is>
      </c>
      <c r="J618" s="15" t="inlineStr">
        <is>
          <t>0.06</t>
        </is>
      </c>
      <c r="K618" s="14" t="inlineStr">
        <is>
          <t>100.47</t>
        </is>
      </c>
      <c r="L618" s="13" t="inlineStr">
        <is>
          <t>11</t>
        </is>
      </c>
      <c r="M618" s="13" t="inlineStr">
        <is>
          <t>Completed</t>
        </is>
      </c>
      <c r="N618" s="13" t="inlineStr">
        <is>
          <t>J. Patel</t>
        </is>
      </c>
    </row>
    <row r="619">
      <c r="A619" s="13" t="inlineStr">
        <is>
          <t>HC-100617</t>
        </is>
      </c>
      <c r="B619" s="13" t="inlineStr">
        <is>
          <t>22-Jun-25</t>
        </is>
      </c>
      <c r="C619" s="13" t="inlineStr">
        <is>
          <t>SOUTH</t>
        </is>
      </c>
      <c r="D619" s="13" t="inlineStr">
        <is>
          <t>e-commerce</t>
        </is>
      </c>
      <c r="E619" s="13" t="inlineStr">
        <is>
          <t>Lighting</t>
        </is>
      </c>
      <c r="F619" s="13" t="inlineStr">
        <is>
          <t>Pendant Light</t>
        </is>
      </c>
      <c r="G619" s="13" t="inlineStr">
        <is>
          <t>Corporate</t>
        </is>
      </c>
      <c r="H619" s="13" t="inlineStr">
        <is>
          <t>3</t>
        </is>
      </c>
      <c r="I619" s="14" t="inlineStr">
        <is>
          <t>181.03</t>
        </is>
      </c>
      <c r="J619" s="15" t="inlineStr">
        <is>
          <t>0.08</t>
        </is>
      </c>
      <c r="K619" s="14" t="inlineStr">
        <is>
          <t>90.51</t>
        </is>
      </c>
      <c r="L619" s="13" t="inlineStr">
        <is>
          <t>4</t>
        </is>
      </c>
      <c r="M619" s="13" t="inlineStr">
        <is>
          <t>Completed</t>
        </is>
      </c>
      <c r="N619" s="13" t="inlineStr">
        <is>
          <t>M. Okonkwo</t>
        </is>
      </c>
    </row>
    <row r="620">
      <c r="A620" s="13" t="inlineStr">
        <is>
          <t>HC-100618</t>
        </is>
      </c>
      <c r="B620" s="13" t="inlineStr">
        <is>
          <t>2024/03/13</t>
        </is>
      </c>
      <c r="C620" s="13" t="inlineStr">
        <is>
          <t>North</t>
        </is>
      </c>
      <c r="D620" s="13" t="inlineStr">
        <is>
          <t>Store</t>
        </is>
      </c>
      <c r="E620" s="13" t="inlineStr">
        <is>
          <t>Furniture</t>
        </is>
      </c>
      <c r="F620" s="13" t="inlineStr">
        <is>
          <t>Linen Sofa</t>
        </is>
      </c>
      <c r="G620" s="13" t="inlineStr">
        <is>
          <t>Consumer</t>
        </is>
      </c>
      <c r="H620" s="13" t="inlineStr">
        <is>
          <t>4</t>
        </is>
      </c>
      <c r="I620" s="14" t="inlineStr">
        <is>
          <t>1339.48</t>
        </is>
      </c>
      <c r="J620" s="15" t="inlineStr">
        <is>
          <t>0.07</t>
        </is>
      </c>
      <c r="K620" s="14" t="inlineStr">
        <is>
          <t>884.06</t>
        </is>
      </c>
      <c r="L620" s="13" t="inlineStr">
        <is>
          <t>6</t>
        </is>
      </c>
      <c r="M620" s="13" t="inlineStr">
        <is>
          <t>Completed</t>
        </is>
      </c>
      <c r="N620" s="13" t="inlineStr">
        <is>
          <t>R. Ibarra</t>
        </is>
      </c>
    </row>
    <row r="621">
      <c r="A621" s="13" t="inlineStr">
        <is>
          <t>HC-100619</t>
        </is>
      </c>
      <c r="B621" s="13" t="inlineStr">
        <is>
          <t>17.08.2024</t>
        </is>
      </c>
      <c r="C621" s="13" t="inlineStr">
        <is>
          <t>South</t>
        </is>
      </c>
      <c r="D621" s="13" t="inlineStr">
        <is>
          <t>Store</t>
        </is>
      </c>
      <c r="E621" s="13" t="inlineStr">
        <is>
          <t>Kitchen</t>
        </is>
      </c>
      <c r="F621" s="13" t="inlineStr">
        <is>
          <t>Ceramic Set</t>
        </is>
      </c>
      <c r="G621" s="13" t="inlineStr">
        <is>
          <t>Consumer</t>
        </is>
      </c>
      <c r="H621" s="13" t="inlineStr">
        <is>
          <t>1</t>
        </is>
      </c>
      <c r="I621" s="14" t="inlineStr">
        <is>
          <t>83.23</t>
        </is>
      </c>
      <c r="J621" s="15" t="inlineStr">
        <is>
          <t>0.03</t>
        </is>
      </c>
      <c r="K621" s="14" t="inlineStr">
        <is>
          <t>31.63</t>
        </is>
      </c>
      <c r="L621" s="13" t="inlineStr">
        <is>
          <t>4</t>
        </is>
      </c>
      <c r="M621" s="13" t="inlineStr">
        <is>
          <t>Completed</t>
        </is>
      </c>
      <c r="N621" s="13" t="inlineStr">
        <is>
          <t>K. Mensah</t>
        </is>
      </c>
    </row>
    <row r="622">
      <c r="A622" s="13" t="inlineStr">
        <is>
          <t>HC-100620</t>
        </is>
      </c>
      <c r="B622" s="13" t="inlineStr">
        <is>
          <t>02/08/2025</t>
        </is>
      </c>
      <c r="C622" s="13" t="inlineStr">
        <is>
          <t>West</t>
        </is>
      </c>
      <c r="D622" s="13" t="inlineStr">
        <is>
          <t>retail</t>
        </is>
      </c>
      <c r="E622" s="13" t="inlineStr">
        <is>
          <t>Lighting</t>
        </is>
      </c>
      <c r="F622" s="13" t="inlineStr">
        <is>
          <t>Brass Sconce</t>
        </is>
      </c>
      <c r="G622" s="13" t="inlineStr">
        <is>
          <t>Consumer</t>
        </is>
      </c>
      <c r="H622" s="13" t="inlineStr">
        <is>
          <t>2</t>
        </is>
      </c>
      <c r="I622" s="14" t="inlineStr">
        <is>
          <t>129.31</t>
        </is>
      </c>
      <c r="J622" s="15" t="inlineStr">
        <is>
          <t>0.00</t>
        </is>
      </c>
      <c r="K622" s="14" t="inlineStr">
        <is>
          <t>59.48</t>
        </is>
      </c>
      <c r="L622" s="13" t="inlineStr">
        <is>
          <t>7</t>
        </is>
      </c>
      <c r="M622" s="13" t="inlineStr">
        <is>
          <t>Completed</t>
        </is>
      </c>
      <c r="N622" s="13" t="inlineStr">
        <is>
          <t>J. Patel</t>
        </is>
      </c>
    </row>
    <row r="623">
      <c r="A623" s="13" t="inlineStr">
        <is>
          <t>HC-100621</t>
        </is>
      </c>
      <c r="B623" s="13" t="inlineStr">
        <is>
          <t>02-Apr-24</t>
        </is>
      </c>
      <c r="C623" s="13" t="inlineStr">
        <is>
          <t>Sout</t>
        </is>
      </c>
      <c r="D623" s="13" t="inlineStr">
        <is>
          <t>Store</t>
        </is>
      </c>
      <c r="E623" s="13" t="inlineStr">
        <is>
          <t>Kitchen</t>
        </is>
      </c>
      <c r="F623" s="13" t="inlineStr">
        <is>
          <t>Chef Knife</t>
        </is>
      </c>
      <c r="G623" s="13" t="inlineStr">
        <is>
          <t>Consumer</t>
        </is>
      </c>
      <c r="H623" s="13" t="inlineStr">
        <is>
          <t>3</t>
        </is>
      </c>
      <c r="I623" s="14" t="inlineStr">
        <is>
          <t>60.56</t>
        </is>
      </c>
      <c r="J623" s="15" t="inlineStr">
        <is>
          <t>0.11</t>
        </is>
      </c>
      <c r="K623" s="14" t="inlineStr">
        <is>
          <t>21.80</t>
        </is>
      </c>
      <c r="L623" s="13" t="inlineStr">
        <is>
          <t>9</t>
        </is>
      </c>
      <c r="M623" s="13" t="inlineStr">
        <is>
          <t>Completed</t>
        </is>
      </c>
      <c r="N623" s="13" t="inlineStr">
        <is>
          <t>R. Ibarra</t>
        </is>
      </c>
    </row>
    <row r="624">
      <c r="A624" s="13" t="inlineStr">
        <is>
          <t>HC-100622</t>
        </is>
      </c>
      <c r="B624" s="13" t="inlineStr">
        <is>
          <t>2025/06/14</t>
        </is>
      </c>
      <c r="C624" s="13" t="inlineStr">
        <is>
          <t>South</t>
        </is>
      </c>
      <c r="D624" s="13" t="inlineStr">
        <is>
          <t>Online</t>
        </is>
      </c>
      <c r="E624" s="13" t="inlineStr">
        <is>
          <t>Furniture</t>
        </is>
      </c>
      <c r="F624" s="13" t="inlineStr">
        <is>
          <t>Oak Desk</t>
        </is>
      </c>
      <c r="G624" s="13" t="inlineStr">
        <is>
          <t>Home Office</t>
        </is>
      </c>
      <c r="H624" s="13" t="inlineStr">
        <is>
          <t>2</t>
        </is>
      </c>
      <c r="I624" s="14" t="inlineStr">
        <is>
          <t>828.28</t>
        </is>
      </c>
      <c r="J624" s="15" t="inlineStr">
        <is>
          <t>0.06</t>
        </is>
      </c>
      <c r="K624" s="14" t="inlineStr">
        <is>
          <t>513.53</t>
        </is>
      </c>
      <c r="L624" s="13" t="inlineStr">
        <is>
          <t>5</t>
        </is>
      </c>
      <c r="M624" s="13" t="inlineStr">
        <is>
          <t>Completed</t>
        </is>
      </c>
      <c r="N624" s="13" t="inlineStr">
        <is>
          <t>S. Nguyen</t>
        </is>
      </c>
    </row>
    <row r="625">
      <c r="A625" s="13" t="inlineStr">
        <is>
          <t>HC-100623</t>
        </is>
      </c>
      <c r="B625" s="13" t="inlineStr">
        <is>
          <t>19.01.2025</t>
        </is>
      </c>
      <c r="C625" s="13" t="inlineStr">
        <is>
          <t>East</t>
        </is>
      </c>
      <c r="D625" s="13" t="inlineStr">
        <is>
          <t>Online</t>
        </is>
      </c>
      <c r="E625" s="13" t="inlineStr">
        <is>
          <t>Textiles</t>
        </is>
      </c>
      <c r="F625" s="13" t="inlineStr">
        <is>
          <t>Cotton Duvet</t>
        </is>
      </c>
      <c r="G625" s="13" t="inlineStr">
        <is>
          <t>Consumer</t>
        </is>
      </c>
      <c r="H625" s="13" t="inlineStr">
        <is>
          <t>1</t>
        </is>
      </c>
      <c r="I625" s="14" t="inlineStr">
        <is>
          <t>105.49</t>
        </is>
      </c>
      <c r="J625" s="15" t="inlineStr">
        <is>
          <t>0.11</t>
        </is>
      </c>
      <c r="K625" s="14" t="inlineStr">
        <is>
          <t>46.41</t>
        </is>
      </c>
      <c r="L625" s="13" t="inlineStr">
        <is>
          <t>7</t>
        </is>
      </c>
      <c r="M625" s="13" t="inlineStr">
        <is>
          <t>Completed</t>
        </is>
      </c>
      <c r="N625" s="13" t="inlineStr">
        <is>
          <t>M. Okonkwo</t>
        </is>
      </c>
    </row>
    <row r="626">
      <c r="A626" s="13" t="inlineStr">
        <is>
          <t>HC-100624</t>
        </is>
      </c>
      <c r="B626" s="13" t="inlineStr">
        <is>
          <t>04/19/2024</t>
        </is>
      </c>
      <c r="C626" s="13" t="inlineStr">
        <is>
          <t>South</t>
        </is>
      </c>
      <c r="D626" s="13" t="inlineStr">
        <is>
          <t>B2B</t>
        </is>
      </c>
      <c r="E626" s="13" t="inlineStr">
        <is>
          <t>Furniture</t>
        </is>
      </c>
      <c r="F626" s="13" t="inlineStr">
        <is>
          <t>Oak Desk</t>
        </is>
      </c>
      <c r="G626" s="13" t="inlineStr">
        <is>
          <t>consumer</t>
        </is>
      </c>
      <c r="H626" s="13" t="inlineStr">
        <is>
          <t>28</t>
        </is>
      </c>
      <c r="I626" s="14" t="inlineStr">
        <is>
          <t>902.27</t>
        </is>
      </c>
      <c r="J626" s="15" t="inlineStr">
        <is>
          <t>0.30</t>
        </is>
      </c>
      <c r="K626" s="14" t="inlineStr">
        <is>
          <t>559.41</t>
        </is>
      </c>
      <c r="L626" s="13" t="inlineStr">
        <is>
          <t>6</t>
        </is>
      </c>
      <c r="M626" s="13" t="inlineStr">
        <is>
          <t>Completed</t>
        </is>
      </c>
      <c r="N626" s="13" t="inlineStr">
        <is>
          <t>L. Berger</t>
        </is>
      </c>
    </row>
    <row r="627">
      <c r="A627" s="13" t="inlineStr">
        <is>
          <t>HC-100625</t>
        </is>
      </c>
      <c r="B627" s="13" t="inlineStr">
        <is>
          <t>13-Sep-24</t>
        </is>
      </c>
      <c r="C627" s="13" t="inlineStr">
        <is>
          <t>North</t>
        </is>
      </c>
      <c r="D627" s="13" t="inlineStr">
        <is>
          <t>Store</t>
        </is>
      </c>
      <c r="E627" s="13" t="inlineStr">
        <is>
          <t>Furniture</t>
        </is>
      </c>
      <c r="F627" s="13" t="inlineStr">
        <is>
          <t>Walnut Shelf</t>
        </is>
      </c>
      <c r="G627" s="13" t="inlineStr">
        <is>
          <t>Corporate</t>
        </is>
      </c>
      <c r="H627" s="13" t="inlineStr">
        <is>
          <t>1</t>
        </is>
      </c>
      <c r="I627" s="14" t="inlineStr">
        <is>
          <t>224.68</t>
        </is>
      </c>
      <c r="J627" s="15" t="inlineStr">
        <is>
          <t>0.06</t>
        </is>
      </c>
      <c r="K627" s="14" t="inlineStr">
        <is>
          <t>123.57</t>
        </is>
      </c>
      <c r="L627" s="13" t="inlineStr">
        <is>
          <t>4</t>
        </is>
      </c>
      <c r="M627" s="13" t="inlineStr">
        <is>
          <t>Completed</t>
        </is>
      </c>
      <c r="N627" s="13" t="inlineStr">
        <is>
          <t>P. Rossi</t>
        </is>
      </c>
    </row>
    <row r="628">
      <c r="A628" s="13" t="inlineStr">
        <is>
          <t>HC-100626</t>
        </is>
      </c>
      <c r="B628" s="13" t="inlineStr">
        <is>
          <t>2024/01/10</t>
        </is>
      </c>
      <c r="C628" s="13" t="inlineStr">
        <is>
          <t>West</t>
        </is>
      </c>
      <c r="D628" s="13" t="inlineStr">
        <is>
          <t>Store</t>
        </is>
      </c>
      <c r="E628" s="13" t="inlineStr">
        <is>
          <t>Kitchen</t>
        </is>
      </c>
      <c r="F628" s="13" t="inlineStr">
        <is>
          <t>Chef Knife</t>
        </is>
      </c>
      <c r="G628" s="13" t="inlineStr">
        <is>
          <t>Corporate</t>
        </is>
      </c>
      <c r="H628" s="13" t="inlineStr">
        <is>
          <t>3</t>
        </is>
      </c>
      <c r="I628" s="14" t="inlineStr">
        <is>
          <t>68.78</t>
        </is>
      </c>
      <c r="J628" s="15" t="inlineStr">
        <is>
          <t>0.11</t>
        </is>
      </c>
      <c r="K628" s="14" t="inlineStr">
        <is>
          <t>24.76</t>
        </is>
      </c>
      <c r="L628" s="13" t="inlineStr">
        <is>
          <t>6</t>
        </is>
      </c>
      <c r="M628" s="13" t="inlineStr">
        <is>
          <t>Completed</t>
        </is>
      </c>
      <c r="N628" s="13" t="inlineStr">
        <is>
          <t>L. Berger</t>
        </is>
      </c>
    </row>
    <row r="629">
      <c r="A629" s="13" t="inlineStr">
        <is>
          <t>HC-100627</t>
        </is>
      </c>
      <c r="B629" s="13" t="inlineStr">
        <is>
          <t>21.01.2025</t>
        </is>
      </c>
      <c r="C629" s="13" t="inlineStr">
        <is>
          <t xml:space="preserve"> west </t>
        </is>
      </c>
      <c r="D629" s="13" t="inlineStr">
        <is>
          <t>Store</t>
        </is>
      </c>
      <c r="E629" s="13" t="inlineStr">
        <is>
          <t>Furniture</t>
        </is>
      </c>
      <c r="F629" s="13" t="inlineStr">
        <is>
          <t>Oak Desk</t>
        </is>
      </c>
      <c r="G629" s="13" t="inlineStr">
        <is>
          <t>Consumer</t>
        </is>
      </c>
      <c r="H629" s="13" t="inlineStr">
        <is>
          <t>three</t>
        </is>
      </c>
      <c r="I629" s="14" t="inlineStr">
        <is>
          <t>864.39</t>
        </is>
      </c>
      <c r="J629" s="15" t="inlineStr">
        <is>
          <t>0.07</t>
        </is>
      </c>
      <c r="K629" s="14" t="inlineStr">
        <is>
          <t>535.92</t>
        </is>
      </c>
      <c r="L629" s="13" t="inlineStr">
        <is>
          <t>7</t>
        </is>
      </c>
      <c r="M629" s="13" t="inlineStr">
        <is>
          <t>Completed</t>
        </is>
      </c>
      <c r="N629" s="13" t="inlineStr">
        <is>
          <t>L. Berger</t>
        </is>
      </c>
    </row>
    <row r="630">
      <c r="A630" s="13" t="inlineStr">
        <is>
          <t>HC-100628</t>
        </is>
      </c>
      <c r="B630" s="13" t="inlineStr">
        <is>
          <t>07/10/2024</t>
        </is>
      </c>
      <c r="C630" s="13" t="inlineStr">
        <is>
          <t>North</t>
        </is>
      </c>
      <c r="D630" s="13" t="inlineStr">
        <is>
          <t>e-commerce</t>
        </is>
      </c>
      <c r="E630" s="13" t="inlineStr">
        <is>
          <t>Furniture</t>
        </is>
      </c>
      <c r="F630" s="13" t="inlineStr">
        <is>
          <t>Lounge Chair</t>
        </is>
      </c>
      <c r="G630" s="13" t="inlineStr">
        <is>
          <t>consumer</t>
        </is>
      </c>
      <c r="H630" s="13" t="inlineStr">
        <is>
          <t>2</t>
        </is>
      </c>
      <c r="I630" s="14" t="inlineStr">
        <is>
          <t>466.09</t>
        </is>
      </c>
      <c r="J630" s="15" t="inlineStr">
        <is>
          <t>0.09</t>
        </is>
      </c>
      <c r="K630" s="14" t="inlineStr">
        <is>
          <t>279.65</t>
        </is>
      </c>
      <c r="L630" s="13" t="inlineStr">
        <is>
          <t>5</t>
        </is>
      </c>
      <c r="M630" s="13" t="inlineStr">
        <is>
          <t>complete</t>
        </is>
      </c>
      <c r="N630" s="13" t="inlineStr">
        <is>
          <t>J. Patel</t>
        </is>
      </c>
    </row>
    <row r="631">
      <c r="A631" s="13" t="inlineStr">
        <is>
          <t>HC-100629</t>
        </is>
      </c>
      <c r="B631" s="13" t="inlineStr">
        <is>
          <t>03-Apr-25</t>
        </is>
      </c>
      <c r="C631" s="13" t="inlineStr">
        <is>
          <t>West</t>
        </is>
      </c>
      <c r="D631" s="13" t="inlineStr">
        <is>
          <t>Wholesale</t>
        </is>
      </c>
      <c r="E631" s="13" t="inlineStr">
        <is>
          <t>Textiles</t>
        </is>
      </c>
      <c r="F631" s="13" t="inlineStr">
        <is>
          <t>Linen Curtain</t>
        </is>
      </c>
      <c r="G631" s="13" t="inlineStr">
        <is>
          <t>Consumer</t>
        </is>
      </c>
      <c r="H631" s="13" t="inlineStr">
        <is>
          <t>28</t>
        </is>
      </c>
      <c r="I631" s="14" t="inlineStr">
        <is>
          <t>95.86</t>
        </is>
      </c>
      <c r="J631" s="15" t="inlineStr">
        <is>
          <t>0.28</t>
        </is>
      </c>
      <c r="K631" s="14" t="inlineStr">
        <is>
          <t>43.14</t>
        </is>
      </c>
      <c r="L631" s="13" t="inlineStr">
        <is>
          <t>4</t>
        </is>
      </c>
      <c r="M631" s="13" t="inlineStr">
        <is>
          <t>Completed</t>
        </is>
      </c>
      <c r="N631" s="13" t="inlineStr">
        <is>
          <t>R. Ibarra</t>
        </is>
      </c>
    </row>
    <row r="632">
      <c r="A632" s="13" t="inlineStr">
        <is>
          <t>HC-100630</t>
        </is>
      </c>
      <c r="B632" s="13" t="inlineStr">
        <is>
          <t>2024/01/10</t>
        </is>
      </c>
      <c r="C632" s="13" t="inlineStr">
        <is>
          <t>South</t>
        </is>
      </c>
      <c r="D632" s="13" t="inlineStr">
        <is>
          <t>Store</t>
        </is>
      </c>
      <c r="E632" s="13" t="inlineStr">
        <is>
          <t>Textiles</t>
        </is>
      </c>
      <c r="F632" s="13" t="inlineStr">
        <is>
          <t>Cotton Duvet</t>
        </is>
      </c>
      <c r="G632" s="13" t="inlineStr">
        <is>
          <t>Home Office</t>
        </is>
      </c>
      <c r="H632" s="13" t="inlineStr">
        <is>
          <t>4</t>
        </is>
      </c>
      <c r="I632" s="14" t="inlineStr">
        <is>
          <t>114.35</t>
        </is>
      </c>
      <c r="J632" s="15" t="inlineStr">
        <is>
          <t>0.11</t>
        </is>
      </c>
      <c r="K632" s="14" t="inlineStr">
        <is>
          <t>50.31</t>
        </is>
      </c>
      <c r="L632" s="13" t="inlineStr">
        <is>
          <t>5</t>
        </is>
      </c>
      <c r="M632" s="13" t="inlineStr">
        <is>
          <t>complete</t>
        </is>
      </c>
      <c r="N632" s="13" t="inlineStr">
        <is>
          <t>M. Okonkwo</t>
        </is>
      </c>
    </row>
    <row r="633">
      <c r="A633" s="13" t="inlineStr">
        <is>
          <t>HC-100631</t>
        </is>
      </c>
      <c r="B633" s="13" t="inlineStr">
        <is>
          <t>17.07.2025</t>
        </is>
      </c>
      <c r="C633" s="13" t="inlineStr">
        <is>
          <t>North</t>
        </is>
      </c>
      <c r="D633" s="13" t="inlineStr">
        <is>
          <t>retail</t>
        </is>
      </c>
      <c r="E633" s="13" t="inlineStr">
        <is>
          <t>Kitchen</t>
        </is>
      </c>
      <c r="F633" s="13" t="inlineStr">
        <is>
          <t>Cast Skillet</t>
        </is>
      </c>
      <c r="G633" s="13" t="inlineStr">
        <is>
          <t>Corporate</t>
        </is>
      </c>
      <c r="H633" s="13" t="inlineStr">
        <is>
          <t>1</t>
        </is>
      </c>
      <c r="I633" s="14" t="inlineStr">
        <is>
          <t>54.95</t>
        </is>
      </c>
      <c r="J633" s="15" t="inlineStr">
        <is>
          <t>0.05</t>
        </is>
      </c>
      <c r="K633" s="14" t="inlineStr">
        <is>
          <t>21.98</t>
        </is>
      </c>
      <c r="L633" s="13" t="inlineStr">
        <is>
          <t>2</t>
        </is>
      </c>
      <c r="M633" s="13" t="inlineStr">
        <is>
          <t>Completed</t>
        </is>
      </c>
      <c r="N633" s="13" t="inlineStr">
        <is>
          <t>M. Okonkwo</t>
        </is>
      </c>
    </row>
    <row r="634">
      <c r="A634" s="13" t="inlineStr">
        <is>
          <t>HC-100632</t>
        </is>
      </c>
      <c r="B634" s="13" t="inlineStr">
        <is>
          <t>07/03/2024</t>
        </is>
      </c>
      <c r="C634" s="13" t="inlineStr">
        <is>
          <t>South</t>
        </is>
      </c>
      <c r="D634" s="13" t="inlineStr">
        <is>
          <t>Store</t>
        </is>
      </c>
      <c r="E634" s="13" t="inlineStr">
        <is>
          <t>Textiles</t>
        </is>
      </c>
      <c r="F634" s="13" t="inlineStr">
        <is>
          <t>Linen Curtain</t>
        </is>
      </c>
      <c r="G634" s="13" t="inlineStr">
        <is>
          <t>Consumer</t>
        </is>
      </c>
      <c r="H634" s="13" t="inlineStr">
        <is>
          <t>3</t>
        </is>
      </c>
      <c r="I634" s="14" t="inlineStr">
        <is>
          <t>102.45</t>
        </is>
      </c>
      <c r="J634" s="15" t="inlineStr">
        <is>
          <t>0.09</t>
        </is>
      </c>
      <c r="K634" s="14" t="inlineStr">
        <is>
          <t>46.10</t>
        </is>
      </c>
      <c r="L634" s="13" t="inlineStr">
        <is>
          <t>4</t>
        </is>
      </c>
      <c r="M634" s="13" t="inlineStr">
        <is>
          <t>complete</t>
        </is>
      </c>
      <c r="N634" s="13" t="inlineStr">
        <is>
          <t>R. Ibarra</t>
        </is>
      </c>
    </row>
    <row r="635">
      <c r="A635" s="13" t="inlineStr">
        <is>
          <t>HC-100633</t>
        </is>
      </c>
      <c r="B635" s="13" t="inlineStr">
        <is>
          <t>31-Jul-24</t>
        </is>
      </c>
      <c r="C635" s="13" t="inlineStr">
        <is>
          <t>South</t>
        </is>
      </c>
      <c r="D635" s="13" t="inlineStr">
        <is>
          <t>Store</t>
        </is>
      </c>
      <c r="E635" s="13" t="inlineStr">
        <is>
          <t>Textiles</t>
        </is>
      </c>
      <c r="F635" s="13" t="inlineStr">
        <is>
          <t>Wool Throw</t>
        </is>
      </c>
      <c r="G635" s="13" t="inlineStr">
        <is>
          <t>Home Office</t>
        </is>
      </c>
      <c r="H635" s="13" t="inlineStr">
        <is>
          <t>1</t>
        </is>
      </c>
      <c r="I635" s="14" t="inlineStr">
        <is>
          <t>79.02</t>
        </is>
      </c>
      <c r="J635" s="15" t="inlineStr">
        <is>
          <t>0.05</t>
        </is>
      </c>
      <c r="K635" s="14" t="inlineStr">
        <is>
          <t>33.19</t>
        </is>
      </c>
      <c r="L635" s="13" t="inlineStr">
        <is>
          <t>5</t>
        </is>
      </c>
      <c r="M635" s="13" t="inlineStr">
        <is>
          <t>Completed</t>
        </is>
      </c>
      <c r="N635" s="13" t="inlineStr">
        <is>
          <t>J. Patel</t>
        </is>
      </c>
    </row>
    <row r="636">
      <c r="A636" s="13" t="inlineStr">
        <is>
          <t>HC-100634</t>
        </is>
      </c>
      <c r="B636" s="13" t="inlineStr">
        <is>
          <t>2024/12/02</t>
        </is>
      </c>
      <c r="C636" s="13" t="inlineStr">
        <is>
          <t>Nort</t>
        </is>
      </c>
      <c r="D636" s="13" t="inlineStr">
        <is>
          <t>Online</t>
        </is>
      </c>
      <c r="E636" s="13" t="inlineStr">
        <is>
          <t>Textiles</t>
        </is>
      </c>
      <c r="F636" s="13" t="inlineStr">
        <is>
          <t>Cotton Duvet</t>
        </is>
      </c>
      <c r="G636" s="13" t="inlineStr">
        <is>
          <t>Consumer</t>
        </is>
      </c>
      <c r="H636" s="13" t="inlineStr">
        <is>
          <t>4</t>
        </is>
      </c>
      <c r="I636" s="14" t="inlineStr">
        <is>
          <t>111.87</t>
        </is>
      </c>
      <c r="J636" s="15" t="inlineStr">
        <is>
          <t>0.13</t>
        </is>
      </c>
      <c r="K636" s="14" t="inlineStr">
        <is>
          <t>49.22</t>
        </is>
      </c>
      <c r="L636" s="13" t="inlineStr">
        <is>
          <t>10</t>
        </is>
      </c>
      <c r="M636" s="13" t="inlineStr">
        <is>
          <t>Compleated</t>
        </is>
      </c>
      <c r="N636" s="13" t="inlineStr">
        <is>
          <t>L. Berger</t>
        </is>
      </c>
    </row>
    <row r="637">
      <c r="A637" s="13" t="inlineStr">
        <is>
          <t>HC-100635</t>
        </is>
      </c>
      <c r="B637" s="13" t="inlineStr">
        <is>
          <t>17.09.2024</t>
        </is>
      </c>
      <c r="C637" s="13" t="inlineStr">
        <is>
          <t>North</t>
        </is>
      </c>
      <c r="D637" s="13" t="inlineStr">
        <is>
          <t>Store</t>
        </is>
      </c>
      <c r="E637" s="13" t="inlineStr">
        <is>
          <t>Lighting</t>
        </is>
      </c>
      <c r="F637" s="13" t="inlineStr">
        <is>
          <t>Arc Lamp</t>
        </is>
      </c>
      <c r="G637" s="13" t="inlineStr">
        <is>
          <t>Consumer</t>
        </is>
      </c>
      <c r="H637" s="13" t="inlineStr">
        <is>
          <t>3</t>
        </is>
      </c>
      <c r="I637" s="14" t="inlineStr">
        <is>
          <t>292.58</t>
        </is>
      </c>
      <c r="J637" s="15" t="inlineStr">
        <is>
          <t>0.04</t>
        </is>
      </c>
      <c r="K637" s="14" t="inlineStr">
        <is>
          <t>140.44</t>
        </is>
      </c>
      <c r="L637" s="13" t="inlineStr">
        <is>
          <t>9</t>
        </is>
      </c>
      <c r="M637" s="13" t="inlineStr">
        <is>
          <t>Completed</t>
        </is>
      </c>
      <c r="N637" s="13" t="inlineStr">
        <is>
          <t>K. Mensah</t>
        </is>
      </c>
    </row>
    <row r="638">
      <c r="A638" s="13" t="inlineStr">
        <is>
          <t>HC-100636</t>
        </is>
      </c>
      <c r="B638" s="13" t="inlineStr">
        <is>
          <t>08/21/2024</t>
        </is>
      </c>
      <c r="C638" s="13" t="inlineStr">
        <is>
          <t>North</t>
        </is>
      </c>
      <c r="D638" s="13" t="inlineStr">
        <is>
          <t>Store</t>
        </is>
      </c>
      <c r="E638" s="13" t="inlineStr">
        <is>
          <t>Textiles</t>
        </is>
      </c>
      <c r="F638" s="13" t="inlineStr">
        <is>
          <t>Cotton Duvet</t>
        </is>
      </c>
      <c r="G638" s="13" t="inlineStr">
        <is>
          <t>Consumer</t>
        </is>
      </c>
      <c r="H638" s="13" t="inlineStr">
        <is>
          <t>1</t>
        </is>
      </c>
      <c r="I638" s="14" t="inlineStr">
        <is>
          <t>115.62</t>
        </is>
      </c>
      <c r="J638" s="15" t="inlineStr">
        <is>
          <t>0.09</t>
        </is>
      </c>
      <c r="K638" s="14" t="inlineStr">
        <is>
          <t>50.87</t>
        </is>
      </c>
      <c r="L638" s="13" t="inlineStr">
        <is>
          <t>3</t>
        </is>
      </c>
      <c r="M638" s="13" t="inlineStr">
        <is>
          <t>Completed</t>
        </is>
      </c>
      <c r="N638" s="13" t="inlineStr">
        <is>
          <t>M. Okonkwo</t>
        </is>
      </c>
    </row>
    <row r="639">
      <c r="A639" s="13" t="inlineStr">
        <is>
          <t>HC-100637</t>
        </is>
      </c>
      <c r="B639" s="13" t="inlineStr">
        <is>
          <t>17-Dec-24</t>
        </is>
      </c>
      <c r="C639" s="13" t="inlineStr">
        <is>
          <t>North</t>
        </is>
      </c>
      <c r="D639" s="13" t="inlineStr">
        <is>
          <t>Store</t>
        </is>
      </c>
      <c r="E639" s="13" t="inlineStr">
        <is>
          <t>Textiles</t>
        </is>
      </c>
      <c r="F639" s="13" t="inlineStr">
        <is>
          <t>Wool Throw</t>
        </is>
      </c>
      <c r="G639" s="13" t="inlineStr">
        <is>
          <t>Consumer</t>
        </is>
      </c>
      <c r="H639" s="13" t="inlineStr">
        <is>
          <t>4</t>
        </is>
      </c>
      <c r="I639" s="14" t="inlineStr">
        <is>
          <t>76.16</t>
        </is>
      </c>
      <c r="J639" s="15" t="inlineStr">
        <is>
          <t>0.07</t>
        </is>
      </c>
      <c r="K639" s="14" t="inlineStr">
        <is>
          <t>31.99</t>
        </is>
      </c>
      <c r="L639" s="13" t="inlineStr">
        <is>
          <t>5</t>
        </is>
      </c>
      <c r="M639" s="13" t="inlineStr">
        <is>
          <t>Completed</t>
        </is>
      </c>
      <c r="N639" s="13" t="inlineStr">
        <is>
          <t>A. Shah</t>
        </is>
      </c>
    </row>
    <row r="640">
      <c r="A640" s="13" t="inlineStr">
        <is>
          <t>HC-100638</t>
        </is>
      </c>
      <c r="B640" s="13" t="inlineStr">
        <is>
          <t>2024/07/22</t>
        </is>
      </c>
      <c r="C640" s="13" t="inlineStr">
        <is>
          <t>West</t>
        </is>
      </c>
      <c r="D640" s="13" t="inlineStr">
        <is>
          <t>Wholesale</t>
        </is>
      </c>
      <c r="E640" s="13" t="inlineStr">
        <is>
          <t>Furniture</t>
        </is>
      </c>
      <c r="F640" s="13" t="inlineStr">
        <is>
          <t>Oak Desk</t>
        </is>
      </c>
      <c r="G640" s="13" t="inlineStr">
        <is>
          <t>Home Office</t>
        </is>
      </c>
      <c r="H640" s="13" t="inlineStr">
        <is>
          <t>Eleven</t>
        </is>
      </c>
      <c r="I640" s="14" t="inlineStr">
        <is>
          <t>793.61</t>
        </is>
      </c>
      <c r="J640" s="15" t="inlineStr">
        <is>
          <t>0.18</t>
        </is>
      </c>
      <c r="K640" s="14" t="inlineStr">
        <is>
          <t>492.04</t>
        </is>
      </c>
      <c r="L640" s="13" t="inlineStr">
        <is>
          <t>7</t>
        </is>
      </c>
      <c r="M640" s="13" t="inlineStr">
        <is>
          <t>Completed</t>
        </is>
      </c>
      <c r="N640" s="13" t="inlineStr">
        <is>
          <t>L. Berger</t>
        </is>
      </c>
    </row>
    <row r="641">
      <c r="A641" s="13" t="inlineStr">
        <is>
          <t>HC-100639</t>
        </is>
      </c>
      <c r="B641" s="13" t="inlineStr">
        <is>
          <t>17.10.2024</t>
        </is>
      </c>
      <c r="C641" s="13" t="inlineStr">
        <is>
          <t>North</t>
        </is>
      </c>
      <c r="D641" s="13" t="inlineStr">
        <is>
          <t>Store</t>
        </is>
      </c>
      <c r="E641" s="13" t="inlineStr">
        <is>
          <t>Kitchen</t>
        </is>
      </c>
      <c r="F641" s="13" t="inlineStr">
        <is>
          <t>Ceramic Set</t>
        </is>
      </c>
      <c r="G641" s="13" t="inlineStr">
        <is>
          <t>Corporate</t>
        </is>
      </c>
      <c r="H641" s="13" t="inlineStr">
        <is>
          <t>2</t>
        </is>
      </c>
      <c r="I641" s="14" t="inlineStr">
        <is>
          <t>92.32</t>
        </is>
      </c>
      <c r="J641" s="15" t="inlineStr">
        <is>
          <t>0.01</t>
        </is>
      </c>
      <c r="K641" s="14" t="inlineStr">
        <is>
          <t>35.08</t>
        </is>
      </c>
      <c r="L641" s="13" t="inlineStr">
        <is>
          <t>6</t>
        </is>
      </c>
      <c r="M641" s="13" t="inlineStr">
        <is>
          <t>Completed</t>
        </is>
      </c>
      <c r="N641" s="13" t="inlineStr">
        <is>
          <t>K. Mensah</t>
        </is>
      </c>
    </row>
    <row r="642">
      <c r="A642" s="13" t="inlineStr">
        <is>
          <t>HC-100640</t>
        </is>
      </c>
      <c r="B642" s="13" t="inlineStr">
        <is>
          <t>05/13/2025</t>
        </is>
      </c>
      <c r="C642" s="13" t="inlineStr">
        <is>
          <t>East</t>
        </is>
      </c>
      <c r="D642" s="13" t="inlineStr">
        <is>
          <t>Online</t>
        </is>
      </c>
      <c r="E642" s="13" t="inlineStr">
        <is>
          <t>Furniture</t>
        </is>
      </c>
      <c r="F642" s="13" t="inlineStr">
        <is>
          <t>Walnut Shelf</t>
        </is>
      </c>
      <c r="G642" s="13" t="inlineStr">
        <is>
          <t>Consumer</t>
        </is>
      </c>
      <c r="H642" s="13" t="inlineStr">
        <is>
          <t>2</t>
        </is>
      </c>
      <c r="I642" s="14" t="inlineStr">
        <is>
          <t>186.12</t>
        </is>
      </c>
      <c r="J642" s="15" t="inlineStr">
        <is>
          <t>0.12</t>
        </is>
      </c>
      <c r="K642" s="14" t="inlineStr">
        <is>
          <t>102.36</t>
        </is>
      </c>
      <c r="L642" s="13" t="inlineStr">
        <is>
          <t>N/A</t>
        </is>
      </c>
      <c r="M642" s="13" t="inlineStr">
        <is>
          <t>Completed</t>
        </is>
      </c>
      <c r="N642" s="13" t="inlineStr">
        <is>
          <t>R. Ibarra</t>
        </is>
      </c>
    </row>
    <row r="643">
      <c r="A643" s="13" t="inlineStr">
        <is>
          <t>HC-100641</t>
        </is>
      </c>
      <c r="B643" s="13" t="inlineStr">
        <is>
          <t>26-Oct-24</t>
        </is>
      </c>
      <c r="C643" s="13" t="inlineStr">
        <is>
          <t>South</t>
        </is>
      </c>
      <c r="D643" s="13" t="inlineStr">
        <is>
          <t>Wholesale</t>
        </is>
      </c>
      <c r="E643" s="13" t="inlineStr">
        <is>
          <t>Lighting</t>
        </is>
      </c>
      <c r="F643" s="13" t="inlineStr">
        <is>
          <t>Arc Lamp</t>
        </is>
      </c>
      <c r="G643" s="13" t="inlineStr">
        <is>
          <t>Home Office</t>
        </is>
      </c>
      <c r="H643" s="13" t="inlineStr">
        <is>
          <t>25</t>
        </is>
      </c>
      <c r="I643" s="14" t="inlineStr">
        <is>
          <t>$328.42</t>
        </is>
      </c>
      <c r="J643" s="15" t="inlineStr">
        <is>
          <t>0.26</t>
        </is>
      </c>
      <c r="K643" s="14" t="inlineStr">
        <is>
          <t>157.64</t>
        </is>
      </c>
      <c r="L643" s="13" t="inlineStr">
        <is>
          <t>8</t>
        </is>
      </c>
      <c r="M643" s="13" t="inlineStr">
        <is>
          <t>Completed</t>
        </is>
      </c>
      <c r="N643" s="13" t="inlineStr">
        <is>
          <t>R. Ibarra</t>
        </is>
      </c>
    </row>
    <row r="644">
      <c r="A644" s="13" t="inlineStr">
        <is>
          <t>HC-100642</t>
        </is>
      </c>
      <c r="B644" s="13" t="inlineStr">
        <is>
          <t>2025/07/01</t>
        </is>
      </c>
      <c r="C644" s="13" t="inlineStr">
        <is>
          <t>Sout</t>
        </is>
      </c>
      <c r="D644" s="13" t="inlineStr">
        <is>
          <t>Store</t>
        </is>
      </c>
      <c r="E644" s="13" t="inlineStr">
        <is>
          <t>Kitchen</t>
        </is>
      </c>
      <c r="F644" s="13" t="inlineStr">
        <is>
          <t>Ceramic Set</t>
        </is>
      </c>
      <c r="G644" s="13" t="inlineStr">
        <is>
          <t>Consumer</t>
        </is>
      </c>
      <c r="H644" s="13" t="inlineStr">
        <is>
          <t>4</t>
        </is>
      </c>
      <c r="I644" s="14" t="inlineStr">
        <is>
          <t>89.46</t>
        </is>
      </c>
      <c r="J644" s="15" t="inlineStr">
        <is>
          <t>0.01</t>
        </is>
      </c>
      <c r="K644" s="14" t="inlineStr">
        <is>
          <t>34.00</t>
        </is>
      </c>
      <c r="L644" s="13" t="inlineStr">
        <is>
          <t>5</t>
        </is>
      </c>
      <c r="M644" s="13" t="inlineStr">
        <is>
          <t>Completed</t>
        </is>
      </c>
      <c r="N644" s="13" t="inlineStr">
        <is>
          <t>L. Berger</t>
        </is>
      </c>
    </row>
    <row r="645">
      <c r="A645" s="13" t="inlineStr">
        <is>
          <t>HC-100643</t>
        </is>
      </c>
      <c r="B645" s="13" t="inlineStr">
        <is>
          <t>23.05.2025</t>
        </is>
      </c>
      <c r="C645" s="13" t="inlineStr">
        <is>
          <t>North</t>
        </is>
      </c>
      <c r="D645" s="13" t="inlineStr">
        <is>
          <t>Store</t>
        </is>
      </c>
      <c r="E645" s="13" t="inlineStr">
        <is>
          <t>Lighting</t>
        </is>
      </c>
      <c r="F645" s="13" t="inlineStr">
        <is>
          <t>Brass Sconce</t>
        </is>
      </c>
      <c r="G645" s="13" t="inlineStr">
        <is>
          <t>Consumer</t>
        </is>
      </c>
      <c r="H645" s="13" t="inlineStr">
        <is>
          <t>2</t>
        </is>
      </c>
      <c r="I645" s="14" t="inlineStr">
        <is>
          <t>150.17</t>
        </is>
      </c>
      <c r="J645" s="15" t="inlineStr">
        <is>
          <t>0.02</t>
        </is>
      </c>
      <c r="K645" s="14" t="inlineStr">
        <is>
          <t>69.08</t>
        </is>
      </c>
      <c r="L645" s="13" t="inlineStr">
        <is>
          <t>1</t>
        </is>
      </c>
      <c r="M645" s="13" t="inlineStr">
        <is>
          <t>Completed</t>
        </is>
      </c>
      <c r="N645" s="13" t="inlineStr">
        <is>
          <t>J. Patel</t>
        </is>
      </c>
    </row>
    <row r="646">
      <c r="A646" s="13" t="inlineStr">
        <is>
          <t>HC-100644</t>
        </is>
      </c>
      <c r="B646" s="13" t="inlineStr">
        <is>
          <t>08/19/2025</t>
        </is>
      </c>
      <c r="C646" s="13" t="inlineStr">
        <is>
          <t>North</t>
        </is>
      </c>
      <c r="D646" s="13" t="inlineStr">
        <is>
          <t>Store</t>
        </is>
      </c>
      <c r="E646" s="13" t="inlineStr">
        <is>
          <t>Textiles</t>
        </is>
      </c>
      <c r="F646" s="13" t="inlineStr">
        <is>
          <t>Linen Curtain</t>
        </is>
      </c>
      <c r="G646" s="13" t="inlineStr">
        <is>
          <t>Consumer</t>
        </is>
      </c>
      <c r="H646" s="13" t="inlineStr">
        <is>
          <t>4</t>
        </is>
      </c>
      <c r="I646" s="14" t="inlineStr">
        <is>
          <t>92.43</t>
        </is>
      </c>
      <c r="J646" s="15" t="inlineStr">
        <is>
          <t>0.06</t>
        </is>
      </c>
      <c r="K646" s="14" t="inlineStr">
        <is>
          <t>41.59</t>
        </is>
      </c>
      <c r="L646" s="13" t="inlineStr">
        <is>
          <t>N/A</t>
        </is>
      </c>
      <c r="M646" s="13" t="inlineStr">
        <is>
          <t>Completed</t>
        </is>
      </c>
      <c r="N646" s="13" t="inlineStr">
        <is>
          <t>M. Okonkwo</t>
        </is>
      </c>
    </row>
    <row r="647">
      <c r="A647" s="13" t="inlineStr">
        <is>
          <t>HC-100645</t>
        </is>
      </c>
      <c r="B647" s="13" t="inlineStr">
        <is>
          <t>17-Apr-24</t>
        </is>
      </c>
      <c r="C647" s="13" t="inlineStr">
        <is>
          <t>North</t>
        </is>
      </c>
      <c r="D647" s="13" t="inlineStr">
        <is>
          <t>Store</t>
        </is>
      </c>
      <c r="E647" s="13" t="inlineStr">
        <is>
          <t>Furniture</t>
        </is>
      </c>
      <c r="F647" s="13" t="inlineStr">
        <is>
          <t>Oak Desk</t>
        </is>
      </c>
      <c r="G647" s="13" t="inlineStr">
        <is>
          <t>Consumer</t>
        </is>
      </c>
      <c r="H647" s="13" t="inlineStr">
        <is>
          <t>3</t>
        </is>
      </c>
      <c r="I647" s="14" t="inlineStr">
        <is>
          <t>781.03</t>
        </is>
      </c>
      <c r="J647" s="15" t="inlineStr">
        <is>
          <t>0.03</t>
        </is>
      </c>
      <c r="K647" s="14" t="inlineStr">
        <is>
          <t>484.24</t>
        </is>
      </c>
      <c r="L647" s="13" t="inlineStr">
        <is>
          <t>4</t>
        </is>
      </c>
      <c r="M647" s="13" t="inlineStr">
        <is>
          <t>COMPLETED</t>
        </is>
      </c>
      <c r="N647" s="13" t="inlineStr">
        <is>
          <t>L. Berger</t>
        </is>
      </c>
    </row>
    <row r="648">
      <c r="A648" s="13" t="inlineStr">
        <is>
          <t>HC-100646</t>
        </is>
      </c>
      <c r="B648" s="13" t="inlineStr">
        <is>
          <t>2025/02/08</t>
        </is>
      </c>
      <c r="C648" s="13" t="inlineStr">
        <is>
          <t>East</t>
        </is>
      </c>
      <c r="D648" s="13" t="inlineStr">
        <is>
          <t>Store</t>
        </is>
      </c>
      <c r="E648" s="13" t="inlineStr">
        <is>
          <t>Textiles</t>
        </is>
      </c>
      <c r="F648" s="13" t="inlineStr">
        <is>
          <t>Wool Throw</t>
        </is>
      </c>
      <c r="G648" s="13" t="inlineStr">
        <is>
          <t>Consumer</t>
        </is>
      </c>
      <c r="H648" s="13" t="inlineStr">
        <is>
          <t>1</t>
        </is>
      </c>
      <c r="I648" s="14" t="inlineStr">
        <is>
          <t>64.66</t>
        </is>
      </c>
      <c r="J648" s="15" t="inlineStr">
        <is>
          <t>0.06</t>
        </is>
      </c>
      <c r="K648" s="14" t="inlineStr">
        <is>
          <t>27.16</t>
        </is>
      </c>
      <c r="L648" s="13" t="inlineStr">
        <is>
          <t>5</t>
        </is>
      </c>
      <c r="M648" s="13" t="inlineStr">
        <is>
          <t>Completed</t>
        </is>
      </c>
      <c r="N648" s="13" t="inlineStr">
        <is>
          <t>A. Shah</t>
        </is>
      </c>
    </row>
    <row r="649">
      <c r="A649" s="13" t="inlineStr">
        <is>
          <t>HC-100647</t>
        </is>
      </c>
      <c r="B649" s="13" t="inlineStr">
        <is>
          <t>29.08.2025</t>
        </is>
      </c>
      <c r="C649" s="13" t="inlineStr">
        <is>
          <t>East</t>
        </is>
      </c>
      <c r="D649" s="13" t="inlineStr">
        <is>
          <t>Online</t>
        </is>
      </c>
      <c r="E649" s="13" t="inlineStr">
        <is>
          <t>Textiles</t>
        </is>
      </c>
      <c r="F649" s="13" t="inlineStr">
        <is>
          <t>Cotton Duvet</t>
        </is>
      </c>
      <c r="G649" s="13" t="inlineStr">
        <is>
          <t>Consumer</t>
        </is>
      </c>
      <c r="H649" s="13" t="inlineStr">
        <is>
          <t>2</t>
        </is>
      </c>
      <c r="I649" s="14" t="inlineStr">
        <is>
          <t>108.92</t>
        </is>
      </c>
      <c r="J649" s="15" t="inlineStr">
        <is>
          <t>0.13</t>
        </is>
      </c>
      <c r="K649" s="14" t="inlineStr">
        <is>
          <t>47.92</t>
        </is>
      </c>
      <c r="L649" s="13" t="inlineStr">
        <is>
          <t>6</t>
        </is>
      </c>
      <c r="M649" s="13" t="inlineStr">
        <is>
          <t>Returned</t>
        </is>
      </c>
      <c r="N649" s="13" t="inlineStr">
        <is>
          <t>K. Mensah</t>
        </is>
      </c>
    </row>
    <row r="650">
      <c r="A650" s="13" t="inlineStr">
        <is>
          <t>HC-100648</t>
        </is>
      </c>
      <c r="B650" s="13" t="inlineStr">
        <is>
          <t>10/06/2024</t>
        </is>
      </c>
      <c r="C650" s="13" t="inlineStr">
        <is>
          <t>South</t>
        </is>
      </c>
      <c r="D650" s="13" t="inlineStr">
        <is>
          <t>Online</t>
        </is>
      </c>
      <c r="E650" s="13" t="inlineStr">
        <is>
          <t>Furniture</t>
        </is>
      </c>
      <c r="F650" s="13" t="inlineStr">
        <is>
          <t>Linen Sofa</t>
        </is>
      </c>
      <c r="G650" s="13" t="inlineStr">
        <is>
          <t>Consumer</t>
        </is>
      </c>
      <c r="H650" s="13" t="inlineStr">
        <is>
          <t>1</t>
        </is>
      </c>
      <c r="I650" s="14" t="inlineStr">
        <is>
          <t>1274.36</t>
        </is>
      </c>
      <c r="J650" s="15" t="inlineStr">
        <is>
          <t>0.12</t>
        </is>
      </c>
      <c r="K650" s="14" t="inlineStr">
        <is>
          <t>841.08</t>
        </is>
      </c>
      <c r="L650" s="13" t="inlineStr">
        <is>
          <t>6</t>
        </is>
      </c>
      <c r="M650" s="13" t="inlineStr">
        <is>
          <t>Completed</t>
        </is>
      </c>
      <c r="N650" s="13" t="inlineStr">
        <is>
          <t>P. Rossi</t>
        </is>
      </c>
    </row>
    <row r="651">
      <c r="A651" s="13" t="inlineStr">
        <is>
          <t>HC-100649</t>
        </is>
      </c>
      <c r="B651" s="13" t="inlineStr">
        <is>
          <t>11-Oct-24</t>
        </is>
      </c>
      <c r="C651" s="13" t="inlineStr">
        <is>
          <t>West</t>
        </is>
      </c>
      <c r="D651" s="13" t="inlineStr">
        <is>
          <t>Online</t>
        </is>
      </c>
      <c r="E651" s="13" t="inlineStr">
        <is>
          <t>Furniture</t>
        </is>
      </c>
      <c r="F651" s="13" t="inlineStr">
        <is>
          <t>Linen Sofa</t>
        </is>
      </c>
      <c r="G651" s="13" t="inlineStr">
        <is>
          <t>Corporate</t>
        </is>
      </c>
      <c r="H651" s="13" t="inlineStr">
        <is>
          <t>3</t>
        </is>
      </c>
      <c r="I651" s="14" t="inlineStr">
        <is>
          <t>1262.19</t>
        </is>
      </c>
      <c r="J651" s="15" t="inlineStr">
        <is>
          <t>0.13</t>
        </is>
      </c>
      <c r="K651" s="14" t="inlineStr">
        <is>
          <t>833.05</t>
        </is>
      </c>
      <c r="L651" s="13" t="inlineStr">
        <is>
          <t>6</t>
        </is>
      </c>
      <c r="M651" s="13" t="inlineStr">
        <is>
          <t>Completed</t>
        </is>
      </c>
      <c r="N651" s="13" t="inlineStr">
        <is>
          <t>J. Patel</t>
        </is>
      </c>
    </row>
    <row r="652">
      <c r="A652" s="13" t="inlineStr">
        <is>
          <t>HC-100650</t>
        </is>
      </c>
      <c r="B652" s="13" t="inlineStr">
        <is>
          <t>2025/05/14</t>
        </is>
      </c>
      <c r="C652" s="13" t="inlineStr">
        <is>
          <t>North</t>
        </is>
      </c>
      <c r="D652" s="13" t="inlineStr">
        <is>
          <t>Online</t>
        </is>
      </c>
      <c r="E652" s="13" t="inlineStr">
        <is>
          <t>Textiles</t>
        </is>
      </c>
      <c r="F652" s="13" t="inlineStr">
        <is>
          <t>Cotton Duvet</t>
        </is>
      </c>
      <c r="G652" s="13" t="inlineStr">
        <is>
          <t>Consumer</t>
        </is>
      </c>
      <c r="H652" s="13" t="inlineStr">
        <is>
          <t>1</t>
        </is>
      </c>
      <c r="I652" s="14" t="inlineStr">
        <is>
          <t>116.32</t>
        </is>
      </c>
      <c r="J652" s="15" t="inlineStr">
        <is>
          <t>0.03</t>
        </is>
      </c>
      <c r="K652" s="14" t="inlineStr">
        <is>
          <t>51.18</t>
        </is>
      </c>
      <c r="L652" s="13" t="inlineStr">
        <is>
          <t>8</t>
        </is>
      </c>
      <c r="M652" s="13" t="inlineStr">
        <is>
          <t>Completed</t>
        </is>
      </c>
      <c r="N652" s="13" t="inlineStr">
        <is>
          <t>P. Rossi</t>
        </is>
      </c>
    </row>
    <row r="653">
      <c r="A653" s="13" t="inlineStr">
        <is>
          <t>HC-100651</t>
        </is>
      </c>
      <c r="B653" s="13" t="inlineStr">
        <is>
          <t>22.07.2024</t>
        </is>
      </c>
      <c r="C653" s="13" t="inlineStr">
        <is>
          <t>West</t>
        </is>
      </c>
      <c r="D653" s="13" t="inlineStr">
        <is>
          <t>Store</t>
        </is>
      </c>
      <c r="E653" s="13" t="inlineStr">
        <is>
          <t>Textiles</t>
        </is>
      </c>
      <c r="F653" s="13" t="inlineStr">
        <is>
          <t>Wool Throw</t>
        </is>
      </c>
      <c r="G653" s="13" t="inlineStr">
        <is>
          <t>Consumer</t>
        </is>
      </c>
      <c r="H653" s="13" t="inlineStr">
        <is>
          <t>2</t>
        </is>
      </c>
      <c r="I653" s="14" t="inlineStr">
        <is>
          <t>73.95</t>
        </is>
      </c>
      <c r="J653" s="15" t="inlineStr">
        <is>
          <t>0.08</t>
        </is>
      </c>
      <c r="K653" s="14" t="inlineStr">
        <is>
          <t>31.06</t>
        </is>
      </c>
      <c r="L653" s="13" t="inlineStr">
        <is>
          <t>9</t>
        </is>
      </c>
      <c r="M653" s="13" t="inlineStr">
        <is>
          <t>Completed</t>
        </is>
      </c>
      <c r="N653" s="13" t="inlineStr">
        <is>
          <t>J. Patel</t>
        </is>
      </c>
    </row>
    <row r="654">
      <c r="A654" s="13" t="inlineStr">
        <is>
          <t>HC-100652</t>
        </is>
      </c>
      <c r="B654" s="13" t="inlineStr">
        <is>
          <t>01/14/2025</t>
        </is>
      </c>
      <c r="C654" s="13" t="inlineStr">
        <is>
          <t>west</t>
        </is>
      </c>
      <c r="D654" s="13" t="inlineStr">
        <is>
          <t>Store</t>
        </is>
      </c>
      <c r="E654" s="13" t="inlineStr">
        <is>
          <t>Textiles</t>
        </is>
      </c>
      <c r="F654" s="13" t="inlineStr">
        <is>
          <t>Linen Curtain</t>
        </is>
      </c>
      <c r="G654" s="13" t="inlineStr">
        <is>
          <t>Consumer</t>
        </is>
      </c>
      <c r="H654" s="13" t="inlineStr">
        <is>
          <t>1</t>
        </is>
      </c>
      <c r="I654" s="14" t="inlineStr">
        <is>
          <t>91.12</t>
        </is>
      </c>
      <c r="J654" s="15" t="inlineStr">
        <is>
          <t>0.11</t>
        </is>
      </c>
      <c r="K654" s="14" t="inlineStr">
        <is>
          <t>41.01</t>
        </is>
      </c>
      <c r="L654" s="13" t="inlineStr">
        <is>
          <t>1</t>
        </is>
      </c>
      <c r="M654" s="13" t="inlineStr">
        <is>
          <t>Completed</t>
        </is>
      </c>
      <c r="N654" s="13" t="inlineStr">
        <is>
          <t>P. Rossi</t>
        </is>
      </c>
    </row>
    <row r="655">
      <c r="A655" s="13" t="inlineStr">
        <is>
          <t>HC-100653</t>
        </is>
      </c>
      <c r="B655" s="13" t="inlineStr">
        <is>
          <t>19-May-24</t>
        </is>
      </c>
      <c r="C655" s="13" t="inlineStr">
        <is>
          <t>EAST</t>
        </is>
      </c>
      <c r="D655" s="13" t="inlineStr">
        <is>
          <t>Online</t>
        </is>
      </c>
      <c r="E655" s="13" t="inlineStr">
        <is>
          <t>Furniture</t>
        </is>
      </c>
      <c r="F655" s="13" t="inlineStr">
        <is>
          <t>Oak Desk</t>
        </is>
      </c>
      <c r="G655" s="13" t="inlineStr">
        <is>
          <t>Consumer</t>
        </is>
      </c>
      <c r="H655" s="13" t="inlineStr">
        <is>
          <t>3</t>
        </is>
      </c>
      <c r="I655" s="14" t="inlineStr">
        <is>
          <t>746.96</t>
        </is>
      </c>
      <c r="J655" s="15" t="inlineStr">
        <is>
          <t>0.08</t>
        </is>
      </c>
      <c r="K655" s="14" t="inlineStr">
        <is>
          <t>463.11</t>
        </is>
      </c>
      <c r="L655" s="13" t="inlineStr">
        <is>
          <t>8</t>
        </is>
      </c>
      <c r="M655" s="13" t="inlineStr">
        <is>
          <t>Completed</t>
        </is>
      </c>
      <c r="N655" s="13" t="inlineStr">
        <is>
          <t>J. Patel</t>
        </is>
      </c>
    </row>
    <row r="656">
      <c r="A656" s="13" t="inlineStr">
        <is>
          <t>HC-100654</t>
        </is>
      </c>
      <c r="B656" s="13" t="inlineStr">
        <is>
          <t>2025/09/06</t>
        </is>
      </c>
      <c r="C656" s="13" t="inlineStr">
        <is>
          <t>West</t>
        </is>
      </c>
      <c r="D656" s="13" t="inlineStr">
        <is>
          <t>Online</t>
        </is>
      </c>
      <c r="E656" s="13" t="inlineStr">
        <is>
          <t>Furniture</t>
        </is>
      </c>
      <c r="F656" s="13" t="inlineStr">
        <is>
          <t>Walnut Shelf</t>
        </is>
      </c>
      <c r="G656" s="13" t="inlineStr">
        <is>
          <t>Corporate</t>
        </is>
      </c>
      <c r="H656" s="13" t="inlineStr">
        <is>
          <t>3</t>
        </is>
      </c>
      <c r="I656" s="14" t="inlineStr">
        <is>
          <t>233.61</t>
        </is>
      </c>
      <c r="J656" s="15" t="inlineStr">
        <is>
          <t>16%</t>
        </is>
      </c>
      <c r="K656" s="14" t="inlineStr">
        <is>
          <t>128.49</t>
        </is>
      </c>
      <c r="L656" s="13" t="inlineStr">
        <is>
          <t>6</t>
        </is>
      </c>
      <c r="M656" s="13" t="inlineStr">
        <is>
          <t>Completed</t>
        </is>
      </c>
      <c r="N656" s="13" t="inlineStr">
        <is>
          <t>R. Ibarra</t>
        </is>
      </c>
    </row>
    <row r="657">
      <c r="A657" s="13" t="inlineStr">
        <is>
          <t>HC-100655</t>
        </is>
      </c>
      <c r="B657" s="13" t="inlineStr">
        <is>
          <t>12.11.2024</t>
        </is>
      </c>
      <c r="C657" s="13" t="inlineStr">
        <is>
          <t>South</t>
        </is>
      </c>
      <c r="D657" s="13" t="inlineStr">
        <is>
          <t>Store</t>
        </is>
      </c>
      <c r="E657" s="13" t="inlineStr">
        <is>
          <t>Textiles</t>
        </is>
      </c>
      <c r="F657" s="13" t="inlineStr">
        <is>
          <t>Cotton Duvet</t>
        </is>
      </c>
      <c r="G657" s="13" t="inlineStr">
        <is>
          <t>Consumer</t>
        </is>
      </c>
      <c r="H657" s="13" t="inlineStr">
        <is>
          <t>2</t>
        </is>
      </c>
      <c r="I657" s="14" t="inlineStr">
        <is>
          <t>112.37</t>
        </is>
      </c>
      <c r="J657" s="15" t="inlineStr">
        <is>
          <t>0.10</t>
        </is>
      </c>
      <c r="K657" s="14" t="inlineStr">
        <is>
          <t>49.44</t>
        </is>
      </c>
      <c r="L657" s="13" t="inlineStr">
        <is>
          <t>6</t>
        </is>
      </c>
      <c r="M657" s="13" t="inlineStr">
        <is>
          <t>Cancelled</t>
        </is>
      </c>
      <c r="N657" s="13" t="inlineStr">
        <is>
          <t>L. Berger</t>
        </is>
      </c>
    </row>
    <row r="658">
      <c r="A658" s="13" t="inlineStr">
        <is>
          <t>HC-100656</t>
        </is>
      </c>
      <c r="B658" s="13" t="inlineStr">
        <is>
          <t>03/18/2025</t>
        </is>
      </c>
      <c r="C658" s="13" t="inlineStr">
        <is>
          <t>East</t>
        </is>
      </c>
      <c r="D658" s="13" t="inlineStr">
        <is>
          <t>Online</t>
        </is>
      </c>
      <c r="E658" s="13" t="inlineStr">
        <is>
          <t>Textiles</t>
        </is>
      </c>
      <c r="F658" s="13" t="inlineStr">
        <is>
          <t>Wool Throw</t>
        </is>
      </c>
      <c r="G658" s="13" t="inlineStr">
        <is>
          <t>Consumer</t>
        </is>
      </c>
      <c r="H658" s="13" t="inlineStr">
        <is>
          <t>2</t>
        </is>
      </c>
      <c r="I658" s="14" t="inlineStr">
        <is>
          <t>70.34</t>
        </is>
      </c>
      <c r="J658" s="15" t="inlineStr">
        <is>
          <t>0.10</t>
        </is>
      </c>
      <c r="K658" s="14" t="inlineStr">
        <is>
          <t>29.54</t>
        </is>
      </c>
      <c r="L658" s="13" t="inlineStr">
        <is>
          <t>N/A</t>
        </is>
      </c>
      <c r="M658" s="13" t="inlineStr">
        <is>
          <t>Completed</t>
        </is>
      </c>
      <c r="N658" s="13" t="inlineStr">
        <is>
          <t>S. Nguyen</t>
        </is>
      </c>
    </row>
    <row r="659">
      <c r="A659" s="13" t="inlineStr">
        <is>
          <t>HC-100657</t>
        </is>
      </c>
      <c r="B659" s="13" t="inlineStr">
        <is>
          <t>21-Nov-24</t>
        </is>
      </c>
      <c r="C659" s="13" t="inlineStr">
        <is>
          <t>West</t>
        </is>
      </c>
      <c r="D659" s="13" t="inlineStr">
        <is>
          <t>Online</t>
        </is>
      </c>
      <c r="E659" s="13" t="inlineStr">
        <is>
          <t>Kitchen</t>
        </is>
      </c>
      <c r="F659" s="13" t="inlineStr">
        <is>
          <t>Chef Knife</t>
        </is>
      </c>
      <c r="G659" s="13" t="inlineStr">
        <is>
          <t>Corporate</t>
        </is>
      </c>
      <c r="H659" s="13" t="inlineStr">
        <is>
          <t>4</t>
        </is>
      </c>
      <c r="I659" s="14" t="inlineStr">
        <is>
          <t>65.32</t>
        </is>
      </c>
      <c r="J659" s="15" t="inlineStr">
        <is>
          <t>0.18</t>
        </is>
      </c>
      <c r="K659" s="14" t="inlineStr">
        <is>
          <t>23.52</t>
        </is>
      </c>
      <c r="L659" s="13" t="inlineStr">
        <is>
          <t>5</t>
        </is>
      </c>
      <c r="M659" s="13" t="inlineStr">
        <is>
          <t>Completed</t>
        </is>
      </c>
      <c r="N659" s="13" t="inlineStr">
        <is>
          <t>J. Patel</t>
        </is>
      </c>
    </row>
    <row r="660">
      <c r="A660" s="13" t="inlineStr">
        <is>
          <t>HC-100658</t>
        </is>
      </c>
      <c r="B660" s="13" t="inlineStr">
        <is>
          <t>2025/06/04</t>
        </is>
      </c>
      <c r="C660" s="13" t="inlineStr">
        <is>
          <t>North</t>
        </is>
      </c>
      <c r="D660" s="13" t="inlineStr">
        <is>
          <t>Store</t>
        </is>
      </c>
      <c r="E660" s="13" t="inlineStr">
        <is>
          <t>FURNITURE</t>
        </is>
      </c>
      <c r="F660" s="13" t="inlineStr">
        <is>
          <t>Linen Sofa</t>
        </is>
      </c>
      <c r="G660" s="13" t="inlineStr">
        <is>
          <t>consumer</t>
        </is>
      </c>
      <c r="H660" s="13" t="inlineStr">
        <is>
          <t>4</t>
        </is>
      </c>
      <c r="I660" s="14" t="inlineStr">
        <is>
          <t>1338.74</t>
        </is>
      </c>
      <c r="J660" s="15" t="inlineStr">
        <is>
          <t>0.03</t>
        </is>
      </c>
      <c r="K660" s="14" t="inlineStr">
        <is>
          <t>883.57</t>
        </is>
      </c>
      <c r="L660" s="13" t="inlineStr">
        <is>
          <t>6</t>
        </is>
      </c>
      <c r="M660" s="13" t="inlineStr">
        <is>
          <t>Cancelled</t>
        </is>
      </c>
      <c r="N660" s="13" t="inlineStr">
        <is>
          <t>K. Mensah</t>
        </is>
      </c>
    </row>
    <row r="661">
      <c r="A661" s="13" t="inlineStr">
        <is>
          <t>HC-100659</t>
        </is>
      </c>
      <c r="B661" s="13" t="inlineStr">
        <is>
          <t>26.12.2024</t>
        </is>
      </c>
      <c r="C661" s="13" t="inlineStr">
        <is>
          <t>south</t>
        </is>
      </c>
      <c r="D661" s="13" t="inlineStr">
        <is>
          <t>In-Store</t>
        </is>
      </c>
      <c r="E661" s="13" t="inlineStr">
        <is>
          <t>Furniture</t>
        </is>
      </c>
      <c r="F661" s="13" t="inlineStr">
        <is>
          <t>Walnut Shelf</t>
        </is>
      </c>
      <c r="G661" s="13" t="inlineStr">
        <is>
          <t>Corporate</t>
        </is>
      </c>
      <c r="H661" s="13" t="inlineStr">
        <is>
          <t>3</t>
        </is>
      </c>
      <c r="I661" s="14" t="inlineStr">
        <is>
          <t>211.13</t>
        </is>
      </c>
      <c r="J661" s="15" t="inlineStr">
        <is>
          <t>0.05</t>
        </is>
      </c>
      <c r="K661" s="14" t="inlineStr">
        <is>
          <t>116.12</t>
        </is>
      </c>
      <c r="L661" s="13" t="inlineStr">
        <is>
          <t>3</t>
        </is>
      </c>
      <c r="M661" s="13" t="inlineStr">
        <is>
          <t>Completed</t>
        </is>
      </c>
      <c r="N661" s="13" t="inlineStr">
        <is>
          <t>L. Berger</t>
        </is>
      </c>
    </row>
    <row r="662">
      <c r="A662" s="13" t="inlineStr">
        <is>
          <t>HC-100660</t>
        </is>
      </c>
      <c r="B662" s="13" t="inlineStr">
        <is>
          <t>05/26/2025</t>
        </is>
      </c>
      <c r="C662" s="13" t="inlineStr">
        <is>
          <t>South</t>
        </is>
      </c>
      <c r="D662" s="13" t="inlineStr">
        <is>
          <t>Store</t>
        </is>
      </c>
      <c r="E662" s="13" t="inlineStr">
        <is>
          <t>Furniture</t>
        </is>
      </c>
      <c r="F662" s="13" t="inlineStr">
        <is>
          <t>Linen Sofa</t>
        </is>
      </c>
      <c r="G662" s="13" t="inlineStr">
        <is>
          <t>Consumer</t>
        </is>
      </c>
      <c r="H662" s="13" t="inlineStr">
        <is>
          <t>2</t>
        </is>
      </c>
      <c r="I662" s="14" t="inlineStr">
        <is>
          <t>1290.30</t>
        </is>
      </c>
      <c r="J662" s="15" t="inlineStr">
        <is>
          <t>0.10</t>
        </is>
      </c>
      <c r="K662" s="14" t="inlineStr">
        <is>
          <t>851.60</t>
        </is>
      </c>
      <c r="L662" s="13" t="inlineStr">
        <is>
          <t>6</t>
        </is>
      </c>
      <c r="M662" s="13" t="inlineStr">
        <is>
          <t>Completed</t>
        </is>
      </c>
      <c r="N662" s="13" t="inlineStr">
        <is>
          <t>L. Berger</t>
        </is>
      </c>
    </row>
    <row r="663">
      <c r="A663" s="13" t="inlineStr">
        <is>
          <t>HC-100661</t>
        </is>
      </c>
      <c r="B663" s="13" t="inlineStr">
        <is>
          <t>18-Mar-25</t>
        </is>
      </c>
      <c r="C663" s="13" t="inlineStr">
        <is>
          <t>West</t>
        </is>
      </c>
      <c r="D663" s="13" t="inlineStr">
        <is>
          <t>Store</t>
        </is>
      </c>
      <c r="E663" s="13" t="inlineStr">
        <is>
          <t>KITCHEN</t>
        </is>
      </c>
      <c r="F663" s="13" t="inlineStr">
        <is>
          <t>Chef Knife</t>
        </is>
      </c>
      <c r="G663" s="13" t="inlineStr">
        <is>
          <t>Corporate</t>
        </is>
      </c>
      <c r="H663" s="13" t="inlineStr">
        <is>
          <t>2</t>
        </is>
      </c>
      <c r="I663" s="14" t="inlineStr">
        <is>
          <t>67.36</t>
        </is>
      </c>
      <c r="J663" s="15" t="inlineStr">
        <is>
          <t>0.07</t>
        </is>
      </c>
      <c r="K663" s="14" t="inlineStr">
        <is>
          <t>24.25</t>
        </is>
      </c>
      <c r="L663" s="13" t="inlineStr">
        <is>
          <t>3</t>
        </is>
      </c>
      <c r="M663" s="13" t="inlineStr">
        <is>
          <t>Completed</t>
        </is>
      </c>
      <c r="N663" s="13" t="inlineStr">
        <is>
          <t>L. Berger</t>
        </is>
      </c>
    </row>
    <row r="664">
      <c r="A664" s="13" t="inlineStr">
        <is>
          <t>HC-100662</t>
        </is>
      </c>
      <c r="B664" s="13" t="inlineStr">
        <is>
          <t>2024/11/09</t>
        </is>
      </c>
      <c r="C664" s="13" t="inlineStr">
        <is>
          <t>South</t>
        </is>
      </c>
      <c r="D664" s="13" t="inlineStr">
        <is>
          <t>Store</t>
        </is>
      </c>
      <c r="E664" s="13" t="inlineStr">
        <is>
          <t>Furniture</t>
        </is>
      </c>
      <c r="F664" s="13" t="inlineStr">
        <is>
          <t>Linen Sofa</t>
        </is>
      </c>
      <c r="G664" s="13" t="inlineStr">
        <is>
          <t>Consumer</t>
        </is>
      </c>
      <c r="H664" s="13" t="inlineStr">
        <is>
          <t>2</t>
        </is>
      </c>
      <c r="I664" s="14" t="inlineStr">
        <is>
          <t>1300.76</t>
        </is>
      </c>
      <c r="J664" s="15" t="inlineStr">
        <is>
          <t>0.02</t>
        </is>
      </c>
      <c r="K664" s="14" t="inlineStr">
        <is>
          <t>858.50</t>
        </is>
      </c>
      <c r="L664" s="13" t="inlineStr">
        <is>
          <t>2</t>
        </is>
      </c>
      <c r="M664" s="13" t="inlineStr">
        <is>
          <t>Completed</t>
        </is>
      </c>
      <c r="N664" s="13" t="inlineStr">
        <is>
          <t>L. Berger</t>
        </is>
      </c>
    </row>
    <row r="665">
      <c r="A665" s="13" t="inlineStr">
        <is>
          <t>HC-100663</t>
        </is>
      </c>
      <c r="B665" s="13" t="inlineStr">
        <is>
          <t>29.09.2024</t>
        </is>
      </c>
      <c r="C665" s="13" t="inlineStr">
        <is>
          <t>South</t>
        </is>
      </c>
      <c r="D665" s="13" t="inlineStr">
        <is>
          <t>Online</t>
        </is>
      </c>
      <c r="E665" s="13" t="inlineStr">
        <is>
          <t>Lighting</t>
        </is>
      </c>
      <c r="F665" s="13" t="inlineStr">
        <is>
          <t>Arc Lamp</t>
        </is>
      </c>
      <c r="G665" s="13" t="inlineStr">
        <is>
          <t>Consumer</t>
        </is>
      </c>
      <c r="H665" s="13" t="inlineStr">
        <is>
          <t>1</t>
        </is>
      </c>
      <c r="I665" s="14" t="inlineStr">
        <is>
          <t>$303.86</t>
        </is>
      </c>
      <c r="J665" s="15" t="inlineStr">
        <is>
          <t>0.07</t>
        </is>
      </c>
      <c r="K665" s="14" t="inlineStr">
        <is>
          <t>145.85</t>
        </is>
      </c>
      <c r="L665" s="13" t="inlineStr">
        <is>
          <t>6</t>
        </is>
      </c>
      <c r="M665" s="13" t="inlineStr">
        <is>
          <t>Completed</t>
        </is>
      </c>
      <c r="N665" s="13" t="inlineStr">
        <is>
          <t>A. Shah</t>
        </is>
      </c>
    </row>
    <row r="666">
      <c r="A666" s="13" t="inlineStr">
        <is>
          <t>HC-100664</t>
        </is>
      </c>
      <c r="B666" s="13" t="inlineStr">
        <is>
          <t>08/16/2025</t>
        </is>
      </c>
      <c r="C666" s="13" t="inlineStr">
        <is>
          <t>North</t>
        </is>
      </c>
      <c r="D666" s="13" t="inlineStr">
        <is>
          <t>Store</t>
        </is>
      </c>
      <c r="E666" s="13" t="inlineStr">
        <is>
          <t>Kitchen</t>
        </is>
      </c>
      <c r="F666" s="13" t="inlineStr">
        <is>
          <t>Chef Knife</t>
        </is>
      </c>
      <c r="G666" s="13" t="inlineStr">
        <is>
          <t>Consumer</t>
        </is>
      </c>
      <c r="H666" s="13" t="inlineStr">
        <is>
          <t>3</t>
        </is>
      </c>
      <c r="I666" s="14" t="inlineStr">
        <is>
          <t>$62.16</t>
        </is>
      </c>
      <c r="J666" s="15" t="inlineStr">
        <is>
          <t>0.10</t>
        </is>
      </c>
      <c r="K666" s="14" t="inlineStr">
        <is>
          <t>22.38</t>
        </is>
      </c>
      <c r="L666" s="13" t="inlineStr">
        <is>
          <t>N/A</t>
        </is>
      </c>
      <c r="M666" s="13" t="inlineStr">
        <is>
          <t>Completed</t>
        </is>
      </c>
      <c r="N666" s="13" t="inlineStr">
        <is>
          <t>J. Patel</t>
        </is>
      </c>
    </row>
    <row r="667">
      <c r="A667" s="13" t="inlineStr">
        <is>
          <t>HC-100665</t>
        </is>
      </c>
      <c r="B667" s="13" t="inlineStr">
        <is>
          <t>28-Jul-24</t>
        </is>
      </c>
      <c r="C667" s="13" t="inlineStr">
        <is>
          <t>South</t>
        </is>
      </c>
      <c r="D667" s="13" t="inlineStr">
        <is>
          <t>Store</t>
        </is>
      </c>
      <c r="E667" s="13" t="inlineStr">
        <is>
          <t>Textiles</t>
        </is>
      </c>
      <c r="F667" s="13" t="inlineStr">
        <is>
          <t>Cotton Duvet</t>
        </is>
      </c>
      <c r="G667" s="13" t="inlineStr">
        <is>
          <t>Consumer</t>
        </is>
      </c>
      <c r="H667" s="13" t="inlineStr">
        <is>
          <t>2</t>
        </is>
      </c>
      <c r="I667" s="14" t="inlineStr">
        <is>
          <t>116.78</t>
        </is>
      </c>
      <c r="J667" s="15" t="inlineStr">
        <is>
          <t>0.11</t>
        </is>
      </c>
      <c r="K667" s="14" t="inlineStr">
        <is>
          <t>51.38</t>
        </is>
      </c>
      <c r="L667" s="13" t="inlineStr">
        <is>
          <t>6</t>
        </is>
      </c>
      <c r="M667" s="13" t="inlineStr">
        <is>
          <t>Completed</t>
        </is>
      </c>
      <c r="N667" s="13" t="inlineStr">
        <is>
          <t>P. Rossi</t>
        </is>
      </c>
    </row>
    <row r="668">
      <c r="A668" s="13" t="inlineStr">
        <is>
          <t>HC-100666</t>
        </is>
      </c>
      <c r="B668" s="13" t="inlineStr">
        <is>
          <t>2024/11/01</t>
        </is>
      </c>
      <c r="C668" s="13" t="inlineStr">
        <is>
          <t>East</t>
        </is>
      </c>
      <c r="D668" s="13" t="inlineStr">
        <is>
          <t>Online</t>
        </is>
      </c>
      <c r="E668" s="13" t="inlineStr">
        <is>
          <t>Textiles</t>
        </is>
      </c>
      <c r="F668" s="13" t="inlineStr">
        <is>
          <t>Wool Throw</t>
        </is>
      </c>
      <c r="G668" s="13" t="inlineStr">
        <is>
          <t>Consumer</t>
        </is>
      </c>
      <c r="H668" s="13" t="inlineStr">
        <is>
          <t>4</t>
        </is>
      </c>
      <c r="I668" s="14" t="inlineStr">
        <is>
          <t>71.97</t>
        </is>
      </c>
      <c r="J668" s="15" t="inlineStr">
        <is>
          <t>0.08</t>
        </is>
      </c>
      <c r="K668" s="14" t="inlineStr">
        <is>
          <t>30.23</t>
        </is>
      </c>
      <c r="L668" s="13" t="inlineStr">
        <is>
          <t>10</t>
        </is>
      </c>
      <c r="M668" s="13" t="inlineStr">
        <is>
          <t>COMPLETED</t>
        </is>
      </c>
      <c r="N668" s="13" t="inlineStr">
        <is>
          <t>K. Mensah</t>
        </is>
      </c>
    </row>
    <row r="669">
      <c r="A669" s="13" t="inlineStr">
        <is>
          <t>HC-100667</t>
        </is>
      </c>
      <c r="B669" s="13" t="inlineStr">
        <is>
          <t>13.06.2025</t>
        </is>
      </c>
      <c r="C669" s="13" t="inlineStr">
        <is>
          <t>West</t>
        </is>
      </c>
      <c r="D669" s="13" t="inlineStr">
        <is>
          <t>Store</t>
        </is>
      </c>
      <c r="E669" s="13" t="inlineStr">
        <is>
          <t>Lighting</t>
        </is>
      </c>
      <c r="F669" s="13" t="inlineStr">
        <is>
          <t>Brass Sconce</t>
        </is>
      </c>
      <c r="G669" s="13" t="inlineStr">
        <is>
          <t>Consumer</t>
        </is>
      </c>
      <c r="H669" s="13" t="inlineStr">
        <is>
          <t>3</t>
        </is>
      </c>
      <c r="I669" s="14" t="inlineStr">
        <is>
          <t>140.98</t>
        </is>
      </c>
      <c r="J669" s="15" t="inlineStr">
        <is>
          <t>0.09</t>
        </is>
      </c>
      <c r="K669" s="14" t="inlineStr">
        <is>
          <t>64.85</t>
        </is>
      </c>
      <c r="L669" s="13" t="inlineStr">
        <is>
          <t>9</t>
        </is>
      </c>
      <c r="M669" s="13" t="inlineStr">
        <is>
          <t>Completed</t>
        </is>
      </c>
      <c r="N669" s="13" t="inlineStr">
        <is>
          <t>K. Mensah</t>
        </is>
      </c>
    </row>
    <row r="670">
      <c r="A670" s="13" t="inlineStr">
        <is>
          <t>HC-100668</t>
        </is>
      </c>
      <c r="B670" s="13" t="inlineStr">
        <is>
          <t>08/20/2024</t>
        </is>
      </c>
      <c r="C670" s="13" t="inlineStr">
        <is>
          <t>West</t>
        </is>
      </c>
      <c r="D670" s="13" t="inlineStr">
        <is>
          <t>Store</t>
        </is>
      </c>
      <c r="E670" s="13" t="inlineStr">
        <is>
          <t>Furniture</t>
        </is>
      </c>
      <c r="F670" s="13" t="inlineStr">
        <is>
          <t>Oak Desk</t>
        </is>
      </c>
      <c r="G670" s="13" t="inlineStr">
        <is>
          <t>Corporate</t>
        </is>
      </c>
      <c r="H670" s="13" t="inlineStr">
        <is>
          <t>2</t>
        </is>
      </c>
      <c r="I670" s="14" t="inlineStr">
        <is>
          <t>885.12</t>
        </is>
      </c>
      <c r="J670" s="15" t="inlineStr">
        <is>
          <t>0.09</t>
        </is>
      </c>
      <c r="K670" s="14" t="inlineStr">
        <is>
          <t>548.78</t>
        </is>
      </c>
      <c r="L670" s="13" t="inlineStr">
        <is>
          <t>6</t>
        </is>
      </c>
      <c r="M670" s="13" t="inlineStr">
        <is>
          <t>COMPLETED</t>
        </is>
      </c>
      <c r="N670" s="13" t="inlineStr">
        <is>
          <t>R. Ibarra</t>
        </is>
      </c>
    </row>
    <row r="671">
      <c r="A671" s="13" t="inlineStr">
        <is>
          <t>HC-100669</t>
        </is>
      </c>
      <c r="B671" s="13" t="inlineStr">
        <is>
          <t>07-Jul-25</t>
        </is>
      </c>
      <c r="C671" s="13" t="inlineStr">
        <is>
          <t>West</t>
        </is>
      </c>
      <c r="D671" s="13" t="inlineStr">
        <is>
          <t>Wholesale</t>
        </is>
      </c>
      <c r="E671" s="13" t="inlineStr">
        <is>
          <t>Furniture</t>
        </is>
      </c>
      <c r="F671" s="13" t="inlineStr">
        <is>
          <t>Oak Desk</t>
        </is>
      </c>
      <c r="G671" s="13" t="inlineStr">
        <is>
          <t>consumer</t>
        </is>
      </c>
      <c r="H671" s="13" t="inlineStr">
        <is>
          <t>34</t>
        </is>
      </c>
      <c r="I671" s="14" t="inlineStr">
        <is>
          <t>842.69</t>
        </is>
      </c>
      <c r="J671" s="15" t="inlineStr">
        <is>
          <t>0.28</t>
        </is>
      </c>
      <c r="K671" s="14" t="inlineStr">
        <is>
          <t>522.47</t>
        </is>
      </c>
      <c r="L671" s="13" t="inlineStr">
        <is>
          <t>6</t>
        </is>
      </c>
      <c r="M671" s="13" t="inlineStr">
        <is>
          <t>Completed</t>
        </is>
      </c>
      <c r="N671" s="13" t="inlineStr">
        <is>
          <t>M. Okonkwo</t>
        </is>
      </c>
    </row>
    <row r="672">
      <c r="A672" s="13" t="inlineStr">
        <is>
          <t>HC-100670</t>
        </is>
      </c>
      <c r="B672" s="13" t="inlineStr">
        <is>
          <t>2024/10/19</t>
        </is>
      </c>
      <c r="C672" s="13" t="inlineStr">
        <is>
          <t>North</t>
        </is>
      </c>
      <c r="D672" s="13" t="inlineStr">
        <is>
          <t>Store</t>
        </is>
      </c>
      <c r="E672" s="13" t="inlineStr">
        <is>
          <t>Textiles</t>
        </is>
      </c>
      <c r="F672" s="13" t="inlineStr">
        <is>
          <t>Linen Curtain</t>
        </is>
      </c>
      <c r="G672" s="13" t="inlineStr">
        <is>
          <t>consumer</t>
        </is>
      </c>
      <c r="H672" s="13" t="inlineStr">
        <is>
          <t>1</t>
        </is>
      </c>
      <c r="I672" s="14" t="inlineStr">
        <is>
          <t>$90.72</t>
        </is>
      </c>
      <c r="J672" s="15" t="inlineStr">
        <is>
          <t>0.11</t>
        </is>
      </c>
      <c r="K672" s="14" t="inlineStr">
        <is>
          <t>40.82</t>
        </is>
      </c>
      <c r="L672" s="13" t="inlineStr">
        <is>
          <t>7</t>
        </is>
      </c>
      <c r="M672" s="13" t="inlineStr">
        <is>
          <t>Completed</t>
        </is>
      </c>
      <c r="N672" s="13" t="inlineStr">
        <is>
          <t>L. Berger</t>
        </is>
      </c>
    </row>
    <row r="673">
      <c r="A673" s="13" t="inlineStr">
        <is>
          <t>HC-100671</t>
        </is>
      </c>
      <c r="B673" s="13" t="inlineStr">
        <is>
          <t>22.01.2025</t>
        </is>
      </c>
      <c r="C673" s="13" t="inlineStr">
        <is>
          <t>Sout</t>
        </is>
      </c>
      <c r="D673" s="13" t="inlineStr">
        <is>
          <t>Store</t>
        </is>
      </c>
      <c r="E673" s="13" t="inlineStr">
        <is>
          <t>Lighting</t>
        </is>
      </c>
      <c r="F673" s="13" t="inlineStr">
        <is>
          <t>Pendant Light</t>
        </is>
      </c>
      <c r="G673" s="13" t="inlineStr">
        <is>
          <t>Home Office</t>
        </is>
      </c>
      <c r="H673" s="13" t="inlineStr">
        <is>
          <t>1</t>
        </is>
      </c>
      <c r="I673" s="14" t="inlineStr">
        <is>
          <t>$186.00</t>
        </is>
      </c>
      <c r="J673" s="15" t="inlineStr">
        <is>
          <t>0.03</t>
        </is>
      </c>
      <c r="K673" s="14" t="inlineStr">
        <is>
          <t>93.00</t>
        </is>
      </c>
      <c r="L673" s="13" t="inlineStr">
        <is>
          <t>7</t>
        </is>
      </c>
      <c r="M673" s="13" t="inlineStr">
        <is>
          <t>Completed</t>
        </is>
      </c>
      <c r="N673" s="13" t="inlineStr">
        <is>
          <t>P. Rossi</t>
        </is>
      </c>
    </row>
    <row r="674">
      <c r="A674" s="13" t="inlineStr">
        <is>
          <t>HC-100672</t>
        </is>
      </c>
      <c r="B674" s="13" t="inlineStr">
        <is>
          <t>06/14/2025</t>
        </is>
      </c>
      <c r="C674" s="13" t="inlineStr">
        <is>
          <t>East</t>
        </is>
      </c>
      <c r="D674" s="13" t="inlineStr">
        <is>
          <t>Online</t>
        </is>
      </c>
      <c r="E674" s="13" t="inlineStr">
        <is>
          <t>Kitchen</t>
        </is>
      </c>
      <c r="F674" s="13" t="inlineStr">
        <is>
          <t>Cast Skillet</t>
        </is>
      </c>
      <c r="G674" s="13" t="inlineStr">
        <is>
          <t>Corporate</t>
        </is>
      </c>
      <c r="H674" s="13" t="inlineStr">
        <is>
          <t>3</t>
        </is>
      </c>
      <c r="I674" s="14" t="inlineStr">
        <is>
          <t>52.46</t>
        </is>
      </c>
      <c r="J674" s="15" t="inlineStr">
        <is>
          <t>0.16</t>
        </is>
      </c>
      <c r="K674" s="14" t="inlineStr">
        <is>
          <t>20.98</t>
        </is>
      </c>
      <c r="L674" s="13" t="inlineStr">
        <is>
          <t>10</t>
        </is>
      </c>
      <c r="M674" s="13" t="inlineStr">
        <is>
          <t>Completed</t>
        </is>
      </c>
      <c r="N674" s="13" t="inlineStr">
        <is>
          <t>S. Nguyen</t>
        </is>
      </c>
    </row>
    <row r="675">
      <c r="A675" s="13" t="inlineStr">
        <is>
          <t>HC-100673</t>
        </is>
      </c>
      <c r="B675" s="13" t="inlineStr">
        <is>
          <t>06-Aug-24</t>
        </is>
      </c>
      <c r="C675" s="13" t="inlineStr">
        <is>
          <t>South</t>
        </is>
      </c>
      <c r="D675" s="13" t="inlineStr">
        <is>
          <t>Wholesale</t>
        </is>
      </c>
      <c r="E675" s="13" t="inlineStr">
        <is>
          <t>Lighting</t>
        </is>
      </c>
      <c r="F675" s="13" t="inlineStr">
        <is>
          <t>Pendant Light</t>
        </is>
      </c>
      <c r="G675" s="13" t="inlineStr">
        <is>
          <t>Consumer</t>
        </is>
      </c>
      <c r="H675" s="13" t="inlineStr">
        <is>
          <t>24</t>
        </is>
      </c>
      <c r="I675" s="14" t="inlineStr">
        <is>
          <t>177.86</t>
        </is>
      </c>
      <c r="J675" s="15" t="inlineStr">
        <is>
          <t>0.29</t>
        </is>
      </c>
      <c r="K675" s="14" t="inlineStr">
        <is>
          <t>88.93</t>
        </is>
      </c>
      <c r="L675" s="13" t="inlineStr">
        <is>
          <t>5</t>
        </is>
      </c>
      <c r="M675" s="13" t="inlineStr">
        <is>
          <t>Completed</t>
        </is>
      </c>
      <c r="N675" s="13" t="inlineStr">
        <is>
          <t>K. Mensah</t>
        </is>
      </c>
    </row>
    <row r="676">
      <c r="A676" s="13" t="inlineStr">
        <is>
          <t>HC-100674</t>
        </is>
      </c>
      <c r="B676" s="13" t="inlineStr">
        <is>
          <t>2024/10/03</t>
        </is>
      </c>
      <c r="C676" s="13" t="inlineStr">
        <is>
          <t>South</t>
        </is>
      </c>
      <c r="D676" s="13" t="inlineStr">
        <is>
          <t>Store</t>
        </is>
      </c>
      <c r="E676" s="13" t="inlineStr">
        <is>
          <t>Furniture</t>
        </is>
      </c>
      <c r="F676" s="13" t="inlineStr">
        <is>
          <t>Oak Desk</t>
        </is>
      </c>
      <c r="G676" s="13" t="inlineStr">
        <is>
          <t>Corporate</t>
        </is>
      </c>
      <c r="H676" s="13" t="inlineStr">
        <is>
          <t>4</t>
        </is>
      </c>
      <c r="I676" s="14" t="inlineStr">
        <is>
          <t>901.14</t>
        </is>
      </c>
      <c r="J676" s="15" t="inlineStr">
        <is>
          <t>0.06</t>
        </is>
      </c>
      <c r="K676" s="14" t="inlineStr">
        <is>
          <t>558.70</t>
        </is>
      </c>
      <c r="L676" s="13" t="inlineStr">
        <is>
          <t>1</t>
        </is>
      </c>
      <c r="M676" s="13" t="inlineStr">
        <is>
          <t>Completed</t>
        </is>
      </c>
      <c r="N676" s="13" t="inlineStr">
        <is>
          <t>J. Patel</t>
        </is>
      </c>
    </row>
    <row r="677">
      <c r="A677" s="13" t="inlineStr">
        <is>
          <t>HC-100675</t>
        </is>
      </c>
      <c r="B677" s="13" t="inlineStr">
        <is>
          <t>20.05.2024</t>
        </is>
      </c>
      <c r="C677" s="13" t="inlineStr">
        <is>
          <t>North</t>
        </is>
      </c>
      <c r="D677" s="13" t="inlineStr">
        <is>
          <t>Online</t>
        </is>
      </c>
      <c r="E677" s="13" t="inlineStr">
        <is>
          <t>Furniture</t>
        </is>
      </c>
      <c r="F677" s="13" t="inlineStr">
        <is>
          <t>Walnut Shelf</t>
        </is>
      </c>
      <c r="G677" s="13" t="inlineStr">
        <is>
          <t>Consumer</t>
        </is>
      </c>
      <c r="H677" s="13" t="inlineStr">
        <is>
          <t>1</t>
        </is>
      </c>
      <c r="I677" s="14" t="inlineStr">
        <is>
          <t>$206.74</t>
        </is>
      </c>
      <c r="J677" s="15" t="inlineStr">
        <is>
          <t>0.03</t>
        </is>
      </c>
      <c r="K677" s="14" t="inlineStr">
        <is>
          <t>113.71</t>
        </is>
      </c>
      <c r="L677" s="13" t="inlineStr">
        <is>
          <t>7</t>
        </is>
      </c>
      <c r="M677" s="13" t="inlineStr">
        <is>
          <t>Completed</t>
        </is>
      </c>
      <c r="N677" s="13" t="inlineStr">
        <is>
          <t>J. Patel</t>
        </is>
      </c>
    </row>
    <row r="678">
      <c r="A678" s="13" t="inlineStr">
        <is>
          <t>HC-100676</t>
        </is>
      </c>
      <c r="B678" s="13" t="inlineStr">
        <is>
          <t>01/14/2024</t>
        </is>
      </c>
      <c r="C678" s="13" t="inlineStr">
        <is>
          <t>West</t>
        </is>
      </c>
      <c r="D678" s="13" t="inlineStr">
        <is>
          <t>Online</t>
        </is>
      </c>
      <c r="E678" s="13" t="inlineStr">
        <is>
          <t>Furniture</t>
        </is>
      </c>
      <c r="F678" s="13" t="inlineStr">
        <is>
          <t>Oak Desk</t>
        </is>
      </c>
      <c r="G678" s="13" t="inlineStr">
        <is>
          <t>Consumer</t>
        </is>
      </c>
      <c r="H678" s="13" t="inlineStr">
        <is>
          <t>3</t>
        </is>
      </c>
      <c r="I678" s="14" t="inlineStr">
        <is>
          <t>792.33</t>
        </is>
      </c>
      <c r="J678" s="15" t="inlineStr">
        <is>
          <t>0.14</t>
        </is>
      </c>
      <c r="K678" s="14" t="inlineStr">
        <is>
          <t>491.24</t>
        </is>
      </c>
      <c r="L678" s="13" t="inlineStr">
        <is>
          <t>6</t>
        </is>
      </c>
      <c r="M678" s="13" t="inlineStr">
        <is>
          <t>Returned</t>
        </is>
      </c>
      <c r="N678" s="13" t="inlineStr">
        <is>
          <t>P. Rossi</t>
        </is>
      </c>
    </row>
    <row r="679">
      <c r="A679" s="13" t="inlineStr">
        <is>
          <t>HC-100677</t>
        </is>
      </c>
      <c r="B679" s="13" t="inlineStr">
        <is>
          <t>26-Aug-24</t>
        </is>
      </c>
      <c r="C679" s="13" t="inlineStr">
        <is>
          <t>North</t>
        </is>
      </c>
      <c r="D679" s="13" t="inlineStr">
        <is>
          <t>In-Store</t>
        </is>
      </c>
      <c r="E679" s="13" t="inlineStr">
        <is>
          <t>Lighting</t>
        </is>
      </c>
      <c r="F679" s="13" t="inlineStr">
        <is>
          <t>Brass Sconce</t>
        </is>
      </c>
      <c r="G679" s="13" t="inlineStr">
        <is>
          <t>Consumer</t>
        </is>
      </c>
      <c r="H679" s="13" t="inlineStr">
        <is>
          <t>4</t>
        </is>
      </c>
      <c r="I679" s="14" t="inlineStr">
        <is>
          <t>$149.08</t>
        </is>
      </c>
      <c r="J679" s="15" t="inlineStr">
        <is>
          <t>0.07</t>
        </is>
      </c>
      <c r="K679" s="14" t="inlineStr">
        <is>
          <t>68.58</t>
        </is>
      </c>
      <c r="L679" s="13" t="inlineStr">
        <is>
          <t>3</t>
        </is>
      </c>
      <c r="M679" s="13" t="inlineStr">
        <is>
          <t>Completed</t>
        </is>
      </c>
      <c r="N679" s="13" t="inlineStr">
        <is>
          <t>L. Berger</t>
        </is>
      </c>
    </row>
    <row r="680">
      <c r="A680" s="13" t="inlineStr">
        <is>
          <t>HC-100678</t>
        </is>
      </c>
      <c r="B680" s="13" t="inlineStr">
        <is>
          <t>2025/07/02</t>
        </is>
      </c>
      <c r="C680" s="13" t="inlineStr">
        <is>
          <t>West</t>
        </is>
      </c>
      <c r="D680" s="13" t="inlineStr">
        <is>
          <t>Store</t>
        </is>
      </c>
      <c r="E680" s="13" t="inlineStr">
        <is>
          <t>Textiles</t>
        </is>
      </c>
      <c r="F680" s="13" t="inlineStr">
        <is>
          <t>Linen Curtain</t>
        </is>
      </c>
      <c r="G680" s="13" t="inlineStr">
        <is>
          <t>Home Office</t>
        </is>
      </c>
      <c r="H680" s="13" t="inlineStr">
        <is>
          <t>1</t>
        </is>
      </c>
      <c r="I680" s="14" t="inlineStr">
        <is>
          <t>98.26</t>
        </is>
      </c>
      <c r="J680" s="15" t="inlineStr">
        <is>
          <t>2%</t>
        </is>
      </c>
      <c r="K680" s="14" t="inlineStr">
        <is>
          <t>44.21</t>
        </is>
      </c>
      <c r="L680" s="13" t="inlineStr">
        <is>
          <t>6</t>
        </is>
      </c>
      <c r="M680" s="13" t="inlineStr">
        <is>
          <t>Completed</t>
        </is>
      </c>
      <c r="N680" s="13" t="inlineStr">
        <is>
          <t>L. Berger</t>
        </is>
      </c>
    </row>
    <row r="681">
      <c r="A681" s="13" t="inlineStr">
        <is>
          <t>HC-100679</t>
        </is>
      </c>
      <c r="B681" s="13" t="inlineStr">
        <is>
          <t>23.03.2024</t>
        </is>
      </c>
      <c r="C681" s="13" t="inlineStr">
        <is>
          <t>East</t>
        </is>
      </c>
      <c r="D681" s="13" t="inlineStr">
        <is>
          <t>Wholesale</t>
        </is>
      </c>
      <c r="E681" s="13" t="inlineStr">
        <is>
          <t>TEXTILES</t>
        </is>
      </c>
      <c r="F681" s="13" t="inlineStr">
        <is>
          <t>Cotton Duvet</t>
        </is>
      </c>
      <c r="G681" s="13" t="inlineStr">
        <is>
          <t>Home Office</t>
        </is>
      </c>
      <c r="H681" s="13" t="inlineStr">
        <is>
          <t>19</t>
        </is>
      </c>
      <c r="I681" s="14" t="inlineStr">
        <is>
          <t>115.30</t>
        </is>
      </c>
      <c r="J681" s="15" t="inlineStr">
        <is>
          <t>0.16</t>
        </is>
      </c>
      <c r="K681" s="14" t="inlineStr">
        <is>
          <t>50.73</t>
        </is>
      </c>
      <c r="L681" s="13" t="inlineStr">
        <is>
          <t>8</t>
        </is>
      </c>
      <c r="M681" s="13" t="inlineStr">
        <is>
          <t>COMPLETED</t>
        </is>
      </c>
      <c r="N681" s="13" t="inlineStr">
        <is>
          <t>J. Patel</t>
        </is>
      </c>
    </row>
    <row r="682">
      <c r="A682" s="13" t="inlineStr">
        <is>
          <t>HC-100680</t>
        </is>
      </c>
      <c r="B682" s="13" t="inlineStr">
        <is>
          <t>05/13/2025</t>
        </is>
      </c>
      <c r="C682" s="13" t="inlineStr">
        <is>
          <t>North</t>
        </is>
      </c>
      <c r="D682" s="13" t="inlineStr">
        <is>
          <t>Online</t>
        </is>
      </c>
      <c r="E682" s="13" t="inlineStr">
        <is>
          <t>Lighting</t>
        </is>
      </c>
      <c r="F682" s="13" t="inlineStr">
        <is>
          <t>Brass Sconce</t>
        </is>
      </c>
      <c r="G682" s="13" t="inlineStr">
        <is>
          <t>Consumer</t>
        </is>
      </c>
      <c r="H682" s="13" t="inlineStr">
        <is>
          <t>3</t>
        </is>
      </c>
      <c r="I682" s="14" t="inlineStr">
        <is>
          <t>143.25</t>
        </is>
      </c>
      <c r="J682" s="15" t="inlineStr">
        <is>
          <t>0.05</t>
        </is>
      </c>
      <c r="K682" s="14" t="inlineStr">
        <is>
          <t>65.89</t>
        </is>
      </c>
      <c r="L682" s="13" t="inlineStr">
        <is>
          <t>6</t>
        </is>
      </c>
      <c r="M682" s="13" t="inlineStr">
        <is>
          <t>Completed</t>
        </is>
      </c>
      <c r="N682" s="13" t="inlineStr">
        <is>
          <t>K. Mensah</t>
        </is>
      </c>
    </row>
    <row r="683">
      <c r="A683" s="13" t="inlineStr">
        <is>
          <t>HC-100681</t>
        </is>
      </c>
      <c r="B683" s="13" t="inlineStr">
        <is>
          <t>11-Jul-24</t>
        </is>
      </c>
      <c r="C683" s="13" t="inlineStr">
        <is>
          <t>North</t>
        </is>
      </c>
      <c r="D683" s="13" t="inlineStr">
        <is>
          <t>Online</t>
        </is>
      </c>
      <c r="E683" s="13" t="inlineStr">
        <is>
          <t>Lighting</t>
        </is>
      </c>
      <c r="F683" s="13" t="inlineStr">
        <is>
          <t>Brass Sconce</t>
        </is>
      </c>
      <c r="G683" s="13" t="inlineStr">
        <is>
          <t>corporate</t>
        </is>
      </c>
      <c r="H683" s="13" t="inlineStr">
        <is>
          <t>2</t>
        </is>
      </c>
      <c r="I683" s="14" t="inlineStr">
        <is>
          <t>$143.52</t>
        </is>
      </c>
      <c r="J683" s="15" t="inlineStr">
        <is>
          <t>0.12</t>
        </is>
      </c>
      <c r="K683" s="14" t="inlineStr">
        <is>
          <t>66.02</t>
        </is>
      </c>
      <c r="L683" s="13" t="inlineStr">
        <is>
          <t>6</t>
        </is>
      </c>
      <c r="M683" s="13" t="inlineStr">
        <is>
          <t>Completed</t>
        </is>
      </c>
      <c r="N683" s="13" t="inlineStr">
        <is>
          <t>R. Ibarra</t>
        </is>
      </c>
    </row>
    <row r="684">
      <c r="A684" s="13" t="inlineStr">
        <is>
          <t>HC-100682</t>
        </is>
      </c>
      <c r="B684" s="13" t="inlineStr">
        <is>
          <t>2025/06/26</t>
        </is>
      </c>
      <c r="C684" s="13" t="inlineStr">
        <is>
          <t>South</t>
        </is>
      </c>
      <c r="D684" s="13" t="inlineStr">
        <is>
          <t>e-commerce</t>
        </is>
      </c>
      <c r="E684" s="13" t="inlineStr">
        <is>
          <t>Textiles</t>
        </is>
      </c>
      <c r="F684" s="13" t="inlineStr">
        <is>
          <t>Wool Throw</t>
        </is>
      </c>
      <c r="G684" s="13" t="inlineStr">
        <is>
          <t>Corporate</t>
        </is>
      </c>
      <c r="H684" s="13" t="inlineStr">
        <is>
          <t>1</t>
        </is>
      </c>
      <c r="I684" s="14" t="inlineStr">
        <is>
          <t>75.01</t>
        </is>
      </c>
      <c r="J684" s="15" t="inlineStr">
        <is>
          <t>0.06</t>
        </is>
      </c>
      <c r="K684" s="14" t="inlineStr">
        <is>
          <t>31.50</t>
        </is>
      </c>
      <c r="L684" s="13" t="inlineStr">
        <is>
          <t>7</t>
        </is>
      </c>
      <c r="M684" s="13" t="inlineStr">
        <is>
          <t>Completed</t>
        </is>
      </c>
      <c r="N684" s="13" t="inlineStr">
        <is>
          <t>K. Mensah</t>
        </is>
      </c>
    </row>
    <row r="685">
      <c r="A685" s="13" t="inlineStr">
        <is>
          <t>HC-100683</t>
        </is>
      </c>
      <c r="B685" s="13" t="inlineStr">
        <is>
          <t>24.07.2025</t>
        </is>
      </c>
      <c r="C685" s="13" t="inlineStr">
        <is>
          <t>North</t>
        </is>
      </c>
      <c r="D685" s="13" t="inlineStr">
        <is>
          <t>Wholesale</t>
        </is>
      </c>
      <c r="E685" s="13" t="inlineStr">
        <is>
          <t>LIGHTING</t>
        </is>
      </c>
      <c r="F685" s="13" t="inlineStr">
        <is>
          <t>Brass Sconce</t>
        </is>
      </c>
      <c r="G685" s="13" t="inlineStr">
        <is>
          <t>Corporate</t>
        </is>
      </c>
      <c r="H685" s="13" t="inlineStr">
        <is>
          <t>33</t>
        </is>
      </c>
      <c r="I685" s="14" t="inlineStr">
        <is>
          <t>143.84</t>
        </is>
      </c>
      <c r="J685" s="15" t="inlineStr">
        <is>
          <t>0.24</t>
        </is>
      </c>
      <c r="K685" s="14" t="inlineStr">
        <is>
          <t>66.17</t>
        </is>
      </c>
      <c r="L685" s="13" t="inlineStr">
        <is>
          <t>7</t>
        </is>
      </c>
      <c r="M685" s="13" t="inlineStr">
        <is>
          <t>Completed</t>
        </is>
      </c>
      <c r="N685" s="13" t="inlineStr">
        <is>
          <t>K. Mensah</t>
        </is>
      </c>
    </row>
    <row r="686">
      <c r="A686" s="13" t="inlineStr">
        <is>
          <t>HC-100684</t>
        </is>
      </c>
      <c r="B686" s="13" t="inlineStr">
        <is>
          <t>01/29/2025</t>
        </is>
      </c>
      <c r="C686" s="13" t="inlineStr">
        <is>
          <t>South</t>
        </is>
      </c>
      <c r="D686" s="13" t="inlineStr">
        <is>
          <t>In-Store</t>
        </is>
      </c>
      <c r="E686" s="13" t="inlineStr">
        <is>
          <t>Furniture</t>
        </is>
      </c>
      <c r="F686" s="13" t="inlineStr">
        <is>
          <t>Walnut Shelf</t>
        </is>
      </c>
      <c r="G686" s="13" t="inlineStr">
        <is>
          <t>Consumer</t>
        </is>
      </c>
      <c r="H686" s="13" t="inlineStr">
        <is>
          <t>4</t>
        </is>
      </c>
      <c r="I686" s="14" t="inlineStr">
        <is>
          <t>224.50</t>
        </is>
      </c>
      <c r="J686" s="15" t="inlineStr">
        <is>
          <t>0.12</t>
        </is>
      </c>
      <c r="K686" s="14" t="inlineStr">
        <is>
          <t>123.47</t>
        </is>
      </c>
      <c r="L686" s="13" t="inlineStr">
        <is>
          <t>5</t>
        </is>
      </c>
      <c r="M686" s="13" t="inlineStr">
        <is>
          <t>Returned</t>
        </is>
      </c>
      <c r="N686" s="13" t="inlineStr">
        <is>
          <t>P. Rossi</t>
        </is>
      </c>
    </row>
    <row r="687">
      <c r="A687" s="13" t="inlineStr">
        <is>
          <t>HC-100685</t>
        </is>
      </c>
      <c r="B687" s="13" t="inlineStr">
        <is>
          <t>18-Sep-25</t>
        </is>
      </c>
      <c r="C687" s="13" t="inlineStr">
        <is>
          <t>East</t>
        </is>
      </c>
      <c r="D687" s="13" t="inlineStr">
        <is>
          <t>Wholesale</t>
        </is>
      </c>
      <c r="E687" s="13" t="inlineStr">
        <is>
          <t>Furniture</t>
        </is>
      </c>
      <c r="F687" s="13" t="inlineStr">
        <is>
          <t>Lounge Chair</t>
        </is>
      </c>
      <c r="G687" s="13" t="inlineStr">
        <is>
          <t>consumer</t>
        </is>
      </c>
      <c r="H687" s="13" t="inlineStr">
        <is>
          <t>23</t>
        </is>
      </c>
      <c r="I687" s="14" t="inlineStr">
        <is>
          <t>400.05</t>
        </is>
      </c>
      <c r="J687" s="15" t="inlineStr">
        <is>
          <t>0.22</t>
        </is>
      </c>
      <c r="K687" s="14" t="inlineStr">
        <is>
          <t>240.03</t>
        </is>
      </c>
      <c r="L687" s="13" t="inlineStr">
        <is>
          <t>9</t>
        </is>
      </c>
      <c r="M687" s="13" t="inlineStr">
        <is>
          <t>Completed</t>
        </is>
      </c>
      <c r="N687" s="13" t="inlineStr">
        <is>
          <t>P. Rossi</t>
        </is>
      </c>
    </row>
    <row r="688">
      <c r="A688" s="13" t="inlineStr">
        <is>
          <t>HC-100686</t>
        </is>
      </c>
      <c r="B688" s="13" t="inlineStr">
        <is>
          <t>2025/08/02</t>
        </is>
      </c>
      <c r="C688" s="13" t="inlineStr">
        <is>
          <t>west</t>
        </is>
      </c>
      <c r="D688" s="13" t="inlineStr">
        <is>
          <t>Online</t>
        </is>
      </c>
      <c r="E688" s="13" t="inlineStr">
        <is>
          <t>Textiles</t>
        </is>
      </c>
      <c r="F688" s="13" t="inlineStr">
        <is>
          <t>Wool Throw</t>
        </is>
      </c>
      <c r="G688" s="13" t="inlineStr">
        <is>
          <t>Home Office</t>
        </is>
      </c>
      <c r="H688" s="13" t="inlineStr">
        <is>
          <t>2</t>
        </is>
      </c>
      <c r="I688" s="14" t="inlineStr">
        <is>
          <t>70.73</t>
        </is>
      </c>
      <c r="J688" s="15" t="inlineStr">
        <is>
          <t>0.13</t>
        </is>
      </c>
      <c r="K688" s="14" t="inlineStr">
        <is>
          <t>29.71</t>
        </is>
      </c>
      <c r="L688" s="13" t="inlineStr">
        <is>
          <t>9</t>
        </is>
      </c>
      <c r="M688" s="13" t="inlineStr">
        <is>
          <t>Completed</t>
        </is>
      </c>
      <c r="N688" s="13" t="inlineStr">
        <is>
          <t>S. Nguyen</t>
        </is>
      </c>
    </row>
    <row r="689">
      <c r="A689" s="13" t="inlineStr">
        <is>
          <t>HC-100687</t>
        </is>
      </c>
      <c r="B689" s="13" t="inlineStr">
        <is>
          <t>14.11.2024</t>
        </is>
      </c>
      <c r="C689" s="13" t="inlineStr">
        <is>
          <t>West</t>
        </is>
      </c>
      <c r="D689" s="13" t="inlineStr">
        <is>
          <t>Store</t>
        </is>
      </c>
      <c r="E689" s="13" t="inlineStr">
        <is>
          <t>Textiles</t>
        </is>
      </c>
      <c r="F689" s="13" t="inlineStr">
        <is>
          <t>Cotton Duvet</t>
        </is>
      </c>
      <c r="G689" s="13" t="inlineStr">
        <is>
          <t>Corporate</t>
        </is>
      </c>
      <c r="H689" s="13" t="inlineStr">
        <is>
          <t>2</t>
        </is>
      </c>
      <c r="I689" s="14" t="inlineStr">
        <is>
          <t>119.06</t>
        </is>
      </c>
      <c r="J689" s="15" t="inlineStr">
        <is>
          <t>0.08</t>
        </is>
      </c>
      <c r="K689" s="14" t="inlineStr">
        <is>
          <t>52.39</t>
        </is>
      </c>
      <c r="L689" s="13" t="inlineStr">
        <is>
          <t>9</t>
        </is>
      </c>
      <c r="M689" s="13" t="inlineStr">
        <is>
          <t>RETURNED</t>
        </is>
      </c>
      <c r="N689" s="13" t="inlineStr">
        <is>
          <t>L. Berger</t>
        </is>
      </c>
    </row>
    <row r="690">
      <c r="A690" s="13" t="inlineStr">
        <is>
          <t>HC-100688</t>
        </is>
      </c>
      <c r="B690" s="13" t="inlineStr">
        <is>
          <t>07/24/2025</t>
        </is>
      </c>
      <c r="C690" s="13" t="inlineStr">
        <is>
          <t>NORTH</t>
        </is>
      </c>
      <c r="D690" s="13" t="inlineStr">
        <is>
          <t>Online</t>
        </is>
      </c>
      <c r="E690" s="13" t="inlineStr">
        <is>
          <t>Textiles</t>
        </is>
      </c>
      <c r="F690" s="13" t="inlineStr">
        <is>
          <t>Linen Curtain</t>
        </is>
      </c>
      <c r="G690" s="13" t="inlineStr">
        <is>
          <t>Corporate</t>
        </is>
      </c>
      <c r="H690" s="13" t="inlineStr">
        <is>
          <t>3</t>
        </is>
      </c>
      <c r="I690" s="14" t="inlineStr">
        <is>
          <t>92.37</t>
        </is>
      </c>
      <c r="J690" s="15" t="inlineStr">
        <is>
          <t>0.02</t>
        </is>
      </c>
      <c r="K690" s="14" t="inlineStr">
        <is>
          <t>41.57</t>
        </is>
      </c>
      <c r="L690" s="13" t="inlineStr">
        <is>
          <t>6</t>
        </is>
      </c>
      <c r="M690" s="13" t="inlineStr">
        <is>
          <t>Completed</t>
        </is>
      </c>
      <c r="N690" s="13" t="inlineStr">
        <is>
          <t>J. Patel</t>
        </is>
      </c>
    </row>
    <row r="691">
      <c r="A691" s="13" t="inlineStr">
        <is>
          <t>HC-100689</t>
        </is>
      </c>
      <c r="B691" s="13" t="inlineStr">
        <is>
          <t>12-May-25</t>
        </is>
      </c>
      <c r="C691" s="13" t="inlineStr">
        <is>
          <t>East</t>
        </is>
      </c>
      <c r="D691" s="13" t="inlineStr">
        <is>
          <t>Online</t>
        </is>
      </c>
      <c r="E691" s="13" t="inlineStr">
        <is>
          <t>Lighting</t>
        </is>
      </c>
      <c r="F691" s="13" t="inlineStr">
        <is>
          <t>Pendant Light</t>
        </is>
      </c>
      <c r="G691" s="13" t="inlineStr">
        <is>
          <t>Corporate</t>
        </is>
      </c>
      <c r="H691" s="13" t="inlineStr">
        <is>
          <t>1</t>
        </is>
      </c>
      <c r="I691" s="14" t="inlineStr">
        <is>
          <t>170.77</t>
        </is>
      </c>
      <c r="J691" s="15" t="inlineStr">
        <is>
          <t>0.03</t>
        </is>
      </c>
      <c r="K691" s="14" t="inlineStr">
        <is>
          <t>85.38</t>
        </is>
      </c>
      <c r="L691" s="13" t="inlineStr">
        <is>
          <t>7</t>
        </is>
      </c>
      <c r="M691" s="13" t="inlineStr">
        <is>
          <t>Completed</t>
        </is>
      </c>
      <c r="N691" s="13" t="inlineStr">
        <is>
          <t>J. Patel</t>
        </is>
      </c>
    </row>
    <row r="692">
      <c r="A692" s="13" t="inlineStr">
        <is>
          <t>HC-100690</t>
        </is>
      </c>
      <c r="B692" s="13" t="inlineStr">
        <is>
          <t>2025/06/23</t>
        </is>
      </c>
      <c r="C692" s="13" t="inlineStr">
        <is>
          <t>West</t>
        </is>
      </c>
      <c r="D692" s="13" t="inlineStr">
        <is>
          <t>Online</t>
        </is>
      </c>
      <c r="E692" s="13" t="inlineStr">
        <is>
          <t>Textiles</t>
        </is>
      </c>
      <c r="F692" s="13" t="inlineStr">
        <is>
          <t>Linen Curtain</t>
        </is>
      </c>
      <c r="G692" s="13" t="inlineStr">
        <is>
          <t>Home Office</t>
        </is>
      </c>
      <c r="H692" s="13" t="inlineStr">
        <is>
          <t>1</t>
        </is>
      </c>
      <c r="I692" s="14" t="inlineStr">
        <is>
          <t>$96.70</t>
        </is>
      </c>
      <c r="J692" s="15" t="inlineStr">
        <is>
          <t>0.09</t>
        </is>
      </c>
      <c r="K692" s="14" t="inlineStr">
        <is>
          <t>43.51</t>
        </is>
      </c>
      <c r="L692" s="13" t="inlineStr">
        <is>
          <t>4</t>
        </is>
      </c>
      <c r="M692" s="13" t="inlineStr">
        <is>
          <t>Completed</t>
        </is>
      </c>
      <c r="N692" s="13" t="inlineStr">
        <is>
          <t>J. Patel</t>
        </is>
      </c>
    </row>
    <row r="693">
      <c r="A693" s="13" t="inlineStr">
        <is>
          <t>HC-100691</t>
        </is>
      </c>
      <c r="B693" s="13" t="inlineStr">
        <is>
          <t>10.04.2024</t>
        </is>
      </c>
      <c r="C693" s="13" t="inlineStr">
        <is>
          <t>North</t>
        </is>
      </c>
      <c r="D693" s="13" t="inlineStr">
        <is>
          <t>Store</t>
        </is>
      </c>
      <c r="E693" s="13" t="inlineStr">
        <is>
          <t>Furniture</t>
        </is>
      </c>
      <c r="F693" s="13" t="inlineStr">
        <is>
          <t>Linen Sofa</t>
        </is>
      </c>
      <c r="G693" s="13" t="inlineStr">
        <is>
          <t>Corporate</t>
        </is>
      </c>
      <c r="H693" s="13" t="inlineStr">
        <is>
          <t>3</t>
        </is>
      </c>
      <c r="I693" s="14" t="inlineStr">
        <is>
          <t>1340.50</t>
        </is>
      </c>
      <c r="J693" s="15" t="inlineStr">
        <is>
          <t>0.06</t>
        </is>
      </c>
      <c r="K693" s="14" t="inlineStr">
        <is>
          <t>884.73</t>
        </is>
      </c>
      <c r="L693" s="13" t="inlineStr">
        <is>
          <t>4</t>
        </is>
      </c>
      <c r="M693" s="13" t="inlineStr">
        <is>
          <t>Completed</t>
        </is>
      </c>
      <c r="N693" s="13" t="inlineStr">
        <is>
          <t>J. Patel</t>
        </is>
      </c>
    </row>
    <row r="694">
      <c r="A694" s="13" t="inlineStr">
        <is>
          <t>HC-100692</t>
        </is>
      </c>
      <c r="B694" s="13" t="inlineStr">
        <is>
          <t>07/04/2025</t>
        </is>
      </c>
      <c r="C694" s="13" t="inlineStr">
        <is>
          <t>West</t>
        </is>
      </c>
      <c r="D694" s="13" t="inlineStr">
        <is>
          <t>Store</t>
        </is>
      </c>
      <c r="E694" s="13" t="inlineStr">
        <is>
          <t>Textiles</t>
        </is>
      </c>
      <c r="F694" s="13" t="inlineStr">
        <is>
          <t>Wool Throw</t>
        </is>
      </c>
      <c r="G694" s="13" t="inlineStr"/>
      <c r="H694" s="13" t="inlineStr">
        <is>
          <t>1</t>
        </is>
      </c>
      <c r="I694" s="14" t="inlineStr">
        <is>
          <t>$77.41</t>
        </is>
      </c>
      <c r="J694" s="15" t="inlineStr">
        <is>
          <t>0.09</t>
        </is>
      </c>
      <c r="K694" s="14" t="inlineStr">
        <is>
          <t>32.51</t>
        </is>
      </c>
      <c r="L694" s="13" t="inlineStr">
        <is>
          <t>9</t>
        </is>
      </c>
      <c r="M694" s="13" t="inlineStr">
        <is>
          <t>Completed</t>
        </is>
      </c>
      <c r="N694" s="13" t="inlineStr">
        <is>
          <t>M. Okonkwo</t>
        </is>
      </c>
    </row>
    <row r="695">
      <c r="A695" s="13" t="inlineStr">
        <is>
          <t>HC-100693</t>
        </is>
      </c>
      <c r="B695" s="13" t="inlineStr">
        <is>
          <t>17-Mar-25</t>
        </is>
      </c>
      <c r="C695" s="13" t="inlineStr">
        <is>
          <t>North</t>
        </is>
      </c>
      <c r="D695" s="13" t="inlineStr">
        <is>
          <t>Online</t>
        </is>
      </c>
      <c r="E695" s="13" t="inlineStr">
        <is>
          <t>Kitchen</t>
        </is>
      </c>
      <c r="F695" s="13" t="inlineStr">
        <is>
          <t>Cast Skillet</t>
        </is>
      </c>
      <c r="G695" s="13" t="inlineStr">
        <is>
          <t>Consumer</t>
        </is>
      </c>
      <c r="H695" s="13" t="inlineStr">
        <is>
          <t>1</t>
        </is>
      </c>
      <c r="I695" s="14" t="inlineStr">
        <is>
          <t>50.07</t>
        </is>
      </c>
      <c r="J695" s="15" t="inlineStr">
        <is>
          <t>0.13</t>
        </is>
      </c>
      <c r="K695" s="14" t="inlineStr">
        <is>
          <t>20.03</t>
        </is>
      </c>
      <c r="L695" s="13" t="inlineStr">
        <is>
          <t>3</t>
        </is>
      </c>
      <c r="M695" s="13" t="inlineStr">
        <is>
          <t>Completed</t>
        </is>
      </c>
      <c r="N695" s="13" t="inlineStr">
        <is>
          <t>K. Mensah</t>
        </is>
      </c>
    </row>
    <row r="696">
      <c r="A696" s="13" t="inlineStr">
        <is>
          <t>HC-100694</t>
        </is>
      </c>
      <c r="B696" s="13" t="inlineStr">
        <is>
          <t>2025/04/11</t>
        </is>
      </c>
      <c r="C696" s="13" t="inlineStr">
        <is>
          <t>North</t>
        </is>
      </c>
      <c r="D696" s="13" t="inlineStr">
        <is>
          <t>Store</t>
        </is>
      </c>
      <c r="E696" s="13" t="inlineStr">
        <is>
          <t>Textiles</t>
        </is>
      </c>
      <c r="F696" s="13" t="inlineStr">
        <is>
          <t>Wool Throw</t>
        </is>
      </c>
      <c r="G696" s="13" t="inlineStr">
        <is>
          <t>Corporate</t>
        </is>
      </c>
      <c r="H696" s="13" t="inlineStr">
        <is>
          <t>3</t>
        </is>
      </c>
      <c r="I696" s="14" t="inlineStr">
        <is>
          <t>77.96</t>
        </is>
      </c>
      <c r="J696" s="15" t="inlineStr">
        <is>
          <t>0.03</t>
        </is>
      </c>
      <c r="K696" s="14" t="inlineStr">
        <is>
          <t>32.74</t>
        </is>
      </c>
      <c r="L696" s="13" t="inlineStr">
        <is>
          <t>8</t>
        </is>
      </c>
      <c r="M696" s="13" t="inlineStr">
        <is>
          <t>Completed</t>
        </is>
      </c>
      <c r="N696" s="13" t="inlineStr">
        <is>
          <t>R. Ibarra</t>
        </is>
      </c>
    </row>
    <row r="697">
      <c r="A697" s="13" t="inlineStr">
        <is>
          <t>HC-100695</t>
        </is>
      </c>
      <c r="B697" s="13" t="inlineStr">
        <is>
          <t>20.07.2024</t>
        </is>
      </c>
      <c r="C697" s="13" t="inlineStr">
        <is>
          <t>South</t>
        </is>
      </c>
      <c r="D697" s="13" t="inlineStr">
        <is>
          <t>Wholesale</t>
        </is>
      </c>
      <c r="E697" s="13" t="inlineStr">
        <is>
          <t>Kitchen</t>
        </is>
      </c>
      <c r="F697" s="13" t="inlineStr">
        <is>
          <t>Chef Knife</t>
        </is>
      </c>
      <c r="G697" s="13" t="inlineStr">
        <is>
          <t>consumer</t>
        </is>
      </c>
      <c r="H697" s="13" t="inlineStr">
        <is>
          <t>30</t>
        </is>
      </c>
      <c r="I697" s="14" t="inlineStr">
        <is>
          <t>67.96</t>
        </is>
      </c>
      <c r="J697" s="15" t="inlineStr">
        <is>
          <t>0.18</t>
        </is>
      </c>
      <c r="K697" s="14" t="inlineStr">
        <is>
          <t>24.47</t>
        </is>
      </c>
      <c r="L697" s="13" t="inlineStr">
        <is>
          <t>7</t>
        </is>
      </c>
      <c r="M697" s="13" t="inlineStr">
        <is>
          <t>Completed</t>
        </is>
      </c>
      <c r="N697" s="13" t="inlineStr">
        <is>
          <t>J. Patel</t>
        </is>
      </c>
    </row>
    <row r="698">
      <c r="A698" s="13" t="inlineStr">
        <is>
          <t>HC-100696</t>
        </is>
      </c>
      <c r="B698" s="13" t="inlineStr">
        <is>
          <t>03/17/2025</t>
        </is>
      </c>
      <c r="C698" s="13" t="inlineStr">
        <is>
          <t>South</t>
        </is>
      </c>
      <c r="D698" s="13" t="inlineStr">
        <is>
          <t>Store</t>
        </is>
      </c>
      <c r="E698" s="13" t="inlineStr">
        <is>
          <t>Kitchen</t>
        </is>
      </c>
      <c r="F698" s="13" t="inlineStr">
        <is>
          <t>Cast Skillet</t>
        </is>
      </c>
      <c r="G698" s="13" t="inlineStr">
        <is>
          <t>Consumer</t>
        </is>
      </c>
      <c r="H698" s="13" t="inlineStr">
        <is>
          <t>1</t>
        </is>
      </c>
      <c r="I698" s="14" t="inlineStr">
        <is>
          <t>51.83</t>
        </is>
      </c>
      <c r="J698" s="15" t="inlineStr">
        <is>
          <t>0.09</t>
        </is>
      </c>
      <c r="K698" s="14" t="inlineStr">
        <is>
          <t>20.73</t>
        </is>
      </c>
      <c r="L698" s="13" t="inlineStr">
        <is>
          <t>5</t>
        </is>
      </c>
      <c r="M698" s="13" t="inlineStr">
        <is>
          <t>Compleated</t>
        </is>
      </c>
      <c r="N698" s="13" t="inlineStr">
        <is>
          <t>K. Mensah</t>
        </is>
      </c>
    </row>
    <row r="699">
      <c r="A699" s="13" t="inlineStr">
        <is>
          <t>HC-100697</t>
        </is>
      </c>
      <c r="B699" s="13" t="inlineStr">
        <is>
          <t>31-Jul-25</t>
        </is>
      </c>
      <c r="C699" s="13" t="inlineStr">
        <is>
          <t>south</t>
        </is>
      </c>
      <c r="D699" s="13" t="inlineStr">
        <is>
          <t>Online</t>
        </is>
      </c>
      <c r="E699" s="13" t="inlineStr">
        <is>
          <t>Lighting</t>
        </is>
      </c>
      <c r="F699" s="13" t="inlineStr">
        <is>
          <t>Brass Sconce</t>
        </is>
      </c>
      <c r="G699" s="13" t="inlineStr"/>
      <c r="H699" s="13" t="inlineStr">
        <is>
          <t>2</t>
        </is>
      </c>
      <c r="I699" s="14" t="inlineStr">
        <is>
          <t>$142.28</t>
        </is>
      </c>
      <c r="J699" s="15" t="inlineStr">
        <is>
          <t>0.15</t>
        </is>
      </c>
      <c r="K699" s="14" t="inlineStr">
        <is>
          <t>65.45</t>
        </is>
      </c>
      <c r="L699" s="13" t="inlineStr">
        <is>
          <t>6</t>
        </is>
      </c>
      <c r="M699" s="13" t="inlineStr">
        <is>
          <t>Completed</t>
        </is>
      </c>
      <c r="N699" s="13" t="inlineStr">
        <is>
          <t>A. Shah</t>
        </is>
      </c>
    </row>
    <row r="700">
      <c r="A700" s="13" t="inlineStr">
        <is>
          <t>HC-100698</t>
        </is>
      </c>
      <c r="B700" s="13" t="inlineStr">
        <is>
          <t>2024/01/19</t>
        </is>
      </c>
      <c r="C700" s="13" t="inlineStr">
        <is>
          <t>North</t>
        </is>
      </c>
      <c r="D700" s="13" t="inlineStr">
        <is>
          <t>Store</t>
        </is>
      </c>
      <c r="E700" s="13" t="inlineStr">
        <is>
          <t>Textiles</t>
        </is>
      </c>
      <c r="F700" s="13" t="inlineStr">
        <is>
          <t>Wool Throw</t>
        </is>
      </c>
      <c r="G700" s="13" t="inlineStr">
        <is>
          <t>Consumer</t>
        </is>
      </c>
      <c r="H700" s="13" t="inlineStr">
        <is>
          <t>4</t>
        </is>
      </c>
      <c r="I700" s="14" t="inlineStr">
        <is>
          <t>73.27</t>
        </is>
      </c>
      <c r="J700" s="15" t="inlineStr">
        <is>
          <t>0.06</t>
        </is>
      </c>
      <c r="K700" s="14" t="inlineStr">
        <is>
          <t>30.77</t>
        </is>
      </c>
      <c r="L700" s="13" t="inlineStr">
        <is>
          <t>3</t>
        </is>
      </c>
      <c r="M700" s="13" t="inlineStr">
        <is>
          <t>Completed</t>
        </is>
      </c>
      <c r="N700" s="13" t="inlineStr">
        <is>
          <t>R. Ibarra</t>
        </is>
      </c>
    </row>
    <row r="701">
      <c r="A701" s="13" t="inlineStr">
        <is>
          <t>HC-100699</t>
        </is>
      </c>
      <c r="B701" s="13" t="inlineStr">
        <is>
          <t>29.07.2025</t>
        </is>
      </c>
      <c r="C701" s="13" t="inlineStr">
        <is>
          <t>South</t>
        </is>
      </c>
      <c r="D701" s="13" t="inlineStr">
        <is>
          <t>e-commerce</t>
        </is>
      </c>
      <c r="E701" s="13" t="inlineStr">
        <is>
          <t>Furniture</t>
        </is>
      </c>
      <c r="F701" s="13" t="inlineStr">
        <is>
          <t>Lounge Chair</t>
        </is>
      </c>
      <c r="G701" s="13" t="inlineStr">
        <is>
          <t>Consumer</t>
        </is>
      </c>
      <c r="H701" s="13" t="inlineStr">
        <is>
          <t>2</t>
        </is>
      </c>
      <c r="I701" s="14" t="inlineStr">
        <is>
          <t>446.61</t>
        </is>
      </c>
      <c r="J701" s="15" t="inlineStr">
        <is>
          <t>0.03</t>
        </is>
      </c>
      <c r="K701" s="14" t="inlineStr">
        <is>
          <t>267.97</t>
        </is>
      </c>
      <c r="L701" s="13" t="inlineStr">
        <is>
          <t>4</t>
        </is>
      </c>
      <c r="M701" s="13" t="inlineStr">
        <is>
          <t>Completed</t>
        </is>
      </c>
      <c r="N701" s="13" t="inlineStr">
        <is>
          <t>P. Rossi</t>
        </is>
      </c>
    </row>
    <row r="702">
      <c r="A702" s="13" t="inlineStr">
        <is>
          <t>HC-100700</t>
        </is>
      </c>
      <c r="B702" s="13" t="inlineStr">
        <is>
          <t>01/14/2025</t>
        </is>
      </c>
      <c r="C702" s="13" t="inlineStr">
        <is>
          <t>north</t>
        </is>
      </c>
      <c r="D702" s="13" t="inlineStr">
        <is>
          <t>Store</t>
        </is>
      </c>
      <c r="E702" s="13" t="inlineStr">
        <is>
          <t>Lighting</t>
        </is>
      </c>
      <c r="F702" s="13" t="inlineStr">
        <is>
          <t>Pendant Light</t>
        </is>
      </c>
      <c r="G702" s="13" t="inlineStr">
        <is>
          <t>Consumer</t>
        </is>
      </c>
      <c r="H702" s="13" t="inlineStr">
        <is>
          <t>1</t>
        </is>
      </c>
      <c r="I702" s="14" t="inlineStr">
        <is>
          <t>174.49</t>
        </is>
      </c>
      <c r="J702" s="15" t="inlineStr">
        <is>
          <t>0.08</t>
        </is>
      </c>
      <c r="K702" s="14" t="inlineStr">
        <is>
          <t>87.24</t>
        </is>
      </c>
      <c r="L702" s="13" t="inlineStr">
        <is>
          <t>5</t>
        </is>
      </c>
      <c r="M702" s="13" t="inlineStr">
        <is>
          <t>Completed</t>
        </is>
      </c>
      <c r="N702" s="13" t="inlineStr">
        <is>
          <t>S. Nguyen</t>
        </is>
      </c>
    </row>
    <row r="703">
      <c r="A703" s="13" t="inlineStr">
        <is>
          <t>HC-100701</t>
        </is>
      </c>
      <c r="B703" s="13" t="inlineStr">
        <is>
          <t>06-Nov-24</t>
        </is>
      </c>
      <c r="C703" s="13" t="inlineStr">
        <is>
          <t>West</t>
        </is>
      </c>
      <c r="D703" s="13" t="inlineStr">
        <is>
          <t>Store</t>
        </is>
      </c>
      <c r="E703" s="13" t="inlineStr">
        <is>
          <t>Textiles</t>
        </is>
      </c>
      <c r="F703" s="13" t="inlineStr">
        <is>
          <t>Wool Throw</t>
        </is>
      </c>
      <c r="G703" s="13" t="inlineStr">
        <is>
          <t>Corporate</t>
        </is>
      </c>
      <c r="H703" s="13" t="inlineStr">
        <is>
          <t>4</t>
        </is>
      </c>
      <c r="I703" s="14" t="inlineStr">
        <is>
          <t>78.38</t>
        </is>
      </c>
      <c r="J703" s="15" t="inlineStr">
        <is>
          <t>0.01</t>
        </is>
      </c>
      <c r="K703" s="14" t="inlineStr">
        <is>
          <t>32.92</t>
        </is>
      </c>
      <c r="L703" s="13" t="inlineStr">
        <is>
          <t>7</t>
        </is>
      </c>
      <c r="M703" s="13" t="inlineStr">
        <is>
          <t>Completed</t>
        </is>
      </c>
      <c r="N703" s="13" t="inlineStr">
        <is>
          <t>A. Shah</t>
        </is>
      </c>
    </row>
    <row r="704">
      <c r="A704" s="13" t="inlineStr">
        <is>
          <t>HC-100702</t>
        </is>
      </c>
      <c r="B704" s="13" t="inlineStr">
        <is>
          <t>2024/02/10</t>
        </is>
      </c>
      <c r="C704" s="13" t="inlineStr">
        <is>
          <t>West</t>
        </is>
      </c>
      <c r="D704" s="13" t="inlineStr">
        <is>
          <t>Store</t>
        </is>
      </c>
      <c r="E704" s="13" t="inlineStr">
        <is>
          <t>Furniture</t>
        </is>
      </c>
      <c r="F704" s="13" t="inlineStr">
        <is>
          <t>Walnut Shelf</t>
        </is>
      </c>
      <c r="G704" s="13" t="inlineStr">
        <is>
          <t>Consumer</t>
        </is>
      </c>
      <c r="H704" s="13" t="inlineStr">
        <is>
          <t>4</t>
        </is>
      </c>
      <c r="I704" s="14" t="inlineStr">
        <is>
          <t>225.05</t>
        </is>
      </c>
      <c r="J704" s="15" t="inlineStr">
        <is>
          <t>0.04</t>
        </is>
      </c>
      <c r="K704" s="14" t="inlineStr">
        <is>
          <t>123.78</t>
        </is>
      </c>
      <c r="L704" s="13" t="inlineStr">
        <is>
          <t>9</t>
        </is>
      </c>
      <c r="M704" s="13" t="inlineStr">
        <is>
          <t>Completed</t>
        </is>
      </c>
      <c r="N704" s="13" t="inlineStr">
        <is>
          <t>L. Berger</t>
        </is>
      </c>
    </row>
    <row r="705">
      <c r="A705" s="13" t="inlineStr">
        <is>
          <t>HC-100703</t>
        </is>
      </c>
      <c r="B705" s="13" t="inlineStr">
        <is>
          <t>26.11.2024</t>
        </is>
      </c>
      <c r="C705" s="13" t="inlineStr">
        <is>
          <t>West</t>
        </is>
      </c>
      <c r="D705" s="13" t="inlineStr">
        <is>
          <t>Store</t>
        </is>
      </c>
      <c r="E705" s="13" t="inlineStr">
        <is>
          <t>Furniture</t>
        </is>
      </c>
      <c r="F705" s="13" t="inlineStr">
        <is>
          <t>Linen Sofa</t>
        </is>
      </c>
      <c r="G705" s="13" t="inlineStr">
        <is>
          <t>consumer</t>
        </is>
      </c>
      <c r="H705" s="13" t="inlineStr">
        <is>
          <t>2</t>
        </is>
      </c>
      <c r="I705" s="14" t="inlineStr">
        <is>
          <t>$1,243.99</t>
        </is>
      </c>
      <c r="J705" s="15" t="inlineStr">
        <is>
          <t>0.08</t>
        </is>
      </c>
      <c r="K705" s="14" t="inlineStr">
        <is>
          <t>821.03</t>
        </is>
      </c>
      <c r="L705" s="13" t="inlineStr">
        <is>
          <t>8</t>
        </is>
      </c>
      <c r="M705" s="13" t="inlineStr">
        <is>
          <t>Completed</t>
        </is>
      </c>
      <c r="N705" s="13" t="inlineStr">
        <is>
          <t>A. Shah</t>
        </is>
      </c>
    </row>
    <row r="706">
      <c r="A706" s="13" t="inlineStr">
        <is>
          <t>HC-100704</t>
        </is>
      </c>
      <c r="B706" s="13" t="inlineStr">
        <is>
          <t>08/03/2025</t>
        </is>
      </c>
      <c r="C706" s="13" t="inlineStr">
        <is>
          <t>North</t>
        </is>
      </c>
      <c r="D706" s="13" t="inlineStr">
        <is>
          <t>Online</t>
        </is>
      </c>
      <c r="E706" s="13" t="inlineStr">
        <is>
          <t>Lighting</t>
        </is>
      </c>
      <c r="F706" s="13" t="inlineStr">
        <is>
          <t>Pendant Light</t>
        </is>
      </c>
      <c r="G706" s="13" t="inlineStr">
        <is>
          <t>Corporate</t>
        </is>
      </c>
      <c r="H706" s="13" t="inlineStr">
        <is>
          <t>1</t>
        </is>
      </c>
      <c r="I706" s="14" t="inlineStr">
        <is>
          <t>189.00</t>
        </is>
      </c>
      <c r="J706" s="15" t="inlineStr">
        <is>
          <t>0.10</t>
        </is>
      </c>
      <c r="K706" s="14" t="inlineStr">
        <is>
          <t>94.50</t>
        </is>
      </c>
      <c r="L706" s="13" t="inlineStr">
        <is>
          <t>6</t>
        </is>
      </c>
      <c r="M706" s="13" t="inlineStr">
        <is>
          <t>Completed</t>
        </is>
      </c>
      <c r="N706" s="13" t="inlineStr">
        <is>
          <t>A. Shah</t>
        </is>
      </c>
    </row>
    <row r="707">
      <c r="A707" s="13" t="inlineStr">
        <is>
          <t>HC-100705</t>
        </is>
      </c>
      <c r="B707" s="13" t="inlineStr">
        <is>
          <t>16-Feb-24</t>
        </is>
      </c>
      <c r="C707" s="13" t="inlineStr">
        <is>
          <t>South</t>
        </is>
      </c>
      <c r="D707" s="13" t="inlineStr">
        <is>
          <t>web</t>
        </is>
      </c>
      <c r="E707" s="13" t="inlineStr">
        <is>
          <t>Textiles</t>
        </is>
      </c>
      <c r="F707" s="13" t="inlineStr">
        <is>
          <t>Linen Curtain</t>
        </is>
      </c>
      <c r="G707" s="13" t="inlineStr">
        <is>
          <t>Consumer</t>
        </is>
      </c>
      <c r="H707" s="13" t="inlineStr">
        <is>
          <t>1</t>
        </is>
      </c>
      <c r="I707" s="14" t="inlineStr">
        <is>
          <t>$102.01</t>
        </is>
      </c>
      <c r="J707" s="15" t="inlineStr">
        <is>
          <t>0.15</t>
        </is>
      </c>
      <c r="K707" s="14" t="inlineStr">
        <is>
          <t>45.91</t>
        </is>
      </c>
      <c r="L707" s="13" t="inlineStr">
        <is>
          <t>4</t>
        </is>
      </c>
      <c r="M707" s="13" t="inlineStr">
        <is>
          <t>Completed</t>
        </is>
      </c>
      <c r="N707" s="13" t="inlineStr">
        <is>
          <t>L. Berger</t>
        </is>
      </c>
    </row>
    <row r="708">
      <c r="A708" s="13" t="inlineStr">
        <is>
          <t>HC-100706</t>
        </is>
      </c>
      <c r="B708" s="13" t="inlineStr">
        <is>
          <t>2025/07/24</t>
        </is>
      </c>
      <c r="C708" s="13" t="inlineStr">
        <is>
          <t>West</t>
        </is>
      </c>
      <c r="D708" s="13" t="inlineStr">
        <is>
          <t>Wholesale</t>
        </is>
      </c>
      <c r="E708" s="13" t="inlineStr">
        <is>
          <t>Lighting</t>
        </is>
      </c>
      <c r="F708" s="13" t="inlineStr">
        <is>
          <t>Brass Sconce</t>
        </is>
      </c>
      <c r="G708" s="13" t="inlineStr">
        <is>
          <t>Consumer</t>
        </is>
      </c>
      <c r="H708" s="13" t="inlineStr">
        <is>
          <t>21</t>
        </is>
      </c>
      <c r="I708" s="14" t="inlineStr">
        <is>
          <t>149.19</t>
        </is>
      </c>
      <c r="J708" s="15" t="inlineStr">
        <is>
          <t>0.29</t>
        </is>
      </c>
      <c r="K708" s="14" t="inlineStr">
        <is>
          <t>68.63</t>
        </is>
      </c>
      <c r="L708" s="13" t="inlineStr">
        <is>
          <t>6</t>
        </is>
      </c>
      <c r="M708" s="13" t="inlineStr">
        <is>
          <t>COMPLETED</t>
        </is>
      </c>
      <c r="N708" s="13" t="inlineStr">
        <is>
          <t>M. Okonkwo</t>
        </is>
      </c>
    </row>
    <row r="709">
      <c r="A709" s="13" t="inlineStr">
        <is>
          <t>HC-100707</t>
        </is>
      </c>
      <c r="B709" s="13" t="inlineStr">
        <is>
          <t>27.11.2024</t>
        </is>
      </c>
      <c r="C709" s="13" t="inlineStr">
        <is>
          <t>South</t>
        </is>
      </c>
      <c r="D709" s="13" t="inlineStr">
        <is>
          <t>Wholesale</t>
        </is>
      </c>
      <c r="E709" s="13" t="inlineStr">
        <is>
          <t>Lighting</t>
        </is>
      </c>
      <c r="F709" s="13" t="inlineStr">
        <is>
          <t>Arc Lamp</t>
        </is>
      </c>
      <c r="G709" s="13" t="inlineStr"/>
      <c r="H709" s="13" t="inlineStr">
        <is>
          <t>21</t>
        </is>
      </c>
      <c r="I709" s="14" t="inlineStr">
        <is>
          <t>300.31</t>
        </is>
      </c>
      <c r="J709" s="15" t="inlineStr">
        <is>
          <t>0.15</t>
        </is>
      </c>
      <c r="K709" s="14" t="inlineStr">
        <is>
          <t>144.15</t>
        </is>
      </c>
      <c r="L709" s="13" t="inlineStr">
        <is>
          <t>5</t>
        </is>
      </c>
      <c r="M709" s="13" t="inlineStr">
        <is>
          <t>Completed</t>
        </is>
      </c>
      <c r="N709" s="13" t="inlineStr">
        <is>
          <t>R. Ibarra</t>
        </is>
      </c>
    </row>
    <row r="710">
      <c r="A710" s="13" t="inlineStr">
        <is>
          <t>HC-100708</t>
        </is>
      </c>
      <c r="B710" s="13" t="inlineStr">
        <is>
          <t>02/25/2025</t>
        </is>
      </c>
      <c r="C710" s="13" t="inlineStr">
        <is>
          <t>West</t>
        </is>
      </c>
      <c r="D710" s="13" t="inlineStr">
        <is>
          <t>In-Store</t>
        </is>
      </c>
      <c r="E710" s="13" t="inlineStr">
        <is>
          <t>Lighting</t>
        </is>
      </c>
      <c r="F710" s="13" t="inlineStr">
        <is>
          <t>Brass Sconce</t>
        </is>
      </c>
      <c r="G710" s="13" t="inlineStr">
        <is>
          <t>Consumer</t>
        </is>
      </c>
      <c r="H710" s="13" t="inlineStr">
        <is>
          <t>1</t>
        </is>
      </c>
      <c r="I710" s="14" t="inlineStr">
        <is>
          <t>148.63</t>
        </is>
      </c>
      <c r="J710" s="15" t="inlineStr">
        <is>
          <t>0.07</t>
        </is>
      </c>
      <c r="K710" s="14" t="inlineStr">
        <is>
          <t>68.37</t>
        </is>
      </c>
      <c r="L710" s="13" t="inlineStr">
        <is>
          <t>4</t>
        </is>
      </c>
      <c r="M710" s="13" t="inlineStr">
        <is>
          <t>COMPLETED</t>
        </is>
      </c>
      <c r="N710" s="13" t="inlineStr">
        <is>
          <t>P. Rossi</t>
        </is>
      </c>
    </row>
    <row r="711">
      <c r="A711" s="13" t="inlineStr">
        <is>
          <t>HC-100709</t>
        </is>
      </c>
      <c r="B711" s="13" t="inlineStr">
        <is>
          <t>14-Jul-25</t>
        </is>
      </c>
      <c r="C711" s="13" t="inlineStr">
        <is>
          <t>South</t>
        </is>
      </c>
      <c r="D711" s="13" t="inlineStr">
        <is>
          <t>Online</t>
        </is>
      </c>
      <c r="E711" s="13" t="inlineStr">
        <is>
          <t>Kitchen</t>
        </is>
      </c>
      <c r="F711" s="13" t="inlineStr">
        <is>
          <t>Ceramic Set</t>
        </is>
      </c>
      <c r="G711" s="13" t="inlineStr">
        <is>
          <t>Home Office</t>
        </is>
      </c>
      <c r="H711" s="13" t="inlineStr">
        <is>
          <t>2</t>
        </is>
      </c>
      <c r="I711" s="14" t="inlineStr">
        <is>
          <t>86.24</t>
        </is>
      </c>
      <c r="J711" s="15" t="inlineStr">
        <is>
          <t>0.16</t>
        </is>
      </c>
      <c r="K711" s="14" t="inlineStr">
        <is>
          <t>32.77</t>
        </is>
      </c>
      <c r="L711" s="13" t="inlineStr">
        <is>
          <t>9</t>
        </is>
      </c>
      <c r="M711" s="13" t="inlineStr">
        <is>
          <t>Completed</t>
        </is>
      </c>
      <c r="N711" s="13" t="inlineStr">
        <is>
          <t>K. Mensah</t>
        </is>
      </c>
    </row>
    <row r="712">
      <c r="A712" s="13" t="inlineStr">
        <is>
          <t>HC-100710</t>
        </is>
      </c>
      <c r="B712" s="13" t="inlineStr">
        <is>
          <t>2025/06/26</t>
        </is>
      </c>
      <c r="C712" s="13" t="inlineStr">
        <is>
          <t>North</t>
        </is>
      </c>
      <c r="D712" s="13" t="inlineStr">
        <is>
          <t>Store</t>
        </is>
      </c>
      <c r="E712" s="13" t="inlineStr">
        <is>
          <t>Furniture</t>
        </is>
      </c>
      <c r="F712" s="13" t="inlineStr">
        <is>
          <t>Lounge Chair</t>
        </is>
      </c>
      <c r="G712" s="13" t="inlineStr">
        <is>
          <t>Consumer</t>
        </is>
      </c>
      <c r="H712" s="13" t="inlineStr">
        <is>
          <t>4</t>
        </is>
      </c>
      <c r="I712" s="14" t="inlineStr">
        <is>
          <t>489.59</t>
        </is>
      </c>
      <c r="J712" s="15" t="inlineStr">
        <is>
          <t>0.02</t>
        </is>
      </c>
      <c r="K712" s="14" t="inlineStr">
        <is>
          <t>293.75</t>
        </is>
      </c>
      <c r="L712" s="13" t="inlineStr">
        <is>
          <t>6</t>
        </is>
      </c>
      <c r="M712" s="13" t="inlineStr">
        <is>
          <t>COMPLETED</t>
        </is>
      </c>
      <c r="N712" s="13" t="inlineStr">
        <is>
          <t>J. Patel</t>
        </is>
      </c>
    </row>
    <row r="713">
      <c r="A713" s="13" t="inlineStr">
        <is>
          <t>HC-100711</t>
        </is>
      </c>
      <c r="B713" s="13" t="inlineStr">
        <is>
          <t>12.05.2024</t>
        </is>
      </c>
      <c r="C713" s="13" t="inlineStr">
        <is>
          <t>Sout</t>
        </is>
      </c>
      <c r="D713" s="13" t="inlineStr">
        <is>
          <t>Store</t>
        </is>
      </c>
      <c r="E713" s="13" t="inlineStr">
        <is>
          <t>Textiles</t>
        </is>
      </c>
      <c r="F713" s="13" t="inlineStr">
        <is>
          <t>Linen Curtain</t>
        </is>
      </c>
      <c r="G713" s="13" t="inlineStr">
        <is>
          <t>consumer</t>
        </is>
      </c>
      <c r="H713" s="13" t="inlineStr">
        <is>
          <t>1</t>
        </is>
      </c>
      <c r="I713" s="14" t="inlineStr">
        <is>
          <t>96.12</t>
        </is>
      </c>
      <c r="J713" s="15" t="inlineStr">
        <is>
          <t>0.10</t>
        </is>
      </c>
      <c r="K713" s="14" t="inlineStr">
        <is>
          <t>43.25</t>
        </is>
      </c>
      <c r="L713" s="13" t="inlineStr">
        <is>
          <t>9</t>
        </is>
      </c>
      <c r="M713" s="13" t="inlineStr">
        <is>
          <t>Returned</t>
        </is>
      </c>
      <c r="N713" s="13" t="inlineStr">
        <is>
          <t>P. Rossi</t>
        </is>
      </c>
    </row>
    <row r="714">
      <c r="A714" s="13" t="inlineStr">
        <is>
          <t>HC-100712</t>
        </is>
      </c>
      <c r="B714" s="13" t="inlineStr">
        <is>
          <t>06/25/2025</t>
        </is>
      </c>
      <c r="C714" s="13" t="inlineStr">
        <is>
          <t>South</t>
        </is>
      </c>
      <c r="D714" s="13" t="inlineStr">
        <is>
          <t>B2B</t>
        </is>
      </c>
      <c r="E714" s="13" t="inlineStr">
        <is>
          <t>Kitchen</t>
        </is>
      </c>
      <c r="F714" s="13" t="inlineStr">
        <is>
          <t>Ceramic Set</t>
        </is>
      </c>
      <c r="G714" s="13" t="inlineStr">
        <is>
          <t>Consumer</t>
        </is>
      </c>
      <c r="H714" s="13" t="inlineStr">
        <is>
          <t>22</t>
        </is>
      </c>
      <c r="I714" s="14" t="inlineStr">
        <is>
          <t>80.02</t>
        </is>
      </c>
      <c r="J714" s="15" t="inlineStr">
        <is>
          <t>0.23</t>
        </is>
      </c>
      <c r="K714" s="14" t="inlineStr">
        <is>
          <t>30.41</t>
        </is>
      </c>
      <c r="L714" s="13" t="inlineStr">
        <is>
          <t>3</t>
        </is>
      </c>
      <c r="M714" s="13" t="inlineStr">
        <is>
          <t>Completed</t>
        </is>
      </c>
      <c r="N714" s="13" t="inlineStr">
        <is>
          <t>A. Shah</t>
        </is>
      </c>
    </row>
    <row r="715">
      <c r="A715" s="13" t="inlineStr">
        <is>
          <t>HC-100713</t>
        </is>
      </c>
      <c r="B715" s="13" t="inlineStr">
        <is>
          <t>22-May-25</t>
        </is>
      </c>
      <c r="C715" s="13" t="inlineStr">
        <is>
          <t>West</t>
        </is>
      </c>
      <c r="D715" s="13" t="inlineStr">
        <is>
          <t>Online</t>
        </is>
      </c>
      <c r="E715" s="13" t="inlineStr">
        <is>
          <t>Textiles</t>
        </is>
      </c>
      <c r="F715" s="13" t="inlineStr">
        <is>
          <t>Wool Throw</t>
        </is>
      </c>
      <c r="G715" s="13" t="inlineStr">
        <is>
          <t>Consumer</t>
        </is>
      </c>
      <c r="H715" s="13" t="inlineStr">
        <is>
          <t>1</t>
        </is>
      </c>
      <c r="I715" s="14" t="inlineStr">
        <is>
          <t>72.00</t>
        </is>
      </c>
      <c r="J715" s="15" t="inlineStr">
        <is>
          <t>0.03</t>
        </is>
      </c>
      <c r="K715" s="14" t="inlineStr">
        <is>
          <t>30.24</t>
        </is>
      </c>
      <c r="L715" s="13" t="inlineStr">
        <is>
          <t>5</t>
        </is>
      </c>
      <c r="M715" s="13" t="inlineStr">
        <is>
          <t>Completed</t>
        </is>
      </c>
      <c r="N715" s="13" t="inlineStr">
        <is>
          <t>S. Nguyen</t>
        </is>
      </c>
    </row>
    <row r="716">
      <c r="A716" s="13" t="inlineStr">
        <is>
          <t>HC-100714</t>
        </is>
      </c>
      <c r="B716" s="13" t="inlineStr">
        <is>
          <t>2025/06/14</t>
        </is>
      </c>
      <c r="C716" s="13" t="inlineStr">
        <is>
          <t>north</t>
        </is>
      </c>
      <c r="D716" s="13" t="inlineStr">
        <is>
          <t>Online</t>
        </is>
      </c>
      <c r="E716" s="13" t="inlineStr">
        <is>
          <t>Kitchen</t>
        </is>
      </c>
      <c r="F716" s="13" t="inlineStr">
        <is>
          <t>Ceramic Set</t>
        </is>
      </c>
      <c r="G716" s="13" t="inlineStr">
        <is>
          <t>Consumer</t>
        </is>
      </c>
      <c r="H716" s="13" t="inlineStr">
        <is>
          <t>1</t>
        </is>
      </c>
      <c r="I716" s="14" t="inlineStr">
        <is>
          <t>87.77</t>
        </is>
      </c>
      <c r="J716" s="15" t="inlineStr">
        <is>
          <t>0.08</t>
        </is>
      </c>
      <c r="K716" s="14" t="inlineStr">
        <is>
          <t>33.35</t>
        </is>
      </c>
      <c r="L716" s="13" t="inlineStr">
        <is>
          <t>4</t>
        </is>
      </c>
      <c r="M716" s="13" t="inlineStr">
        <is>
          <t>Compleated</t>
        </is>
      </c>
      <c r="N716" s="13" t="inlineStr">
        <is>
          <t>L. Berger</t>
        </is>
      </c>
    </row>
    <row r="717">
      <c r="A717" s="13" t="inlineStr">
        <is>
          <t>HC-100715</t>
        </is>
      </c>
      <c r="B717" s="13" t="inlineStr">
        <is>
          <t>16.07.2024</t>
        </is>
      </c>
      <c r="C717" s="13" t="inlineStr">
        <is>
          <t>East</t>
        </is>
      </c>
      <c r="D717" s="13" t="inlineStr">
        <is>
          <t>Store</t>
        </is>
      </c>
      <c r="E717" s="13" t="inlineStr">
        <is>
          <t>LIGHTING</t>
        </is>
      </c>
      <c r="F717" s="13" t="inlineStr">
        <is>
          <t>Arc Lamp</t>
        </is>
      </c>
      <c r="G717" s="13" t="inlineStr">
        <is>
          <t>Consumer</t>
        </is>
      </c>
      <c r="H717" s="13" t="inlineStr">
        <is>
          <t>1</t>
        </is>
      </c>
      <c r="I717" s="14" t="inlineStr">
        <is>
          <t>283.48</t>
        </is>
      </c>
      <c r="J717" s="15" t="inlineStr">
        <is>
          <t>0.09</t>
        </is>
      </c>
      <c r="K717" s="14" t="inlineStr">
        <is>
          <t>136.07</t>
        </is>
      </c>
      <c r="L717" s="13" t="inlineStr">
        <is>
          <t>11</t>
        </is>
      </c>
      <c r="M717" s="13" t="inlineStr">
        <is>
          <t>Cancelled</t>
        </is>
      </c>
      <c r="N717" s="13" t="inlineStr">
        <is>
          <t>K. Mensah</t>
        </is>
      </c>
    </row>
    <row r="718">
      <c r="A718" s="13" t="inlineStr">
        <is>
          <t>HC-100716</t>
        </is>
      </c>
      <c r="B718" s="13" t="inlineStr">
        <is>
          <t>04/03/2024</t>
        </is>
      </c>
      <c r="C718" s="13" t="inlineStr">
        <is>
          <t>East</t>
        </is>
      </c>
      <c r="D718" s="13" t="inlineStr">
        <is>
          <t>Store</t>
        </is>
      </c>
      <c r="E718" s="13" t="inlineStr">
        <is>
          <t>LIGHTING</t>
        </is>
      </c>
      <c r="F718" s="13" t="inlineStr">
        <is>
          <t>Brass Sconce</t>
        </is>
      </c>
      <c r="G718" s="13" t="inlineStr">
        <is>
          <t>Corporate</t>
        </is>
      </c>
      <c r="H718" s="13" t="inlineStr">
        <is>
          <t>3</t>
        </is>
      </c>
      <c r="I718" s="14" t="inlineStr">
        <is>
          <t>120.31</t>
        </is>
      </c>
      <c r="J718" s="15" t="inlineStr">
        <is>
          <t>0.09</t>
        </is>
      </c>
      <c r="K718" s="14" t="inlineStr">
        <is>
          <t>55.34</t>
        </is>
      </c>
      <c r="L718" s="13" t="inlineStr">
        <is>
          <t>8</t>
        </is>
      </c>
      <c r="M718" s="13" t="inlineStr">
        <is>
          <t>Completed</t>
        </is>
      </c>
      <c r="N718" s="13" t="inlineStr">
        <is>
          <t>S. Nguyen</t>
        </is>
      </c>
    </row>
    <row r="719">
      <c r="A719" s="13" t="inlineStr">
        <is>
          <t>HC-100717</t>
        </is>
      </c>
      <c r="B719" s="13" t="inlineStr">
        <is>
          <t>10-Nov-24</t>
        </is>
      </c>
      <c r="C719" s="13" t="inlineStr">
        <is>
          <t>North</t>
        </is>
      </c>
      <c r="D719" s="13" t="inlineStr">
        <is>
          <t>Online</t>
        </is>
      </c>
      <c r="E719" s="13" t="inlineStr">
        <is>
          <t>Textiles</t>
        </is>
      </c>
      <c r="F719" s="13" t="inlineStr">
        <is>
          <t>Linen Curtain</t>
        </is>
      </c>
      <c r="G719" s="13" t="inlineStr"/>
      <c r="H719" s="13" t="inlineStr">
        <is>
          <t>3</t>
        </is>
      </c>
      <c r="I719" s="14" t="inlineStr">
        <is>
          <t>92.19</t>
        </is>
      </c>
      <c r="J719" s="15" t="inlineStr">
        <is>
          <t>0.11</t>
        </is>
      </c>
      <c r="K719" s="14" t="inlineStr">
        <is>
          <t>41.48</t>
        </is>
      </c>
      <c r="L719" s="13" t="inlineStr">
        <is>
          <t>6</t>
        </is>
      </c>
      <c r="M719" s="13" t="inlineStr">
        <is>
          <t>Completed</t>
        </is>
      </c>
      <c r="N719" s="13" t="inlineStr">
        <is>
          <t>R. Ibarra</t>
        </is>
      </c>
    </row>
    <row r="720">
      <c r="A720" s="13" t="inlineStr">
        <is>
          <t>HC-100718</t>
        </is>
      </c>
      <c r="B720" s="13" t="inlineStr">
        <is>
          <t>2024/12/21</t>
        </is>
      </c>
      <c r="C720" s="13" t="inlineStr">
        <is>
          <t xml:space="preserve"> west </t>
        </is>
      </c>
      <c r="D720" s="13" t="inlineStr">
        <is>
          <t>Store</t>
        </is>
      </c>
      <c r="E720" s="13" t="inlineStr">
        <is>
          <t>Kitchen</t>
        </is>
      </c>
      <c r="F720" s="13" t="inlineStr">
        <is>
          <t>Chef Knife</t>
        </is>
      </c>
      <c r="G720" s="13" t="inlineStr">
        <is>
          <t>consumer</t>
        </is>
      </c>
      <c r="H720" s="13" t="inlineStr">
        <is>
          <t>5</t>
        </is>
      </c>
      <c r="I720" s="14" t="inlineStr">
        <is>
          <t>67.16</t>
        </is>
      </c>
      <c r="J720" s="15" t="inlineStr">
        <is>
          <t>0.12</t>
        </is>
      </c>
      <c r="K720" s="14" t="inlineStr">
        <is>
          <t>24.18</t>
        </is>
      </c>
      <c r="L720" s="13" t="inlineStr">
        <is>
          <t>7</t>
        </is>
      </c>
      <c r="M720" s="13" t="inlineStr">
        <is>
          <t>Completed</t>
        </is>
      </c>
      <c r="N720" s="13" t="inlineStr">
        <is>
          <t>M. Okonkwo</t>
        </is>
      </c>
    </row>
    <row r="721">
      <c r="A721" s="13" t="inlineStr">
        <is>
          <t>HC-100719</t>
        </is>
      </c>
      <c r="B721" s="13" t="inlineStr">
        <is>
          <t>07.08.2025</t>
        </is>
      </c>
      <c r="C721" s="13" t="inlineStr">
        <is>
          <t>North</t>
        </is>
      </c>
      <c r="D721" s="13" t="inlineStr">
        <is>
          <t>Store</t>
        </is>
      </c>
      <c r="E721" s="13" t="inlineStr">
        <is>
          <t>Furniture</t>
        </is>
      </c>
      <c r="F721" s="13" t="inlineStr">
        <is>
          <t>Linen Sofa</t>
        </is>
      </c>
      <c r="G721" s="13" t="inlineStr">
        <is>
          <t>Corporate</t>
        </is>
      </c>
      <c r="H721" s="13" t="inlineStr">
        <is>
          <t>2</t>
        </is>
      </c>
      <c r="I721" s="14" t="inlineStr">
        <is>
          <t>1155.40</t>
        </is>
      </c>
      <c r="J721" s="15" t="inlineStr">
        <is>
          <t>0.01</t>
        </is>
      </c>
      <c r="K721" s="14" t="inlineStr">
        <is>
          <t>762.57</t>
        </is>
      </c>
      <c r="L721" s="13" t="inlineStr">
        <is>
          <t>3</t>
        </is>
      </c>
      <c r="M721" s="13" t="inlineStr">
        <is>
          <t>Completed</t>
        </is>
      </c>
      <c r="N721" s="13" t="inlineStr">
        <is>
          <t>L. Berger</t>
        </is>
      </c>
    </row>
    <row r="722">
      <c r="A722" s="13" t="inlineStr">
        <is>
          <t>HC-100720</t>
        </is>
      </c>
      <c r="B722" s="13" t="inlineStr">
        <is>
          <t>06/21/2025</t>
        </is>
      </c>
      <c r="C722" s="13" t="inlineStr">
        <is>
          <t>North</t>
        </is>
      </c>
      <c r="D722" s="13" t="inlineStr">
        <is>
          <t>retail</t>
        </is>
      </c>
      <c r="E722" s="13" t="inlineStr">
        <is>
          <t>Kitchen</t>
        </is>
      </c>
      <c r="F722" s="13" t="inlineStr">
        <is>
          <t>Ceramic Set</t>
        </is>
      </c>
      <c r="G722" s="13" t="inlineStr">
        <is>
          <t>Corporate</t>
        </is>
      </c>
      <c r="H722" s="13" t="inlineStr">
        <is>
          <t>1</t>
        </is>
      </c>
      <c r="I722" s="14" t="inlineStr">
        <is>
          <t>84.70</t>
        </is>
      </c>
      <c r="J722" s="15" t="inlineStr">
        <is>
          <t>0.09</t>
        </is>
      </c>
      <c r="K722" s="14" t="inlineStr">
        <is>
          <t>32.18</t>
        </is>
      </c>
      <c r="L722" s="13" t="inlineStr">
        <is>
          <t>8</t>
        </is>
      </c>
      <c r="M722" s="13" t="inlineStr">
        <is>
          <t>COMPLETED</t>
        </is>
      </c>
      <c r="N722" s="13" t="inlineStr">
        <is>
          <t>A. Shah</t>
        </is>
      </c>
    </row>
    <row r="723">
      <c r="A723" s="13" t="inlineStr">
        <is>
          <t>HC-100721</t>
        </is>
      </c>
      <c r="B723" s="13" t="inlineStr">
        <is>
          <t>07-Mar-25</t>
        </is>
      </c>
      <c r="C723" s="13" t="inlineStr">
        <is>
          <t>South</t>
        </is>
      </c>
      <c r="D723" s="13" t="inlineStr">
        <is>
          <t>web</t>
        </is>
      </c>
      <c r="E723" s="13" t="inlineStr">
        <is>
          <t>Textiles</t>
        </is>
      </c>
      <c r="F723" s="13" t="inlineStr">
        <is>
          <t>Wool Throw</t>
        </is>
      </c>
      <c r="G723" s="13" t="inlineStr">
        <is>
          <t>Consumer</t>
        </is>
      </c>
      <c r="H723" s="13" t="inlineStr">
        <is>
          <t>1</t>
        </is>
      </c>
      <c r="I723" s="14" t="inlineStr">
        <is>
          <t>79.40</t>
        </is>
      </c>
      <c r="J723" s="15" t="inlineStr">
        <is>
          <t>0.12</t>
        </is>
      </c>
      <c r="K723" s="14" t="inlineStr">
        <is>
          <t>33.35</t>
        </is>
      </c>
      <c r="L723" s="13" t="inlineStr">
        <is>
          <t>2</t>
        </is>
      </c>
      <c r="M723" s="13" t="inlineStr">
        <is>
          <t>Completed</t>
        </is>
      </c>
      <c r="N723" s="13" t="inlineStr">
        <is>
          <t>K. Mensah</t>
        </is>
      </c>
    </row>
    <row r="724">
      <c r="A724" s="13" t="inlineStr">
        <is>
          <t>HC-100722</t>
        </is>
      </c>
      <c r="B724" s="13" t="inlineStr">
        <is>
          <t>2024/07/26</t>
        </is>
      </c>
      <c r="C724" s="13" t="inlineStr">
        <is>
          <t>East</t>
        </is>
      </c>
      <c r="D724" s="13" t="inlineStr">
        <is>
          <t>Store</t>
        </is>
      </c>
      <c r="E724" s="13" t="inlineStr">
        <is>
          <t>Kitchen</t>
        </is>
      </c>
      <c r="F724" s="13" t="inlineStr">
        <is>
          <t>Ceramic Set</t>
        </is>
      </c>
      <c r="G724" s="13" t="inlineStr">
        <is>
          <t>Consumer</t>
        </is>
      </c>
      <c r="H724" s="13" t="inlineStr">
        <is>
          <t>2</t>
        </is>
      </c>
      <c r="I724" s="14" t="inlineStr">
        <is>
          <t>78.21</t>
        </is>
      </c>
      <c r="J724" s="15" t="inlineStr">
        <is>
          <t>0.00</t>
        </is>
      </c>
      <c r="K724" s="14" t="inlineStr">
        <is>
          <t>29.72</t>
        </is>
      </c>
      <c r="L724" s="13" t="inlineStr">
        <is>
          <t>8</t>
        </is>
      </c>
      <c r="M724" s="13" t="inlineStr">
        <is>
          <t>Completed</t>
        </is>
      </c>
      <c r="N724" s="13" t="inlineStr">
        <is>
          <t>P. Rossi</t>
        </is>
      </c>
    </row>
    <row r="725">
      <c r="A725" s="13" t="inlineStr">
        <is>
          <t>HC-100723</t>
        </is>
      </c>
      <c r="B725" s="13" t="inlineStr">
        <is>
          <t>27.11.2024</t>
        </is>
      </c>
      <c r="C725" s="13" t="inlineStr">
        <is>
          <t>south</t>
        </is>
      </c>
      <c r="D725" s="13" t="inlineStr">
        <is>
          <t>Store</t>
        </is>
      </c>
      <c r="E725" s="13" t="inlineStr">
        <is>
          <t>Textiles</t>
        </is>
      </c>
      <c r="F725" s="13" t="inlineStr">
        <is>
          <t>Linen Curtain</t>
        </is>
      </c>
      <c r="G725" s="13" t="inlineStr">
        <is>
          <t>Consumer</t>
        </is>
      </c>
      <c r="H725" s="13" t="inlineStr">
        <is>
          <t>5</t>
        </is>
      </c>
      <c r="I725" s="14" t="inlineStr">
        <is>
          <t>88.86</t>
        </is>
      </c>
      <c r="J725" s="15" t="inlineStr">
        <is>
          <t>0.09</t>
        </is>
      </c>
      <c r="K725" s="14" t="inlineStr">
        <is>
          <t>39.99</t>
        </is>
      </c>
      <c r="L725" s="13" t="inlineStr">
        <is>
          <t>6</t>
        </is>
      </c>
      <c r="M725" s="13" t="inlineStr">
        <is>
          <t>Completed</t>
        </is>
      </c>
      <c r="N725" s="13" t="inlineStr">
        <is>
          <t>J. Patel</t>
        </is>
      </c>
    </row>
    <row r="726">
      <c r="A726" s="13" t="inlineStr">
        <is>
          <t>HC-100724</t>
        </is>
      </c>
      <c r="B726" s="13" t="inlineStr">
        <is>
          <t>07/04/2024</t>
        </is>
      </c>
      <c r="C726" s="13" t="inlineStr">
        <is>
          <t>North</t>
        </is>
      </c>
      <c r="D726" s="13" t="inlineStr">
        <is>
          <t>Wholesale</t>
        </is>
      </c>
      <c r="E726" s="13" t="inlineStr">
        <is>
          <t>Furniture</t>
        </is>
      </c>
      <c r="F726" s="13" t="inlineStr">
        <is>
          <t>Lounge Chair</t>
        </is>
      </c>
      <c r="G726" s="13" t="inlineStr">
        <is>
          <t>Consumer</t>
        </is>
      </c>
      <c r="H726" s="13" t="inlineStr">
        <is>
          <t>32</t>
        </is>
      </c>
      <c r="I726" s="14" t="inlineStr">
        <is>
          <t>514.81</t>
        </is>
      </c>
      <c r="J726" s="15" t="inlineStr">
        <is>
          <t>0.19</t>
        </is>
      </c>
      <c r="K726" s="14" t="inlineStr">
        <is>
          <t>308.89</t>
        </is>
      </c>
      <c r="L726" s="13" t="inlineStr">
        <is>
          <t>6</t>
        </is>
      </c>
      <c r="M726" s="13" t="inlineStr">
        <is>
          <t>Compleated</t>
        </is>
      </c>
      <c r="N726" s="13" t="inlineStr">
        <is>
          <t>P. Rossi</t>
        </is>
      </c>
    </row>
    <row r="727">
      <c r="A727" s="13" t="inlineStr">
        <is>
          <t>HC-100725</t>
        </is>
      </c>
      <c r="B727" s="13" t="inlineStr">
        <is>
          <t>18-Jun-25</t>
        </is>
      </c>
      <c r="C727" s="13" t="inlineStr">
        <is>
          <t>East</t>
        </is>
      </c>
      <c r="D727" s="13" t="inlineStr">
        <is>
          <t>Store</t>
        </is>
      </c>
      <c r="E727" s="13" t="inlineStr">
        <is>
          <t>Kitchen</t>
        </is>
      </c>
      <c r="F727" s="13" t="inlineStr">
        <is>
          <t>Ceramic Set</t>
        </is>
      </c>
      <c r="G727" s="13" t="inlineStr">
        <is>
          <t>Consumer</t>
        </is>
      </c>
      <c r="H727" s="13" t="inlineStr">
        <is>
          <t>4</t>
        </is>
      </c>
      <c r="I727" s="14" t="inlineStr">
        <is>
          <t>83.11</t>
        </is>
      </c>
      <c r="J727" s="15" t="inlineStr">
        <is>
          <t>0.03</t>
        </is>
      </c>
      <c r="K727" s="14" t="inlineStr">
        <is>
          <t>31.58</t>
        </is>
      </c>
      <c r="L727" s="13" t="inlineStr">
        <is>
          <t>10</t>
        </is>
      </c>
      <c r="M727" s="13" t="inlineStr">
        <is>
          <t>Completed</t>
        </is>
      </c>
      <c r="N727" s="13" t="inlineStr">
        <is>
          <t>A. Shah</t>
        </is>
      </c>
    </row>
    <row r="728">
      <c r="A728" s="13" t="inlineStr">
        <is>
          <t>HC-100726</t>
        </is>
      </c>
      <c r="B728" s="13" t="inlineStr">
        <is>
          <t>2025/04/05</t>
        </is>
      </c>
      <c r="C728" s="13" t="inlineStr">
        <is>
          <t>North</t>
        </is>
      </c>
      <c r="D728" s="13" t="inlineStr">
        <is>
          <t>Store</t>
        </is>
      </c>
      <c r="E728" s="13" t="inlineStr">
        <is>
          <t>Lighting</t>
        </is>
      </c>
      <c r="F728" s="13" t="inlineStr">
        <is>
          <t>Brass Sconce</t>
        </is>
      </c>
      <c r="G728" s="13" t="inlineStr">
        <is>
          <t>consumer</t>
        </is>
      </c>
      <c r="H728" s="13" t="inlineStr">
        <is>
          <t>4</t>
        </is>
      </c>
      <c r="I728" s="14" t="inlineStr">
        <is>
          <t>129.01</t>
        </is>
      </c>
      <c r="J728" s="15" t="inlineStr">
        <is>
          <t>0.04</t>
        </is>
      </c>
      <c r="K728" s="14" t="inlineStr">
        <is>
          <t>59.35</t>
        </is>
      </c>
      <c r="L728" s="13" t="inlineStr">
        <is>
          <t>8</t>
        </is>
      </c>
      <c r="M728" s="13" t="inlineStr">
        <is>
          <t>Completed</t>
        </is>
      </c>
      <c r="N728" s="13" t="inlineStr">
        <is>
          <t>M. Okonkwo</t>
        </is>
      </c>
    </row>
    <row r="729">
      <c r="A729" s="13" t="inlineStr">
        <is>
          <t>HC-100727</t>
        </is>
      </c>
      <c r="B729" s="13" t="inlineStr">
        <is>
          <t>01.06.2024</t>
        </is>
      </c>
      <c r="C729" s="13" t="inlineStr">
        <is>
          <t>South</t>
        </is>
      </c>
      <c r="D729" s="13" t="inlineStr">
        <is>
          <t>Store</t>
        </is>
      </c>
      <c r="E729" s="13" t="inlineStr">
        <is>
          <t>Lighting</t>
        </is>
      </c>
      <c r="F729" s="13" t="inlineStr">
        <is>
          <t>Pendant Light</t>
        </is>
      </c>
      <c r="G729" s="13" t="inlineStr">
        <is>
          <t>Consumer</t>
        </is>
      </c>
      <c r="H729" s="13" t="inlineStr">
        <is>
          <t>4</t>
        </is>
      </c>
      <c r="I729" s="14" t="inlineStr">
        <is>
          <t>174.61</t>
        </is>
      </c>
      <c r="J729" s="15" t="inlineStr">
        <is>
          <t>0.07</t>
        </is>
      </c>
      <c r="K729" s="14" t="inlineStr">
        <is>
          <t>87.31</t>
        </is>
      </c>
      <c r="L729" s="13" t="inlineStr">
        <is>
          <t>8</t>
        </is>
      </c>
      <c r="M729" s="13" t="inlineStr">
        <is>
          <t>Returned</t>
        </is>
      </c>
      <c r="N729" s="13" t="inlineStr">
        <is>
          <t>R. Ibarra</t>
        </is>
      </c>
    </row>
    <row r="730">
      <c r="A730" s="13" t="inlineStr">
        <is>
          <t>HC-100728</t>
        </is>
      </c>
      <c r="B730" s="13" t="inlineStr">
        <is>
          <t>08/29/2025</t>
        </is>
      </c>
      <c r="C730" s="13" t="inlineStr">
        <is>
          <t>West</t>
        </is>
      </c>
      <c r="D730" s="13" t="inlineStr">
        <is>
          <t>Store</t>
        </is>
      </c>
      <c r="E730" s="13" t="inlineStr">
        <is>
          <t>Lighting</t>
        </is>
      </c>
      <c r="F730" s="13" t="inlineStr">
        <is>
          <t>Brass Sconce</t>
        </is>
      </c>
      <c r="G730" s="13" t="inlineStr">
        <is>
          <t>Corporate</t>
        </is>
      </c>
      <c r="H730" s="13" t="inlineStr">
        <is>
          <t>2</t>
        </is>
      </c>
      <c r="I730" s="14" t="inlineStr">
        <is>
          <t>141.37</t>
        </is>
      </c>
      <c r="J730" s="15" t="inlineStr">
        <is>
          <t>0.08</t>
        </is>
      </c>
      <c r="K730" s="14" t="inlineStr">
        <is>
          <t>65.03</t>
        </is>
      </c>
      <c r="L730" s="13" t="inlineStr">
        <is>
          <t>7</t>
        </is>
      </c>
      <c r="M730" s="13" t="inlineStr">
        <is>
          <t>Completed</t>
        </is>
      </c>
      <c r="N730" s="13" t="inlineStr">
        <is>
          <t>L. Berger</t>
        </is>
      </c>
    </row>
    <row r="731">
      <c r="A731" s="13" t="inlineStr">
        <is>
          <t>HC-100729</t>
        </is>
      </c>
      <c r="B731" s="13" t="inlineStr">
        <is>
          <t>06-May-25</t>
        </is>
      </c>
      <c r="C731" s="13" t="inlineStr">
        <is>
          <t>North</t>
        </is>
      </c>
      <c r="D731" s="13" t="inlineStr">
        <is>
          <t>Store</t>
        </is>
      </c>
      <c r="E731" s="13" t="inlineStr">
        <is>
          <t>Furniture</t>
        </is>
      </c>
      <c r="F731" s="13" t="inlineStr">
        <is>
          <t>Linen Sofa</t>
        </is>
      </c>
      <c r="G731" s="13" t="inlineStr">
        <is>
          <t>Consumer</t>
        </is>
      </c>
      <c r="H731" s="13" t="inlineStr">
        <is>
          <t>1</t>
        </is>
      </c>
      <c r="I731" s="14" t="inlineStr">
        <is>
          <t>1175.19</t>
        </is>
      </c>
      <c r="J731" s="15" t="inlineStr">
        <is>
          <t>0.07</t>
        </is>
      </c>
      <c r="K731" s="14" t="inlineStr">
        <is>
          <t>775.63</t>
        </is>
      </c>
      <c r="L731" s="13" t="inlineStr">
        <is>
          <t>7</t>
        </is>
      </c>
      <c r="M731" s="13" t="inlineStr">
        <is>
          <t>Completed</t>
        </is>
      </c>
      <c r="N731" s="13" t="inlineStr">
        <is>
          <t>A. Shah</t>
        </is>
      </c>
    </row>
    <row r="732">
      <c r="A732" s="13" t="inlineStr">
        <is>
          <t>HC-100730</t>
        </is>
      </c>
      <c r="B732" s="13" t="inlineStr">
        <is>
          <t>2024/09/19</t>
        </is>
      </c>
      <c r="C732" s="13" t="inlineStr">
        <is>
          <t>North</t>
        </is>
      </c>
      <c r="D732" s="13" t="inlineStr">
        <is>
          <t>Online</t>
        </is>
      </c>
      <c r="E732" s="13" t="inlineStr">
        <is>
          <t>Kitchen</t>
        </is>
      </c>
      <c r="F732" s="13" t="inlineStr">
        <is>
          <t>Chef Knife</t>
        </is>
      </c>
      <c r="G732" s="13" t="inlineStr">
        <is>
          <t>Corporate</t>
        </is>
      </c>
      <c r="H732" s="13" t="inlineStr">
        <is>
          <t>2</t>
        </is>
      </c>
      <c r="I732" s="14" t="inlineStr">
        <is>
          <t>60.69</t>
        </is>
      </c>
      <c r="J732" s="15" t="inlineStr">
        <is>
          <t>0.18</t>
        </is>
      </c>
      <c r="K732" s="14" t="inlineStr">
        <is>
          <t>21.85</t>
        </is>
      </c>
      <c r="L732" s="13" t="inlineStr">
        <is>
          <t>5</t>
        </is>
      </c>
      <c r="M732" s="13" t="inlineStr">
        <is>
          <t>Completed</t>
        </is>
      </c>
      <c r="N732" s="13" t="inlineStr">
        <is>
          <t>M. Okonkwo</t>
        </is>
      </c>
    </row>
    <row r="733">
      <c r="A733" s="13" t="inlineStr">
        <is>
          <t>HC-100731</t>
        </is>
      </c>
      <c r="B733" s="13" t="inlineStr">
        <is>
          <t>19.04.2025</t>
        </is>
      </c>
      <c r="C733" s="13" t="inlineStr">
        <is>
          <t>East</t>
        </is>
      </c>
      <c r="D733" s="13" t="inlineStr">
        <is>
          <t>Store</t>
        </is>
      </c>
      <c r="E733" s="13" t="inlineStr">
        <is>
          <t>Furniture</t>
        </is>
      </c>
      <c r="F733" s="13" t="inlineStr">
        <is>
          <t>Oak Desk</t>
        </is>
      </c>
      <c r="G733" s="13" t="inlineStr">
        <is>
          <t>Consumer</t>
        </is>
      </c>
      <c r="H733" s="13" t="inlineStr">
        <is>
          <t>2</t>
        </is>
      </c>
      <c r="I733" s="14" t="inlineStr">
        <is>
          <t>$748.74</t>
        </is>
      </c>
      <c r="J733" s="15" t="inlineStr">
        <is>
          <t>0.08</t>
        </is>
      </c>
      <c r="K733" s="14" t="inlineStr">
        <is>
          <t>464.22</t>
        </is>
      </c>
      <c r="L733" s="13" t="inlineStr">
        <is>
          <t>9</t>
        </is>
      </c>
      <c r="M733" s="13" t="inlineStr">
        <is>
          <t>COMPLETED</t>
        </is>
      </c>
      <c r="N733" s="13" t="inlineStr">
        <is>
          <t>P. Rossi</t>
        </is>
      </c>
    </row>
    <row r="734">
      <c r="A734" s="13" t="inlineStr">
        <is>
          <t>HC-100732</t>
        </is>
      </c>
      <c r="B734" s="13" t="inlineStr">
        <is>
          <t>11/29/2024</t>
        </is>
      </c>
      <c r="C734" s="13" t="inlineStr">
        <is>
          <t>North</t>
        </is>
      </c>
      <c r="D734" s="13" t="inlineStr">
        <is>
          <t>Online</t>
        </is>
      </c>
      <c r="E734" s="13" t="inlineStr">
        <is>
          <t>Kitchen</t>
        </is>
      </c>
      <c r="F734" s="13" t="inlineStr">
        <is>
          <t>Cast Skillet</t>
        </is>
      </c>
      <c r="G734" s="13" t="inlineStr">
        <is>
          <t>Corporate</t>
        </is>
      </c>
      <c r="H734" s="13" t="inlineStr">
        <is>
          <t>2</t>
        </is>
      </c>
      <c r="I734" s="14" t="inlineStr">
        <is>
          <t>$52.74</t>
        </is>
      </c>
      <c r="J734" s="15" t="inlineStr">
        <is>
          <t>0.11</t>
        </is>
      </c>
      <c r="K734" s="14" t="inlineStr">
        <is>
          <t>21.10</t>
        </is>
      </c>
      <c r="L734" s="13" t="inlineStr">
        <is>
          <t>4</t>
        </is>
      </c>
      <c r="M734" s="13" t="inlineStr">
        <is>
          <t>Completed</t>
        </is>
      </c>
      <c r="N734" s="13" t="inlineStr">
        <is>
          <t>P. Rossi</t>
        </is>
      </c>
    </row>
    <row r="735">
      <c r="A735" s="13" t="inlineStr">
        <is>
          <t>HC-100733</t>
        </is>
      </c>
      <c r="B735" s="13" t="inlineStr">
        <is>
          <t>12-Jan-25</t>
        </is>
      </c>
      <c r="C735" s="13" t="inlineStr">
        <is>
          <t>West</t>
        </is>
      </c>
      <c r="D735" s="13" t="inlineStr">
        <is>
          <t>Online</t>
        </is>
      </c>
      <c r="E735" s="13" t="inlineStr">
        <is>
          <t>Kitchen</t>
        </is>
      </c>
      <c r="F735" s="13" t="inlineStr">
        <is>
          <t>Chef Knife</t>
        </is>
      </c>
      <c r="G735" s="13" t="inlineStr">
        <is>
          <t>home office</t>
        </is>
      </c>
      <c r="H735" s="13" t="inlineStr">
        <is>
          <t>3</t>
        </is>
      </c>
      <c r="I735" s="14" t="inlineStr">
        <is>
          <t>62.60</t>
        </is>
      </c>
      <c r="J735" s="15" t="inlineStr">
        <is>
          <t>0.10</t>
        </is>
      </c>
      <c r="K735" s="14" t="inlineStr">
        <is>
          <t>22.54</t>
        </is>
      </c>
      <c r="L735" s="13" t="inlineStr">
        <is>
          <t>6</t>
        </is>
      </c>
      <c r="M735" s="13" t="inlineStr">
        <is>
          <t>Completed</t>
        </is>
      </c>
      <c r="N735" s="13" t="inlineStr">
        <is>
          <t>J. Patel</t>
        </is>
      </c>
    </row>
    <row r="736">
      <c r="A736" s="13" t="inlineStr">
        <is>
          <t>HC-100734</t>
        </is>
      </c>
      <c r="B736" s="13" t="inlineStr">
        <is>
          <t>2024/03/09</t>
        </is>
      </c>
      <c r="C736" s="13" t="inlineStr">
        <is>
          <t>West</t>
        </is>
      </c>
      <c r="D736" s="13" t="inlineStr">
        <is>
          <t>web</t>
        </is>
      </c>
      <c r="E736" s="13" t="inlineStr">
        <is>
          <t>Furniture</t>
        </is>
      </c>
      <c r="F736" s="13" t="inlineStr">
        <is>
          <t>Walnut Shelf</t>
        </is>
      </c>
      <c r="G736" s="13" t="inlineStr">
        <is>
          <t>Consumer</t>
        </is>
      </c>
      <c r="H736" s="13" t="inlineStr">
        <is>
          <t>1</t>
        </is>
      </c>
      <c r="I736" s="14" t="inlineStr">
        <is>
          <t>230.48</t>
        </is>
      </c>
      <c r="J736" s="15" t="inlineStr">
        <is>
          <t>0.04</t>
        </is>
      </c>
      <c r="K736" s="14" t="inlineStr">
        <is>
          <t>126.76</t>
        </is>
      </c>
      <c r="L736" s="13" t="inlineStr">
        <is>
          <t>N/A</t>
        </is>
      </c>
      <c r="M736" s="13" t="inlineStr">
        <is>
          <t>Compleated</t>
        </is>
      </c>
      <c r="N736" s="13" t="inlineStr">
        <is>
          <t>L. Berger</t>
        </is>
      </c>
    </row>
    <row r="737">
      <c r="A737" s="13" t="inlineStr">
        <is>
          <t>HC-100735</t>
        </is>
      </c>
      <c r="B737" s="13" t="inlineStr">
        <is>
          <t>11.10.2024</t>
        </is>
      </c>
      <c r="C737" s="13" t="inlineStr">
        <is>
          <t>North</t>
        </is>
      </c>
      <c r="D737" s="13" t="inlineStr">
        <is>
          <t>e-commerce</t>
        </is>
      </c>
      <c r="E737" s="13" t="inlineStr">
        <is>
          <t>Furniture</t>
        </is>
      </c>
      <c r="F737" s="13" t="inlineStr">
        <is>
          <t>Linen Sofa</t>
        </is>
      </c>
      <c r="G737" s="13" t="inlineStr">
        <is>
          <t>Consumer</t>
        </is>
      </c>
      <c r="H737" s="13" t="inlineStr">
        <is>
          <t>2</t>
        </is>
      </c>
      <c r="I737" s="14" t="inlineStr">
        <is>
          <t>1231.14</t>
        </is>
      </c>
      <c r="J737" s="15" t="inlineStr">
        <is>
          <t>0.04</t>
        </is>
      </c>
      <c r="K737" s="14" t="inlineStr">
        <is>
          <t>812.55</t>
        </is>
      </c>
      <c r="L737" s="13" t="inlineStr">
        <is>
          <t>6</t>
        </is>
      </c>
      <c r="M737" s="13" t="inlineStr">
        <is>
          <t>Completed</t>
        </is>
      </c>
      <c r="N737" s="13" t="inlineStr">
        <is>
          <t>L. Berger</t>
        </is>
      </c>
    </row>
    <row r="738">
      <c r="A738" s="13" t="inlineStr">
        <is>
          <t>HC-100736</t>
        </is>
      </c>
      <c r="B738" s="13" t="inlineStr">
        <is>
          <t>11/24/2024</t>
        </is>
      </c>
      <c r="C738" s="13" t="inlineStr">
        <is>
          <t>West</t>
        </is>
      </c>
      <c r="D738" s="13" t="inlineStr">
        <is>
          <t>Store</t>
        </is>
      </c>
      <c r="E738" s="13" t="inlineStr">
        <is>
          <t>Textiles</t>
        </is>
      </c>
      <c r="F738" s="13" t="inlineStr">
        <is>
          <t>Cotton Duvet</t>
        </is>
      </c>
      <c r="G738" s="13" t="inlineStr">
        <is>
          <t>Corporate</t>
        </is>
      </c>
      <c r="H738" s="13" t="inlineStr">
        <is>
          <t>four</t>
        </is>
      </c>
      <c r="I738" s="14" t="inlineStr">
        <is>
          <t>127.33</t>
        </is>
      </c>
      <c r="J738" s="15" t="inlineStr">
        <is>
          <t>0.02</t>
        </is>
      </c>
      <c r="K738" s="14" t="inlineStr">
        <is>
          <t>56.02</t>
        </is>
      </c>
      <c r="L738" s="13" t="inlineStr">
        <is>
          <t>6</t>
        </is>
      </c>
      <c r="M738" s="13" t="inlineStr">
        <is>
          <t>complete</t>
        </is>
      </c>
      <c r="N738" s="13" t="inlineStr">
        <is>
          <t>S. Nguyen</t>
        </is>
      </c>
    </row>
    <row r="739">
      <c r="A739" s="13" t="inlineStr">
        <is>
          <t>HC-100737</t>
        </is>
      </c>
      <c r="B739" s="13" t="inlineStr">
        <is>
          <t>24-May-24</t>
        </is>
      </c>
      <c r="C739" s="13" t="inlineStr">
        <is>
          <t>West</t>
        </is>
      </c>
      <c r="D739" s="13" t="inlineStr">
        <is>
          <t>Wholesale</t>
        </is>
      </c>
      <c r="E739" s="13" t="inlineStr">
        <is>
          <t>Furniture</t>
        </is>
      </c>
      <c r="F739" s="13" t="inlineStr">
        <is>
          <t>Walnut Shelf</t>
        </is>
      </c>
      <c r="G739" s="13" t="inlineStr">
        <is>
          <t>Corporate</t>
        </is>
      </c>
      <c r="H739" s="13" t="inlineStr">
        <is>
          <t>34</t>
        </is>
      </c>
      <c r="I739" s="14" t="inlineStr">
        <is>
          <t>210.35</t>
        </is>
      </c>
      <c r="J739" s="15" t="inlineStr">
        <is>
          <t>0.24</t>
        </is>
      </c>
      <c r="K739" s="14" t="inlineStr">
        <is>
          <t>115.69</t>
        </is>
      </c>
      <c r="L739" s="13" t="inlineStr">
        <is>
          <t>7</t>
        </is>
      </c>
      <c r="M739" s="13" t="inlineStr">
        <is>
          <t>Completed</t>
        </is>
      </c>
      <c r="N739" s="13" t="inlineStr">
        <is>
          <t>A. Shah</t>
        </is>
      </c>
    </row>
    <row r="740">
      <c r="A740" s="13" t="inlineStr">
        <is>
          <t>HC-100738</t>
        </is>
      </c>
      <c r="B740" s="13" t="inlineStr">
        <is>
          <t>2024/08/07</t>
        </is>
      </c>
      <c r="C740" s="13" t="inlineStr">
        <is>
          <t>North</t>
        </is>
      </c>
      <c r="D740" s="13" t="inlineStr">
        <is>
          <t>Online</t>
        </is>
      </c>
      <c r="E740" s="13" t="inlineStr">
        <is>
          <t>TEXTILES</t>
        </is>
      </c>
      <c r="F740" s="13" t="inlineStr">
        <is>
          <t>Linen Curtain</t>
        </is>
      </c>
      <c r="G740" s="13" t="inlineStr">
        <is>
          <t>Corporate</t>
        </is>
      </c>
      <c r="H740" s="13" t="inlineStr">
        <is>
          <t>1</t>
        </is>
      </c>
      <c r="I740" s="14" t="inlineStr">
        <is>
          <t>99.72</t>
        </is>
      </c>
      <c r="J740" s="15" t="inlineStr">
        <is>
          <t>0.05</t>
        </is>
      </c>
      <c r="K740" s="14" t="inlineStr">
        <is>
          <t>44.87</t>
        </is>
      </c>
      <c r="L740" s="13" t="inlineStr">
        <is>
          <t>1</t>
        </is>
      </c>
      <c r="M740" s="13" t="inlineStr">
        <is>
          <t>Completed</t>
        </is>
      </c>
      <c r="N740" s="13" t="inlineStr">
        <is>
          <t>M. Okonkwo</t>
        </is>
      </c>
    </row>
    <row r="741">
      <c r="A741" s="13" t="inlineStr">
        <is>
          <t>HC-100739</t>
        </is>
      </c>
      <c r="B741" s="13" t="inlineStr">
        <is>
          <t>25.05.2024</t>
        </is>
      </c>
      <c r="C741" s="13" t="inlineStr">
        <is>
          <t>South</t>
        </is>
      </c>
      <c r="D741" s="13" t="inlineStr">
        <is>
          <t>Online</t>
        </is>
      </c>
      <c r="E741" s="13" t="inlineStr">
        <is>
          <t>Kitchen</t>
        </is>
      </c>
      <c r="F741" s="13" t="inlineStr">
        <is>
          <t>Chef Knife</t>
        </is>
      </c>
      <c r="G741" s="13" t="inlineStr">
        <is>
          <t>Home Office</t>
        </is>
      </c>
      <c r="H741" s="13" t="inlineStr">
        <is>
          <t>3</t>
        </is>
      </c>
      <c r="I741" s="14" t="inlineStr">
        <is>
          <t>59.05</t>
        </is>
      </c>
      <c r="J741" s="15" t="inlineStr">
        <is>
          <t>18%</t>
        </is>
      </c>
      <c r="K741" s="14" t="inlineStr">
        <is>
          <t>21.26</t>
        </is>
      </c>
      <c r="L741" s="13" t="inlineStr">
        <is>
          <t>1</t>
        </is>
      </c>
      <c r="M741" s="13" t="inlineStr">
        <is>
          <t>Completed</t>
        </is>
      </c>
      <c r="N741" s="13" t="inlineStr">
        <is>
          <t>L. Berger</t>
        </is>
      </c>
    </row>
    <row r="742">
      <c r="A742" s="13" t="inlineStr">
        <is>
          <t>HC-100740</t>
        </is>
      </c>
      <c r="B742" s="13" t="inlineStr">
        <is>
          <t>10/29/2024</t>
        </is>
      </c>
      <c r="C742" s="13" t="inlineStr">
        <is>
          <t>West</t>
        </is>
      </c>
      <c r="D742" s="13" t="inlineStr">
        <is>
          <t>Online</t>
        </is>
      </c>
      <c r="E742" s="13" t="inlineStr">
        <is>
          <t>Furniture</t>
        </is>
      </c>
      <c r="F742" s="13" t="inlineStr">
        <is>
          <t>Oak Desk</t>
        </is>
      </c>
      <c r="G742" s="13" t="inlineStr">
        <is>
          <t>Consumer</t>
        </is>
      </c>
      <c r="H742" s="13" t="inlineStr">
        <is>
          <t>1</t>
        </is>
      </c>
      <c r="I742" s="14" t="inlineStr">
        <is>
          <t>837.77</t>
        </is>
      </c>
      <c r="J742" s="15" t="inlineStr">
        <is>
          <t>0.15</t>
        </is>
      </c>
      <c r="K742" s="14" t="inlineStr">
        <is>
          <t>519.41</t>
        </is>
      </c>
      <c r="L742" s="13" t="inlineStr">
        <is>
          <t>11</t>
        </is>
      </c>
      <c r="M742" s="13" t="inlineStr">
        <is>
          <t>Completed</t>
        </is>
      </c>
      <c r="N742" s="13" t="inlineStr">
        <is>
          <t>M. Okonkwo</t>
        </is>
      </c>
    </row>
    <row r="743">
      <c r="A743" s="13" t="inlineStr">
        <is>
          <t>HC-100741</t>
        </is>
      </c>
      <c r="B743" s="13" t="inlineStr">
        <is>
          <t>27-Mar-25</t>
        </is>
      </c>
      <c r="C743" s="13" t="inlineStr">
        <is>
          <t>WEST</t>
        </is>
      </c>
      <c r="D743" s="13" t="inlineStr">
        <is>
          <t>web</t>
        </is>
      </c>
      <c r="E743" s="13" t="inlineStr">
        <is>
          <t>Lighting</t>
        </is>
      </c>
      <c r="F743" s="13" t="inlineStr">
        <is>
          <t>Brass Sconce</t>
        </is>
      </c>
      <c r="G743" s="13" t="inlineStr">
        <is>
          <t>Corporate</t>
        </is>
      </c>
      <c r="H743" s="13" t="inlineStr">
        <is>
          <t>3</t>
        </is>
      </c>
      <c r="I743" s="14" t="inlineStr">
        <is>
          <t>139.86</t>
        </is>
      </c>
      <c r="J743" s="15" t="inlineStr">
        <is>
          <t>0.04</t>
        </is>
      </c>
      <c r="K743" s="14" t="inlineStr">
        <is>
          <t>64.34</t>
        </is>
      </c>
      <c r="L743" s="13" t="inlineStr">
        <is>
          <t>5</t>
        </is>
      </c>
      <c r="M743" s="13" t="inlineStr">
        <is>
          <t>Completed</t>
        </is>
      </c>
      <c r="N743" s="13" t="inlineStr">
        <is>
          <t>J. Patel</t>
        </is>
      </c>
    </row>
    <row r="744">
      <c r="A744" s="13" t="inlineStr">
        <is>
          <t>HC-100742</t>
        </is>
      </c>
      <c r="B744" s="13" t="inlineStr">
        <is>
          <t>2024/07/17</t>
        </is>
      </c>
      <c r="C744" s="13" t="inlineStr">
        <is>
          <t>NORTH</t>
        </is>
      </c>
      <c r="D744" s="13" t="inlineStr">
        <is>
          <t>Store</t>
        </is>
      </c>
      <c r="E744" s="13" t="inlineStr">
        <is>
          <t>TEXTILES</t>
        </is>
      </c>
      <c r="F744" s="13" t="inlineStr">
        <is>
          <t>Linen Curtain</t>
        </is>
      </c>
      <c r="G744" s="13" t="inlineStr">
        <is>
          <t>Consumer</t>
        </is>
      </c>
      <c r="H744" s="13" t="inlineStr">
        <is>
          <t>two</t>
        </is>
      </c>
      <c r="I744" s="14" t="inlineStr">
        <is>
          <t>102.50</t>
        </is>
      </c>
      <c r="J744" s="15" t="inlineStr">
        <is>
          <t>0.04</t>
        </is>
      </c>
      <c r="K744" s="14" t="inlineStr">
        <is>
          <t>46.13</t>
        </is>
      </c>
      <c r="L744" s="13" t="inlineStr">
        <is>
          <t>5</t>
        </is>
      </c>
      <c r="M744" s="13" t="inlineStr">
        <is>
          <t>Completed</t>
        </is>
      </c>
      <c r="N744" s="13" t="inlineStr">
        <is>
          <t>J. Patel</t>
        </is>
      </c>
    </row>
    <row r="745">
      <c r="A745" s="13" t="inlineStr">
        <is>
          <t>HC-100743</t>
        </is>
      </c>
      <c r="B745" s="13" t="inlineStr">
        <is>
          <t>04.09.2025</t>
        </is>
      </c>
      <c r="C745" s="13" t="inlineStr">
        <is>
          <t>South</t>
        </is>
      </c>
      <c r="D745" s="13" t="inlineStr">
        <is>
          <t>Store</t>
        </is>
      </c>
      <c r="E745" s="13" t="inlineStr">
        <is>
          <t>TEXTILES</t>
        </is>
      </c>
      <c r="F745" s="13" t="inlineStr">
        <is>
          <t>Cotton Duvet</t>
        </is>
      </c>
      <c r="G745" s="13" t="inlineStr">
        <is>
          <t>Consumer</t>
        </is>
      </c>
      <c r="H745" s="13" t="inlineStr">
        <is>
          <t>1</t>
        </is>
      </c>
      <c r="I745" s="14" t="inlineStr">
        <is>
          <t>119.82</t>
        </is>
      </c>
      <c r="J745" s="15" t="inlineStr">
        <is>
          <t>3%</t>
        </is>
      </c>
      <c r="K745" s="14" t="inlineStr">
        <is>
          <t>52.72</t>
        </is>
      </c>
      <c r="L745" s="13" t="inlineStr">
        <is>
          <t>3</t>
        </is>
      </c>
      <c r="M745" s="13" t="inlineStr">
        <is>
          <t>Completed</t>
        </is>
      </c>
      <c r="N745" s="13" t="inlineStr">
        <is>
          <t>R. Ibarra</t>
        </is>
      </c>
    </row>
    <row r="746">
      <c r="A746" s="13" t="inlineStr">
        <is>
          <t>HC-100744</t>
        </is>
      </c>
      <c r="B746" s="13" t="inlineStr">
        <is>
          <t>08/20/2025</t>
        </is>
      </c>
      <c r="C746" s="13" t="inlineStr">
        <is>
          <t>East</t>
        </is>
      </c>
      <c r="D746" s="13" t="inlineStr">
        <is>
          <t>Store</t>
        </is>
      </c>
      <c r="E746" s="13" t="inlineStr">
        <is>
          <t>Kitchen</t>
        </is>
      </c>
      <c r="F746" s="13" t="inlineStr">
        <is>
          <t>Cast Skillet</t>
        </is>
      </c>
      <c r="G746" s="13" t="inlineStr">
        <is>
          <t>Consumer</t>
        </is>
      </c>
      <c r="H746" s="13" t="inlineStr">
        <is>
          <t>4</t>
        </is>
      </c>
      <c r="I746" s="14" t="inlineStr">
        <is>
          <t>51.13</t>
        </is>
      </c>
      <c r="J746" s="15" t="inlineStr">
        <is>
          <t>0.10</t>
        </is>
      </c>
      <c r="K746" s="14" t="inlineStr">
        <is>
          <t>20.45</t>
        </is>
      </c>
      <c r="L746" s="13" t="inlineStr">
        <is>
          <t>N/A</t>
        </is>
      </c>
      <c r="M746" s="13" t="inlineStr">
        <is>
          <t>Completed</t>
        </is>
      </c>
      <c r="N746" s="13" t="inlineStr">
        <is>
          <t>P. Rossi</t>
        </is>
      </c>
    </row>
    <row r="747">
      <c r="A747" s="13" t="inlineStr">
        <is>
          <t>HC-100745</t>
        </is>
      </c>
      <c r="B747" s="13" t="inlineStr">
        <is>
          <t>17-May-25</t>
        </is>
      </c>
      <c r="C747" s="13" t="inlineStr">
        <is>
          <t>South</t>
        </is>
      </c>
      <c r="D747" s="13" t="inlineStr">
        <is>
          <t>Online</t>
        </is>
      </c>
      <c r="E747" s="13" t="inlineStr">
        <is>
          <t>Lighting</t>
        </is>
      </c>
      <c r="F747" s="13" t="inlineStr">
        <is>
          <t>Arc Lamp</t>
        </is>
      </c>
      <c r="G747" s="13" t="inlineStr"/>
      <c r="H747" s="13" t="inlineStr">
        <is>
          <t>2</t>
        </is>
      </c>
      <c r="I747" s="14" t="inlineStr">
        <is>
          <t>328.75</t>
        </is>
      </c>
      <c r="J747" s="15" t="inlineStr">
        <is>
          <t>0.09</t>
        </is>
      </c>
      <c r="K747" s="14" t="inlineStr">
        <is>
          <t>157.80</t>
        </is>
      </c>
      <c r="L747" s="13" t="inlineStr">
        <is>
          <t>4</t>
        </is>
      </c>
      <c r="M747" s="13" t="inlineStr">
        <is>
          <t>Completed</t>
        </is>
      </c>
      <c r="N747" s="13" t="inlineStr">
        <is>
          <t>S. Nguyen</t>
        </is>
      </c>
    </row>
    <row r="748">
      <c r="A748" s="13" t="inlineStr">
        <is>
          <t>HC-100746</t>
        </is>
      </c>
      <c r="B748" s="13" t="inlineStr">
        <is>
          <t>2024/12/24</t>
        </is>
      </c>
      <c r="C748" s="13" t="inlineStr">
        <is>
          <t>South</t>
        </is>
      </c>
      <c r="D748" s="13" t="inlineStr">
        <is>
          <t>Store</t>
        </is>
      </c>
      <c r="E748" s="13" t="inlineStr">
        <is>
          <t>Kitchen</t>
        </is>
      </c>
      <c r="F748" s="13" t="inlineStr">
        <is>
          <t>Chef Knife</t>
        </is>
      </c>
      <c r="G748" s="13" t="inlineStr">
        <is>
          <t>Consumer</t>
        </is>
      </c>
      <c r="H748" s="13" t="inlineStr">
        <is>
          <t>2</t>
        </is>
      </c>
      <c r="I748" s="14" t="inlineStr">
        <is>
          <t>60.84</t>
        </is>
      </c>
      <c r="J748" s="15" t="inlineStr">
        <is>
          <t>0.04</t>
        </is>
      </c>
      <c r="K748" s="14" t="inlineStr">
        <is>
          <t>21.90</t>
        </is>
      </c>
      <c r="L748" s="13" t="inlineStr">
        <is>
          <t>3</t>
        </is>
      </c>
      <c r="M748" s="13" t="inlineStr">
        <is>
          <t>Cancelled</t>
        </is>
      </c>
      <c r="N748" s="13" t="inlineStr">
        <is>
          <t>L. Berger</t>
        </is>
      </c>
    </row>
    <row r="749">
      <c r="A749" s="13" t="inlineStr">
        <is>
          <t>HC-100747</t>
        </is>
      </c>
      <c r="B749" s="13" t="inlineStr">
        <is>
          <t>25.10.2024</t>
        </is>
      </c>
      <c r="C749" s="13" t="inlineStr">
        <is>
          <t>West</t>
        </is>
      </c>
      <c r="D749" s="13" t="inlineStr">
        <is>
          <t>Online</t>
        </is>
      </c>
      <c r="E749" s="13" t="inlineStr">
        <is>
          <t>Furniture</t>
        </is>
      </c>
      <c r="F749" s="13" t="inlineStr">
        <is>
          <t>Linen Sofa</t>
        </is>
      </c>
      <c r="G749" s="13" t="inlineStr">
        <is>
          <t>Home Office</t>
        </is>
      </c>
      <c r="H749" s="13" t="inlineStr">
        <is>
          <t>2</t>
        </is>
      </c>
      <c r="I749" s="14" t="inlineStr">
        <is>
          <t>1229.02</t>
        </is>
      </c>
      <c r="J749" s="15" t="inlineStr">
        <is>
          <t>3%</t>
        </is>
      </c>
      <c r="K749" s="14" t="inlineStr">
        <is>
          <t>811.15</t>
        </is>
      </c>
      <c r="L749" s="13" t="inlineStr">
        <is>
          <t>8</t>
        </is>
      </c>
      <c r="M749" s="13" t="inlineStr">
        <is>
          <t>Completed</t>
        </is>
      </c>
      <c r="N749" s="13" t="inlineStr">
        <is>
          <t>K. Mensah</t>
        </is>
      </c>
    </row>
    <row r="750">
      <c r="A750" s="13" t="inlineStr">
        <is>
          <t>HC-100748</t>
        </is>
      </c>
      <c r="B750" s="13" t="inlineStr">
        <is>
          <t>06/03/2025</t>
        </is>
      </c>
      <c r="C750" s="13" t="inlineStr">
        <is>
          <t>East</t>
        </is>
      </c>
      <c r="D750" s="13" t="inlineStr">
        <is>
          <t>Online</t>
        </is>
      </c>
      <c r="E750" s="13" t="inlineStr">
        <is>
          <t>Kitchen</t>
        </is>
      </c>
      <c r="F750" s="13" t="inlineStr">
        <is>
          <t>Chef Knife</t>
        </is>
      </c>
      <c r="G750" s="13" t="inlineStr">
        <is>
          <t>consumer</t>
        </is>
      </c>
      <c r="H750" s="13" t="inlineStr">
        <is>
          <t>1</t>
        </is>
      </c>
      <c r="I750" s="14" t="inlineStr">
        <is>
          <t>53.92</t>
        </is>
      </c>
      <c r="J750" s="15" t="inlineStr">
        <is>
          <t>0.17</t>
        </is>
      </c>
      <c r="K750" s="14" t="inlineStr">
        <is>
          <t>19.41</t>
        </is>
      </c>
      <c r="L750" s="13" t="inlineStr">
        <is>
          <t>8</t>
        </is>
      </c>
      <c r="M750" s="13" t="inlineStr">
        <is>
          <t>Compleated</t>
        </is>
      </c>
      <c r="N750" s="13" t="inlineStr">
        <is>
          <t>S. Nguyen</t>
        </is>
      </c>
    </row>
    <row r="751">
      <c r="A751" s="13" t="inlineStr">
        <is>
          <t>HC-100749</t>
        </is>
      </c>
      <c r="B751" s="13" t="inlineStr">
        <is>
          <t>15-Jun-25</t>
        </is>
      </c>
      <c r="C751" s="13" t="inlineStr">
        <is>
          <t>east</t>
        </is>
      </c>
      <c r="D751" s="13" t="inlineStr">
        <is>
          <t>In-Store</t>
        </is>
      </c>
      <c r="E751" s="13" t="inlineStr">
        <is>
          <t>Lighting</t>
        </is>
      </c>
      <c r="F751" s="13" t="inlineStr">
        <is>
          <t>Arc Lamp</t>
        </is>
      </c>
      <c r="G751" s="13" t="inlineStr"/>
      <c r="H751" s="13" t="inlineStr">
        <is>
          <t>2</t>
        </is>
      </c>
      <c r="I751" s="14" t="inlineStr">
        <is>
          <t>284.97</t>
        </is>
      </c>
      <c r="J751" s="15" t="inlineStr">
        <is>
          <t>0.11</t>
        </is>
      </c>
      <c r="K751" s="14" t="inlineStr">
        <is>
          <t>136.79</t>
        </is>
      </c>
      <c r="L751" s="13" t="inlineStr">
        <is>
          <t>8</t>
        </is>
      </c>
      <c r="M751" s="13" t="inlineStr">
        <is>
          <t>Completed</t>
        </is>
      </c>
      <c r="N751" s="13" t="inlineStr">
        <is>
          <t>R. Ibarra</t>
        </is>
      </c>
    </row>
    <row r="752">
      <c r="A752" s="13" t="inlineStr">
        <is>
          <t>HC-100750</t>
        </is>
      </c>
      <c r="B752" s="13" t="inlineStr">
        <is>
          <t>2025/06/27</t>
        </is>
      </c>
      <c r="C752" s="13" t="inlineStr">
        <is>
          <t>East</t>
        </is>
      </c>
      <c r="D752" s="13" t="inlineStr">
        <is>
          <t>Store</t>
        </is>
      </c>
      <c r="E752" s="13" t="inlineStr">
        <is>
          <t>FURNITURE</t>
        </is>
      </c>
      <c r="F752" s="13" t="inlineStr">
        <is>
          <t>Oak Desk</t>
        </is>
      </c>
      <c r="G752" s="13" t="inlineStr">
        <is>
          <t>Consumer</t>
        </is>
      </c>
      <c r="H752" s="13" t="inlineStr">
        <is>
          <t>3</t>
        </is>
      </c>
      <c r="I752" s="14" t="inlineStr">
        <is>
          <t>704.95</t>
        </is>
      </c>
      <c r="J752" s="15" t="inlineStr">
        <is>
          <t>0.06</t>
        </is>
      </c>
      <c r="K752" s="14" t="inlineStr">
        <is>
          <t>437.07</t>
        </is>
      </c>
      <c r="L752" s="13" t="inlineStr">
        <is>
          <t>7</t>
        </is>
      </c>
      <c r="M752" s="13" t="inlineStr">
        <is>
          <t>retrned</t>
        </is>
      </c>
      <c r="N752" s="13" t="inlineStr">
        <is>
          <t>A. Shah</t>
        </is>
      </c>
    </row>
    <row r="753">
      <c r="A753" s="13" t="inlineStr">
        <is>
          <t>HC-100751</t>
        </is>
      </c>
      <c r="B753" s="13" t="inlineStr">
        <is>
          <t>16.07.2024</t>
        </is>
      </c>
      <c r="C753" s="13" t="inlineStr">
        <is>
          <t>west</t>
        </is>
      </c>
      <c r="D753" s="13" t="inlineStr">
        <is>
          <t>Online</t>
        </is>
      </c>
      <c r="E753" s="13" t="inlineStr">
        <is>
          <t>FURNITURE</t>
        </is>
      </c>
      <c r="F753" s="13" t="inlineStr">
        <is>
          <t>Oak Desk</t>
        </is>
      </c>
      <c r="G753" s="13" t="inlineStr">
        <is>
          <t>Corporate</t>
        </is>
      </c>
      <c r="H753" s="13" t="inlineStr">
        <is>
          <t>3</t>
        </is>
      </c>
      <c r="I753" s="14" t="inlineStr">
        <is>
          <t>829.99</t>
        </is>
      </c>
      <c r="J753" s="15" t="inlineStr">
        <is>
          <t>0.06</t>
        </is>
      </c>
      <c r="K753" s="14" t="inlineStr">
        <is>
          <t>514.59</t>
        </is>
      </c>
      <c r="L753" s="13" t="inlineStr">
        <is>
          <t>7</t>
        </is>
      </c>
      <c r="M753" s="13" t="inlineStr">
        <is>
          <t>Completed</t>
        </is>
      </c>
      <c r="N753" s="13" t="inlineStr">
        <is>
          <t>S. Nguyen</t>
        </is>
      </c>
    </row>
    <row r="754">
      <c r="A754" s="13" t="inlineStr">
        <is>
          <t>HC-100752</t>
        </is>
      </c>
      <c r="B754" s="13" t="inlineStr">
        <is>
          <t>01/04/2025</t>
        </is>
      </c>
      <c r="C754" s="13" t="inlineStr">
        <is>
          <t>Sout</t>
        </is>
      </c>
      <c r="D754" s="13" t="inlineStr">
        <is>
          <t>Online</t>
        </is>
      </c>
      <c r="E754" s="13" t="inlineStr">
        <is>
          <t>Textiles</t>
        </is>
      </c>
      <c r="F754" s="13" t="inlineStr">
        <is>
          <t>Linen Curtain</t>
        </is>
      </c>
      <c r="G754" s="13" t="inlineStr">
        <is>
          <t>Consumer</t>
        </is>
      </c>
      <c r="H754" s="13" t="inlineStr">
        <is>
          <t>2</t>
        </is>
      </c>
      <c r="I754" s="14" t="inlineStr">
        <is>
          <t>96.92</t>
        </is>
      </c>
      <c r="J754" s="15" t="inlineStr">
        <is>
          <t>0.11</t>
        </is>
      </c>
      <c r="K754" s="14" t="inlineStr">
        <is>
          <t>43.62</t>
        </is>
      </c>
      <c r="L754" s="13" t="inlineStr">
        <is>
          <t>6</t>
        </is>
      </c>
      <c r="M754" s="13" t="inlineStr">
        <is>
          <t>Compleated</t>
        </is>
      </c>
      <c r="N754" s="13" t="inlineStr">
        <is>
          <t>K. Mensah</t>
        </is>
      </c>
    </row>
    <row r="755">
      <c r="A755" s="13" t="inlineStr">
        <is>
          <t>HC-100753</t>
        </is>
      </c>
      <c r="B755" s="13" t="inlineStr">
        <is>
          <t>11-Sep-25</t>
        </is>
      </c>
      <c r="C755" s="13" t="inlineStr">
        <is>
          <t>Eas</t>
        </is>
      </c>
      <c r="D755" s="13" t="inlineStr">
        <is>
          <t>Online</t>
        </is>
      </c>
      <c r="E755" s="13" t="inlineStr">
        <is>
          <t>Textiles</t>
        </is>
      </c>
      <c r="F755" s="13" t="inlineStr">
        <is>
          <t>Wool Throw</t>
        </is>
      </c>
      <c r="G755" s="13" t="inlineStr">
        <is>
          <t>Consumer</t>
        </is>
      </c>
      <c r="H755" s="13" t="inlineStr">
        <is>
          <t>2</t>
        </is>
      </c>
      <c r="I755" s="14" t="inlineStr">
        <is>
          <t>70.19</t>
        </is>
      </c>
      <c r="J755" s="15" t="inlineStr">
        <is>
          <t>0.07</t>
        </is>
      </c>
      <c r="K755" s="14" t="inlineStr">
        <is>
          <t>29.48</t>
        </is>
      </c>
      <c r="L755" s="13" t="inlineStr">
        <is>
          <t>8</t>
        </is>
      </c>
      <c r="M755" s="13" t="inlineStr">
        <is>
          <t>Completed</t>
        </is>
      </c>
      <c r="N755" s="13" t="inlineStr">
        <is>
          <t>J. Patel</t>
        </is>
      </c>
    </row>
    <row r="756">
      <c r="A756" s="13" t="inlineStr">
        <is>
          <t>HC-100754</t>
        </is>
      </c>
      <c r="B756" s="13" t="inlineStr">
        <is>
          <t>2024/06/02</t>
        </is>
      </c>
      <c r="C756" s="13" t="inlineStr">
        <is>
          <t>North</t>
        </is>
      </c>
      <c r="D756" s="13" t="inlineStr">
        <is>
          <t>Store</t>
        </is>
      </c>
      <c r="E756" s="13" t="inlineStr">
        <is>
          <t>Textiles</t>
        </is>
      </c>
      <c r="F756" s="13" t="inlineStr">
        <is>
          <t>Cotton Duvet</t>
        </is>
      </c>
      <c r="G756" s="13" t="inlineStr">
        <is>
          <t>Corporate</t>
        </is>
      </c>
      <c r="H756" s="13" t="inlineStr">
        <is>
          <t>3</t>
        </is>
      </c>
      <c r="I756" s="14" t="inlineStr">
        <is>
          <t>113.88</t>
        </is>
      </c>
      <c r="J756" s="15" t="inlineStr">
        <is>
          <t>0.12</t>
        </is>
      </c>
      <c r="K756" s="14" t="inlineStr">
        <is>
          <t>50.11</t>
        </is>
      </c>
      <c r="L756" s="13" t="inlineStr">
        <is>
          <t>9</t>
        </is>
      </c>
      <c r="M756" s="13" t="inlineStr">
        <is>
          <t>Completed</t>
        </is>
      </c>
      <c r="N756" s="13" t="inlineStr">
        <is>
          <t>P. Rossi</t>
        </is>
      </c>
    </row>
    <row r="757">
      <c r="A757" s="13" t="inlineStr">
        <is>
          <t>HC-100755</t>
        </is>
      </c>
      <c r="B757" s="13" t="inlineStr">
        <is>
          <t>18.07.2024</t>
        </is>
      </c>
      <c r="C757" s="13" t="inlineStr">
        <is>
          <t>North</t>
        </is>
      </c>
      <c r="D757" s="13" t="inlineStr">
        <is>
          <t>Store</t>
        </is>
      </c>
      <c r="E757" s="13" t="inlineStr">
        <is>
          <t>Lighting</t>
        </is>
      </c>
      <c r="F757" s="13" t="inlineStr">
        <is>
          <t>Brass Sconce</t>
        </is>
      </c>
      <c r="G757" s="13" t="inlineStr">
        <is>
          <t>Corporate</t>
        </is>
      </c>
      <c r="H757" s="13" t="inlineStr">
        <is>
          <t>1</t>
        </is>
      </c>
      <c r="I757" s="14" t="inlineStr">
        <is>
          <t>139.80</t>
        </is>
      </c>
      <c r="J757" s="15" t="inlineStr">
        <is>
          <t>0.12</t>
        </is>
      </c>
      <c r="K757" s="14" t="inlineStr">
        <is>
          <t>64.31</t>
        </is>
      </c>
      <c r="L757" s="13" t="inlineStr">
        <is>
          <t>5</t>
        </is>
      </c>
      <c r="M757" s="13" t="inlineStr">
        <is>
          <t>Completed</t>
        </is>
      </c>
      <c r="N757" s="13" t="inlineStr">
        <is>
          <t>A. Shah</t>
        </is>
      </c>
    </row>
    <row r="758">
      <c r="A758" s="13" t="inlineStr">
        <is>
          <t>HC-100756</t>
        </is>
      </c>
      <c r="B758" s="13" t="inlineStr">
        <is>
          <t>09/10/2025</t>
        </is>
      </c>
      <c r="C758" s="13" t="inlineStr">
        <is>
          <t>West</t>
        </is>
      </c>
      <c r="D758" s="13" t="inlineStr">
        <is>
          <t>Online</t>
        </is>
      </c>
      <c r="E758" s="13" t="inlineStr">
        <is>
          <t>LIGHTING</t>
        </is>
      </c>
      <c r="F758" s="13" t="inlineStr">
        <is>
          <t>Brass Sconce</t>
        </is>
      </c>
      <c r="G758" s="13" t="inlineStr">
        <is>
          <t>Home Office</t>
        </is>
      </c>
      <c r="H758" s="13" t="inlineStr">
        <is>
          <t>3</t>
        </is>
      </c>
      <c r="I758" s="14" t="inlineStr">
        <is>
          <t>142.14</t>
        </is>
      </c>
      <c r="J758" s="15" t="inlineStr">
        <is>
          <t>0.05</t>
        </is>
      </c>
      <c r="K758" s="14" t="inlineStr">
        <is>
          <t>65.38</t>
        </is>
      </c>
      <c r="L758" s="13" t="inlineStr">
        <is>
          <t>3</t>
        </is>
      </c>
      <c r="M758" s="13" t="inlineStr">
        <is>
          <t>COMPLETED</t>
        </is>
      </c>
      <c r="N758" s="13" t="inlineStr">
        <is>
          <t>S. Nguyen</t>
        </is>
      </c>
    </row>
    <row r="759">
      <c r="A759" s="13" t="inlineStr">
        <is>
          <t>HC-100757</t>
        </is>
      </c>
      <c r="B759" s="13" t="inlineStr">
        <is>
          <t>10-Aug-24</t>
        </is>
      </c>
      <c r="C759" s="13" t="inlineStr">
        <is>
          <t>North</t>
        </is>
      </c>
      <c r="D759" s="13" t="inlineStr">
        <is>
          <t>Store</t>
        </is>
      </c>
      <c r="E759" s="13" t="inlineStr">
        <is>
          <t>TEXTILES</t>
        </is>
      </c>
      <c r="F759" s="13" t="inlineStr">
        <is>
          <t>Wool Throw</t>
        </is>
      </c>
      <c r="G759" s="13" t="inlineStr">
        <is>
          <t>Consumer</t>
        </is>
      </c>
      <c r="H759" s="13" t="inlineStr">
        <is>
          <t>2</t>
        </is>
      </c>
      <c r="I759" s="14" t="inlineStr">
        <is>
          <t>78.08</t>
        </is>
      </c>
      <c r="J759" s="15" t="inlineStr">
        <is>
          <t>0.10</t>
        </is>
      </c>
      <c r="K759" s="14" t="inlineStr">
        <is>
          <t>32.79</t>
        </is>
      </c>
      <c r="L759" s="13" t="inlineStr">
        <is>
          <t>5</t>
        </is>
      </c>
      <c r="M759" s="13" t="inlineStr">
        <is>
          <t>Completed</t>
        </is>
      </c>
      <c r="N759" s="13" t="inlineStr">
        <is>
          <t>P. Rossi</t>
        </is>
      </c>
    </row>
    <row r="760">
      <c r="A760" s="13" t="inlineStr">
        <is>
          <t>HC-100758</t>
        </is>
      </c>
      <c r="B760" s="13" t="inlineStr">
        <is>
          <t>2024/10/11</t>
        </is>
      </c>
      <c r="C760" s="13" t="inlineStr">
        <is>
          <t>East</t>
        </is>
      </c>
      <c r="D760" s="13" t="inlineStr">
        <is>
          <t>Online</t>
        </is>
      </c>
      <c r="E760" s="13" t="inlineStr">
        <is>
          <t>Furniture</t>
        </is>
      </c>
      <c r="F760" s="13" t="inlineStr">
        <is>
          <t>Lounge Chair</t>
        </is>
      </c>
      <c r="G760" s="13" t="inlineStr">
        <is>
          <t>Home Office</t>
        </is>
      </c>
      <c r="H760" s="13" t="inlineStr">
        <is>
          <t>One</t>
        </is>
      </c>
      <c r="I760" s="14" t="inlineStr">
        <is>
          <t>415.03</t>
        </is>
      </c>
      <c r="J760" s="15" t="inlineStr">
        <is>
          <t>0.12</t>
        </is>
      </c>
      <c r="K760" s="14" t="inlineStr">
        <is>
          <t>249.02</t>
        </is>
      </c>
      <c r="L760" s="13" t="inlineStr">
        <is>
          <t>10</t>
        </is>
      </c>
      <c r="M760" s="13" t="inlineStr">
        <is>
          <t>Completed</t>
        </is>
      </c>
      <c r="N760" s="13" t="inlineStr">
        <is>
          <t>L. Berger</t>
        </is>
      </c>
    </row>
    <row r="761">
      <c r="A761" s="13" t="inlineStr">
        <is>
          <t>HC-100759</t>
        </is>
      </c>
      <c r="B761" s="13" t="inlineStr">
        <is>
          <t>21.07.2024</t>
        </is>
      </c>
      <c r="C761" s="13" t="inlineStr">
        <is>
          <t>North</t>
        </is>
      </c>
      <c r="D761" s="13" t="inlineStr">
        <is>
          <t>Store</t>
        </is>
      </c>
      <c r="E761" s="13" t="inlineStr">
        <is>
          <t>Textiles</t>
        </is>
      </c>
      <c r="F761" s="13" t="inlineStr">
        <is>
          <t>Linen Curtain</t>
        </is>
      </c>
      <c r="G761" s="13" t="inlineStr">
        <is>
          <t>Consumer</t>
        </is>
      </c>
      <c r="H761" s="13" t="inlineStr">
        <is>
          <t>4</t>
        </is>
      </c>
      <c r="I761" s="14" t="inlineStr">
        <is>
          <t>91.97</t>
        </is>
      </c>
      <c r="J761" s="15" t="inlineStr">
        <is>
          <t>0.11</t>
        </is>
      </c>
      <c r="K761" s="14" t="inlineStr">
        <is>
          <t>41.39</t>
        </is>
      </c>
      <c r="L761" s="13" t="inlineStr">
        <is>
          <t>4</t>
        </is>
      </c>
      <c r="M761" s="13" t="inlineStr">
        <is>
          <t>Compleated</t>
        </is>
      </c>
      <c r="N761" s="13" t="inlineStr">
        <is>
          <t>K. Mensah</t>
        </is>
      </c>
    </row>
    <row r="762">
      <c r="A762" s="13" t="inlineStr">
        <is>
          <t>HC-100760</t>
        </is>
      </c>
      <c r="B762" s="13" t="inlineStr">
        <is>
          <t>06/13/2024</t>
        </is>
      </c>
      <c r="C762" s="13" t="inlineStr">
        <is>
          <t>West</t>
        </is>
      </c>
      <c r="D762" s="13" t="inlineStr">
        <is>
          <t>Online</t>
        </is>
      </c>
      <c r="E762" s="13" t="inlineStr">
        <is>
          <t>Furniture</t>
        </is>
      </c>
      <c r="F762" s="13" t="inlineStr">
        <is>
          <t>Lounge Chair</t>
        </is>
      </c>
      <c r="G762" s="13" t="inlineStr">
        <is>
          <t>Consumer</t>
        </is>
      </c>
      <c r="H762" s="13" t="inlineStr">
        <is>
          <t>1</t>
        </is>
      </c>
      <c r="I762" s="14" t="inlineStr">
        <is>
          <t>460.63</t>
        </is>
      </c>
      <c r="J762" s="15" t="inlineStr">
        <is>
          <t>0.05</t>
        </is>
      </c>
      <c r="K762" s="14" t="inlineStr">
        <is>
          <t>276.38</t>
        </is>
      </c>
      <c r="L762" s="13" t="inlineStr">
        <is>
          <t>7</t>
        </is>
      </c>
      <c r="M762" s="13" t="inlineStr">
        <is>
          <t>Completed</t>
        </is>
      </c>
      <c r="N762" s="13" t="inlineStr">
        <is>
          <t>J. Patel</t>
        </is>
      </c>
    </row>
    <row r="763">
      <c r="A763" s="13" t="inlineStr">
        <is>
          <t>HC-100761</t>
        </is>
      </c>
      <c r="B763" s="13" t="inlineStr">
        <is>
          <t>12-Apr-24</t>
        </is>
      </c>
      <c r="C763" s="13" t="inlineStr">
        <is>
          <t>North</t>
        </is>
      </c>
      <c r="D763" s="13" t="inlineStr">
        <is>
          <t>Store</t>
        </is>
      </c>
      <c r="E763" s="13" t="inlineStr">
        <is>
          <t>TEXTILES</t>
        </is>
      </c>
      <c r="F763" s="13" t="inlineStr">
        <is>
          <t>Linen Curtain</t>
        </is>
      </c>
      <c r="G763" s="13" t="inlineStr">
        <is>
          <t>Consumer</t>
        </is>
      </c>
      <c r="H763" s="13" t="inlineStr">
        <is>
          <t>4</t>
        </is>
      </c>
      <c r="I763" s="14" t="inlineStr">
        <is>
          <t>101.59</t>
        </is>
      </c>
      <c r="J763" s="15" t="inlineStr">
        <is>
          <t>0.03</t>
        </is>
      </c>
      <c r="K763" s="14" t="inlineStr">
        <is>
          <t>45.72</t>
        </is>
      </c>
      <c r="L763" s="13" t="inlineStr">
        <is>
          <t>8</t>
        </is>
      </c>
      <c r="M763" s="13" t="inlineStr">
        <is>
          <t>Completed</t>
        </is>
      </c>
      <c r="N763" s="13" t="inlineStr">
        <is>
          <t>L. Berger</t>
        </is>
      </c>
    </row>
    <row r="764">
      <c r="A764" s="13" t="inlineStr">
        <is>
          <t>HC-100762</t>
        </is>
      </c>
      <c r="B764" s="13" t="inlineStr">
        <is>
          <t>2024/01/03</t>
        </is>
      </c>
      <c r="C764" s="13" t="inlineStr">
        <is>
          <t>North</t>
        </is>
      </c>
      <c r="D764" s="13" t="inlineStr">
        <is>
          <t>Online</t>
        </is>
      </c>
      <c r="E764" s="13" t="inlineStr">
        <is>
          <t>Kitchen</t>
        </is>
      </c>
      <c r="F764" s="13" t="inlineStr">
        <is>
          <t>Cast Skillet</t>
        </is>
      </c>
      <c r="G764" s="13" t="inlineStr">
        <is>
          <t>Corporate</t>
        </is>
      </c>
      <c r="H764" s="13" t="inlineStr">
        <is>
          <t>3</t>
        </is>
      </c>
      <c r="I764" s="14" t="inlineStr">
        <is>
          <t>52.06</t>
        </is>
      </c>
      <c r="J764" s="15" t="inlineStr">
        <is>
          <t>0.05</t>
        </is>
      </c>
      <c r="K764" s="14" t="inlineStr">
        <is>
          <t>20.82</t>
        </is>
      </c>
      <c r="L764" s="13" t="inlineStr">
        <is>
          <t>2</t>
        </is>
      </c>
      <c r="M764" s="13" t="inlineStr">
        <is>
          <t>Completed</t>
        </is>
      </c>
      <c r="N764" s="13" t="inlineStr">
        <is>
          <t>S. Nguyen</t>
        </is>
      </c>
    </row>
    <row r="765">
      <c r="A765" s="13" t="inlineStr">
        <is>
          <t>HC-100763</t>
        </is>
      </c>
      <c r="B765" s="13" t="inlineStr">
        <is>
          <t>15.12.2024</t>
        </is>
      </c>
      <c r="C765" s="13" t="inlineStr">
        <is>
          <t>West</t>
        </is>
      </c>
      <c r="D765" s="13" t="inlineStr">
        <is>
          <t>Store</t>
        </is>
      </c>
      <c r="E765" s="13" t="inlineStr">
        <is>
          <t>Textiles</t>
        </is>
      </c>
      <c r="F765" s="13" t="inlineStr">
        <is>
          <t>Cotton Duvet</t>
        </is>
      </c>
      <c r="G765" s="13" t="inlineStr">
        <is>
          <t>Corporate</t>
        </is>
      </c>
      <c r="H765" s="13" t="inlineStr">
        <is>
          <t>2</t>
        </is>
      </c>
      <c r="I765" s="14" t="inlineStr">
        <is>
          <t>120.05</t>
        </is>
      </c>
      <c r="J765" s="15" t="inlineStr">
        <is>
          <t>0.09</t>
        </is>
      </c>
      <c r="K765" s="14" t="inlineStr">
        <is>
          <t>52.82</t>
        </is>
      </c>
      <c r="L765" s="13" t="inlineStr">
        <is>
          <t>6</t>
        </is>
      </c>
      <c r="M765" s="13" t="inlineStr">
        <is>
          <t>Completed</t>
        </is>
      </c>
      <c r="N765" s="13" t="inlineStr">
        <is>
          <t>K. Mensah</t>
        </is>
      </c>
    </row>
    <row r="766">
      <c r="A766" s="13" t="inlineStr">
        <is>
          <t>HC-100764</t>
        </is>
      </c>
      <c r="B766" s="13" t="inlineStr">
        <is>
          <t>09/20/2025</t>
        </is>
      </c>
      <c r="C766" s="13" t="inlineStr">
        <is>
          <t>West</t>
        </is>
      </c>
      <c r="D766" s="13" t="inlineStr">
        <is>
          <t>In-Store</t>
        </is>
      </c>
      <c r="E766" s="13" t="inlineStr">
        <is>
          <t>Kitchen</t>
        </is>
      </c>
      <c r="F766" s="13" t="inlineStr">
        <is>
          <t>Cast Skillet</t>
        </is>
      </c>
      <c r="G766" s="13" t="inlineStr">
        <is>
          <t>Consumer</t>
        </is>
      </c>
      <c r="H766" s="13" t="inlineStr">
        <is>
          <t>1</t>
        </is>
      </c>
      <c r="I766" s="14" t="inlineStr">
        <is>
          <t>$51.26</t>
        </is>
      </c>
      <c r="J766" s="15" t="inlineStr">
        <is>
          <t>0.10</t>
        </is>
      </c>
      <c r="K766" s="14" t="inlineStr">
        <is>
          <t>20.51</t>
        </is>
      </c>
      <c r="L766" s="13" t="inlineStr">
        <is>
          <t>9</t>
        </is>
      </c>
      <c r="M766" s="13" t="inlineStr">
        <is>
          <t>Completed</t>
        </is>
      </c>
      <c r="N766" s="13" t="inlineStr">
        <is>
          <t>L. Berger</t>
        </is>
      </c>
    </row>
    <row r="767">
      <c r="A767" s="13" t="inlineStr">
        <is>
          <t>HC-100765</t>
        </is>
      </c>
      <c r="B767" s="13" t="inlineStr">
        <is>
          <t>18-Mar-24</t>
        </is>
      </c>
      <c r="C767" s="13" t="inlineStr">
        <is>
          <t>West</t>
        </is>
      </c>
      <c r="D767" s="13" t="inlineStr">
        <is>
          <t>Store</t>
        </is>
      </c>
      <c r="E767" s="13" t="inlineStr">
        <is>
          <t>Textiles</t>
        </is>
      </c>
      <c r="F767" s="13" t="inlineStr">
        <is>
          <t>Cotton Duvet</t>
        </is>
      </c>
      <c r="G767" s="13" t="inlineStr">
        <is>
          <t>consumer</t>
        </is>
      </c>
      <c r="H767" s="13" t="inlineStr">
        <is>
          <t>3</t>
        </is>
      </c>
      <c r="I767" s="14" t="inlineStr">
        <is>
          <t>113.81</t>
        </is>
      </c>
      <c r="J767" s="15" t="inlineStr">
        <is>
          <t>0.01</t>
        </is>
      </c>
      <c r="K767" s="14" t="inlineStr">
        <is>
          <t>50.07</t>
        </is>
      </c>
      <c r="L767" s="13" t="inlineStr">
        <is>
          <t>9</t>
        </is>
      </c>
      <c r="M767" s="13" t="inlineStr">
        <is>
          <t>Compleated</t>
        </is>
      </c>
      <c r="N767" s="13" t="inlineStr">
        <is>
          <t>R. Ibarra</t>
        </is>
      </c>
    </row>
    <row r="768">
      <c r="A768" s="13" t="inlineStr">
        <is>
          <t>HC-100766</t>
        </is>
      </c>
      <c r="B768" s="13" t="inlineStr">
        <is>
          <t>2025/06/27</t>
        </is>
      </c>
      <c r="C768" s="13" t="inlineStr">
        <is>
          <t>West</t>
        </is>
      </c>
      <c r="D768" s="13" t="inlineStr">
        <is>
          <t>Wholesale</t>
        </is>
      </c>
      <c r="E768" s="13" t="inlineStr">
        <is>
          <t>FURNITURE</t>
        </is>
      </c>
      <c r="F768" s="13" t="inlineStr">
        <is>
          <t>Linen Sofa</t>
        </is>
      </c>
      <c r="G768" s="13" t="inlineStr">
        <is>
          <t>Corporate</t>
        </is>
      </c>
      <c r="H768" s="13" t="inlineStr">
        <is>
          <t>26</t>
        </is>
      </c>
      <c r="I768" s="14" t="inlineStr">
        <is>
          <t>1175.12</t>
        </is>
      </c>
      <c r="J768" s="15" t="inlineStr">
        <is>
          <t>0.17</t>
        </is>
      </c>
      <c r="K768" s="14" t="inlineStr">
        <is>
          <t>775.58</t>
        </is>
      </c>
      <c r="L768" s="13" t="inlineStr">
        <is>
          <t>3</t>
        </is>
      </c>
      <c r="M768" s="13" t="inlineStr">
        <is>
          <t>Completed</t>
        </is>
      </c>
      <c r="N768" s="13" t="inlineStr">
        <is>
          <t>M. Okonkwo</t>
        </is>
      </c>
    </row>
    <row r="769">
      <c r="A769" s="13" t="inlineStr">
        <is>
          <t>HC-100767</t>
        </is>
      </c>
      <c r="B769" s="13" t="inlineStr">
        <is>
          <t>02.11.2024</t>
        </is>
      </c>
      <c r="C769" s="13" t="inlineStr">
        <is>
          <t>SOUTH</t>
        </is>
      </c>
      <c r="D769" s="13" t="inlineStr">
        <is>
          <t>Store</t>
        </is>
      </c>
      <c r="E769" s="13" t="inlineStr">
        <is>
          <t>Furniture</t>
        </is>
      </c>
      <c r="F769" s="13" t="inlineStr">
        <is>
          <t>Lounge Chair</t>
        </is>
      </c>
      <c r="G769" s="13" t="inlineStr">
        <is>
          <t>Consumer</t>
        </is>
      </c>
      <c r="H769" s="13" t="inlineStr">
        <is>
          <t>4</t>
        </is>
      </c>
      <c r="I769" s="14" t="inlineStr">
        <is>
          <t>474.30</t>
        </is>
      </c>
      <c r="J769" s="15" t="inlineStr">
        <is>
          <t>0.05</t>
        </is>
      </c>
      <c r="K769" s="14" t="inlineStr">
        <is>
          <t>284.58</t>
        </is>
      </c>
      <c r="L769" s="13" t="inlineStr">
        <is>
          <t>5</t>
        </is>
      </c>
      <c r="M769" s="13" t="inlineStr">
        <is>
          <t>Completed</t>
        </is>
      </c>
      <c r="N769" s="13" t="inlineStr">
        <is>
          <t>J. Patel</t>
        </is>
      </c>
    </row>
    <row r="770">
      <c r="A770" s="13" t="inlineStr">
        <is>
          <t>HC-100768</t>
        </is>
      </c>
      <c r="B770" s="13" t="inlineStr">
        <is>
          <t>03/12/2025</t>
        </is>
      </c>
      <c r="C770" s="13" t="inlineStr">
        <is>
          <t>West</t>
        </is>
      </c>
      <c r="D770" s="13" t="inlineStr">
        <is>
          <t>B2B</t>
        </is>
      </c>
      <c r="E770" s="13" t="inlineStr">
        <is>
          <t>Furniture</t>
        </is>
      </c>
      <c r="F770" s="13" t="inlineStr">
        <is>
          <t>Lounge Chair</t>
        </is>
      </c>
      <c r="G770" s="13" t="inlineStr">
        <is>
          <t>Corporate</t>
        </is>
      </c>
      <c r="H770" s="13" t="inlineStr">
        <is>
          <t>21</t>
        </is>
      </c>
      <c r="I770" s="14" t="inlineStr">
        <is>
          <t>487.12</t>
        </is>
      </c>
      <c r="J770" s="15" t="inlineStr">
        <is>
          <t>0.26</t>
        </is>
      </c>
      <c r="K770" s="14" t="inlineStr">
        <is>
          <t>292.27</t>
        </is>
      </c>
      <c r="L770" s="13" t="inlineStr">
        <is>
          <t>4</t>
        </is>
      </c>
      <c r="M770" s="13" t="inlineStr">
        <is>
          <t>Compleated</t>
        </is>
      </c>
      <c r="N770" s="13" t="inlineStr">
        <is>
          <t>J. Patel</t>
        </is>
      </c>
    </row>
    <row r="771">
      <c r="A771" s="13" t="inlineStr">
        <is>
          <t>HC-100769</t>
        </is>
      </c>
      <c r="B771" s="13" t="inlineStr">
        <is>
          <t>08-Jan-25</t>
        </is>
      </c>
      <c r="C771" s="13" t="inlineStr">
        <is>
          <t>West</t>
        </is>
      </c>
      <c r="D771" s="13" t="inlineStr">
        <is>
          <t>web</t>
        </is>
      </c>
      <c r="E771" s="13" t="inlineStr">
        <is>
          <t>Furniture</t>
        </is>
      </c>
      <c r="F771" s="13" t="inlineStr">
        <is>
          <t>Lounge Chair</t>
        </is>
      </c>
      <c r="G771" s="13" t="inlineStr">
        <is>
          <t>Corporate</t>
        </is>
      </c>
      <c r="H771" s="13" t="inlineStr">
        <is>
          <t>3</t>
        </is>
      </c>
      <c r="I771" s="14" t="inlineStr">
        <is>
          <t>480.07</t>
        </is>
      </c>
      <c r="J771" s="15" t="inlineStr">
        <is>
          <t>16%</t>
        </is>
      </c>
      <c r="K771" s="14" t="inlineStr">
        <is>
          <t>288.04</t>
        </is>
      </c>
      <c r="L771" s="13" t="inlineStr">
        <is>
          <t>5</t>
        </is>
      </c>
      <c r="M771" s="13" t="inlineStr">
        <is>
          <t>Compleated</t>
        </is>
      </c>
      <c r="N771" s="13" t="inlineStr">
        <is>
          <t>A. Shah</t>
        </is>
      </c>
    </row>
    <row r="772">
      <c r="A772" s="13" t="inlineStr">
        <is>
          <t>HC-100770</t>
        </is>
      </c>
      <c r="B772" s="13" t="inlineStr">
        <is>
          <t>2025/07/21</t>
        </is>
      </c>
      <c r="C772" s="13" t="inlineStr">
        <is>
          <t>South</t>
        </is>
      </c>
      <c r="D772" s="13" t="inlineStr">
        <is>
          <t>e-commerce</t>
        </is>
      </c>
      <c r="E772" s="13" t="inlineStr">
        <is>
          <t>Lighting</t>
        </is>
      </c>
      <c r="F772" s="13" t="inlineStr">
        <is>
          <t>Brass Sconce</t>
        </is>
      </c>
      <c r="G772" s="13" t="inlineStr">
        <is>
          <t>Consumer</t>
        </is>
      </c>
      <c r="H772" s="13" t="inlineStr">
        <is>
          <t>1</t>
        </is>
      </c>
      <c r="I772" s="14" t="inlineStr">
        <is>
          <t>133.28</t>
        </is>
      </c>
      <c r="J772" s="15" t="inlineStr">
        <is>
          <t>0.17</t>
        </is>
      </c>
      <c r="K772" s="14" t="inlineStr">
        <is>
          <t>61.31</t>
        </is>
      </c>
      <c r="L772" s="13" t="inlineStr">
        <is>
          <t>6</t>
        </is>
      </c>
      <c r="M772" s="13" t="inlineStr">
        <is>
          <t>Completed</t>
        </is>
      </c>
      <c r="N772" s="13" t="inlineStr">
        <is>
          <t>S. Nguyen</t>
        </is>
      </c>
    </row>
    <row r="773">
      <c r="A773" s="13" t="inlineStr">
        <is>
          <t>HC-100771</t>
        </is>
      </c>
      <c r="B773" s="13" t="inlineStr">
        <is>
          <t>13.06.2025</t>
        </is>
      </c>
      <c r="C773" s="13" t="inlineStr">
        <is>
          <t>NORTH</t>
        </is>
      </c>
      <c r="D773" s="13" t="inlineStr">
        <is>
          <t>Store</t>
        </is>
      </c>
      <c r="E773" s="13" t="inlineStr">
        <is>
          <t>Furniture</t>
        </is>
      </c>
      <c r="F773" s="13" t="inlineStr">
        <is>
          <t>Oak Desk</t>
        </is>
      </c>
      <c r="G773" s="13" t="inlineStr">
        <is>
          <t>Consumer</t>
        </is>
      </c>
      <c r="H773" s="13" t="inlineStr">
        <is>
          <t>2</t>
        </is>
      </c>
      <c r="I773" s="14" t="inlineStr">
        <is>
          <t>817.06</t>
        </is>
      </c>
      <c r="J773" s="15" t="inlineStr">
        <is>
          <t>0.12</t>
        </is>
      </c>
      <c r="K773" s="14" t="inlineStr">
        <is>
          <t>506.58</t>
        </is>
      </c>
      <c r="L773" s="13" t="inlineStr">
        <is>
          <t>1</t>
        </is>
      </c>
      <c r="M773" s="13" t="inlineStr">
        <is>
          <t>Completed</t>
        </is>
      </c>
      <c r="N773" s="13" t="inlineStr">
        <is>
          <t>S. Nguyen</t>
        </is>
      </c>
    </row>
    <row r="774">
      <c r="A774" s="13" t="inlineStr">
        <is>
          <t>HC-100772</t>
        </is>
      </c>
      <c r="B774" s="13" t="inlineStr">
        <is>
          <t>10/10/2024</t>
        </is>
      </c>
      <c r="C774" s="13" t="inlineStr">
        <is>
          <t>East</t>
        </is>
      </c>
      <c r="D774" s="13" t="inlineStr">
        <is>
          <t>Online</t>
        </is>
      </c>
      <c r="E774" s="13" t="inlineStr">
        <is>
          <t>Kitchen</t>
        </is>
      </c>
      <c r="F774" s="13" t="inlineStr">
        <is>
          <t>Chef Knife</t>
        </is>
      </c>
      <c r="G774" s="13" t="inlineStr">
        <is>
          <t>Consumer</t>
        </is>
      </c>
      <c r="H774" s="13" t="inlineStr">
        <is>
          <t>3</t>
        </is>
      </c>
      <c r="I774" s="14" t="inlineStr">
        <is>
          <t>58.13</t>
        </is>
      </c>
      <c r="J774" s="15" t="inlineStr">
        <is>
          <t>0.15</t>
        </is>
      </c>
      <c r="K774" s="14" t="inlineStr">
        <is>
          <t>20.93</t>
        </is>
      </c>
      <c r="L774" s="13" t="inlineStr">
        <is>
          <t>8</t>
        </is>
      </c>
      <c r="M774" s="13" t="inlineStr">
        <is>
          <t>Completed</t>
        </is>
      </c>
      <c r="N774" s="13" t="inlineStr">
        <is>
          <t>L. Berger</t>
        </is>
      </c>
    </row>
    <row r="775">
      <c r="A775" s="13" t="inlineStr">
        <is>
          <t>HC-100773</t>
        </is>
      </c>
      <c r="B775" s="13" t="inlineStr">
        <is>
          <t>21-Mar-25</t>
        </is>
      </c>
      <c r="C775" s="13" t="inlineStr">
        <is>
          <t>North</t>
        </is>
      </c>
      <c r="D775" s="13" t="inlineStr">
        <is>
          <t>Wholesale</t>
        </is>
      </c>
      <c r="E775" s="13" t="inlineStr">
        <is>
          <t>Textiles</t>
        </is>
      </c>
      <c r="F775" s="13" t="inlineStr">
        <is>
          <t>Cotton Duvet</t>
        </is>
      </c>
      <c r="G775" s="13" t="inlineStr">
        <is>
          <t>Consumer</t>
        </is>
      </c>
      <c r="H775" s="13" t="inlineStr">
        <is>
          <t>32</t>
        </is>
      </c>
      <c r="I775" s="14" t="inlineStr">
        <is>
          <t>124.06</t>
        </is>
      </c>
      <c r="J775" s="15" t="inlineStr">
        <is>
          <t>0.22</t>
        </is>
      </c>
      <c r="K775" s="14" t="inlineStr">
        <is>
          <t>54.59</t>
        </is>
      </c>
      <c r="L775" s="13" t="inlineStr">
        <is>
          <t>6</t>
        </is>
      </c>
      <c r="M775" s="13" t="inlineStr">
        <is>
          <t>Completed</t>
        </is>
      </c>
      <c r="N775" s="13" t="inlineStr">
        <is>
          <t>S. Nguyen</t>
        </is>
      </c>
    </row>
    <row r="776">
      <c r="A776" s="13" t="inlineStr">
        <is>
          <t>HC-100774</t>
        </is>
      </c>
      <c r="B776" s="13" t="inlineStr">
        <is>
          <t>2024/11/01</t>
        </is>
      </c>
      <c r="C776" s="13" t="inlineStr">
        <is>
          <t>South</t>
        </is>
      </c>
      <c r="D776" s="13" t="inlineStr">
        <is>
          <t>Store</t>
        </is>
      </c>
      <c r="E776" s="13" t="inlineStr">
        <is>
          <t>Kitchen</t>
        </is>
      </c>
      <c r="F776" s="13" t="inlineStr">
        <is>
          <t>Ceramic Set</t>
        </is>
      </c>
      <c r="G776" s="13" t="inlineStr">
        <is>
          <t>Consumer</t>
        </is>
      </c>
      <c r="H776" s="13" t="inlineStr">
        <is>
          <t>2</t>
        </is>
      </c>
      <c r="I776" s="14" t="inlineStr">
        <is>
          <t>81.79</t>
        </is>
      </c>
      <c r="J776" s="15" t="inlineStr">
        <is>
          <t>0.10</t>
        </is>
      </c>
      <c r="K776" s="14" t="inlineStr">
        <is>
          <t>31.08</t>
        </is>
      </c>
      <c r="L776" s="13" t="inlineStr">
        <is>
          <t>6</t>
        </is>
      </c>
      <c r="M776" s="13" t="inlineStr">
        <is>
          <t>Completed</t>
        </is>
      </c>
      <c r="N776" s="13" t="inlineStr">
        <is>
          <t>A. Shah</t>
        </is>
      </c>
    </row>
    <row r="777">
      <c r="A777" s="13" t="inlineStr">
        <is>
          <t>HC-100775</t>
        </is>
      </c>
      <c r="B777" s="13" t="inlineStr">
        <is>
          <t>11.08.2024</t>
        </is>
      </c>
      <c r="C777" s="13" t="inlineStr">
        <is>
          <t>West</t>
        </is>
      </c>
      <c r="D777" s="13" t="inlineStr">
        <is>
          <t>Store</t>
        </is>
      </c>
      <c r="E777" s="13" t="inlineStr">
        <is>
          <t>Furniture</t>
        </is>
      </c>
      <c r="F777" s="13" t="inlineStr">
        <is>
          <t>Linen Sofa</t>
        </is>
      </c>
      <c r="G777" s="13" t="inlineStr">
        <is>
          <t>Consumer</t>
        </is>
      </c>
      <c r="H777" s="13" t="inlineStr">
        <is>
          <t>3</t>
        </is>
      </c>
      <c r="I777" s="14" t="inlineStr">
        <is>
          <t>1288.84</t>
        </is>
      </c>
      <c r="J777" s="15" t="inlineStr">
        <is>
          <t>0.09</t>
        </is>
      </c>
      <c r="K777" s="14" t="inlineStr">
        <is>
          <t>850.63</t>
        </is>
      </c>
      <c r="L777" s="13" t="inlineStr">
        <is>
          <t>8</t>
        </is>
      </c>
      <c r="M777" s="13" t="inlineStr">
        <is>
          <t>Cancelled</t>
        </is>
      </c>
      <c r="N777" s="13" t="inlineStr">
        <is>
          <t>L. Berger</t>
        </is>
      </c>
    </row>
    <row r="778">
      <c r="A778" s="13" t="inlineStr">
        <is>
          <t>HC-100776</t>
        </is>
      </c>
      <c r="B778" s="13" t="inlineStr">
        <is>
          <t>06/03/2025</t>
        </is>
      </c>
      <c r="C778" s="13" t="inlineStr">
        <is>
          <t>EAST</t>
        </is>
      </c>
      <c r="D778" s="13" t="inlineStr">
        <is>
          <t>Store</t>
        </is>
      </c>
      <c r="E778" s="13" t="inlineStr">
        <is>
          <t>Kitchen</t>
        </is>
      </c>
      <c r="F778" s="13" t="inlineStr">
        <is>
          <t>Cast Skillet</t>
        </is>
      </c>
      <c r="G778" s="13" t="inlineStr">
        <is>
          <t>Consumer</t>
        </is>
      </c>
      <c r="H778" s="13" t="inlineStr">
        <is>
          <t>2</t>
        </is>
      </c>
      <c r="I778" s="14" t="inlineStr">
        <is>
          <t>52.36</t>
        </is>
      </c>
      <c r="J778" s="15" t="inlineStr">
        <is>
          <t>0.07</t>
        </is>
      </c>
      <c r="K778" s="14" t="inlineStr">
        <is>
          <t>20.95</t>
        </is>
      </c>
      <c r="L778" s="13" t="inlineStr">
        <is>
          <t>8</t>
        </is>
      </c>
      <c r="M778" s="13" t="inlineStr">
        <is>
          <t>Compleated</t>
        </is>
      </c>
      <c r="N778" s="13" t="inlineStr">
        <is>
          <t>J. Patel</t>
        </is>
      </c>
    </row>
    <row r="779">
      <c r="A779" s="13" t="inlineStr">
        <is>
          <t>HC-100777</t>
        </is>
      </c>
      <c r="B779" s="13" t="inlineStr">
        <is>
          <t>09-Apr-24</t>
        </is>
      </c>
      <c r="C779" s="13" t="inlineStr">
        <is>
          <t>South</t>
        </is>
      </c>
      <c r="D779" s="13" t="inlineStr">
        <is>
          <t>Online</t>
        </is>
      </c>
      <c r="E779" s="13" t="inlineStr">
        <is>
          <t>FURNITURE</t>
        </is>
      </c>
      <c r="F779" s="13" t="inlineStr">
        <is>
          <t>Walnut Shelf</t>
        </is>
      </c>
      <c r="G779" s="13" t="inlineStr">
        <is>
          <t>Consumer</t>
        </is>
      </c>
      <c r="H779" s="13" t="inlineStr">
        <is>
          <t>3</t>
        </is>
      </c>
      <c r="I779" s="14" t="inlineStr">
        <is>
          <t>206.46</t>
        </is>
      </c>
      <c r="J779" s="15" t="inlineStr">
        <is>
          <t>0.11</t>
        </is>
      </c>
      <c r="K779" s="14" t="inlineStr">
        <is>
          <t>113.55</t>
        </is>
      </c>
      <c r="L779" s="13" t="inlineStr">
        <is>
          <t>5</t>
        </is>
      </c>
      <c r="M779" s="13" t="inlineStr">
        <is>
          <t>Completed</t>
        </is>
      </c>
      <c r="N779" s="13" t="inlineStr">
        <is>
          <t>M. Okonkwo</t>
        </is>
      </c>
    </row>
    <row r="780">
      <c r="A780" s="13" t="inlineStr">
        <is>
          <t>HC-100778</t>
        </is>
      </c>
      <c r="B780" s="13" t="inlineStr">
        <is>
          <t>2024/11/19</t>
        </is>
      </c>
      <c r="C780" s="13" t="inlineStr">
        <is>
          <t>SOUTH</t>
        </is>
      </c>
      <c r="D780" s="13" t="inlineStr">
        <is>
          <t>Store</t>
        </is>
      </c>
      <c r="E780" s="13" t="inlineStr">
        <is>
          <t>Furniture</t>
        </is>
      </c>
      <c r="F780" s="13" t="inlineStr">
        <is>
          <t>Walnut Shelf</t>
        </is>
      </c>
      <c r="G780" s="13" t="inlineStr">
        <is>
          <t>Home Office</t>
        </is>
      </c>
      <c r="H780" s="13" t="inlineStr">
        <is>
          <t>2</t>
        </is>
      </c>
      <c r="I780" s="14" t="inlineStr">
        <is>
          <t>222.59</t>
        </is>
      </c>
      <c r="J780" s="15" t="inlineStr">
        <is>
          <t>0.00</t>
        </is>
      </c>
      <c r="K780" s="14" t="inlineStr">
        <is>
          <t>122.42</t>
        </is>
      </c>
      <c r="L780" s="13" t="inlineStr">
        <is>
          <t>8</t>
        </is>
      </c>
      <c r="M780" s="13" t="inlineStr">
        <is>
          <t>Completed</t>
        </is>
      </c>
      <c r="N780" s="13" t="inlineStr">
        <is>
          <t>M. Okonkwo</t>
        </is>
      </c>
    </row>
    <row r="781">
      <c r="A781" s="13" t="inlineStr">
        <is>
          <t>HC-100779</t>
        </is>
      </c>
      <c r="B781" s="13" t="inlineStr">
        <is>
          <t>15.11.2024</t>
        </is>
      </c>
      <c r="C781" s="13" t="inlineStr">
        <is>
          <t>South</t>
        </is>
      </c>
      <c r="D781" s="13" t="inlineStr">
        <is>
          <t>Store</t>
        </is>
      </c>
      <c r="E781" s="13" t="inlineStr">
        <is>
          <t>Lighting</t>
        </is>
      </c>
      <c r="F781" s="13" t="inlineStr">
        <is>
          <t>Arc Lamp</t>
        </is>
      </c>
      <c r="G781" s="13" t="inlineStr">
        <is>
          <t>Consumer</t>
        </is>
      </c>
      <c r="H781" s="13" t="inlineStr">
        <is>
          <t>4</t>
        </is>
      </c>
      <c r="I781" s="14" t="inlineStr">
        <is>
          <t>322.89</t>
        </is>
      </c>
      <c r="J781" s="15" t="inlineStr">
        <is>
          <t>0.07</t>
        </is>
      </c>
      <c r="K781" s="14" t="inlineStr">
        <is>
          <t>154.99</t>
        </is>
      </c>
      <c r="L781" s="13" t="inlineStr">
        <is>
          <t>3</t>
        </is>
      </c>
      <c r="M781" s="13" t="inlineStr">
        <is>
          <t>RETURNED</t>
        </is>
      </c>
      <c r="N781" s="13" t="inlineStr">
        <is>
          <t>M. Okonkwo</t>
        </is>
      </c>
    </row>
    <row r="782">
      <c r="A782" s="13" t="inlineStr">
        <is>
          <t>HC-100780</t>
        </is>
      </c>
      <c r="B782" s="13" t="inlineStr">
        <is>
          <t>11/26/2024</t>
        </is>
      </c>
      <c r="C782" s="13" t="inlineStr">
        <is>
          <t>North</t>
        </is>
      </c>
      <c r="D782" s="13" t="inlineStr">
        <is>
          <t>Online</t>
        </is>
      </c>
      <c r="E782" s="13" t="inlineStr">
        <is>
          <t>Textiles</t>
        </is>
      </c>
      <c r="F782" s="13" t="inlineStr">
        <is>
          <t>Linen Curtain</t>
        </is>
      </c>
      <c r="G782" s="13" t="inlineStr"/>
      <c r="H782" s="13" t="inlineStr">
        <is>
          <t>3</t>
        </is>
      </c>
      <c r="I782" s="14" t="inlineStr">
        <is>
          <t>101.19</t>
        </is>
      </c>
      <c r="J782" s="15" t="inlineStr">
        <is>
          <t>4%</t>
        </is>
      </c>
      <c r="K782" s="14" t="inlineStr">
        <is>
          <t>45.54</t>
        </is>
      </c>
      <c r="L782" s="13" t="inlineStr">
        <is>
          <t>4</t>
        </is>
      </c>
      <c r="M782" s="13" t="inlineStr">
        <is>
          <t>Completed</t>
        </is>
      </c>
      <c r="N782" s="13" t="inlineStr">
        <is>
          <t>P. Rossi</t>
        </is>
      </c>
    </row>
    <row r="783">
      <c r="A783" s="13" t="inlineStr">
        <is>
          <t>HC-100781</t>
        </is>
      </c>
      <c r="B783" s="13" t="inlineStr">
        <is>
          <t>25-May-25</t>
        </is>
      </c>
      <c r="C783" s="13" t="inlineStr">
        <is>
          <t>South</t>
        </is>
      </c>
      <c r="D783" s="13" t="inlineStr">
        <is>
          <t>Wholesale</t>
        </is>
      </c>
      <c r="E783" s="13" t="inlineStr">
        <is>
          <t>Textiles</t>
        </is>
      </c>
      <c r="F783" s="13" t="inlineStr">
        <is>
          <t>Cotton Duvet</t>
        </is>
      </c>
      <c r="G783" s="13" t="inlineStr">
        <is>
          <t>Consumer</t>
        </is>
      </c>
      <c r="H783" s="13" t="inlineStr">
        <is>
          <t>16</t>
        </is>
      </c>
      <c r="I783" s="14" t="inlineStr">
        <is>
          <t>120.24</t>
        </is>
      </c>
      <c r="J783" s="15" t="inlineStr">
        <is>
          <t>0.16</t>
        </is>
      </c>
      <c r="K783" s="14" t="inlineStr">
        <is>
          <t>52.91</t>
        </is>
      </c>
      <c r="L783" s="13" t="inlineStr">
        <is>
          <t>4</t>
        </is>
      </c>
      <c r="M783" s="13" t="inlineStr">
        <is>
          <t>Completed</t>
        </is>
      </c>
      <c r="N783" s="13" t="inlineStr">
        <is>
          <t>R. Ibarra</t>
        </is>
      </c>
    </row>
    <row r="784">
      <c r="A784" s="13" t="inlineStr">
        <is>
          <t>HC-100782</t>
        </is>
      </c>
      <c r="B784" s="13" t="inlineStr">
        <is>
          <t>2024/01/27</t>
        </is>
      </c>
      <c r="C784" s="13" t="inlineStr">
        <is>
          <t>West</t>
        </is>
      </c>
      <c r="D784" s="13" t="inlineStr">
        <is>
          <t>Store</t>
        </is>
      </c>
      <c r="E784" s="13" t="inlineStr">
        <is>
          <t>LIGHTING</t>
        </is>
      </c>
      <c r="F784" s="13" t="inlineStr">
        <is>
          <t>Pendant Light</t>
        </is>
      </c>
      <c r="G784" s="13" t="inlineStr">
        <is>
          <t>Home Office</t>
        </is>
      </c>
      <c r="H784" s="13" t="inlineStr">
        <is>
          <t>one</t>
        </is>
      </c>
      <c r="I784" s="14" t="inlineStr">
        <is>
          <t>175.93</t>
        </is>
      </c>
      <c r="J784" s="15" t="inlineStr">
        <is>
          <t>0.08</t>
        </is>
      </c>
      <c r="K784" s="14" t="inlineStr">
        <is>
          <t>87.97</t>
        </is>
      </c>
      <c r="L784" s="13" t="inlineStr">
        <is>
          <t>5</t>
        </is>
      </c>
      <c r="M784" s="13" t="inlineStr">
        <is>
          <t>Completed</t>
        </is>
      </c>
      <c r="N784" s="13" t="inlineStr">
        <is>
          <t>L. Berger</t>
        </is>
      </c>
    </row>
    <row r="785">
      <c r="A785" s="13" t="inlineStr">
        <is>
          <t>HC-100783</t>
        </is>
      </c>
      <c r="B785" s="13" t="inlineStr">
        <is>
          <t>20.01.2024</t>
        </is>
      </c>
      <c r="C785" s="13" t="inlineStr">
        <is>
          <t>North</t>
        </is>
      </c>
      <c r="D785" s="13" t="inlineStr">
        <is>
          <t>Store</t>
        </is>
      </c>
      <c r="E785" s="13" t="inlineStr">
        <is>
          <t>Furniture</t>
        </is>
      </c>
      <c r="F785" s="13" t="inlineStr">
        <is>
          <t>Lounge Chair</t>
        </is>
      </c>
      <c r="G785" s="13" t="inlineStr">
        <is>
          <t>Consumer</t>
        </is>
      </c>
      <c r="H785" s="13" t="inlineStr">
        <is>
          <t>3</t>
        </is>
      </c>
      <c r="I785" s="14" t="inlineStr">
        <is>
          <t>516.92</t>
        </is>
      </c>
      <c r="J785" s="15" t="inlineStr">
        <is>
          <t>0.05</t>
        </is>
      </c>
      <c r="K785" s="14" t="inlineStr">
        <is>
          <t>310.15</t>
        </is>
      </c>
      <c r="L785" s="13" t="inlineStr">
        <is>
          <t>6</t>
        </is>
      </c>
      <c r="M785" s="13" t="inlineStr">
        <is>
          <t>Completed</t>
        </is>
      </c>
      <c r="N785" s="13" t="inlineStr">
        <is>
          <t>K. Mensah</t>
        </is>
      </c>
    </row>
    <row r="786">
      <c r="A786" s="13" t="inlineStr">
        <is>
          <t>HC-100784</t>
        </is>
      </c>
      <c r="B786" s="13" t="inlineStr">
        <is>
          <t>05/14/2025</t>
        </is>
      </c>
      <c r="C786" s="13" t="inlineStr">
        <is>
          <t xml:space="preserve"> west </t>
        </is>
      </c>
      <c r="D786" s="13" t="inlineStr">
        <is>
          <t>Online</t>
        </is>
      </c>
      <c r="E786" s="13" t="inlineStr">
        <is>
          <t>Furniture</t>
        </is>
      </c>
      <c r="F786" s="13" t="inlineStr">
        <is>
          <t>Walnut Shelf</t>
        </is>
      </c>
      <c r="G786" s="13" t="inlineStr">
        <is>
          <t>Consumer</t>
        </is>
      </c>
      <c r="H786" s="13" t="inlineStr">
        <is>
          <t>3</t>
        </is>
      </c>
      <c r="I786" s="14" t="inlineStr">
        <is>
          <t>209.72</t>
        </is>
      </c>
      <c r="J786" s="15" t="inlineStr">
        <is>
          <t>0.09</t>
        </is>
      </c>
      <c r="K786" s="14" t="inlineStr">
        <is>
          <t>115.35</t>
        </is>
      </c>
      <c r="L786" s="13" t="inlineStr">
        <is>
          <t>3</t>
        </is>
      </c>
      <c r="M786" s="13" t="inlineStr">
        <is>
          <t>Completed</t>
        </is>
      </c>
      <c r="N786" s="13" t="inlineStr">
        <is>
          <t>P. Rossi</t>
        </is>
      </c>
    </row>
    <row r="787">
      <c r="A787" s="13" t="inlineStr">
        <is>
          <t>HC-100785</t>
        </is>
      </c>
      <c r="B787" s="13" t="inlineStr">
        <is>
          <t>08-Apr-24</t>
        </is>
      </c>
      <c r="C787" s="13" t="inlineStr">
        <is>
          <t>South</t>
        </is>
      </c>
      <c r="D787" s="13" t="inlineStr">
        <is>
          <t>Wholesale</t>
        </is>
      </c>
      <c r="E787" s="13" t="inlineStr">
        <is>
          <t>Kitchen</t>
        </is>
      </c>
      <c r="F787" s="13" t="inlineStr">
        <is>
          <t>Chef Knife</t>
        </is>
      </c>
      <c r="G787" s="13" t="inlineStr">
        <is>
          <t>Consumer</t>
        </is>
      </c>
      <c r="H787" s="13" t="inlineStr">
        <is>
          <t>31</t>
        </is>
      </c>
      <c r="I787" s="14" t="inlineStr">
        <is>
          <t>62.75</t>
        </is>
      </c>
      <c r="J787" s="15" t="inlineStr">
        <is>
          <t>0.30</t>
        </is>
      </c>
      <c r="K787" s="14" t="inlineStr">
        <is>
          <t>22.59</t>
        </is>
      </c>
      <c r="L787" s="13" t="inlineStr">
        <is>
          <t>3</t>
        </is>
      </c>
      <c r="M787" s="13" t="inlineStr">
        <is>
          <t>Completed</t>
        </is>
      </c>
      <c r="N787" s="13" t="inlineStr">
        <is>
          <t>R. Ibarra</t>
        </is>
      </c>
    </row>
    <row r="788">
      <c r="A788" s="13" t="inlineStr">
        <is>
          <t>HC-100786</t>
        </is>
      </c>
      <c r="B788" s="13" t="inlineStr">
        <is>
          <t>2024/12/03</t>
        </is>
      </c>
      <c r="C788" s="13" t="inlineStr">
        <is>
          <t>West</t>
        </is>
      </c>
      <c r="D788" s="13" t="inlineStr">
        <is>
          <t>Store</t>
        </is>
      </c>
      <c r="E788" s="13" t="inlineStr">
        <is>
          <t>Furniture</t>
        </is>
      </c>
      <c r="F788" s="13" t="inlineStr">
        <is>
          <t>Oak Desk</t>
        </is>
      </c>
      <c r="G788" s="13" t="inlineStr">
        <is>
          <t>Consumer</t>
        </is>
      </c>
      <c r="H788" s="13" t="inlineStr">
        <is>
          <t>4</t>
        </is>
      </c>
      <c r="I788" s="14" t="inlineStr">
        <is>
          <t>898.56</t>
        </is>
      </c>
      <c r="J788" s="15" t="inlineStr">
        <is>
          <t>0.09</t>
        </is>
      </c>
      <c r="K788" s="14" t="inlineStr">
        <is>
          <t>557.11</t>
        </is>
      </c>
      <c r="L788" s="13" t="inlineStr">
        <is>
          <t>7</t>
        </is>
      </c>
      <c r="M788" s="13" t="inlineStr">
        <is>
          <t>Completed</t>
        </is>
      </c>
      <c r="N788" s="13" t="inlineStr">
        <is>
          <t>M. Okonkwo</t>
        </is>
      </c>
    </row>
    <row r="789">
      <c r="A789" s="13" t="inlineStr">
        <is>
          <t>HC-100787</t>
        </is>
      </c>
      <c r="B789" s="13" t="inlineStr">
        <is>
          <t>30.12.2024</t>
        </is>
      </c>
      <c r="C789" s="13" t="inlineStr">
        <is>
          <t>North</t>
        </is>
      </c>
      <c r="D789" s="13" t="inlineStr">
        <is>
          <t>Online</t>
        </is>
      </c>
      <c r="E789" s="13" t="inlineStr">
        <is>
          <t>Furniture</t>
        </is>
      </c>
      <c r="F789" s="13" t="inlineStr">
        <is>
          <t>Oak Desk</t>
        </is>
      </c>
      <c r="G789" s="13" t="inlineStr">
        <is>
          <t>Consumer</t>
        </is>
      </c>
      <c r="H789" s="13" t="inlineStr">
        <is>
          <t>2</t>
        </is>
      </c>
      <c r="I789" s="14" t="inlineStr">
        <is>
          <t>802.47</t>
        </is>
      </c>
      <c r="J789" s="15" t="inlineStr">
        <is>
          <t>0.08</t>
        </is>
      </c>
      <c r="K789" s="14" t="inlineStr">
        <is>
          <t>497.53</t>
        </is>
      </c>
      <c r="L789" s="13" t="inlineStr">
        <is>
          <t>6</t>
        </is>
      </c>
      <c r="M789" s="13" t="inlineStr">
        <is>
          <t>Completed</t>
        </is>
      </c>
      <c r="N789" s="13" t="inlineStr">
        <is>
          <t>P. Rossi</t>
        </is>
      </c>
    </row>
    <row r="790">
      <c r="A790" s="13" t="inlineStr">
        <is>
          <t>HC-100788</t>
        </is>
      </c>
      <c r="B790" s="13" t="inlineStr">
        <is>
          <t>09/19/2024</t>
        </is>
      </c>
      <c r="C790" s="13" t="inlineStr">
        <is>
          <t>West</t>
        </is>
      </c>
      <c r="D790" s="13" t="inlineStr">
        <is>
          <t>Wholesale</t>
        </is>
      </c>
      <c r="E790" s="13" t="inlineStr">
        <is>
          <t>Kitchen</t>
        </is>
      </c>
      <c r="F790" s="13" t="inlineStr">
        <is>
          <t>Cast Skillet</t>
        </is>
      </c>
      <c r="G790" s="13" t="inlineStr">
        <is>
          <t>Consumer</t>
        </is>
      </c>
      <c r="H790" s="13" t="inlineStr">
        <is>
          <t>32</t>
        </is>
      </c>
      <c r="I790" s="14" t="inlineStr">
        <is>
          <t>55.26</t>
        </is>
      </c>
      <c r="J790" s="15" t="inlineStr">
        <is>
          <t>0.27</t>
        </is>
      </c>
      <c r="K790" s="14" t="inlineStr">
        <is>
          <t>22.10</t>
        </is>
      </c>
      <c r="L790" s="13" t="inlineStr">
        <is>
          <t>8</t>
        </is>
      </c>
      <c r="M790" s="13" t="inlineStr">
        <is>
          <t>Completed</t>
        </is>
      </c>
      <c r="N790" s="13" t="inlineStr">
        <is>
          <t>K. Mensah</t>
        </is>
      </c>
    </row>
    <row r="791">
      <c r="A791" s="13" t="inlineStr">
        <is>
          <t>HC-100789</t>
        </is>
      </c>
      <c r="B791" s="13" t="inlineStr">
        <is>
          <t>29-Nov-24</t>
        </is>
      </c>
      <c r="C791" s="13" t="inlineStr">
        <is>
          <t xml:space="preserve"> North </t>
        </is>
      </c>
      <c r="D791" s="13" t="inlineStr">
        <is>
          <t>Online</t>
        </is>
      </c>
      <c r="E791" s="13" t="inlineStr">
        <is>
          <t>Lighting</t>
        </is>
      </c>
      <c r="F791" s="13" t="inlineStr">
        <is>
          <t>Brass Sconce</t>
        </is>
      </c>
      <c r="G791" s="13" t="inlineStr">
        <is>
          <t>Home Office</t>
        </is>
      </c>
      <c r="H791" s="13" t="inlineStr">
        <is>
          <t>4</t>
        </is>
      </c>
      <c r="I791" s="14" t="inlineStr">
        <is>
          <t>145.81</t>
        </is>
      </c>
      <c r="J791" s="15" t="inlineStr">
        <is>
          <t>0.16</t>
        </is>
      </c>
      <c r="K791" s="14" t="inlineStr">
        <is>
          <t>67.07</t>
        </is>
      </c>
      <c r="L791" s="13" t="inlineStr">
        <is>
          <t>7</t>
        </is>
      </c>
      <c r="M791" s="13" t="inlineStr">
        <is>
          <t>Completed</t>
        </is>
      </c>
      <c r="N791" s="13" t="inlineStr">
        <is>
          <t>A. Shah</t>
        </is>
      </c>
    </row>
    <row r="792">
      <c r="A792" s="13" t="inlineStr">
        <is>
          <t>HC-100790</t>
        </is>
      </c>
      <c r="B792" s="13" t="inlineStr">
        <is>
          <t>2025/03/29</t>
        </is>
      </c>
      <c r="C792" s="13" t="inlineStr">
        <is>
          <t>south</t>
        </is>
      </c>
      <c r="D792" s="13" t="inlineStr">
        <is>
          <t>Store</t>
        </is>
      </c>
      <c r="E792" s="13" t="inlineStr">
        <is>
          <t>Textiles</t>
        </is>
      </c>
      <c r="F792" s="13" t="inlineStr">
        <is>
          <t>Cotton Duvet</t>
        </is>
      </c>
      <c r="G792" s="13" t="inlineStr">
        <is>
          <t>Consumer</t>
        </is>
      </c>
      <c r="H792" s="13" t="inlineStr">
        <is>
          <t>1</t>
        </is>
      </c>
      <c r="I792" s="14" t="inlineStr">
        <is>
          <t>113.47</t>
        </is>
      </c>
      <c r="J792" s="15" t="inlineStr">
        <is>
          <t>0.00</t>
        </is>
      </c>
      <c r="K792" s="14" t="inlineStr">
        <is>
          <t>49.93</t>
        </is>
      </c>
      <c r="L792" s="13" t="inlineStr">
        <is>
          <t>7</t>
        </is>
      </c>
      <c r="M792" s="13" t="inlineStr">
        <is>
          <t>Completed</t>
        </is>
      </c>
      <c r="N792" s="13" t="inlineStr">
        <is>
          <t>K. Mensah</t>
        </is>
      </c>
    </row>
    <row r="793">
      <c r="A793" s="13" t="inlineStr">
        <is>
          <t>HC-100791</t>
        </is>
      </c>
      <c r="B793" s="13" t="inlineStr">
        <is>
          <t>24.10.2024</t>
        </is>
      </c>
      <c r="C793" s="13" t="inlineStr">
        <is>
          <t>South</t>
        </is>
      </c>
      <c r="D793" s="13" t="inlineStr">
        <is>
          <t>Store</t>
        </is>
      </c>
      <c r="E793" s="13" t="inlineStr">
        <is>
          <t>Lighting</t>
        </is>
      </c>
      <c r="F793" s="13" t="inlineStr">
        <is>
          <t>Brass Sconce</t>
        </is>
      </c>
      <c r="G793" s="13" t="inlineStr">
        <is>
          <t>Corporate</t>
        </is>
      </c>
      <c r="H793" s="13" t="inlineStr">
        <is>
          <t>1</t>
        </is>
      </c>
      <c r="I793" s="14" t="inlineStr">
        <is>
          <t>131.78</t>
        </is>
      </c>
      <c r="J793" s="15" t="inlineStr">
        <is>
          <t>0.09</t>
        </is>
      </c>
      <c r="K793" s="14" t="inlineStr">
        <is>
          <t>60.62</t>
        </is>
      </c>
      <c r="L793" s="13" t="inlineStr">
        <is>
          <t>9</t>
        </is>
      </c>
      <c r="M793" s="13" t="inlineStr">
        <is>
          <t>Completed</t>
        </is>
      </c>
      <c r="N793" s="13" t="inlineStr">
        <is>
          <t>M. Okonkwo</t>
        </is>
      </c>
    </row>
    <row r="794">
      <c r="A794" s="13" t="inlineStr">
        <is>
          <t>HC-100792</t>
        </is>
      </c>
      <c r="B794" s="13" t="inlineStr">
        <is>
          <t>07/12/2024</t>
        </is>
      </c>
      <c r="C794" s="13" t="inlineStr">
        <is>
          <t>West</t>
        </is>
      </c>
      <c r="D794" s="13" t="inlineStr">
        <is>
          <t>Online</t>
        </is>
      </c>
      <c r="E794" s="13" t="inlineStr">
        <is>
          <t>Kitchen</t>
        </is>
      </c>
      <c r="F794" s="13" t="inlineStr">
        <is>
          <t>Cast Skillet</t>
        </is>
      </c>
      <c r="G794" s="13" t="inlineStr">
        <is>
          <t>Corporate</t>
        </is>
      </c>
      <c r="H794" s="13" t="inlineStr">
        <is>
          <t>1</t>
        </is>
      </c>
      <c r="I794" s="14" t="inlineStr">
        <is>
          <t>55.84</t>
        </is>
      </c>
      <c r="J794" s="15" t="inlineStr">
        <is>
          <t>0.11</t>
        </is>
      </c>
      <c r="K794" s="14" t="inlineStr">
        <is>
          <t>22.33</t>
        </is>
      </c>
      <c r="L794" s="13" t="inlineStr">
        <is>
          <t>5</t>
        </is>
      </c>
      <c r="M794" s="13" t="inlineStr">
        <is>
          <t>Completed</t>
        </is>
      </c>
      <c r="N794" s="13" t="inlineStr">
        <is>
          <t>R. Ibarra</t>
        </is>
      </c>
    </row>
    <row r="795">
      <c r="A795" s="13" t="inlineStr">
        <is>
          <t>HC-100793</t>
        </is>
      </c>
      <c r="B795" s="13" t="inlineStr">
        <is>
          <t>24-Oct-24</t>
        </is>
      </c>
      <c r="C795" s="13" t="inlineStr">
        <is>
          <t>East</t>
        </is>
      </c>
      <c r="D795" s="13" t="inlineStr">
        <is>
          <t>Online</t>
        </is>
      </c>
      <c r="E795" s="13" t="inlineStr">
        <is>
          <t>Furniture</t>
        </is>
      </c>
      <c r="F795" s="13" t="inlineStr">
        <is>
          <t>Linen Sofa</t>
        </is>
      </c>
      <c r="G795" s="13" t="inlineStr">
        <is>
          <t>Consumer</t>
        </is>
      </c>
      <c r="H795" s="13" t="inlineStr">
        <is>
          <t>three</t>
        </is>
      </c>
      <c r="I795" s="14" t="inlineStr">
        <is>
          <t>1063.83</t>
        </is>
      </c>
      <c r="J795" s="15" t="inlineStr">
        <is>
          <t>0.04</t>
        </is>
      </c>
      <c r="K795" s="14" t="inlineStr">
        <is>
          <t>702.13</t>
        </is>
      </c>
      <c r="L795" s="13" t="inlineStr">
        <is>
          <t>9</t>
        </is>
      </c>
      <c r="M795" s="13" t="inlineStr">
        <is>
          <t>Completed</t>
        </is>
      </c>
      <c r="N795" s="13" t="inlineStr">
        <is>
          <t>L. Berger</t>
        </is>
      </c>
    </row>
    <row r="796">
      <c r="A796" s="13" t="inlineStr">
        <is>
          <t>HC-100794</t>
        </is>
      </c>
      <c r="B796" s="13" t="inlineStr">
        <is>
          <t>2025/07/20</t>
        </is>
      </c>
      <c r="C796" s="13" t="inlineStr">
        <is>
          <t>south</t>
        </is>
      </c>
      <c r="D796" s="13" t="inlineStr">
        <is>
          <t>Store</t>
        </is>
      </c>
      <c r="E796" s="13" t="inlineStr">
        <is>
          <t>Textiles</t>
        </is>
      </c>
      <c r="F796" s="13" t="inlineStr">
        <is>
          <t>Cotton Duvet</t>
        </is>
      </c>
      <c r="G796" s="13" t="inlineStr">
        <is>
          <t>Home Office</t>
        </is>
      </c>
      <c r="H796" s="13" t="inlineStr">
        <is>
          <t>1</t>
        </is>
      </c>
      <c r="I796" s="14" t="inlineStr">
        <is>
          <t>128.55</t>
        </is>
      </c>
      <c r="J796" s="15" t="inlineStr">
        <is>
          <t>0.08</t>
        </is>
      </c>
      <c r="K796" s="14" t="inlineStr">
        <is>
          <t>56.56</t>
        </is>
      </c>
      <c r="L796" s="13" t="inlineStr">
        <is>
          <t>8</t>
        </is>
      </c>
      <c r="M796" s="13" t="inlineStr">
        <is>
          <t>COMPLETED</t>
        </is>
      </c>
      <c r="N796" s="13" t="inlineStr">
        <is>
          <t>R. Ibarra</t>
        </is>
      </c>
    </row>
    <row r="797">
      <c r="A797" s="13" t="inlineStr">
        <is>
          <t>HC-100795</t>
        </is>
      </c>
      <c r="B797" s="13" t="inlineStr">
        <is>
          <t>10.03.2025</t>
        </is>
      </c>
      <c r="C797" s="13" t="inlineStr">
        <is>
          <t>West</t>
        </is>
      </c>
      <c r="D797" s="13" t="inlineStr">
        <is>
          <t>Store</t>
        </is>
      </c>
      <c r="E797" s="13" t="inlineStr">
        <is>
          <t>Textiles</t>
        </is>
      </c>
      <c r="F797" s="13" t="inlineStr">
        <is>
          <t>Linen Curtain</t>
        </is>
      </c>
      <c r="G797" s="13" t="inlineStr">
        <is>
          <t>corporate</t>
        </is>
      </c>
      <c r="H797" s="13" t="inlineStr">
        <is>
          <t>1</t>
        </is>
      </c>
      <c r="I797" s="14" t="inlineStr">
        <is>
          <t>92.83</t>
        </is>
      </c>
      <c r="J797" s="15" t="inlineStr">
        <is>
          <t>0.04</t>
        </is>
      </c>
      <c r="K797" s="14" t="inlineStr">
        <is>
          <t>41.77</t>
        </is>
      </c>
      <c r="L797" s="13" t="inlineStr">
        <is>
          <t>10</t>
        </is>
      </c>
      <c r="M797" s="13" t="inlineStr">
        <is>
          <t>Completed</t>
        </is>
      </c>
      <c r="N797" s="13" t="inlineStr">
        <is>
          <t>R. Ibarra</t>
        </is>
      </c>
    </row>
    <row r="798">
      <c r="A798" s="13" t="inlineStr">
        <is>
          <t>HC-100796</t>
        </is>
      </c>
      <c r="B798" s="13" t="inlineStr">
        <is>
          <t>07/25/2025</t>
        </is>
      </c>
      <c r="C798" s="13" t="inlineStr">
        <is>
          <t>South</t>
        </is>
      </c>
      <c r="D798" s="13" t="inlineStr">
        <is>
          <t>Online</t>
        </is>
      </c>
      <c r="E798" s="13" t="inlineStr">
        <is>
          <t>Lighting</t>
        </is>
      </c>
      <c r="F798" s="13" t="inlineStr">
        <is>
          <t>Pendant Light</t>
        </is>
      </c>
      <c r="G798" s="13" t="inlineStr">
        <is>
          <t>Consumer</t>
        </is>
      </c>
      <c r="H798" s="13" t="inlineStr">
        <is>
          <t>2</t>
        </is>
      </c>
      <c r="I798" s="14" t="inlineStr">
        <is>
          <t>187.73</t>
        </is>
      </c>
      <c r="J798" s="15" t="inlineStr">
        <is>
          <t>0.09</t>
        </is>
      </c>
      <c r="K798" s="14" t="inlineStr">
        <is>
          <t>93.86</t>
        </is>
      </c>
      <c r="L798" s="13" t="inlineStr">
        <is>
          <t>4</t>
        </is>
      </c>
      <c r="M798" s="13" t="inlineStr">
        <is>
          <t>Completed</t>
        </is>
      </c>
      <c r="N798" s="13" t="inlineStr">
        <is>
          <t>K. Mensah</t>
        </is>
      </c>
    </row>
    <row r="799">
      <c r="A799" s="13" t="inlineStr">
        <is>
          <t>HC-100797</t>
        </is>
      </c>
      <c r="B799" s="13" t="inlineStr">
        <is>
          <t>05-Apr-24</t>
        </is>
      </c>
      <c r="C799" s="13" t="inlineStr">
        <is>
          <t>West</t>
        </is>
      </c>
      <c r="D799" s="13" t="inlineStr">
        <is>
          <t>Store</t>
        </is>
      </c>
      <c r="E799" s="13" t="inlineStr">
        <is>
          <t>Lighting</t>
        </is>
      </c>
      <c r="F799" s="13" t="inlineStr">
        <is>
          <t>Arc Lamp</t>
        </is>
      </c>
      <c r="G799" s="13" t="inlineStr">
        <is>
          <t>Corporate</t>
        </is>
      </c>
      <c r="H799" s="13" t="inlineStr">
        <is>
          <t>3</t>
        </is>
      </c>
      <c r="I799" s="14" t="inlineStr">
        <is>
          <t>314.75</t>
        </is>
      </c>
      <c r="J799" s="15" t="inlineStr">
        <is>
          <t>0.07</t>
        </is>
      </c>
      <c r="K799" s="14" t="inlineStr">
        <is>
          <t>151.08</t>
        </is>
      </c>
      <c r="L799" s="13" t="inlineStr">
        <is>
          <t>7</t>
        </is>
      </c>
      <c r="M799" s="13" t="inlineStr">
        <is>
          <t>Completed</t>
        </is>
      </c>
      <c r="N799" s="13" t="inlineStr">
        <is>
          <t>P. Rossi</t>
        </is>
      </c>
    </row>
    <row r="800">
      <c r="A800" s="13" t="inlineStr">
        <is>
          <t>HC-100798</t>
        </is>
      </c>
      <c r="B800" s="13" t="inlineStr">
        <is>
          <t>2025/07/03</t>
        </is>
      </c>
      <c r="C800" s="13" t="inlineStr">
        <is>
          <t>West</t>
        </is>
      </c>
      <c r="D800" s="13" t="inlineStr">
        <is>
          <t>Wholesale</t>
        </is>
      </c>
      <c r="E800" s="13" t="inlineStr">
        <is>
          <t>Kitchen</t>
        </is>
      </c>
      <c r="F800" s="13" t="inlineStr">
        <is>
          <t>Chef Knife</t>
        </is>
      </c>
      <c r="G800" s="13" t="inlineStr">
        <is>
          <t>Consumer</t>
        </is>
      </c>
      <c r="H800" s="13" t="inlineStr">
        <is>
          <t>25</t>
        </is>
      </c>
      <c r="I800" s="14" t="inlineStr">
        <is>
          <t>60.57</t>
        </is>
      </c>
      <c r="J800" s="15" t="inlineStr">
        <is>
          <t>0.15</t>
        </is>
      </c>
      <c r="K800" s="14" t="inlineStr">
        <is>
          <t>21.80</t>
        </is>
      </c>
      <c r="L800" s="13" t="inlineStr">
        <is>
          <t>N/A</t>
        </is>
      </c>
      <c r="M800" s="13" t="inlineStr">
        <is>
          <t>Completed</t>
        </is>
      </c>
      <c r="N800" s="13" t="inlineStr">
        <is>
          <t>R. Ibarra</t>
        </is>
      </c>
    </row>
    <row r="801">
      <c r="A801" s="13" t="inlineStr">
        <is>
          <t>HC-100799</t>
        </is>
      </c>
      <c r="B801" s="13" t="inlineStr">
        <is>
          <t>29.05.2025</t>
        </is>
      </c>
      <c r="C801" s="13" t="inlineStr">
        <is>
          <t xml:space="preserve"> west </t>
        </is>
      </c>
      <c r="D801" s="13" t="inlineStr">
        <is>
          <t>B2B</t>
        </is>
      </c>
      <c r="E801" s="13" t="inlineStr">
        <is>
          <t>Furniture</t>
        </is>
      </c>
      <c r="F801" s="13" t="inlineStr">
        <is>
          <t>Oak Desk</t>
        </is>
      </c>
      <c r="G801" s="13" t="inlineStr">
        <is>
          <t>Home Office</t>
        </is>
      </c>
      <c r="H801" s="13" t="inlineStr">
        <is>
          <t>35</t>
        </is>
      </c>
      <c r="I801" s="14" t="inlineStr">
        <is>
          <t>778.33</t>
        </is>
      </c>
      <c r="J801" s="15" t="inlineStr">
        <is>
          <t>0.15</t>
        </is>
      </c>
      <c r="K801" s="14" t="inlineStr">
        <is>
          <t>482.56</t>
        </is>
      </c>
      <c r="L801" s="13" t="inlineStr">
        <is>
          <t>5</t>
        </is>
      </c>
      <c r="M801" s="13" t="inlineStr">
        <is>
          <t>Completed</t>
        </is>
      </c>
      <c r="N801" s="13" t="inlineStr">
        <is>
          <t>K. Mensah</t>
        </is>
      </c>
    </row>
    <row r="802">
      <c r="A802" s="13" t="inlineStr">
        <is>
          <t>HC-100800</t>
        </is>
      </c>
      <c r="B802" s="13" t="inlineStr">
        <is>
          <t>08/02/2024</t>
        </is>
      </c>
      <c r="C802" s="13" t="inlineStr">
        <is>
          <t>East</t>
        </is>
      </c>
      <c r="D802" s="13" t="inlineStr">
        <is>
          <t>Online</t>
        </is>
      </c>
      <c r="E802" s="13" t="inlineStr">
        <is>
          <t>Furniture</t>
        </is>
      </c>
      <c r="F802" s="13" t="inlineStr">
        <is>
          <t>Lounge Chair</t>
        </is>
      </c>
      <c r="G802" s="13" t="inlineStr">
        <is>
          <t>Consumer</t>
        </is>
      </c>
      <c r="H802" s="13" t="inlineStr">
        <is>
          <t>1</t>
        </is>
      </c>
      <c r="I802" s="14" t="inlineStr">
        <is>
          <t>449.65</t>
        </is>
      </c>
      <c r="J802" s="15" t="inlineStr">
        <is>
          <t>0.17</t>
        </is>
      </c>
      <c r="K802" s="14" t="inlineStr">
        <is>
          <t>269.79</t>
        </is>
      </c>
      <c r="L802" s="13" t="inlineStr">
        <is>
          <t>10</t>
        </is>
      </c>
      <c r="M802" s="13" t="inlineStr">
        <is>
          <t>Completed</t>
        </is>
      </c>
      <c r="N802" s="13" t="inlineStr">
        <is>
          <t>A. Shah</t>
        </is>
      </c>
    </row>
    <row r="803">
      <c r="A803" s="13" t="inlineStr">
        <is>
          <t>HC-100801</t>
        </is>
      </c>
      <c r="B803" s="13" t="inlineStr">
        <is>
          <t>02-Sep-25</t>
        </is>
      </c>
      <c r="C803" s="13" t="inlineStr">
        <is>
          <t>West</t>
        </is>
      </c>
      <c r="D803" s="13" t="inlineStr">
        <is>
          <t>In-Store</t>
        </is>
      </c>
      <c r="E803" s="13" t="inlineStr">
        <is>
          <t>Textiles</t>
        </is>
      </c>
      <c r="F803" s="13" t="inlineStr">
        <is>
          <t>Cotton Duvet</t>
        </is>
      </c>
      <c r="G803" s="13" t="inlineStr">
        <is>
          <t>Consumer</t>
        </is>
      </c>
      <c r="H803" s="13" t="inlineStr">
        <is>
          <t>4</t>
        </is>
      </c>
      <c r="I803" s="14" t="inlineStr">
        <is>
          <t>117.28</t>
        </is>
      </c>
      <c r="J803" s="15" t="inlineStr">
        <is>
          <t>8%</t>
        </is>
      </c>
      <c r="K803" s="14" t="inlineStr">
        <is>
          <t>51.60</t>
        </is>
      </c>
      <c r="L803" s="13" t="inlineStr">
        <is>
          <t>5</t>
        </is>
      </c>
      <c r="M803" s="13" t="inlineStr">
        <is>
          <t>Completed</t>
        </is>
      </c>
      <c r="N803" s="13" t="inlineStr">
        <is>
          <t>R. Ibarra</t>
        </is>
      </c>
    </row>
    <row r="804">
      <c r="A804" s="13" t="inlineStr">
        <is>
          <t>HC-100802</t>
        </is>
      </c>
      <c r="B804" s="13" t="inlineStr">
        <is>
          <t>2024/09/01</t>
        </is>
      </c>
      <c r="C804" s="13" t="inlineStr">
        <is>
          <t>West</t>
        </is>
      </c>
      <c r="D804" s="13" t="inlineStr">
        <is>
          <t>B2B</t>
        </is>
      </c>
      <c r="E804" s="13" t="inlineStr">
        <is>
          <t>Furniture</t>
        </is>
      </c>
      <c r="F804" s="13" t="inlineStr">
        <is>
          <t>Walnut Shelf</t>
        </is>
      </c>
      <c r="G804" s="13" t="inlineStr">
        <is>
          <t>consumer</t>
        </is>
      </c>
      <c r="H804" s="13" t="inlineStr">
        <is>
          <t>12</t>
        </is>
      </c>
      <c r="I804" s="14" t="inlineStr">
        <is>
          <t>218.40</t>
        </is>
      </c>
      <c r="J804" s="15" t="inlineStr">
        <is>
          <t>0.27</t>
        </is>
      </c>
      <c r="K804" s="14" t="inlineStr">
        <is>
          <t>120.12</t>
        </is>
      </c>
      <c r="L804" s="13" t="inlineStr">
        <is>
          <t>5</t>
        </is>
      </c>
      <c r="M804" s="13" t="inlineStr">
        <is>
          <t>Completed</t>
        </is>
      </c>
      <c r="N804" s="13" t="inlineStr">
        <is>
          <t>L. Berger</t>
        </is>
      </c>
    </row>
    <row r="805">
      <c r="A805" s="13" t="inlineStr">
        <is>
          <t>HC-100803</t>
        </is>
      </c>
      <c r="B805" s="13" t="inlineStr">
        <is>
          <t>17.06.2024</t>
        </is>
      </c>
      <c r="C805" s="13" t="inlineStr">
        <is>
          <t>west</t>
        </is>
      </c>
      <c r="D805" s="13" t="inlineStr">
        <is>
          <t>Store</t>
        </is>
      </c>
      <c r="E805" s="13" t="inlineStr">
        <is>
          <t>Lighting</t>
        </is>
      </c>
      <c r="F805" s="13" t="inlineStr">
        <is>
          <t>Brass Sconce</t>
        </is>
      </c>
      <c r="G805" s="13" t="inlineStr">
        <is>
          <t>consumer</t>
        </is>
      </c>
      <c r="H805" s="13" t="inlineStr">
        <is>
          <t>4</t>
        </is>
      </c>
      <c r="I805" s="14" t="inlineStr">
        <is>
          <t>146.91</t>
        </is>
      </c>
      <c r="J805" s="15" t="inlineStr">
        <is>
          <t>0.02</t>
        </is>
      </c>
      <c r="K805" s="14" t="inlineStr">
        <is>
          <t>67.58</t>
        </is>
      </c>
      <c r="L805" s="13" t="inlineStr">
        <is>
          <t>5</t>
        </is>
      </c>
      <c r="M805" s="13" t="inlineStr">
        <is>
          <t>Compleated</t>
        </is>
      </c>
      <c r="N805" s="13" t="inlineStr">
        <is>
          <t>J. Patel</t>
        </is>
      </c>
    </row>
    <row r="806">
      <c r="A806" s="13" t="inlineStr">
        <is>
          <t>HC-100804</t>
        </is>
      </c>
      <c r="B806" s="13" t="inlineStr">
        <is>
          <t>06/30/2025</t>
        </is>
      </c>
      <c r="C806" s="13" t="inlineStr">
        <is>
          <t>North</t>
        </is>
      </c>
      <c r="D806" s="13" t="inlineStr">
        <is>
          <t>web</t>
        </is>
      </c>
      <c r="E806" s="13" t="inlineStr">
        <is>
          <t>Lighting</t>
        </is>
      </c>
      <c r="F806" s="13" t="inlineStr">
        <is>
          <t>Pendant Light</t>
        </is>
      </c>
      <c r="G806" s="13" t="inlineStr">
        <is>
          <t>Consumer</t>
        </is>
      </c>
      <c r="H806" s="13" t="inlineStr">
        <is>
          <t>2</t>
        </is>
      </c>
      <c r="I806" s="14" t="inlineStr">
        <is>
          <t>191.29</t>
        </is>
      </c>
      <c r="J806" s="15" t="inlineStr">
        <is>
          <t>0.17</t>
        </is>
      </c>
      <c r="K806" s="14" t="inlineStr">
        <is>
          <t>95.64</t>
        </is>
      </c>
      <c r="L806" s="13" t="inlineStr">
        <is>
          <t>9</t>
        </is>
      </c>
      <c r="M806" s="13" t="inlineStr">
        <is>
          <t>Completed</t>
        </is>
      </c>
      <c r="N806" s="13" t="inlineStr">
        <is>
          <t>K. Mensah</t>
        </is>
      </c>
    </row>
    <row r="807">
      <c r="A807" s="13" t="inlineStr">
        <is>
          <t>HC-100805</t>
        </is>
      </c>
      <c r="B807" s="13" t="inlineStr">
        <is>
          <t>08-Sep-25</t>
        </is>
      </c>
      <c r="C807" s="13" t="inlineStr">
        <is>
          <t>East</t>
        </is>
      </c>
      <c r="D807" s="13" t="inlineStr">
        <is>
          <t>Wholesale</t>
        </is>
      </c>
      <c r="E807" s="13" t="inlineStr">
        <is>
          <t>Kitchen</t>
        </is>
      </c>
      <c r="F807" s="13" t="inlineStr">
        <is>
          <t>Ceramic Set</t>
        </is>
      </c>
      <c r="G807" s="13" t="inlineStr">
        <is>
          <t>Consumer</t>
        </is>
      </c>
      <c r="H807" s="13" t="inlineStr">
        <is>
          <t>34</t>
        </is>
      </c>
      <c r="I807" s="14" t="inlineStr">
        <is>
          <t>82.03</t>
        </is>
      </c>
      <c r="J807" s="15" t="inlineStr">
        <is>
          <t>22%</t>
        </is>
      </c>
      <c r="K807" s="14" t="inlineStr">
        <is>
          <t>31.17</t>
        </is>
      </c>
      <c r="L807" s="13" t="inlineStr">
        <is>
          <t>8</t>
        </is>
      </c>
      <c r="M807" s="13" t="inlineStr">
        <is>
          <t>Compleated</t>
        </is>
      </c>
      <c r="N807" s="13" t="inlineStr">
        <is>
          <t>A. Shah</t>
        </is>
      </c>
    </row>
    <row r="808">
      <c r="A808" s="13" t="inlineStr">
        <is>
          <t>HC-100806</t>
        </is>
      </c>
      <c r="B808" s="13" t="inlineStr">
        <is>
          <t>2024/08/25</t>
        </is>
      </c>
      <c r="C808" s="13" t="inlineStr">
        <is>
          <t xml:space="preserve"> North </t>
        </is>
      </c>
      <c r="D808" s="13" t="inlineStr">
        <is>
          <t>Online</t>
        </is>
      </c>
      <c r="E808" s="13" t="inlineStr">
        <is>
          <t>KITCHEN</t>
        </is>
      </c>
      <c r="F808" s="13" t="inlineStr">
        <is>
          <t>Ceramic Set</t>
        </is>
      </c>
      <c r="G808" s="13" t="inlineStr">
        <is>
          <t>Consumer</t>
        </is>
      </c>
      <c r="H808" s="13" t="inlineStr">
        <is>
          <t>1</t>
        </is>
      </c>
      <c r="I808" s="14" t="inlineStr">
        <is>
          <t>83.67</t>
        </is>
      </c>
      <c r="J808" s="15" t="inlineStr">
        <is>
          <t>0.17</t>
        </is>
      </c>
      <c r="K808" s="14" t="inlineStr">
        <is>
          <t>31.79</t>
        </is>
      </c>
      <c r="L808" s="13" t="inlineStr">
        <is>
          <t>6</t>
        </is>
      </c>
      <c r="M808" s="13" t="inlineStr">
        <is>
          <t>COMPLETED</t>
        </is>
      </c>
      <c r="N808" s="13" t="inlineStr">
        <is>
          <t>M. Okonkwo</t>
        </is>
      </c>
    </row>
    <row r="809">
      <c r="A809" s="13" t="inlineStr">
        <is>
          <t>HC-100807</t>
        </is>
      </c>
      <c r="B809" s="13" t="inlineStr">
        <is>
          <t>09.12.2024</t>
        </is>
      </c>
      <c r="C809" s="13" t="inlineStr">
        <is>
          <t>North</t>
        </is>
      </c>
      <c r="D809" s="13" t="inlineStr">
        <is>
          <t>Online</t>
        </is>
      </c>
      <c r="E809" s="13" t="inlineStr">
        <is>
          <t>Kitchen</t>
        </is>
      </c>
      <c r="F809" s="13" t="inlineStr">
        <is>
          <t>Ceramic Set</t>
        </is>
      </c>
      <c r="G809" s="13" t="inlineStr">
        <is>
          <t>Consumer</t>
        </is>
      </c>
      <c r="H809" s="13" t="inlineStr">
        <is>
          <t>4</t>
        </is>
      </c>
      <c r="I809" s="14" t="inlineStr">
        <is>
          <t>82.38</t>
        </is>
      </c>
      <c r="J809" s="15" t="inlineStr">
        <is>
          <t>0.08</t>
        </is>
      </c>
      <c r="K809" s="14" t="inlineStr">
        <is>
          <t>31.30</t>
        </is>
      </c>
      <c r="L809" s="13" t="inlineStr">
        <is>
          <t>8</t>
        </is>
      </c>
      <c r="M809" s="13" t="inlineStr">
        <is>
          <t>Completed</t>
        </is>
      </c>
      <c r="N809" s="13" t="inlineStr">
        <is>
          <t>S. Nguyen</t>
        </is>
      </c>
    </row>
    <row r="810">
      <c r="A810" s="13" t="inlineStr">
        <is>
          <t>HC-100808</t>
        </is>
      </c>
      <c r="B810" s="13" t="inlineStr">
        <is>
          <t>02/19/2024</t>
        </is>
      </c>
      <c r="C810" s="13" t="inlineStr">
        <is>
          <t>West</t>
        </is>
      </c>
      <c r="D810" s="13" t="inlineStr">
        <is>
          <t>Online</t>
        </is>
      </c>
      <c r="E810" s="13" t="inlineStr">
        <is>
          <t>Furniture</t>
        </is>
      </c>
      <c r="F810" s="13" t="inlineStr">
        <is>
          <t>Lounge Chair</t>
        </is>
      </c>
      <c r="G810" s="13" t="inlineStr">
        <is>
          <t>Consumer</t>
        </is>
      </c>
      <c r="H810" s="13" t="inlineStr">
        <is>
          <t>one</t>
        </is>
      </c>
      <c r="I810" s="14" t="inlineStr">
        <is>
          <t>453.10</t>
        </is>
      </c>
      <c r="J810" s="15" t="inlineStr">
        <is>
          <t>0.14</t>
        </is>
      </c>
      <c r="K810" s="14" t="inlineStr">
        <is>
          <t>271.86</t>
        </is>
      </c>
      <c r="L810" s="13" t="inlineStr">
        <is>
          <t>9</t>
        </is>
      </c>
      <c r="M810" s="13" t="inlineStr">
        <is>
          <t>Completed</t>
        </is>
      </c>
      <c r="N810" s="13" t="inlineStr">
        <is>
          <t>M. Okonkwo</t>
        </is>
      </c>
    </row>
    <row r="811">
      <c r="A811" s="13" t="inlineStr">
        <is>
          <t>HC-100809</t>
        </is>
      </c>
      <c r="B811" s="13" t="inlineStr">
        <is>
          <t>09-Dec-24</t>
        </is>
      </c>
      <c r="C811" s="13" t="inlineStr">
        <is>
          <t>South</t>
        </is>
      </c>
      <c r="D811" s="13" t="inlineStr">
        <is>
          <t>Wholesale</t>
        </is>
      </c>
      <c r="E811" s="13" t="inlineStr">
        <is>
          <t>Furniture</t>
        </is>
      </c>
      <c r="F811" s="13" t="inlineStr">
        <is>
          <t>Linen Sofa</t>
        </is>
      </c>
      <c r="G811" s="13" t="inlineStr">
        <is>
          <t>Consumer</t>
        </is>
      </c>
      <c r="H811" s="13" t="inlineStr">
        <is>
          <t>15</t>
        </is>
      </c>
      <c r="I811" s="14" t="inlineStr">
        <is>
          <t>$1,252.86</t>
        </is>
      </c>
      <c r="J811" s="15" t="inlineStr">
        <is>
          <t>0.25</t>
        </is>
      </c>
      <c r="K811" s="14" t="inlineStr">
        <is>
          <t>826.89</t>
        </is>
      </c>
      <c r="L811" s="13" t="inlineStr">
        <is>
          <t>9</t>
        </is>
      </c>
      <c r="M811" s="13" t="inlineStr">
        <is>
          <t>Completed</t>
        </is>
      </c>
      <c r="N811" s="13" t="inlineStr">
        <is>
          <t>L. Berger</t>
        </is>
      </c>
    </row>
    <row r="812">
      <c r="A812" s="13" t="inlineStr">
        <is>
          <t>HC-100810</t>
        </is>
      </c>
      <c r="B812" s="13" t="inlineStr">
        <is>
          <t>2025/07/27</t>
        </is>
      </c>
      <c r="C812" s="13" t="inlineStr">
        <is>
          <t>West</t>
        </is>
      </c>
      <c r="D812" s="13" t="inlineStr">
        <is>
          <t>Store</t>
        </is>
      </c>
      <c r="E812" s="13" t="inlineStr">
        <is>
          <t>Kitchen</t>
        </is>
      </c>
      <c r="F812" s="13" t="inlineStr">
        <is>
          <t>Cast Skillet</t>
        </is>
      </c>
      <c r="G812" s="13" t="inlineStr">
        <is>
          <t>Consumer</t>
        </is>
      </c>
      <c r="H812" s="13" t="inlineStr">
        <is>
          <t>3</t>
        </is>
      </c>
      <c r="I812" s="14" t="inlineStr">
        <is>
          <t>56.52</t>
        </is>
      </c>
      <c r="J812" s="15" t="inlineStr">
        <is>
          <t>0.09</t>
        </is>
      </c>
      <c r="K812" s="14" t="inlineStr">
        <is>
          <t>22.61</t>
        </is>
      </c>
      <c r="L812" s="13" t="inlineStr">
        <is>
          <t>7</t>
        </is>
      </c>
      <c r="M812" s="13" t="inlineStr">
        <is>
          <t>Compleated</t>
        </is>
      </c>
      <c r="N812" s="13" t="inlineStr">
        <is>
          <t>R. Ibarra</t>
        </is>
      </c>
    </row>
    <row r="813">
      <c r="A813" s="13" t="inlineStr">
        <is>
          <t>HC-100811</t>
        </is>
      </c>
      <c r="B813" s="13" t="inlineStr">
        <is>
          <t>01.10.2024</t>
        </is>
      </c>
      <c r="C813" s="13" t="inlineStr">
        <is>
          <t>West</t>
        </is>
      </c>
      <c r="D813" s="13" t="inlineStr">
        <is>
          <t>Online</t>
        </is>
      </c>
      <c r="E813" s="13" t="inlineStr">
        <is>
          <t>Furniture</t>
        </is>
      </c>
      <c r="F813" s="13" t="inlineStr">
        <is>
          <t>Walnut Shelf</t>
        </is>
      </c>
      <c r="G813" s="13" t="inlineStr">
        <is>
          <t>Corporate</t>
        </is>
      </c>
      <c r="H813" s="13" t="inlineStr">
        <is>
          <t>2</t>
        </is>
      </c>
      <c r="I813" s="14" t="inlineStr">
        <is>
          <t>228.63</t>
        </is>
      </c>
      <c r="J813" s="15" t="inlineStr">
        <is>
          <t>0.16</t>
        </is>
      </c>
      <c r="K813" s="14" t="inlineStr">
        <is>
          <t>125.75</t>
        </is>
      </c>
      <c r="L813" s="13" t="inlineStr">
        <is>
          <t>8</t>
        </is>
      </c>
      <c r="M813" s="13" t="inlineStr">
        <is>
          <t>Completed</t>
        </is>
      </c>
      <c r="N813" s="13" t="inlineStr">
        <is>
          <t>J. Patel</t>
        </is>
      </c>
    </row>
    <row r="814">
      <c r="A814" s="13" t="inlineStr">
        <is>
          <t>HC-100812</t>
        </is>
      </c>
      <c r="B814" s="13" t="inlineStr">
        <is>
          <t>09/07/2024</t>
        </is>
      </c>
      <c r="C814" s="13" t="inlineStr">
        <is>
          <t>West</t>
        </is>
      </c>
      <c r="D814" s="13" t="inlineStr">
        <is>
          <t>Online</t>
        </is>
      </c>
      <c r="E814" s="13" t="inlineStr">
        <is>
          <t>Kitchen</t>
        </is>
      </c>
      <c r="F814" s="13" t="inlineStr">
        <is>
          <t>Ceramic Set</t>
        </is>
      </c>
      <c r="G814" s="13" t="inlineStr">
        <is>
          <t>Consumer</t>
        </is>
      </c>
      <c r="H814" s="13" t="inlineStr">
        <is>
          <t>3</t>
        </is>
      </c>
      <c r="I814" s="14" t="inlineStr">
        <is>
          <t>88.68</t>
        </is>
      </c>
      <c r="J814" s="15" t="inlineStr">
        <is>
          <t>5%</t>
        </is>
      </c>
      <c r="K814" s="14" t="inlineStr">
        <is>
          <t>33.70</t>
        </is>
      </c>
      <c r="L814" s="13" t="inlineStr">
        <is>
          <t>10</t>
        </is>
      </c>
      <c r="M814" s="13" t="inlineStr">
        <is>
          <t>Completed</t>
        </is>
      </c>
      <c r="N814" s="13" t="inlineStr">
        <is>
          <t>J. Patel</t>
        </is>
      </c>
    </row>
    <row r="815">
      <c r="A815" s="13" t="inlineStr">
        <is>
          <t>HC-100813</t>
        </is>
      </c>
      <c r="B815" s="13" t="inlineStr">
        <is>
          <t>11-Apr-25</t>
        </is>
      </c>
      <c r="C815" s="13" t="inlineStr">
        <is>
          <t>North</t>
        </is>
      </c>
      <c r="D815" s="13" t="inlineStr">
        <is>
          <t>Online</t>
        </is>
      </c>
      <c r="E815" s="13" t="inlineStr">
        <is>
          <t>Lighting</t>
        </is>
      </c>
      <c r="F815" s="13" t="inlineStr">
        <is>
          <t>Brass Sconce</t>
        </is>
      </c>
      <c r="G815" s="13" t="inlineStr"/>
      <c r="H815" s="13" t="inlineStr">
        <is>
          <t>2</t>
        </is>
      </c>
      <c r="I815" s="14" t="inlineStr">
        <is>
          <t>142.72</t>
        </is>
      </c>
      <c r="J815" s="15" t="inlineStr">
        <is>
          <t>0.04</t>
        </is>
      </c>
      <c r="K815" s="14" t="inlineStr">
        <is>
          <t>65.65</t>
        </is>
      </c>
      <c r="L815" s="13" t="inlineStr">
        <is>
          <t>8</t>
        </is>
      </c>
      <c r="M815" s="13" t="inlineStr">
        <is>
          <t>Returned</t>
        </is>
      </c>
      <c r="N815" s="13" t="inlineStr">
        <is>
          <t>S. Nguyen</t>
        </is>
      </c>
    </row>
    <row r="816">
      <c r="A816" s="13" t="inlineStr">
        <is>
          <t>HC-100814</t>
        </is>
      </c>
      <c r="B816" s="13" t="inlineStr">
        <is>
          <t>2024/12/31</t>
        </is>
      </c>
      <c r="C816" s="13" t="inlineStr">
        <is>
          <t xml:space="preserve"> North </t>
        </is>
      </c>
      <c r="D816" s="13" t="inlineStr">
        <is>
          <t>Wholesale</t>
        </is>
      </c>
      <c r="E816" s="13" t="inlineStr">
        <is>
          <t>Furniture</t>
        </is>
      </c>
      <c r="F816" s="13" t="inlineStr">
        <is>
          <t>Walnut Shelf</t>
        </is>
      </c>
      <c r="G816" s="13" t="inlineStr">
        <is>
          <t>Consumer</t>
        </is>
      </c>
      <c r="H816" s="13" t="inlineStr">
        <is>
          <t>32</t>
        </is>
      </c>
      <c r="I816" s="14" t="inlineStr">
        <is>
          <t>217.51</t>
        </is>
      </c>
      <c r="J816" s="15" t="inlineStr">
        <is>
          <t>0.31</t>
        </is>
      </c>
      <c r="K816" s="14" t="inlineStr">
        <is>
          <t>119.63</t>
        </is>
      </c>
      <c r="L816" s="13" t="inlineStr">
        <is>
          <t>6</t>
        </is>
      </c>
      <c r="M816" s="13" t="inlineStr">
        <is>
          <t>Completed</t>
        </is>
      </c>
      <c r="N816" s="13" t="inlineStr">
        <is>
          <t>A. Shah</t>
        </is>
      </c>
    </row>
    <row r="817">
      <c r="A817" s="13" t="inlineStr">
        <is>
          <t>HC-100815</t>
        </is>
      </c>
      <c r="B817" s="13" t="inlineStr">
        <is>
          <t>13.03.2025</t>
        </is>
      </c>
      <c r="C817" s="13" t="inlineStr">
        <is>
          <t>North</t>
        </is>
      </c>
      <c r="D817" s="13" t="inlineStr">
        <is>
          <t>Store</t>
        </is>
      </c>
      <c r="E817" s="13" t="inlineStr">
        <is>
          <t>Kitchen</t>
        </is>
      </c>
      <c r="F817" s="13" t="inlineStr">
        <is>
          <t>Ceramic Set</t>
        </is>
      </c>
      <c r="G817" s="13" t="inlineStr">
        <is>
          <t>Home Office</t>
        </is>
      </c>
      <c r="H817" s="13" t="inlineStr">
        <is>
          <t>3</t>
        </is>
      </c>
      <c r="I817" s="14" t="inlineStr">
        <is>
          <t>89.03</t>
        </is>
      </c>
      <c r="J817" s="15" t="inlineStr">
        <is>
          <t>11%</t>
        </is>
      </c>
      <c r="K817" s="14" t="inlineStr">
        <is>
          <t>33.83</t>
        </is>
      </c>
      <c r="L817" s="13" t="inlineStr">
        <is>
          <t>5</t>
        </is>
      </c>
      <c r="M817" s="13" t="inlineStr">
        <is>
          <t>Completed</t>
        </is>
      </c>
      <c r="N817" s="13" t="inlineStr">
        <is>
          <t>J. Patel</t>
        </is>
      </c>
    </row>
    <row r="818">
      <c r="A818" s="13" t="inlineStr">
        <is>
          <t>HC-100816</t>
        </is>
      </c>
      <c r="B818" s="13" t="inlineStr">
        <is>
          <t>08/17/2024</t>
        </is>
      </c>
      <c r="C818" s="13" t="inlineStr">
        <is>
          <t>West</t>
        </is>
      </c>
      <c r="D818" s="13" t="inlineStr">
        <is>
          <t>retail</t>
        </is>
      </c>
      <c r="E818" s="13" t="inlineStr">
        <is>
          <t>Kitchen</t>
        </is>
      </c>
      <c r="F818" s="13" t="inlineStr">
        <is>
          <t>Ceramic Set</t>
        </is>
      </c>
      <c r="G818" s="13" t="inlineStr">
        <is>
          <t>Consumer</t>
        </is>
      </c>
      <c r="H818" s="13" t="inlineStr">
        <is>
          <t>1</t>
        </is>
      </c>
      <c r="I818" s="14" t="inlineStr">
        <is>
          <t>$87.72</t>
        </is>
      </c>
      <c r="J818" s="15" t="inlineStr">
        <is>
          <t>0.08</t>
        </is>
      </c>
      <c r="K818" s="14" t="inlineStr">
        <is>
          <t>33.34</t>
        </is>
      </c>
      <c r="L818" s="13" t="inlineStr">
        <is>
          <t>8</t>
        </is>
      </c>
      <c r="M818" s="13" t="inlineStr">
        <is>
          <t>Completed</t>
        </is>
      </c>
      <c r="N818" s="13" t="inlineStr">
        <is>
          <t>J. Patel</t>
        </is>
      </c>
    </row>
    <row r="819">
      <c r="A819" s="13" t="inlineStr">
        <is>
          <t>HC-100817</t>
        </is>
      </c>
      <c r="B819" s="13" t="inlineStr">
        <is>
          <t>28-Apr-24</t>
        </is>
      </c>
      <c r="C819" s="13" t="inlineStr">
        <is>
          <t>West</t>
        </is>
      </c>
      <c r="D819" s="13" t="inlineStr">
        <is>
          <t>web</t>
        </is>
      </c>
      <c r="E819" s="13" t="inlineStr">
        <is>
          <t>Textiles</t>
        </is>
      </c>
      <c r="F819" s="13" t="inlineStr">
        <is>
          <t>Cotton Duvet</t>
        </is>
      </c>
      <c r="G819" s="13" t="inlineStr">
        <is>
          <t>Consumer</t>
        </is>
      </c>
      <c r="H819" s="13" t="inlineStr">
        <is>
          <t>1</t>
        </is>
      </c>
      <c r="I819" s="14" t="inlineStr">
        <is>
          <t>128.56</t>
        </is>
      </c>
      <c r="J819" s="15" t="inlineStr">
        <is>
          <t>0.16</t>
        </is>
      </c>
      <c r="K819" s="14" t="inlineStr">
        <is>
          <t>56.57</t>
        </is>
      </c>
      <c r="L819" s="13" t="inlineStr">
        <is>
          <t>8</t>
        </is>
      </c>
      <c r="M819" s="13" t="inlineStr">
        <is>
          <t>COMPLETED</t>
        </is>
      </c>
      <c r="N819" s="13" t="inlineStr">
        <is>
          <t>S. Nguyen</t>
        </is>
      </c>
    </row>
    <row r="820">
      <c r="A820" s="13" t="inlineStr">
        <is>
          <t>HC-100818</t>
        </is>
      </c>
      <c r="B820" s="13" t="inlineStr">
        <is>
          <t>2025/04/25</t>
        </is>
      </c>
      <c r="C820" s="13" t="inlineStr">
        <is>
          <t>West</t>
        </is>
      </c>
      <c r="D820" s="13" t="inlineStr">
        <is>
          <t>Online</t>
        </is>
      </c>
      <c r="E820" s="13" t="inlineStr">
        <is>
          <t>Lighting</t>
        </is>
      </c>
      <c r="F820" s="13" t="inlineStr">
        <is>
          <t>Brass Sconce</t>
        </is>
      </c>
      <c r="G820" s="13" t="inlineStr">
        <is>
          <t>Consumer</t>
        </is>
      </c>
      <c r="H820" s="13" t="inlineStr">
        <is>
          <t>3</t>
        </is>
      </c>
      <c r="I820" s="14" t="inlineStr">
        <is>
          <t>149.64</t>
        </is>
      </c>
      <c r="J820" s="15" t="inlineStr">
        <is>
          <t>10%</t>
        </is>
      </c>
      <c r="K820" s="14" t="inlineStr">
        <is>
          <t>68.83</t>
        </is>
      </c>
      <c r="L820" s="13" t="inlineStr">
        <is>
          <t>5</t>
        </is>
      </c>
      <c r="M820" s="13" t="inlineStr">
        <is>
          <t>Completed</t>
        </is>
      </c>
      <c r="N820" s="13" t="inlineStr">
        <is>
          <t>J. Patel</t>
        </is>
      </c>
    </row>
    <row r="821">
      <c r="A821" s="13" t="inlineStr">
        <is>
          <t>HC-100819</t>
        </is>
      </c>
      <c r="B821" s="13" t="inlineStr">
        <is>
          <t>16.01.2024</t>
        </is>
      </c>
      <c r="C821" s="13" t="inlineStr">
        <is>
          <t>West</t>
        </is>
      </c>
      <c r="D821" s="13" t="inlineStr">
        <is>
          <t>Store</t>
        </is>
      </c>
      <c r="E821" s="13" t="inlineStr">
        <is>
          <t>Kitchen</t>
        </is>
      </c>
      <c r="F821" s="13" t="inlineStr">
        <is>
          <t>Cast Skillet</t>
        </is>
      </c>
      <c r="G821" s="13" t="inlineStr">
        <is>
          <t>Consumer</t>
        </is>
      </c>
      <c r="H821" s="13" t="inlineStr">
        <is>
          <t>Two</t>
        </is>
      </c>
      <c r="I821" s="14" t="inlineStr">
        <is>
          <t>51.80</t>
        </is>
      </c>
      <c r="J821" s="15" t="inlineStr">
        <is>
          <t>0.06</t>
        </is>
      </c>
      <c r="K821" s="14" t="inlineStr">
        <is>
          <t>20.72</t>
        </is>
      </c>
      <c r="L821" s="13" t="inlineStr">
        <is>
          <t>3</t>
        </is>
      </c>
      <c r="M821" s="13" t="inlineStr">
        <is>
          <t>Completed</t>
        </is>
      </c>
      <c r="N821" s="13" t="inlineStr">
        <is>
          <t>K. Mensah</t>
        </is>
      </c>
    </row>
    <row r="822">
      <c r="A822" s="13" t="inlineStr">
        <is>
          <t>HC-100820</t>
        </is>
      </c>
      <c r="B822" s="13" t="inlineStr">
        <is>
          <t>02/22/2024</t>
        </is>
      </c>
      <c r="C822" s="13" t="inlineStr">
        <is>
          <t>East</t>
        </is>
      </c>
      <c r="D822" s="13" t="inlineStr">
        <is>
          <t>e-commerce</t>
        </is>
      </c>
      <c r="E822" s="13" t="inlineStr">
        <is>
          <t>Furniture</t>
        </is>
      </c>
      <c r="F822" s="13" t="inlineStr">
        <is>
          <t>Walnut Shelf</t>
        </is>
      </c>
      <c r="G822" s="13" t="inlineStr">
        <is>
          <t>Consumer</t>
        </is>
      </c>
      <c r="H822" s="13" t="inlineStr">
        <is>
          <t>3</t>
        </is>
      </c>
      <c r="I822" s="14" t="inlineStr">
        <is>
          <t>211.60</t>
        </is>
      </c>
      <c r="J822" s="15" t="inlineStr">
        <is>
          <t>0.16</t>
        </is>
      </c>
      <c r="K822" s="14" t="inlineStr">
        <is>
          <t>116.38</t>
        </is>
      </c>
      <c r="L822" s="13" t="inlineStr">
        <is>
          <t>8</t>
        </is>
      </c>
      <c r="M822" s="13" t="inlineStr">
        <is>
          <t>Completed</t>
        </is>
      </c>
      <c r="N822" s="13" t="inlineStr">
        <is>
          <t>A. Shah</t>
        </is>
      </c>
    </row>
    <row r="823">
      <c r="A823" s="13" t="inlineStr">
        <is>
          <t>HC-100821</t>
        </is>
      </c>
      <c r="B823" s="13" t="inlineStr">
        <is>
          <t>22-Feb-24</t>
        </is>
      </c>
      <c r="C823" s="13" t="inlineStr">
        <is>
          <t>Eas</t>
        </is>
      </c>
      <c r="D823" s="13" t="inlineStr">
        <is>
          <t>e-commerce</t>
        </is>
      </c>
      <c r="E823" s="13" t="inlineStr">
        <is>
          <t>Kitchen</t>
        </is>
      </c>
      <c r="F823" s="13" t="inlineStr">
        <is>
          <t>Ceramic Set</t>
        </is>
      </c>
      <c r="G823" s="13" t="inlineStr">
        <is>
          <t>Consumer</t>
        </is>
      </c>
      <c r="H823" s="13" t="inlineStr">
        <is>
          <t>2</t>
        </is>
      </c>
      <c r="I823" s="14" t="inlineStr">
        <is>
          <t>74.78</t>
        </is>
      </c>
      <c r="J823" s="15" t="inlineStr">
        <is>
          <t>0.08</t>
        </is>
      </c>
      <c r="K823" s="14" t="inlineStr">
        <is>
          <t>28.42</t>
        </is>
      </c>
      <c r="L823" s="13" t="inlineStr">
        <is>
          <t>11</t>
        </is>
      </c>
      <c r="M823" s="13" t="inlineStr">
        <is>
          <t>Completed</t>
        </is>
      </c>
      <c r="N823" s="13" t="inlineStr">
        <is>
          <t>R. Ibarra</t>
        </is>
      </c>
    </row>
    <row r="824">
      <c r="A824" s="13" t="inlineStr">
        <is>
          <t>HC-100822</t>
        </is>
      </c>
      <c r="B824" s="13" t="inlineStr">
        <is>
          <t>2025/09/13</t>
        </is>
      </c>
      <c r="C824" s="13" t="inlineStr">
        <is>
          <t>East</t>
        </is>
      </c>
      <c r="D824" s="13" t="inlineStr">
        <is>
          <t>Online</t>
        </is>
      </c>
      <c r="E824" s="13" t="inlineStr">
        <is>
          <t>Furniture</t>
        </is>
      </c>
      <c r="F824" s="13" t="inlineStr">
        <is>
          <t>Oak Desk</t>
        </is>
      </c>
      <c r="G824" s="13" t="inlineStr">
        <is>
          <t>Corporate</t>
        </is>
      </c>
      <c r="H824" s="13" t="inlineStr">
        <is>
          <t>2</t>
        </is>
      </c>
      <c r="I824" s="14" t="inlineStr">
        <is>
          <t>721.23</t>
        </is>
      </c>
      <c r="J824" s="15" t="inlineStr">
        <is>
          <t>0.15</t>
        </is>
      </c>
      <c r="K824" s="14" t="inlineStr">
        <is>
          <t>447.17</t>
        </is>
      </c>
      <c r="L824" s="13" t="inlineStr">
        <is>
          <t>7</t>
        </is>
      </c>
      <c r="M824" s="13" t="inlineStr">
        <is>
          <t>Returned</t>
        </is>
      </c>
      <c r="N824" s="13" t="inlineStr">
        <is>
          <t>L. Berger</t>
        </is>
      </c>
    </row>
    <row r="825">
      <c r="A825" s="13" t="inlineStr">
        <is>
          <t>HC-100823</t>
        </is>
      </c>
      <c r="B825" s="13" t="inlineStr">
        <is>
          <t>20.01.2025</t>
        </is>
      </c>
      <c r="C825" s="13" t="inlineStr">
        <is>
          <t>North</t>
        </is>
      </c>
      <c r="D825" s="13" t="inlineStr">
        <is>
          <t>Online</t>
        </is>
      </c>
      <c r="E825" s="13" t="inlineStr">
        <is>
          <t>Furniture</t>
        </is>
      </c>
      <c r="F825" s="13" t="inlineStr">
        <is>
          <t>Lounge Chair</t>
        </is>
      </c>
      <c r="G825" s="13" t="inlineStr">
        <is>
          <t>Consumer</t>
        </is>
      </c>
      <c r="H825" s="13" t="inlineStr">
        <is>
          <t>3</t>
        </is>
      </c>
      <c r="I825" s="14" t="inlineStr">
        <is>
          <t>498.08</t>
        </is>
      </c>
      <c r="J825" s="15" t="inlineStr">
        <is>
          <t>0.14</t>
        </is>
      </c>
      <c r="K825" s="14" t="inlineStr">
        <is>
          <t>298.85</t>
        </is>
      </c>
      <c r="L825" s="13" t="inlineStr">
        <is>
          <t>4</t>
        </is>
      </c>
      <c r="M825" s="13" t="inlineStr">
        <is>
          <t>Completed</t>
        </is>
      </c>
      <c r="N825" s="13" t="inlineStr">
        <is>
          <t>S. Nguyen</t>
        </is>
      </c>
    </row>
    <row r="826">
      <c r="A826" s="13" t="inlineStr">
        <is>
          <t>HC-100824</t>
        </is>
      </c>
      <c r="B826" s="13" t="inlineStr">
        <is>
          <t>08/26/2024</t>
        </is>
      </c>
      <c r="C826" s="13" t="inlineStr">
        <is>
          <t>EAST</t>
        </is>
      </c>
      <c r="D826" s="13" t="inlineStr">
        <is>
          <t>retail</t>
        </is>
      </c>
      <c r="E826" s="13" t="inlineStr">
        <is>
          <t>Textiles</t>
        </is>
      </c>
      <c r="F826" s="13" t="inlineStr">
        <is>
          <t>Cotton Duvet</t>
        </is>
      </c>
      <c r="G826" s="13" t="inlineStr">
        <is>
          <t>Consumer</t>
        </is>
      </c>
      <c r="H826" s="13" t="inlineStr">
        <is>
          <t>3</t>
        </is>
      </c>
      <c r="I826" s="14" t="inlineStr">
        <is>
          <t>103.02</t>
        </is>
      </c>
      <c r="J826" s="15" t="inlineStr">
        <is>
          <t>0.10</t>
        </is>
      </c>
      <c r="K826" s="14" t="inlineStr">
        <is>
          <t>45.33</t>
        </is>
      </c>
      <c r="L826" s="13" t="inlineStr">
        <is>
          <t>7</t>
        </is>
      </c>
      <c r="M826" s="13" t="inlineStr">
        <is>
          <t>Completed</t>
        </is>
      </c>
      <c r="N826" s="13" t="inlineStr">
        <is>
          <t>A. Shah</t>
        </is>
      </c>
    </row>
    <row r="827">
      <c r="A827" s="13" t="inlineStr">
        <is>
          <t>HC-100825</t>
        </is>
      </c>
      <c r="B827" s="13" t="inlineStr">
        <is>
          <t>25-Aug-25</t>
        </is>
      </c>
      <c r="C827" s="13" t="inlineStr">
        <is>
          <t>south</t>
        </is>
      </c>
      <c r="D827" s="13" t="inlineStr">
        <is>
          <t>Store</t>
        </is>
      </c>
      <c r="E827" s="13" t="inlineStr">
        <is>
          <t>Textiles</t>
        </is>
      </c>
      <c r="F827" s="13" t="inlineStr">
        <is>
          <t>Linen Curtain</t>
        </is>
      </c>
      <c r="G827" s="13" t="inlineStr">
        <is>
          <t>Corporate</t>
        </is>
      </c>
      <c r="H827" s="13" t="inlineStr">
        <is>
          <t>1</t>
        </is>
      </c>
      <c r="I827" s="14" t="inlineStr">
        <is>
          <t>91.06</t>
        </is>
      </c>
      <c r="J827" s="15" t="inlineStr">
        <is>
          <t>0.02</t>
        </is>
      </c>
      <c r="K827" s="14" t="inlineStr">
        <is>
          <t>40.98</t>
        </is>
      </c>
      <c r="L827" s="13" t="inlineStr">
        <is>
          <t>5</t>
        </is>
      </c>
      <c r="M827" s="13" t="inlineStr">
        <is>
          <t>Completed</t>
        </is>
      </c>
      <c r="N827" s="13" t="inlineStr">
        <is>
          <t>K. Mensah</t>
        </is>
      </c>
    </row>
    <row r="828">
      <c r="A828" s="13" t="inlineStr">
        <is>
          <t>HC-100826</t>
        </is>
      </c>
      <c r="B828" s="13" t="inlineStr">
        <is>
          <t>2024/12/17</t>
        </is>
      </c>
      <c r="C828" s="13" t="inlineStr">
        <is>
          <t>North</t>
        </is>
      </c>
      <c r="D828" s="13" t="inlineStr">
        <is>
          <t>Store</t>
        </is>
      </c>
      <c r="E828" s="13" t="inlineStr">
        <is>
          <t>Furniture</t>
        </is>
      </c>
      <c r="F828" s="13" t="inlineStr">
        <is>
          <t>Lounge Chair</t>
        </is>
      </c>
      <c r="G828" s="13" t="inlineStr">
        <is>
          <t>Home Office</t>
        </is>
      </c>
      <c r="H828" s="13" t="inlineStr">
        <is>
          <t>3</t>
        </is>
      </c>
      <c r="I828" s="14" t="inlineStr">
        <is>
          <t>450.21</t>
        </is>
      </c>
      <c r="J828" s="15" t="inlineStr">
        <is>
          <t>0.05</t>
        </is>
      </c>
      <c r="K828" s="14" t="inlineStr">
        <is>
          <t>270.13</t>
        </is>
      </c>
      <c r="L828" s="13" t="inlineStr">
        <is>
          <t>5</t>
        </is>
      </c>
      <c r="M828" s="13" t="inlineStr">
        <is>
          <t>Completed</t>
        </is>
      </c>
      <c r="N828" s="13" t="inlineStr">
        <is>
          <t>P. Rossi</t>
        </is>
      </c>
    </row>
    <row r="829">
      <c r="A829" s="13" t="inlineStr">
        <is>
          <t>HC-100827</t>
        </is>
      </c>
      <c r="B829" s="13" t="inlineStr">
        <is>
          <t>29.03.2025</t>
        </is>
      </c>
      <c r="C829" s="13" t="inlineStr">
        <is>
          <t>North</t>
        </is>
      </c>
      <c r="D829" s="13" t="inlineStr">
        <is>
          <t>Online</t>
        </is>
      </c>
      <c r="E829" s="13" t="inlineStr">
        <is>
          <t>Kitchen</t>
        </is>
      </c>
      <c r="F829" s="13" t="inlineStr">
        <is>
          <t>Chef Knife</t>
        </is>
      </c>
      <c r="G829" s="13" t="inlineStr">
        <is>
          <t>Consumer</t>
        </is>
      </c>
      <c r="H829" s="13" t="inlineStr">
        <is>
          <t>3</t>
        </is>
      </c>
      <c r="I829" s="14" t="inlineStr">
        <is>
          <t>$67.56</t>
        </is>
      </c>
      <c r="J829" s="15" t="inlineStr">
        <is>
          <t>0.10</t>
        </is>
      </c>
      <c r="K829" s="14" t="inlineStr">
        <is>
          <t>24.32</t>
        </is>
      </c>
      <c r="L829" s="13" t="inlineStr">
        <is>
          <t>10</t>
        </is>
      </c>
      <c r="M829" s="13" t="inlineStr">
        <is>
          <t>Completed</t>
        </is>
      </c>
      <c r="N829" s="13" t="inlineStr">
        <is>
          <t>S. Nguyen</t>
        </is>
      </c>
    </row>
    <row r="830">
      <c r="A830" s="13" t="inlineStr">
        <is>
          <t>HC-100828</t>
        </is>
      </c>
      <c r="B830" s="13" t="inlineStr">
        <is>
          <t>11/30/2024</t>
        </is>
      </c>
      <c r="C830" s="13" t="inlineStr">
        <is>
          <t>NORTH</t>
        </is>
      </c>
      <c r="D830" s="13" t="inlineStr">
        <is>
          <t>e-commerce</t>
        </is>
      </c>
      <c r="E830" s="13" t="inlineStr">
        <is>
          <t>Kitchen</t>
        </is>
      </c>
      <c r="F830" s="13" t="inlineStr">
        <is>
          <t>Ceramic Set</t>
        </is>
      </c>
      <c r="G830" s="13" t="inlineStr">
        <is>
          <t>Consumer</t>
        </is>
      </c>
      <c r="H830" s="13" t="inlineStr">
        <is>
          <t>3</t>
        </is>
      </c>
      <c r="I830" s="14" t="inlineStr">
        <is>
          <t>92.13</t>
        </is>
      </c>
      <c r="J830" s="15" t="inlineStr">
        <is>
          <t>3%</t>
        </is>
      </c>
      <c r="K830" s="14" t="inlineStr">
        <is>
          <t>35.01</t>
        </is>
      </c>
      <c r="L830" s="13" t="inlineStr">
        <is>
          <t>4</t>
        </is>
      </c>
      <c r="M830" s="13" t="inlineStr">
        <is>
          <t>Completed</t>
        </is>
      </c>
      <c r="N830" s="13" t="inlineStr">
        <is>
          <t>P. Rossi</t>
        </is>
      </c>
    </row>
    <row r="831">
      <c r="A831" s="13" t="inlineStr">
        <is>
          <t>HC-100829</t>
        </is>
      </c>
      <c r="B831" s="13" t="inlineStr">
        <is>
          <t>03-Dec-24</t>
        </is>
      </c>
      <c r="C831" s="13" t="inlineStr">
        <is>
          <t>South</t>
        </is>
      </c>
      <c r="D831" s="13" t="inlineStr">
        <is>
          <t>Online</t>
        </is>
      </c>
      <c r="E831" s="13" t="inlineStr">
        <is>
          <t>Kitchen</t>
        </is>
      </c>
      <c r="F831" s="13" t="inlineStr">
        <is>
          <t>Chef Knife</t>
        </is>
      </c>
      <c r="G831" s="13" t="inlineStr">
        <is>
          <t>Corporate</t>
        </is>
      </c>
      <c r="H831" s="13" t="inlineStr">
        <is>
          <t>2</t>
        </is>
      </c>
      <c r="I831" s="14" t="inlineStr">
        <is>
          <t>60.97</t>
        </is>
      </c>
      <c r="J831" s="15" t="inlineStr">
        <is>
          <t>0.17</t>
        </is>
      </c>
      <c r="K831" s="14" t="inlineStr">
        <is>
          <t>21.95</t>
        </is>
      </c>
      <c r="L831" s="13" t="inlineStr">
        <is>
          <t>5</t>
        </is>
      </c>
      <c r="M831" s="13" t="inlineStr">
        <is>
          <t>Completed</t>
        </is>
      </c>
      <c r="N831" s="13" t="inlineStr">
        <is>
          <t>S. Nguyen</t>
        </is>
      </c>
    </row>
    <row r="832">
      <c r="A832" s="13" t="inlineStr">
        <is>
          <t>HC-100830</t>
        </is>
      </c>
      <c r="B832" s="13" t="inlineStr">
        <is>
          <t>2025/09/21</t>
        </is>
      </c>
      <c r="C832" s="13" t="inlineStr">
        <is>
          <t>East</t>
        </is>
      </c>
      <c r="D832" s="13" t="inlineStr">
        <is>
          <t>Store</t>
        </is>
      </c>
      <c r="E832" s="13" t="inlineStr">
        <is>
          <t>Furniture</t>
        </is>
      </c>
      <c r="F832" s="13" t="inlineStr">
        <is>
          <t>Linen Sofa</t>
        </is>
      </c>
      <c r="G832" s="13" t="inlineStr">
        <is>
          <t>Home Office</t>
        </is>
      </c>
      <c r="H832" s="13" t="inlineStr">
        <is>
          <t>4</t>
        </is>
      </c>
      <c r="I832" s="14" t="inlineStr">
        <is>
          <t>1169.76</t>
        </is>
      </c>
      <c r="J832" s="15" t="inlineStr">
        <is>
          <t>0.10</t>
        </is>
      </c>
      <c r="K832" s="14" t="inlineStr">
        <is>
          <t>772.04</t>
        </is>
      </c>
      <c r="L832" s="13" t="inlineStr">
        <is>
          <t>8</t>
        </is>
      </c>
      <c r="M832" s="13" t="inlineStr">
        <is>
          <t>Returned</t>
        </is>
      </c>
      <c r="N832" s="13" t="inlineStr">
        <is>
          <t>P. Rossi</t>
        </is>
      </c>
    </row>
    <row r="833">
      <c r="A833" s="13" t="inlineStr">
        <is>
          <t>HC-100831</t>
        </is>
      </c>
      <c r="B833" s="13" t="inlineStr">
        <is>
          <t>25.04.2025</t>
        </is>
      </c>
      <c r="C833" s="13" t="inlineStr">
        <is>
          <t>South</t>
        </is>
      </c>
      <c r="D833" s="13" t="inlineStr">
        <is>
          <t>Store</t>
        </is>
      </c>
      <c r="E833" s="13" t="inlineStr">
        <is>
          <t>Furniture</t>
        </is>
      </c>
      <c r="F833" s="13" t="inlineStr">
        <is>
          <t>Walnut Shelf</t>
        </is>
      </c>
      <c r="G833" s="13" t="inlineStr">
        <is>
          <t>Consumer</t>
        </is>
      </c>
      <c r="H833" s="13" t="inlineStr">
        <is>
          <t>3</t>
        </is>
      </c>
      <c r="I833" s="14" t="inlineStr">
        <is>
          <t>207.18</t>
        </is>
      </c>
      <c r="J833" s="15" t="inlineStr">
        <is>
          <t>0.02</t>
        </is>
      </c>
      <c r="K833" s="14" t="inlineStr">
        <is>
          <t>113.95</t>
        </is>
      </c>
      <c r="L833" s="13" t="inlineStr">
        <is>
          <t>1</t>
        </is>
      </c>
      <c r="M833" s="13" t="inlineStr">
        <is>
          <t>Completed</t>
        </is>
      </c>
      <c r="N833" s="13" t="inlineStr">
        <is>
          <t>L. Berger</t>
        </is>
      </c>
    </row>
    <row r="834">
      <c r="A834" s="13" t="inlineStr">
        <is>
          <t>HC-100832</t>
        </is>
      </c>
      <c r="B834" s="13" t="inlineStr">
        <is>
          <t>06/06/2025</t>
        </is>
      </c>
      <c r="C834" s="13" t="inlineStr">
        <is>
          <t>east</t>
        </is>
      </c>
      <c r="D834" s="13" t="inlineStr">
        <is>
          <t>Online</t>
        </is>
      </c>
      <c r="E834" s="13" t="inlineStr">
        <is>
          <t>Kitchen</t>
        </is>
      </c>
      <c r="F834" s="13" t="inlineStr">
        <is>
          <t>Chef Knife</t>
        </is>
      </c>
      <c r="G834" s="13" t="inlineStr"/>
      <c r="H834" s="13" t="inlineStr">
        <is>
          <t>2</t>
        </is>
      </c>
      <c r="I834" s="14" t="inlineStr">
        <is>
          <t>61.22</t>
        </is>
      </c>
      <c r="J834" s="15" t="inlineStr">
        <is>
          <t>0.09</t>
        </is>
      </c>
      <c r="K834" s="14" t="inlineStr">
        <is>
          <t>22.04</t>
        </is>
      </c>
      <c r="L834" s="13" t="inlineStr">
        <is>
          <t>10</t>
        </is>
      </c>
      <c r="M834" s="13" t="inlineStr">
        <is>
          <t>COMPLETED</t>
        </is>
      </c>
      <c r="N834" s="13" t="inlineStr">
        <is>
          <t>R. Ibarra</t>
        </is>
      </c>
    </row>
    <row r="835">
      <c r="A835" s="13" t="inlineStr">
        <is>
          <t>HC-100833</t>
        </is>
      </c>
      <c r="B835" s="13" t="inlineStr">
        <is>
          <t>26-May-25</t>
        </is>
      </c>
      <c r="C835" s="13" t="inlineStr">
        <is>
          <t>South</t>
        </is>
      </c>
      <c r="D835" s="13" t="inlineStr">
        <is>
          <t>Online</t>
        </is>
      </c>
      <c r="E835" s="13" t="inlineStr">
        <is>
          <t>Kitchen</t>
        </is>
      </c>
      <c r="F835" s="13" t="inlineStr">
        <is>
          <t>Cast Skillet</t>
        </is>
      </c>
      <c r="G835" s="13" t="inlineStr">
        <is>
          <t>Consumer</t>
        </is>
      </c>
      <c r="H835" s="13" t="inlineStr">
        <is>
          <t>2</t>
        </is>
      </c>
      <c r="I835" s="14" t="inlineStr">
        <is>
          <t>56.78</t>
        </is>
      </c>
      <c r="J835" s="15" t="inlineStr">
        <is>
          <t>0.02</t>
        </is>
      </c>
      <c r="K835" s="14" t="inlineStr">
        <is>
          <t>22.71</t>
        </is>
      </c>
      <c r="L835" s="13" t="inlineStr">
        <is>
          <t>4</t>
        </is>
      </c>
      <c r="M835" s="13" t="inlineStr">
        <is>
          <t>Completed</t>
        </is>
      </c>
      <c r="N835" s="13" t="inlineStr">
        <is>
          <t>M. Okonkwo</t>
        </is>
      </c>
    </row>
    <row r="836">
      <c r="A836" s="13" t="inlineStr">
        <is>
          <t>HC-100834</t>
        </is>
      </c>
      <c r="B836" s="13" t="inlineStr">
        <is>
          <t>2024/06/29</t>
        </is>
      </c>
      <c r="C836" s="13" t="inlineStr">
        <is>
          <t>West</t>
        </is>
      </c>
      <c r="D836" s="13" t="inlineStr">
        <is>
          <t>Store</t>
        </is>
      </c>
      <c r="E836" s="13" t="inlineStr">
        <is>
          <t>Textiles</t>
        </is>
      </c>
      <c r="F836" s="13" t="inlineStr">
        <is>
          <t>Cotton Duvet</t>
        </is>
      </c>
      <c r="G836" s="13" t="inlineStr">
        <is>
          <t>Home Office</t>
        </is>
      </c>
      <c r="H836" s="13" t="inlineStr">
        <is>
          <t>3</t>
        </is>
      </c>
      <c r="I836" s="14" t="inlineStr">
        <is>
          <t>123.71</t>
        </is>
      </c>
      <c r="J836" s="15" t="inlineStr">
        <is>
          <t>0.03</t>
        </is>
      </c>
      <c r="K836" s="14" t="inlineStr">
        <is>
          <t>54.43</t>
        </is>
      </c>
      <c r="L836" s="13" t="inlineStr">
        <is>
          <t>4</t>
        </is>
      </c>
      <c r="M836" s="13" t="inlineStr">
        <is>
          <t>Completed</t>
        </is>
      </c>
      <c r="N836" s="13" t="inlineStr">
        <is>
          <t>L. Berger</t>
        </is>
      </c>
    </row>
    <row r="837">
      <c r="A837" s="13" t="inlineStr">
        <is>
          <t>HC-100835</t>
        </is>
      </c>
      <c r="B837" s="13" t="inlineStr">
        <is>
          <t>25.05.2024</t>
        </is>
      </c>
      <c r="C837" s="13" t="inlineStr">
        <is>
          <t>West</t>
        </is>
      </c>
      <c r="D837" s="13" t="inlineStr">
        <is>
          <t>Store</t>
        </is>
      </c>
      <c r="E837" s="13" t="inlineStr">
        <is>
          <t>Kitchen</t>
        </is>
      </c>
      <c r="F837" s="13" t="inlineStr">
        <is>
          <t>Cast Skillet</t>
        </is>
      </c>
      <c r="G837" s="13" t="inlineStr">
        <is>
          <t>Consumer</t>
        </is>
      </c>
      <c r="H837" s="13" t="inlineStr">
        <is>
          <t>2</t>
        </is>
      </c>
      <c r="I837" s="14" t="inlineStr">
        <is>
          <t>57.64</t>
        </is>
      </c>
      <c r="J837" s="15" t="inlineStr">
        <is>
          <t>0.08</t>
        </is>
      </c>
      <c r="K837" s="14" t="inlineStr">
        <is>
          <t>23.06</t>
        </is>
      </c>
      <c r="L837" s="13" t="inlineStr">
        <is>
          <t>6</t>
        </is>
      </c>
      <c r="M837" s="13" t="inlineStr">
        <is>
          <t>Completed</t>
        </is>
      </c>
      <c r="N837" s="13" t="inlineStr">
        <is>
          <t>L. Berger</t>
        </is>
      </c>
    </row>
    <row r="838">
      <c r="A838" s="13" t="inlineStr">
        <is>
          <t>HC-100836</t>
        </is>
      </c>
      <c r="B838" s="13" t="inlineStr">
        <is>
          <t>11/14/2024</t>
        </is>
      </c>
      <c r="C838" s="13" t="inlineStr">
        <is>
          <t>West</t>
        </is>
      </c>
      <c r="D838" s="13" t="inlineStr">
        <is>
          <t>Store</t>
        </is>
      </c>
      <c r="E838" s="13" t="inlineStr">
        <is>
          <t>Furniture</t>
        </is>
      </c>
      <c r="F838" s="13" t="inlineStr">
        <is>
          <t>Linen Sofa</t>
        </is>
      </c>
      <c r="G838" s="13" t="inlineStr">
        <is>
          <t>Home Office</t>
        </is>
      </c>
      <c r="H838" s="13" t="inlineStr">
        <is>
          <t>3</t>
        </is>
      </c>
      <c r="I838" s="14" t="inlineStr">
        <is>
          <t>$1,266.63</t>
        </is>
      </c>
      <c r="J838" s="15" t="inlineStr">
        <is>
          <t>0.05</t>
        </is>
      </c>
      <c r="K838" s="14" t="inlineStr">
        <is>
          <t>835.97</t>
        </is>
      </c>
      <c r="L838" s="13" t="inlineStr">
        <is>
          <t>7</t>
        </is>
      </c>
      <c r="M838" s="13" t="inlineStr">
        <is>
          <t>Completed</t>
        </is>
      </c>
      <c r="N838" s="13" t="inlineStr">
        <is>
          <t>P. Rossi</t>
        </is>
      </c>
    </row>
    <row r="839">
      <c r="A839" s="13" t="inlineStr">
        <is>
          <t>HC-100837</t>
        </is>
      </c>
      <c r="B839" s="13" t="inlineStr">
        <is>
          <t>14-Jul-24</t>
        </is>
      </c>
      <c r="C839" s="13" t="inlineStr">
        <is>
          <t>west</t>
        </is>
      </c>
      <c r="D839" s="13" t="inlineStr">
        <is>
          <t>Online</t>
        </is>
      </c>
      <c r="E839" s="13" t="inlineStr">
        <is>
          <t>Furniture</t>
        </is>
      </c>
      <c r="F839" s="13" t="inlineStr">
        <is>
          <t>Linen Sofa</t>
        </is>
      </c>
      <c r="G839" s="13" t="inlineStr">
        <is>
          <t>Consumer</t>
        </is>
      </c>
      <c r="H839" s="13" t="inlineStr">
        <is>
          <t>2</t>
        </is>
      </c>
      <c r="I839" s="14" t="inlineStr">
        <is>
          <t>1316.74</t>
        </is>
      </c>
      <c r="J839" s="15" t="inlineStr">
        <is>
          <t>0.05</t>
        </is>
      </c>
      <c r="K839" s="14" t="inlineStr">
        <is>
          <t>869.05</t>
        </is>
      </c>
      <c r="L839" s="13" t="inlineStr">
        <is>
          <t>7</t>
        </is>
      </c>
      <c r="M839" s="13" t="inlineStr">
        <is>
          <t>Completed</t>
        </is>
      </c>
      <c r="N839" s="13" t="inlineStr">
        <is>
          <t>S. Nguyen</t>
        </is>
      </c>
    </row>
    <row r="840">
      <c r="A840" s="13" t="inlineStr">
        <is>
          <t>HC-100838</t>
        </is>
      </c>
      <c r="B840" s="13" t="inlineStr">
        <is>
          <t>2025/04/12</t>
        </is>
      </c>
      <c r="C840" s="13" t="inlineStr">
        <is>
          <t>West</t>
        </is>
      </c>
      <c r="D840" s="13" t="inlineStr">
        <is>
          <t>Store</t>
        </is>
      </c>
      <c r="E840" s="13" t="inlineStr">
        <is>
          <t>Kitchen</t>
        </is>
      </c>
      <c r="F840" s="13" t="inlineStr">
        <is>
          <t>Ceramic Set</t>
        </is>
      </c>
      <c r="G840" s="13" t="inlineStr">
        <is>
          <t>Consumer</t>
        </is>
      </c>
      <c r="H840" s="13" t="inlineStr">
        <is>
          <t>1</t>
        </is>
      </c>
      <c r="I840" s="14" t="inlineStr">
        <is>
          <t>90.97</t>
        </is>
      </c>
      <c r="J840" s="15" t="inlineStr">
        <is>
          <t>0.09</t>
        </is>
      </c>
      <c r="K840" s="14" t="inlineStr">
        <is>
          <t>34.57</t>
        </is>
      </c>
      <c r="L840" s="13" t="inlineStr">
        <is>
          <t>9</t>
        </is>
      </c>
      <c r="M840" s="13" t="inlineStr">
        <is>
          <t>Completed</t>
        </is>
      </c>
      <c r="N840" s="13" t="inlineStr">
        <is>
          <t>M. Okonkwo</t>
        </is>
      </c>
    </row>
    <row r="841">
      <c r="A841" s="13" t="inlineStr">
        <is>
          <t>HC-100839</t>
        </is>
      </c>
      <c r="B841" s="13" t="inlineStr">
        <is>
          <t>13.12.2024</t>
        </is>
      </c>
      <c r="C841" s="13" t="inlineStr">
        <is>
          <t>North</t>
        </is>
      </c>
      <c r="D841" s="13" t="inlineStr">
        <is>
          <t>retail</t>
        </is>
      </c>
      <c r="E841" s="13" t="inlineStr">
        <is>
          <t>Lighting</t>
        </is>
      </c>
      <c r="F841" s="13" t="inlineStr">
        <is>
          <t>Brass Sconce</t>
        </is>
      </c>
      <c r="G841" s="13" t="inlineStr">
        <is>
          <t>corporate</t>
        </is>
      </c>
      <c r="H841" s="13" t="inlineStr">
        <is>
          <t>2</t>
        </is>
      </c>
      <c r="I841" s="14" t="inlineStr">
        <is>
          <t>132.13</t>
        </is>
      </c>
      <c r="J841" s="15" t="inlineStr">
        <is>
          <t>0.08</t>
        </is>
      </c>
      <c r="K841" s="14" t="inlineStr">
        <is>
          <t>60.78</t>
        </is>
      </c>
      <c r="L841" s="13" t="inlineStr">
        <is>
          <t>5</t>
        </is>
      </c>
      <c r="M841" s="13" t="inlineStr">
        <is>
          <t>Completed</t>
        </is>
      </c>
      <c r="N841" s="13" t="inlineStr">
        <is>
          <t>R. Ibarra</t>
        </is>
      </c>
    </row>
    <row r="842">
      <c r="A842" s="13" t="inlineStr">
        <is>
          <t>HC-100840</t>
        </is>
      </c>
      <c r="B842" s="13" t="inlineStr">
        <is>
          <t>08/15/2025</t>
        </is>
      </c>
      <c r="C842" s="13" t="inlineStr">
        <is>
          <t>North</t>
        </is>
      </c>
      <c r="D842" s="13" t="inlineStr">
        <is>
          <t>In-Store</t>
        </is>
      </c>
      <c r="E842" s="13" t="inlineStr">
        <is>
          <t>Textiles</t>
        </is>
      </c>
      <c r="F842" s="13" t="inlineStr">
        <is>
          <t>Linen Curtain</t>
        </is>
      </c>
      <c r="G842" s="13" t="inlineStr">
        <is>
          <t>Consumer</t>
        </is>
      </c>
      <c r="H842" s="13" t="inlineStr">
        <is>
          <t>two</t>
        </is>
      </c>
      <c r="I842" s="14" t="inlineStr">
        <is>
          <t>90.88</t>
        </is>
      </c>
      <c r="J842" s="15" t="inlineStr">
        <is>
          <t>0.08</t>
        </is>
      </c>
      <c r="K842" s="14" t="inlineStr">
        <is>
          <t>40.90</t>
        </is>
      </c>
      <c r="L842" s="13" t="inlineStr">
        <is>
          <t>2</t>
        </is>
      </c>
      <c r="M842" s="13" t="inlineStr">
        <is>
          <t>Completed</t>
        </is>
      </c>
      <c r="N842" s="13" t="inlineStr">
        <is>
          <t>M. Okonkwo</t>
        </is>
      </c>
    </row>
    <row r="843">
      <c r="A843" s="13" t="inlineStr">
        <is>
          <t>HC-100841</t>
        </is>
      </c>
      <c r="B843" s="13" t="inlineStr">
        <is>
          <t>16-Mar-25</t>
        </is>
      </c>
      <c r="C843" s="13" t="inlineStr">
        <is>
          <t>West</t>
        </is>
      </c>
      <c r="D843" s="13" t="inlineStr">
        <is>
          <t>Wholesale</t>
        </is>
      </c>
      <c r="E843" s="13" t="inlineStr">
        <is>
          <t>Furniture</t>
        </is>
      </c>
      <c r="F843" s="13" t="inlineStr">
        <is>
          <t>Lounge Chair</t>
        </is>
      </c>
      <c r="G843" s="13" t="inlineStr">
        <is>
          <t>consumer</t>
        </is>
      </c>
      <c r="H843" s="13" t="inlineStr">
        <is>
          <t>25</t>
        </is>
      </c>
      <c r="I843" s="14" t="inlineStr">
        <is>
          <t>448.85</t>
        </is>
      </c>
      <c r="J843" s="15" t="inlineStr">
        <is>
          <t>0.14</t>
        </is>
      </c>
      <c r="K843" s="14" t="inlineStr">
        <is>
          <t>269.31</t>
        </is>
      </c>
      <c r="L843" s="13" t="inlineStr">
        <is>
          <t>5</t>
        </is>
      </c>
      <c r="M843" s="13" t="inlineStr">
        <is>
          <t>Completed</t>
        </is>
      </c>
      <c r="N843" s="13" t="inlineStr">
        <is>
          <t>S. Nguyen</t>
        </is>
      </c>
    </row>
    <row r="844">
      <c r="A844" s="13" t="inlineStr">
        <is>
          <t>HC-100842</t>
        </is>
      </c>
      <c r="B844" s="13" t="inlineStr">
        <is>
          <t>2025/06/01</t>
        </is>
      </c>
      <c r="C844" s="13" t="inlineStr">
        <is>
          <t>North</t>
        </is>
      </c>
      <c r="D844" s="13" t="inlineStr">
        <is>
          <t>Store</t>
        </is>
      </c>
      <c r="E844" s="13" t="inlineStr">
        <is>
          <t>Kitchen</t>
        </is>
      </c>
      <c r="F844" s="13" t="inlineStr">
        <is>
          <t>Chef Knife</t>
        </is>
      </c>
      <c r="G844" s="13" t="inlineStr">
        <is>
          <t>Corporate</t>
        </is>
      </c>
      <c r="H844" s="13" t="inlineStr">
        <is>
          <t>1</t>
        </is>
      </c>
      <c r="I844" s="14" t="inlineStr">
        <is>
          <t>$68.55</t>
        </is>
      </c>
      <c r="J844" s="15" t="inlineStr">
        <is>
          <t>0.02</t>
        </is>
      </c>
      <c r="K844" s="14" t="inlineStr">
        <is>
          <t>24.68</t>
        </is>
      </c>
      <c r="L844" s="13" t="inlineStr">
        <is>
          <t>5</t>
        </is>
      </c>
      <c r="M844" s="13" t="inlineStr">
        <is>
          <t>Returned</t>
        </is>
      </c>
      <c r="N844" s="13" t="inlineStr">
        <is>
          <t>M. Okonkwo</t>
        </is>
      </c>
    </row>
    <row r="845">
      <c r="A845" s="13" t="inlineStr">
        <is>
          <t>HC-100843</t>
        </is>
      </c>
      <c r="B845" s="13" t="inlineStr">
        <is>
          <t>12.08.2025</t>
        </is>
      </c>
      <c r="C845" s="13" t="inlineStr">
        <is>
          <t>West</t>
        </is>
      </c>
      <c r="D845" s="13" t="inlineStr">
        <is>
          <t>Store</t>
        </is>
      </c>
      <c r="E845" s="13" t="inlineStr">
        <is>
          <t>Kitchen</t>
        </is>
      </c>
      <c r="F845" s="13" t="inlineStr">
        <is>
          <t>Cast Skillet</t>
        </is>
      </c>
      <c r="G845" s="13" t="inlineStr">
        <is>
          <t>Consumer</t>
        </is>
      </c>
      <c r="H845" s="13" t="inlineStr">
        <is>
          <t>1</t>
        </is>
      </c>
      <c r="I845" s="14" t="inlineStr">
        <is>
          <t>54.02</t>
        </is>
      </c>
      <c r="J845" s="15" t="inlineStr">
        <is>
          <t>0.05</t>
        </is>
      </c>
      <c r="K845" s="14" t="inlineStr">
        <is>
          <t>21.61</t>
        </is>
      </c>
      <c r="L845" s="13" t="inlineStr">
        <is>
          <t>1</t>
        </is>
      </c>
      <c r="M845" s="13" t="inlineStr">
        <is>
          <t>Completed</t>
        </is>
      </c>
      <c r="N845" s="13" t="inlineStr">
        <is>
          <t>R. Ibarra</t>
        </is>
      </c>
    </row>
    <row r="846">
      <c r="A846" s="13" t="inlineStr">
        <is>
          <t>HC-100844</t>
        </is>
      </c>
      <c r="B846" s="13" t="inlineStr">
        <is>
          <t>10/29/2024</t>
        </is>
      </c>
      <c r="C846" s="13" t="inlineStr">
        <is>
          <t>North</t>
        </is>
      </c>
      <c r="D846" s="13" t="inlineStr">
        <is>
          <t>Wholesale</t>
        </is>
      </c>
      <c r="E846" s="13" t="inlineStr">
        <is>
          <t>Furniture</t>
        </is>
      </c>
      <c r="F846" s="13" t="inlineStr">
        <is>
          <t>Lounge Chair</t>
        </is>
      </c>
      <c r="G846" s="13" t="inlineStr">
        <is>
          <t>Consumer</t>
        </is>
      </c>
      <c r="H846" s="13" t="inlineStr">
        <is>
          <t>21</t>
        </is>
      </c>
      <c r="I846" s="14" t="inlineStr">
        <is>
          <t>491.29</t>
        </is>
      </c>
      <c r="J846" s="15" t="inlineStr">
        <is>
          <t>0.14</t>
        </is>
      </c>
      <c r="K846" s="14" t="inlineStr">
        <is>
          <t>294.77</t>
        </is>
      </c>
      <c r="L846" s="13" t="inlineStr">
        <is>
          <t>5</t>
        </is>
      </c>
      <c r="M846" s="13" t="inlineStr">
        <is>
          <t>Completed</t>
        </is>
      </c>
      <c r="N846" s="13" t="inlineStr">
        <is>
          <t>M. Okonkwo</t>
        </is>
      </c>
    </row>
    <row r="847">
      <c r="A847" s="13" t="inlineStr">
        <is>
          <t>HC-100845</t>
        </is>
      </c>
      <c r="B847" s="13" t="inlineStr">
        <is>
          <t>23-Mar-24</t>
        </is>
      </c>
      <c r="C847" s="13" t="inlineStr">
        <is>
          <t>South</t>
        </is>
      </c>
      <c r="D847" s="13" t="inlineStr">
        <is>
          <t>Wholesale</t>
        </is>
      </c>
      <c r="E847" s="13" t="inlineStr">
        <is>
          <t>Furniture</t>
        </is>
      </c>
      <c r="F847" s="13" t="inlineStr">
        <is>
          <t>Linen Sofa</t>
        </is>
      </c>
      <c r="G847" s="13" t="inlineStr">
        <is>
          <t>Home Office</t>
        </is>
      </c>
      <c r="H847" s="13" t="inlineStr">
        <is>
          <t>26</t>
        </is>
      </c>
      <c r="I847" s="14" t="inlineStr">
        <is>
          <t>1304.64</t>
        </is>
      </c>
      <c r="J847" s="15" t="inlineStr">
        <is>
          <t>31%</t>
        </is>
      </c>
      <c r="K847" s="14" t="inlineStr">
        <is>
          <t>861.06</t>
        </is>
      </c>
      <c r="L847" s="13" t="inlineStr">
        <is>
          <t>6</t>
        </is>
      </c>
      <c r="M847" s="13" t="inlineStr">
        <is>
          <t>Completed</t>
        </is>
      </c>
      <c r="N847" s="13" t="inlineStr">
        <is>
          <t>L. Berger</t>
        </is>
      </c>
    </row>
    <row r="848">
      <c r="A848" s="13" t="inlineStr">
        <is>
          <t>HC-100846</t>
        </is>
      </c>
      <c r="B848" s="13" t="inlineStr">
        <is>
          <t>2024/07/13</t>
        </is>
      </c>
      <c r="C848" s="13" t="inlineStr">
        <is>
          <t>West</t>
        </is>
      </c>
      <c r="D848" s="13" t="inlineStr">
        <is>
          <t>Wholesale</t>
        </is>
      </c>
      <c r="E848" s="13" t="inlineStr">
        <is>
          <t>KITCHEN</t>
        </is>
      </c>
      <c r="F848" s="13" t="inlineStr">
        <is>
          <t>Chef Knife</t>
        </is>
      </c>
      <c r="G848" s="13" t="inlineStr"/>
      <c r="H848" s="13" t="inlineStr">
        <is>
          <t>24</t>
        </is>
      </c>
      <c r="I848" s="14" t="inlineStr">
        <is>
          <t>67.84</t>
        </is>
      </c>
      <c r="J848" s="15" t="inlineStr">
        <is>
          <t>0.32</t>
        </is>
      </c>
      <c r="K848" s="14" t="inlineStr">
        <is>
          <t>24.42</t>
        </is>
      </c>
      <c r="L848" s="13" t="inlineStr">
        <is>
          <t>3</t>
        </is>
      </c>
      <c r="M848" s="13" t="inlineStr">
        <is>
          <t>Completed</t>
        </is>
      </c>
      <c r="N848" s="13" t="inlineStr">
        <is>
          <t>J. Patel</t>
        </is>
      </c>
    </row>
    <row r="849">
      <c r="A849" s="13" t="inlineStr">
        <is>
          <t>HC-100847</t>
        </is>
      </c>
      <c r="B849" s="13" t="inlineStr">
        <is>
          <t>28.06.2024</t>
        </is>
      </c>
      <c r="C849" s="13" t="inlineStr">
        <is>
          <t>East</t>
        </is>
      </c>
      <c r="D849" s="13" t="inlineStr">
        <is>
          <t>Store</t>
        </is>
      </c>
      <c r="E849" s="13" t="inlineStr">
        <is>
          <t>Furniture</t>
        </is>
      </c>
      <c r="F849" s="13" t="inlineStr">
        <is>
          <t>Oak Desk</t>
        </is>
      </c>
      <c r="G849" s="13" t="inlineStr">
        <is>
          <t>Consumer</t>
        </is>
      </c>
      <c r="H849" s="13" t="inlineStr">
        <is>
          <t>1</t>
        </is>
      </c>
      <c r="I849" s="14" t="inlineStr">
        <is>
          <t>767.47</t>
        </is>
      </c>
      <c r="J849" s="15" t="inlineStr">
        <is>
          <t>0.08</t>
        </is>
      </c>
      <c r="K849" s="14" t="inlineStr">
        <is>
          <t>475.83</t>
        </is>
      </c>
      <c r="L849" s="13" t="inlineStr">
        <is>
          <t>10</t>
        </is>
      </c>
      <c r="M849" s="13" t="inlineStr">
        <is>
          <t>Completed</t>
        </is>
      </c>
      <c r="N849" s="13" t="inlineStr">
        <is>
          <t>L. Berger</t>
        </is>
      </c>
    </row>
    <row r="850">
      <c r="A850" s="13" t="inlineStr">
        <is>
          <t>HC-100848</t>
        </is>
      </c>
      <c r="B850" s="13" t="inlineStr">
        <is>
          <t>11/24/2024</t>
        </is>
      </c>
      <c r="C850" s="13" t="inlineStr">
        <is>
          <t>North</t>
        </is>
      </c>
      <c r="D850" s="13" t="inlineStr">
        <is>
          <t>Store</t>
        </is>
      </c>
      <c r="E850" s="13" t="inlineStr">
        <is>
          <t>Textiles</t>
        </is>
      </c>
      <c r="F850" s="13" t="inlineStr">
        <is>
          <t>Cotton Duvet</t>
        </is>
      </c>
      <c r="G850" s="13" t="inlineStr">
        <is>
          <t>Corporate</t>
        </is>
      </c>
      <c r="H850" s="13" t="inlineStr">
        <is>
          <t>5</t>
        </is>
      </c>
      <c r="I850" s="14" t="inlineStr">
        <is>
          <t>122.89</t>
        </is>
      </c>
      <c r="J850" s="15" t="inlineStr">
        <is>
          <t>0.05</t>
        </is>
      </c>
      <c r="K850" s="14" t="inlineStr">
        <is>
          <t>54.07</t>
        </is>
      </c>
      <c r="L850" s="13" t="inlineStr">
        <is>
          <t>5</t>
        </is>
      </c>
      <c r="M850" s="13" t="inlineStr">
        <is>
          <t>Completed</t>
        </is>
      </c>
      <c r="N850" s="13" t="inlineStr">
        <is>
          <t>R. Ibarra</t>
        </is>
      </c>
    </row>
    <row r="851">
      <c r="A851" s="13" t="inlineStr">
        <is>
          <t>HC-100849</t>
        </is>
      </c>
      <c r="B851" s="13" t="inlineStr">
        <is>
          <t>07-Aug-25</t>
        </is>
      </c>
      <c r="C851" s="13" t="inlineStr">
        <is>
          <t>South</t>
        </is>
      </c>
      <c r="D851" s="13" t="inlineStr">
        <is>
          <t>Store</t>
        </is>
      </c>
      <c r="E851" s="13" t="inlineStr">
        <is>
          <t>Textiles</t>
        </is>
      </c>
      <c r="F851" s="13" t="inlineStr">
        <is>
          <t>Cotton Duvet</t>
        </is>
      </c>
      <c r="G851" s="13" t="inlineStr">
        <is>
          <t>Consumer</t>
        </is>
      </c>
      <c r="H851" s="13" t="inlineStr">
        <is>
          <t>3</t>
        </is>
      </c>
      <c r="I851" s="14" t="inlineStr">
        <is>
          <t>120.78</t>
        </is>
      </c>
      <c r="J851" s="15" t="inlineStr">
        <is>
          <t>0.10</t>
        </is>
      </c>
      <c r="K851" s="14" t="inlineStr">
        <is>
          <t>53.14</t>
        </is>
      </c>
      <c r="L851" s="13" t="inlineStr">
        <is>
          <t>N/A</t>
        </is>
      </c>
      <c r="M851" s="13" t="inlineStr">
        <is>
          <t>COMPLETED</t>
        </is>
      </c>
      <c r="N851" s="13" t="inlineStr">
        <is>
          <t>L. Berger</t>
        </is>
      </c>
    </row>
    <row r="852">
      <c r="A852" s="13" t="inlineStr">
        <is>
          <t>HC-100850</t>
        </is>
      </c>
      <c r="B852" s="13" t="inlineStr">
        <is>
          <t>2024/05/17</t>
        </is>
      </c>
      <c r="C852" s="13" t="inlineStr">
        <is>
          <t>Nort</t>
        </is>
      </c>
      <c r="D852" s="13" t="inlineStr">
        <is>
          <t>Store</t>
        </is>
      </c>
      <c r="E852" s="13" t="inlineStr">
        <is>
          <t>Kitchen</t>
        </is>
      </c>
      <c r="F852" s="13" t="inlineStr">
        <is>
          <t>Cast Skillet</t>
        </is>
      </c>
      <c r="G852" s="13" t="inlineStr">
        <is>
          <t>Corporate</t>
        </is>
      </c>
      <c r="H852" s="13" t="inlineStr">
        <is>
          <t>4</t>
        </is>
      </c>
      <c r="I852" s="14" t="inlineStr">
        <is>
          <t>49.74</t>
        </is>
      </c>
      <c r="J852" s="15" t="inlineStr">
        <is>
          <t>0.09</t>
        </is>
      </c>
      <c r="K852" s="14" t="inlineStr">
        <is>
          <t>19.90</t>
        </is>
      </c>
      <c r="L852" s="13" t="inlineStr">
        <is>
          <t>5</t>
        </is>
      </c>
      <c r="M852" s="13" t="inlineStr">
        <is>
          <t>Completed</t>
        </is>
      </c>
      <c r="N852" s="13" t="inlineStr">
        <is>
          <t>S. Nguyen</t>
        </is>
      </c>
    </row>
    <row r="853">
      <c r="A853" s="13" t="inlineStr">
        <is>
          <t>HC-100851</t>
        </is>
      </c>
      <c r="B853" s="13" t="inlineStr">
        <is>
          <t>27.10.2024</t>
        </is>
      </c>
      <c r="C853" s="13" t="inlineStr">
        <is>
          <t>North</t>
        </is>
      </c>
      <c r="D853" s="13" t="inlineStr">
        <is>
          <t>Wholesale</t>
        </is>
      </c>
      <c r="E853" s="13" t="inlineStr">
        <is>
          <t>Kitchen</t>
        </is>
      </c>
      <c r="F853" s="13" t="inlineStr">
        <is>
          <t>Chef Knife</t>
        </is>
      </c>
      <c r="G853" s="13" t="inlineStr">
        <is>
          <t>Consumer</t>
        </is>
      </c>
      <c r="H853" s="13" t="inlineStr">
        <is>
          <t>28</t>
        </is>
      </c>
      <c r="I853" s="14" t="inlineStr">
        <is>
          <t>65.91</t>
        </is>
      </c>
      <c r="J853" s="15" t="inlineStr">
        <is>
          <t>0.31</t>
        </is>
      </c>
      <c r="K853" s="14" t="inlineStr">
        <is>
          <t>23.73</t>
        </is>
      </c>
      <c r="L853" s="13" t="inlineStr">
        <is>
          <t>5</t>
        </is>
      </c>
      <c r="M853" s="13" t="inlineStr">
        <is>
          <t>Returned</t>
        </is>
      </c>
      <c r="N853" s="13" t="inlineStr">
        <is>
          <t>S. Nguyen</t>
        </is>
      </c>
    </row>
    <row r="854">
      <c r="A854" s="13" t="inlineStr">
        <is>
          <t>HC-100852</t>
        </is>
      </c>
      <c r="B854" s="13" t="inlineStr">
        <is>
          <t>06/03/2024</t>
        </is>
      </c>
      <c r="C854" s="13" t="inlineStr">
        <is>
          <t>West</t>
        </is>
      </c>
      <c r="D854" s="13" t="inlineStr">
        <is>
          <t>Store</t>
        </is>
      </c>
      <c r="E854" s="13" t="inlineStr">
        <is>
          <t>Lighting</t>
        </is>
      </c>
      <c r="F854" s="13" t="inlineStr">
        <is>
          <t>Pendant Light</t>
        </is>
      </c>
      <c r="G854" s="13" t="inlineStr">
        <is>
          <t>Consumer</t>
        </is>
      </c>
      <c r="H854" s="13" t="inlineStr">
        <is>
          <t>4</t>
        </is>
      </c>
      <c r="I854" s="14" t="inlineStr">
        <is>
          <t>176.57</t>
        </is>
      </c>
      <c r="J854" s="15" t="inlineStr">
        <is>
          <t>0.02</t>
        </is>
      </c>
      <c r="K854" s="14" t="inlineStr">
        <is>
          <t>88.28</t>
        </is>
      </c>
      <c r="L854" s="13" t="inlineStr">
        <is>
          <t>6</t>
        </is>
      </c>
      <c r="M854" s="13" t="inlineStr">
        <is>
          <t>Completed</t>
        </is>
      </c>
      <c r="N854" s="13" t="inlineStr">
        <is>
          <t>P. Rossi</t>
        </is>
      </c>
    </row>
    <row r="855">
      <c r="A855" s="13" t="inlineStr">
        <is>
          <t>HC-100853</t>
        </is>
      </c>
      <c r="B855" s="13" t="inlineStr">
        <is>
          <t>09-Apr-24</t>
        </is>
      </c>
      <c r="C855" s="13" t="inlineStr">
        <is>
          <t>West</t>
        </is>
      </c>
      <c r="D855" s="13" t="inlineStr">
        <is>
          <t>Online</t>
        </is>
      </c>
      <c r="E855" s="13" t="inlineStr">
        <is>
          <t>Furniture</t>
        </is>
      </c>
      <c r="F855" s="13" t="inlineStr">
        <is>
          <t>Linen Sofa</t>
        </is>
      </c>
      <c r="G855" s="13" t="inlineStr"/>
      <c r="H855" s="13" t="inlineStr">
        <is>
          <t>1</t>
        </is>
      </c>
      <c r="I855" s="14" t="inlineStr">
        <is>
          <t>1250.60</t>
        </is>
      </c>
      <c r="J855" s="15" t="inlineStr">
        <is>
          <t>0.05</t>
        </is>
      </c>
      <c r="K855" s="14" t="inlineStr">
        <is>
          <t>825.39</t>
        </is>
      </c>
      <c r="L855" s="13" t="inlineStr">
        <is>
          <t>7</t>
        </is>
      </c>
      <c r="M855" s="13" t="inlineStr">
        <is>
          <t>Completed</t>
        </is>
      </c>
      <c r="N855" s="13" t="inlineStr">
        <is>
          <t>S. Nguyen</t>
        </is>
      </c>
    </row>
    <row r="856">
      <c r="A856" s="13" t="inlineStr">
        <is>
          <t>HC-100854</t>
        </is>
      </c>
      <c r="B856" s="13" t="inlineStr">
        <is>
          <t>2025/09/20</t>
        </is>
      </c>
      <c r="C856" s="13" t="inlineStr">
        <is>
          <t>South</t>
        </is>
      </c>
      <c r="D856" s="13" t="inlineStr">
        <is>
          <t>Online</t>
        </is>
      </c>
      <c r="E856" s="13" t="inlineStr">
        <is>
          <t>Lighting</t>
        </is>
      </c>
      <c r="F856" s="13" t="inlineStr">
        <is>
          <t>Pendant Light</t>
        </is>
      </c>
      <c r="G856" s="13" t="inlineStr">
        <is>
          <t>corporate</t>
        </is>
      </c>
      <c r="H856" s="13" t="inlineStr">
        <is>
          <t>1</t>
        </is>
      </c>
      <c r="I856" s="14" t="inlineStr">
        <is>
          <t>188.37</t>
        </is>
      </c>
      <c r="J856" s="15" t="inlineStr">
        <is>
          <t>0.03</t>
        </is>
      </c>
      <c r="K856" s="14" t="inlineStr">
        <is>
          <t>94.18</t>
        </is>
      </c>
      <c r="L856" s="13" t="inlineStr">
        <is>
          <t>4</t>
        </is>
      </c>
      <c r="M856" s="13" t="inlineStr">
        <is>
          <t>Completed</t>
        </is>
      </c>
      <c r="N856" s="13" t="inlineStr">
        <is>
          <t>J. Patel</t>
        </is>
      </c>
    </row>
    <row r="857">
      <c r="A857" s="13" t="inlineStr">
        <is>
          <t>HC-100855</t>
        </is>
      </c>
      <c r="B857" s="13" t="inlineStr">
        <is>
          <t>11.09.2025</t>
        </is>
      </c>
      <c r="C857" s="13" t="inlineStr">
        <is>
          <t>West</t>
        </is>
      </c>
      <c r="D857" s="13" t="inlineStr">
        <is>
          <t>Online</t>
        </is>
      </c>
      <c r="E857" s="13" t="inlineStr">
        <is>
          <t>Kitchen</t>
        </is>
      </c>
      <c r="F857" s="13" t="inlineStr">
        <is>
          <t>Chef Knife</t>
        </is>
      </c>
      <c r="G857" s="13" t="inlineStr">
        <is>
          <t>Corporate</t>
        </is>
      </c>
      <c r="H857" s="13" t="inlineStr">
        <is>
          <t>2</t>
        </is>
      </c>
      <c r="I857" s="14" t="inlineStr">
        <is>
          <t>$59.04</t>
        </is>
      </c>
      <c r="J857" s="15" t="inlineStr">
        <is>
          <t>7%</t>
        </is>
      </c>
      <c r="K857" s="14" t="inlineStr">
        <is>
          <t>21.25</t>
        </is>
      </c>
      <c r="L857" s="13" t="inlineStr">
        <is>
          <t>3</t>
        </is>
      </c>
      <c r="M857" s="13" t="inlineStr">
        <is>
          <t>Returned</t>
        </is>
      </c>
      <c r="N857" s="13" t="inlineStr">
        <is>
          <t>K. Mensah</t>
        </is>
      </c>
    </row>
    <row r="858">
      <c r="A858" s="13" t="inlineStr">
        <is>
          <t>HC-100856</t>
        </is>
      </c>
      <c r="B858" s="13" t="inlineStr">
        <is>
          <t>06/07/2025</t>
        </is>
      </c>
      <c r="C858" s="13" t="inlineStr">
        <is>
          <t>South</t>
        </is>
      </c>
      <c r="D858" s="13" t="inlineStr">
        <is>
          <t>web</t>
        </is>
      </c>
      <c r="E858" s="13" t="inlineStr">
        <is>
          <t>Kitchen</t>
        </is>
      </c>
      <c r="F858" s="13" t="inlineStr">
        <is>
          <t>Chef Knife</t>
        </is>
      </c>
      <c r="G858" s="13" t="inlineStr">
        <is>
          <t>Corporate</t>
        </is>
      </c>
      <c r="H858" s="13" t="inlineStr">
        <is>
          <t>1</t>
        </is>
      </c>
      <c r="I858" s="14" t="inlineStr">
        <is>
          <t>$62.59</t>
        </is>
      </c>
      <c r="J858" s="15" t="inlineStr">
        <is>
          <t>0.04</t>
        </is>
      </c>
      <c r="K858" s="14" t="inlineStr">
        <is>
          <t>22.53</t>
        </is>
      </c>
      <c r="L858" s="13" t="inlineStr">
        <is>
          <t>6</t>
        </is>
      </c>
      <c r="M858" s="13" t="inlineStr">
        <is>
          <t>Completed</t>
        </is>
      </c>
      <c r="N858" s="13" t="inlineStr">
        <is>
          <t>P. Rossi</t>
        </is>
      </c>
    </row>
    <row r="859">
      <c r="A859" s="13" t="inlineStr">
        <is>
          <t>HC-100857</t>
        </is>
      </c>
      <c r="B859" s="13" t="inlineStr">
        <is>
          <t>07-Aug-24</t>
        </is>
      </c>
      <c r="C859" s="13" t="inlineStr">
        <is>
          <t>Sout</t>
        </is>
      </c>
      <c r="D859" s="13" t="inlineStr">
        <is>
          <t>Store</t>
        </is>
      </c>
      <c r="E859" s="13" t="inlineStr">
        <is>
          <t>Furniture</t>
        </is>
      </c>
      <c r="F859" s="13" t="inlineStr">
        <is>
          <t>Lounge Chair</t>
        </is>
      </c>
      <c r="G859" s="13" t="inlineStr">
        <is>
          <t>Consumer</t>
        </is>
      </c>
      <c r="H859" s="13" t="inlineStr">
        <is>
          <t>2</t>
        </is>
      </c>
      <c r="I859" s="14" t="inlineStr">
        <is>
          <t>512.25</t>
        </is>
      </c>
      <c r="J859" s="15" t="inlineStr">
        <is>
          <t>0.10</t>
        </is>
      </c>
      <c r="K859" s="14" t="inlineStr">
        <is>
          <t>307.35</t>
        </is>
      </c>
      <c r="L859" s="13" t="inlineStr">
        <is>
          <t>6</t>
        </is>
      </c>
      <c r="M859" s="13" t="inlineStr">
        <is>
          <t>Completed</t>
        </is>
      </c>
      <c r="N859" s="13" t="inlineStr">
        <is>
          <t>S. Nguyen</t>
        </is>
      </c>
    </row>
    <row r="860">
      <c r="A860" s="13" t="inlineStr">
        <is>
          <t>HC-100858</t>
        </is>
      </c>
      <c r="B860" s="13" t="inlineStr">
        <is>
          <t>2024/04/18</t>
        </is>
      </c>
      <c r="C860" s="13" t="inlineStr">
        <is>
          <t>South</t>
        </is>
      </c>
      <c r="D860" s="13" t="inlineStr">
        <is>
          <t>Online</t>
        </is>
      </c>
      <c r="E860" s="13" t="inlineStr">
        <is>
          <t>Furniture</t>
        </is>
      </c>
      <c r="F860" s="13" t="inlineStr">
        <is>
          <t>Lounge Chair</t>
        </is>
      </c>
      <c r="G860" s="13" t="inlineStr">
        <is>
          <t>Corporate</t>
        </is>
      </c>
      <c r="H860" s="13" t="inlineStr">
        <is>
          <t>3</t>
        </is>
      </c>
      <c r="I860" s="14" t="inlineStr">
        <is>
          <t>$496.78</t>
        </is>
      </c>
      <c r="J860" s="15" t="inlineStr">
        <is>
          <t>0.02</t>
        </is>
      </c>
      <c r="K860" s="14" t="inlineStr">
        <is>
          <t>298.07</t>
        </is>
      </c>
      <c r="L860" s="13" t="inlineStr">
        <is>
          <t>3</t>
        </is>
      </c>
      <c r="M860" s="13" t="inlineStr">
        <is>
          <t>Completed</t>
        </is>
      </c>
      <c r="N860" s="13" t="inlineStr">
        <is>
          <t>L. Berger</t>
        </is>
      </c>
    </row>
    <row r="861">
      <c r="A861" s="13" t="inlineStr">
        <is>
          <t>HC-100859</t>
        </is>
      </c>
      <c r="B861" s="13" t="inlineStr">
        <is>
          <t>20.11.2024</t>
        </is>
      </c>
      <c r="C861" s="13" t="inlineStr">
        <is>
          <t>West</t>
        </is>
      </c>
      <c r="D861" s="13" t="inlineStr">
        <is>
          <t>Online</t>
        </is>
      </c>
      <c r="E861" s="13" t="inlineStr">
        <is>
          <t>Textiles</t>
        </is>
      </c>
      <c r="F861" s="13" t="inlineStr">
        <is>
          <t>Wool Throw</t>
        </is>
      </c>
      <c r="G861" s="13" t="inlineStr">
        <is>
          <t>Consumer</t>
        </is>
      </c>
      <c r="H861" s="13" t="inlineStr">
        <is>
          <t>4</t>
        </is>
      </c>
      <c r="I861" s="14" t="inlineStr">
        <is>
          <t>72.14</t>
        </is>
      </c>
      <c r="J861" s="15" t="inlineStr">
        <is>
          <t>0.07</t>
        </is>
      </c>
      <c r="K861" s="14" t="inlineStr">
        <is>
          <t>30.30</t>
        </is>
      </c>
      <c r="L861" s="13" t="inlineStr">
        <is>
          <t>4</t>
        </is>
      </c>
      <c r="M861" s="13" t="inlineStr">
        <is>
          <t>Completed</t>
        </is>
      </c>
      <c r="N861" s="13" t="inlineStr">
        <is>
          <t>J. Patel</t>
        </is>
      </c>
    </row>
    <row r="862">
      <c r="A862" s="13" t="inlineStr">
        <is>
          <t>HC-100860</t>
        </is>
      </c>
      <c r="B862" s="13" t="inlineStr">
        <is>
          <t>11/19/2024</t>
        </is>
      </c>
      <c r="C862" s="13" t="inlineStr">
        <is>
          <t>South</t>
        </is>
      </c>
      <c r="D862" s="13" t="inlineStr">
        <is>
          <t>Store</t>
        </is>
      </c>
      <c r="E862" s="13" t="inlineStr">
        <is>
          <t>Furniture</t>
        </is>
      </c>
      <c r="F862" s="13" t="inlineStr">
        <is>
          <t>Walnut Shelf</t>
        </is>
      </c>
      <c r="G862" s="13" t="inlineStr">
        <is>
          <t>Consumer</t>
        </is>
      </c>
      <c r="H862" s="13" t="inlineStr">
        <is>
          <t>3</t>
        </is>
      </c>
      <c r="I862" s="14" t="inlineStr">
        <is>
          <t>237.27</t>
        </is>
      </c>
      <c r="J862" s="15" t="inlineStr">
        <is>
          <t>0.01</t>
        </is>
      </c>
      <c r="K862" s="14" t="inlineStr">
        <is>
          <t>130.50</t>
        </is>
      </c>
      <c r="L862" s="13" t="inlineStr">
        <is>
          <t>6</t>
        </is>
      </c>
      <c r="M862" s="13" t="inlineStr">
        <is>
          <t>complete</t>
        </is>
      </c>
      <c r="N862" s="13" t="inlineStr">
        <is>
          <t>P. Rossi</t>
        </is>
      </c>
    </row>
    <row r="863">
      <c r="A863" s="13" t="inlineStr">
        <is>
          <t>HC-100861</t>
        </is>
      </c>
      <c r="B863" s="13" t="inlineStr">
        <is>
          <t>11-Nov-24</t>
        </is>
      </c>
      <c r="C863" s="13" t="inlineStr">
        <is>
          <t>North</t>
        </is>
      </c>
      <c r="D863" s="13" t="inlineStr">
        <is>
          <t>Wholesale</t>
        </is>
      </c>
      <c r="E863" s="13" t="inlineStr">
        <is>
          <t>Lighting</t>
        </is>
      </c>
      <c r="F863" s="13" t="inlineStr">
        <is>
          <t>Brass Sconce</t>
        </is>
      </c>
      <c r="G863" s="13" t="inlineStr">
        <is>
          <t>Consumer</t>
        </is>
      </c>
      <c r="H863" s="13" t="inlineStr">
        <is>
          <t>14</t>
        </is>
      </c>
      <c r="I863" s="14" t="inlineStr">
        <is>
          <t>136.41</t>
        </is>
      </c>
      <c r="J863" s="15" t="inlineStr">
        <is>
          <t>0.30</t>
        </is>
      </c>
      <c r="K863" s="14" t="inlineStr">
        <is>
          <t>62.75</t>
        </is>
      </c>
      <c r="L863" s="13" t="inlineStr">
        <is>
          <t>5</t>
        </is>
      </c>
      <c r="M863" s="13" t="inlineStr">
        <is>
          <t>Canceled</t>
        </is>
      </c>
      <c r="N863" s="13" t="inlineStr">
        <is>
          <t>L. Berger</t>
        </is>
      </c>
    </row>
    <row r="864">
      <c r="A864" s="13" t="inlineStr">
        <is>
          <t>HC-100862</t>
        </is>
      </c>
      <c r="B864" s="13" t="inlineStr">
        <is>
          <t>2024/07/23</t>
        </is>
      </c>
      <c r="C864" s="13" t="inlineStr">
        <is>
          <t>South</t>
        </is>
      </c>
      <c r="D864" s="13" t="inlineStr">
        <is>
          <t>In-Store</t>
        </is>
      </c>
      <c r="E864" s="13" t="inlineStr">
        <is>
          <t>Furniture</t>
        </is>
      </c>
      <c r="F864" s="13" t="inlineStr">
        <is>
          <t>Oak Desk</t>
        </is>
      </c>
      <c r="G864" s="13" t="inlineStr">
        <is>
          <t>Consumer</t>
        </is>
      </c>
      <c r="H864" s="13" t="inlineStr">
        <is>
          <t>2</t>
        </is>
      </c>
      <c r="I864" s="14" t="inlineStr">
        <is>
          <t>800.70</t>
        </is>
      </c>
      <c r="J864" s="15" t="inlineStr">
        <is>
          <t>0.07</t>
        </is>
      </c>
      <c r="K864" s="14" t="inlineStr">
        <is>
          <t>496.43</t>
        </is>
      </c>
      <c r="L864" s="13" t="inlineStr">
        <is>
          <t>7</t>
        </is>
      </c>
      <c r="M864" s="13" t="inlineStr">
        <is>
          <t>Completed</t>
        </is>
      </c>
      <c r="N864" s="13" t="inlineStr">
        <is>
          <t>M. Okonkwo</t>
        </is>
      </c>
    </row>
    <row r="865">
      <c r="A865" s="13" t="inlineStr">
        <is>
          <t>HC-100863</t>
        </is>
      </c>
      <c r="B865" s="13" t="inlineStr">
        <is>
          <t>03.07.2024</t>
        </is>
      </c>
      <c r="C865" s="13" t="inlineStr">
        <is>
          <t>North</t>
        </is>
      </c>
      <c r="D865" s="13" t="inlineStr">
        <is>
          <t>Online</t>
        </is>
      </c>
      <c r="E865" s="13" t="inlineStr">
        <is>
          <t>Lighting</t>
        </is>
      </c>
      <c r="F865" s="13" t="inlineStr">
        <is>
          <t>Arc Lamp</t>
        </is>
      </c>
      <c r="G865" s="13" t="inlineStr">
        <is>
          <t>Corporate</t>
        </is>
      </c>
      <c r="H865" s="13" t="inlineStr">
        <is>
          <t>1</t>
        </is>
      </c>
      <c r="I865" s="14" t="inlineStr">
        <is>
          <t>308.76</t>
        </is>
      </c>
      <c r="J865" s="15" t="inlineStr">
        <is>
          <t>0.06</t>
        </is>
      </c>
      <c r="K865" s="14" t="inlineStr">
        <is>
          <t>148.21</t>
        </is>
      </c>
      <c r="L865" s="13" t="inlineStr">
        <is>
          <t>7</t>
        </is>
      </c>
      <c r="M865" s="13" t="inlineStr">
        <is>
          <t>Completed</t>
        </is>
      </c>
      <c r="N865" s="13" t="inlineStr">
        <is>
          <t>J. Patel</t>
        </is>
      </c>
    </row>
    <row r="866">
      <c r="A866" s="13" t="inlineStr">
        <is>
          <t>HC-100864</t>
        </is>
      </c>
      <c r="B866" s="13" t="inlineStr">
        <is>
          <t>08/02/2024</t>
        </is>
      </c>
      <c r="C866" s="13" t="inlineStr">
        <is>
          <t>West</t>
        </is>
      </c>
      <c r="D866" s="13" t="inlineStr">
        <is>
          <t>Online</t>
        </is>
      </c>
      <c r="E866" s="13" t="inlineStr">
        <is>
          <t>Lighting</t>
        </is>
      </c>
      <c r="F866" s="13" t="inlineStr">
        <is>
          <t>Pendant Light</t>
        </is>
      </c>
      <c r="G866" s="13" t="inlineStr">
        <is>
          <t>Consumer</t>
        </is>
      </c>
      <c r="H866" s="13" t="inlineStr">
        <is>
          <t>3</t>
        </is>
      </c>
      <c r="I866" s="14" t="inlineStr">
        <is>
          <t>166.18</t>
        </is>
      </c>
      <c r="J866" s="15" t="inlineStr">
        <is>
          <t>2%</t>
        </is>
      </c>
      <c r="K866" s="14" t="inlineStr">
        <is>
          <t>83.09</t>
        </is>
      </c>
      <c r="L866" s="13" t="inlineStr">
        <is>
          <t>1</t>
        </is>
      </c>
      <c r="M866" s="13" t="inlineStr">
        <is>
          <t>complete</t>
        </is>
      </c>
      <c r="N866" s="13" t="inlineStr">
        <is>
          <t>L. Berger</t>
        </is>
      </c>
    </row>
    <row r="867">
      <c r="A867" s="13" t="inlineStr">
        <is>
          <t>HC-100865</t>
        </is>
      </c>
      <c r="B867" s="13" t="inlineStr">
        <is>
          <t>18-Jun-24</t>
        </is>
      </c>
      <c r="C867" s="13" t="inlineStr">
        <is>
          <t>West</t>
        </is>
      </c>
      <c r="D867" s="13" t="inlineStr">
        <is>
          <t>Store</t>
        </is>
      </c>
      <c r="E867" s="13" t="inlineStr">
        <is>
          <t>Furniture</t>
        </is>
      </c>
      <c r="F867" s="13" t="inlineStr">
        <is>
          <t>Linen Sofa</t>
        </is>
      </c>
      <c r="G867" s="13" t="inlineStr">
        <is>
          <t>Consumer</t>
        </is>
      </c>
      <c r="H867" s="13" t="inlineStr">
        <is>
          <t>3</t>
        </is>
      </c>
      <c r="I867" s="14" t="inlineStr">
        <is>
          <t>1241.20</t>
        </is>
      </c>
      <c r="J867" s="15" t="inlineStr">
        <is>
          <t>0.08</t>
        </is>
      </c>
      <c r="K867" s="14" t="inlineStr">
        <is>
          <t>819.19</t>
        </is>
      </c>
      <c r="L867" s="13" t="inlineStr">
        <is>
          <t>6</t>
        </is>
      </c>
      <c r="M867" s="13" t="inlineStr">
        <is>
          <t>Completed</t>
        </is>
      </c>
      <c r="N867" s="13" t="inlineStr">
        <is>
          <t>A. Shah</t>
        </is>
      </c>
    </row>
    <row r="868">
      <c r="A868" s="13" t="inlineStr">
        <is>
          <t>HC-100866</t>
        </is>
      </c>
      <c r="B868" s="13" t="inlineStr">
        <is>
          <t>2024/06/03</t>
        </is>
      </c>
      <c r="C868" s="13" t="inlineStr">
        <is>
          <t>West</t>
        </is>
      </c>
      <c r="D868" s="13" t="inlineStr">
        <is>
          <t>retail</t>
        </is>
      </c>
      <c r="E868" s="13" t="inlineStr">
        <is>
          <t>KITCHEN</t>
        </is>
      </c>
      <c r="F868" s="13" t="inlineStr">
        <is>
          <t>Ceramic Set</t>
        </is>
      </c>
      <c r="G868" s="13" t="inlineStr">
        <is>
          <t>Consumer</t>
        </is>
      </c>
      <c r="H868" s="13" t="inlineStr">
        <is>
          <t>2</t>
        </is>
      </c>
      <c r="I868" s="14" t="inlineStr">
        <is>
          <t>91.55</t>
        </is>
      </c>
      <c r="J868" s="15" t="inlineStr">
        <is>
          <t>0.05</t>
        </is>
      </c>
      <c r="K868" s="14" t="inlineStr">
        <is>
          <t>34.79</t>
        </is>
      </c>
      <c r="L868" s="13" t="inlineStr">
        <is>
          <t>2</t>
        </is>
      </c>
      <c r="M868" s="13" t="inlineStr">
        <is>
          <t>Completed</t>
        </is>
      </c>
      <c r="N868" s="13" t="inlineStr">
        <is>
          <t>A. Shah</t>
        </is>
      </c>
    </row>
    <row r="869">
      <c r="A869" s="13" t="inlineStr">
        <is>
          <t>HC-100867</t>
        </is>
      </c>
      <c r="B869" s="13" t="inlineStr">
        <is>
          <t>23.01.2024</t>
        </is>
      </c>
      <c r="C869" s="13" t="inlineStr">
        <is>
          <t>south</t>
        </is>
      </c>
      <c r="D869" s="13" t="inlineStr">
        <is>
          <t>Store</t>
        </is>
      </c>
      <c r="E869" s="13" t="inlineStr">
        <is>
          <t>Textiles</t>
        </is>
      </c>
      <c r="F869" s="13" t="inlineStr">
        <is>
          <t>Cotton Duvet</t>
        </is>
      </c>
      <c r="G869" s="13" t="inlineStr">
        <is>
          <t>Consumer</t>
        </is>
      </c>
      <c r="H869" s="13" t="inlineStr">
        <is>
          <t>4</t>
        </is>
      </c>
      <c r="I869" s="14" t="inlineStr">
        <is>
          <t>128.01</t>
        </is>
      </c>
      <c r="J869" s="15" t="inlineStr">
        <is>
          <t>0.01</t>
        </is>
      </c>
      <c r="K869" s="14" t="inlineStr">
        <is>
          <t>56.33</t>
        </is>
      </c>
      <c r="L869" s="13" t="inlineStr">
        <is>
          <t>4</t>
        </is>
      </c>
      <c r="M869" s="13" t="inlineStr">
        <is>
          <t>Completed</t>
        </is>
      </c>
      <c r="N869" s="13" t="inlineStr">
        <is>
          <t>A. Shah</t>
        </is>
      </c>
    </row>
    <row r="870">
      <c r="A870" s="13" t="inlineStr">
        <is>
          <t>HC-100868</t>
        </is>
      </c>
      <c r="B870" s="13" t="inlineStr">
        <is>
          <t>01/09/2025</t>
        </is>
      </c>
      <c r="C870" s="13" t="inlineStr">
        <is>
          <t>West</t>
        </is>
      </c>
      <c r="D870" s="13" t="inlineStr">
        <is>
          <t>retail</t>
        </is>
      </c>
      <c r="E870" s="13" t="inlineStr">
        <is>
          <t>Furniture</t>
        </is>
      </c>
      <c r="F870" s="13" t="inlineStr">
        <is>
          <t>Oak Desk</t>
        </is>
      </c>
      <c r="G870" s="13" t="inlineStr">
        <is>
          <t>Consumer</t>
        </is>
      </c>
      <c r="H870" s="13" t="inlineStr">
        <is>
          <t>1</t>
        </is>
      </c>
      <c r="I870" s="14" t="inlineStr">
        <is>
          <t>786.25</t>
        </is>
      </c>
      <c r="J870" s="15" t="inlineStr">
        <is>
          <t>0.03</t>
        </is>
      </c>
      <c r="K870" s="14" t="inlineStr">
        <is>
          <t>487.48</t>
        </is>
      </c>
      <c r="L870" s="13" t="inlineStr">
        <is>
          <t>7</t>
        </is>
      </c>
      <c r="M870" s="13" t="inlineStr">
        <is>
          <t>Completed</t>
        </is>
      </c>
      <c r="N870" s="13" t="inlineStr">
        <is>
          <t>J. Patel</t>
        </is>
      </c>
    </row>
    <row r="871">
      <c r="A871" s="13" t="inlineStr">
        <is>
          <t>HC-100869</t>
        </is>
      </c>
      <c r="B871" s="13" t="inlineStr">
        <is>
          <t>14-Aug-24</t>
        </is>
      </c>
      <c r="C871" s="13" t="inlineStr">
        <is>
          <t>West</t>
        </is>
      </c>
      <c r="D871" s="13" t="inlineStr">
        <is>
          <t>Online</t>
        </is>
      </c>
      <c r="E871" s="13" t="inlineStr">
        <is>
          <t>Furniture</t>
        </is>
      </c>
      <c r="F871" s="13" t="inlineStr">
        <is>
          <t>Walnut Shelf</t>
        </is>
      </c>
      <c r="G871" s="13" t="inlineStr">
        <is>
          <t>Consumer</t>
        </is>
      </c>
      <c r="H871" s="13" t="inlineStr">
        <is>
          <t>2</t>
        </is>
      </c>
      <c r="I871" s="14" t="inlineStr">
        <is>
          <t>218.81</t>
        </is>
      </c>
      <c r="J871" s="15" t="inlineStr">
        <is>
          <t>0.07</t>
        </is>
      </c>
      <c r="K871" s="14" t="inlineStr">
        <is>
          <t>120.35</t>
        </is>
      </c>
      <c r="L871" s="13" t="inlineStr">
        <is>
          <t>4</t>
        </is>
      </c>
      <c r="M871" s="13" t="inlineStr">
        <is>
          <t>Completed</t>
        </is>
      </c>
      <c r="N871" s="13" t="inlineStr">
        <is>
          <t>L. Berger</t>
        </is>
      </c>
    </row>
    <row r="872">
      <c r="A872" s="13" t="inlineStr">
        <is>
          <t>HC-100870</t>
        </is>
      </c>
      <c r="B872" s="13" t="inlineStr">
        <is>
          <t>2025/04/03</t>
        </is>
      </c>
      <c r="C872" s="13" t="inlineStr">
        <is>
          <t>north</t>
        </is>
      </c>
      <c r="D872" s="13" t="inlineStr">
        <is>
          <t>Online</t>
        </is>
      </c>
      <c r="E872" s="13" t="inlineStr">
        <is>
          <t>Lighting</t>
        </is>
      </c>
      <c r="F872" s="13" t="inlineStr">
        <is>
          <t>Pendant Light</t>
        </is>
      </c>
      <c r="G872" s="13" t="inlineStr"/>
      <c r="H872" s="13" t="inlineStr">
        <is>
          <t>2</t>
        </is>
      </c>
      <c r="I872" s="14" t="inlineStr">
        <is>
          <t>188.53</t>
        </is>
      </c>
      <c r="J872" s="15" t="inlineStr">
        <is>
          <t>0.13</t>
        </is>
      </c>
      <c r="K872" s="14" t="inlineStr">
        <is>
          <t>94.27</t>
        </is>
      </c>
      <c r="L872" s="13" t="inlineStr">
        <is>
          <t>3</t>
        </is>
      </c>
      <c r="M872" s="13" t="inlineStr">
        <is>
          <t>Completed</t>
        </is>
      </c>
      <c r="N872" s="13" t="inlineStr">
        <is>
          <t>K. Mensah</t>
        </is>
      </c>
    </row>
    <row r="873">
      <c r="A873" s="13" t="inlineStr">
        <is>
          <t>HC-100871</t>
        </is>
      </c>
      <c r="B873" s="13" t="inlineStr">
        <is>
          <t>09.07.2025</t>
        </is>
      </c>
      <c r="C873" s="13" t="inlineStr">
        <is>
          <t>South</t>
        </is>
      </c>
      <c r="D873" s="13" t="inlineStr">
        <is>
          <t>Online</t>
        </is>
      </c>
      <c r="E873" s="13" t="inlineStr">
        <is>
          <t>Textiles</t>
        </is>
      </c>
      <c r="F873" s="13" t="inlineStr">
        <is>
          <t>Cotton Duvet</t>
        </is>
      </c>
      <c r="G873" s="13" t="inlineStr">
        <is>
          <t>Consumer</t>
        </is>
      </c>
      <c r="H873" s="13" t="inlineStr">
        <is>
          <t>1</t>
        </is>
      </c>
      <c r="I873" s="14" t="inlineStr">
        <is>
          <t>123.16</t>
        </is>
      </c>
      <c r="J873" s="15" t="inlineStr">
        <is>
          <t>0.13</t>
        </is>
      </c>
      <c r="K873" s="14" t="inlineStr">
        <is>
          <t>54.19</t>
        </is>
      </c>
      <c r="L873" s="13" t="inlineStr">
        <is>
          <t>7</t>
        </is>
      </c>
      <c r="M873" s="13" t="inlineStr">
        <is>
          <t>Completed</t>
        </is>
      </c>
      <c r="N873" s="13" t="inlineStr">
        <is>
          <t>A. Shah</t>
        </is>
      </c>
    </row>
    <row r="874">
      <c r="A874" s="13" t="inlineStr">
        <is>
          <t>HC-100872</t>
        </is>
      </c>
      <c r="B874" s="13" t="inlineStr">
        <is>
          <t>08/22/2024</t>
        </is>
      </c>
      <c r="C874" s="13" t="inlineStr">
        <is>
          <t>North</t>
        </is>
      </c>
      <c r="D874" s="13" t="inlineStr">
        <is>
          <t>Wholesale</t>
        </is>
      </c>
      <c r="E874" s="13" t="inlineStr">
        <is>
          <t>Furniture</t>
        </is>
      </c>
      <c r="F874" s="13" t="inlineStr">
        <is>
          <t>Linen Sofa</t>
        </is>
      </c>
      <c r="G874" s="13" t="inlineStr">
        <is>
          <t>consumer</t>
        </is>
      </c>
      <c r="H874" s="13" t="inlineStr">
        <is>
          <t>13</t>
        </is>
      </c>
      <c r="I874" s="14" t="inlineStr">
        <is>
          <t>1176.84</t>
        </is>
      </c>
      <c r="J874" s="15" t="inlineStr">
        <is>
          <t>0.20</t>
        </is>
      </c>
      <c r="K874" s="14" t="inlineStr">
        <is>
          <t>776.72</t>
        </is>
      </c>
      <c r="L874" s="13" t="inlineStr">
        <is>
          <t>5</t>
        </is>
      </c>
      <c r="M874" s="13" t="inlineStr">
        <is>
          <t>Compleated</t>
        </is>
      </c>
      <c r="N874" s="13" t="inlineStr">
        <is>
          <t>S. Nguyen</t>
        </is>
      </c>
    </row>
    <row r="875">
      <c r="A875" s="13" t="inlineStr">
        <is>
          <t>HC-100873</t>
        </is>
      </c>
      <c r="B875" s="13" t="inlineStr">
        <is>
          <t>27-Apr-25</t>
        </is>
      </c>
      <c r="C875" s="13" t="inlineStr">
        <is>
          <t>West</t>
        </is>
      </c>
      <c r="D875" s="13" t="inlineStr">
        <is>
          <t>e-commerce</t>
        </is>
      </c>
      <c r="E875" s="13" t="inlineStr">
        <is>
          <t>Textiles</t>
        </is>
      </c>
      <c r="F875" s="13" t="inlineStr">
        <is>
          <t>Wool Throw</t>
        </is>
      </c>
      <c r="G875" s="13" t="inlineStr">
        <is>
          <t>Corporate</t>
        </is>
      </c>
      <c r="H875" s="13" t="inlineStr">
        <is>
          <t>3</t>
        </is>
      </c>
      <c r="I875" s="14" t="inlineStr">
        <is>
          <t>70.50</t>
        </is>
      </c>
      <c r="J875" s="15" t="inlineStr">
        <is>
          <t>0.12</t>
        </is>
      </c>
      <c r="K875" s="14" t="inlineStr">
        <is>
          <t>29.61</t>
        </is>
      </c>
      <c r="L875" s="13" t="inlineStr">
        <is>
          <t>7</t>
        </is>
      </c>
      <c r="M875" s="13" t="inlineStr">
        <is>
          <t>Completed</t>
        </is>
      </c>
      <c r="N875" s="13" t="inlineStr">
        <is>
          <t>M. Okonkwo</t>
        </is>
      </c>
    </row>
    <row r="876">
      <c r="A876" s="13" t="inlineStr">
        <is>
          <t>HC-100874</t>
        </is>
      </c>
      <c r="B876" s="13" t="inlineStr">
        <is>
          <t>2025/04/29</t>
        </is>
      </c>
      <c r="C876" s="13" t="inlineStr">
        <is>
          <t>North</t>
        </is>
      </c>
      <c r="D876" s="13" t="inlineStr">
        <is>
          <t>Online</t>
        </is>
      </c>
      <c r="E876" s="13" t="inlineStr">
        <is>
          <t>Textiles</t>
        </is>
      </c>
      <c r="F876" s="13" t="inlineStr">
        <is>
          <t>Wool Throw</t>
        </is>
      </c>
      <c r="G876" s="13" t="inlineStr">
        <is>
          <t>Consumer</t>
        </is>
      </c>
      <c r="H876" s="13" t="inlineStr">
        <is>
          <t>3</t>
        </is>
      </c>
      <c r="I876" s="14" t="inlineStr">
        <is>
          <t>78.73</t>
        </is>
      </c>
      <c r="J876" s="15" t="inlineStr">
        <is>
          <t>0.06</t>
        </is>
      </c>
      <c r="K876" s="14" t="inlineStr">
        <is>
          <t>33.07</t>
        </is>
      </c>
      <c r="L876" s="13" t="inlineStr">
        <is>
          <t>6</t>
        </is>
      </c>
      <c r="M876" s="13" t="inlineStr">
        <is>
          <t>Completed</t>
        </is>
      </c>
      <c r="N876" s="13" t="inlineStr">
        <is>
          <t>P. Rossi</t>
        </is>
      </c>
    </row>
    <row r="877">
      <c r="A877" s="13" t="inlineStr">
        <is>
          <t>HC-100875</t>
        </is>
      </c>
      <c r="B877" s="13" t="inlineStr">
        <is>
          <t>30.06.2024</t>
        </is>
      </c>
      <c r="C877" s="13" t="inlineStr">
        <is>
          <t>SOUTH</t>
        </is>
      </c>
      <c r="D877" s="13" t="inlineStr">
        <is>
          <t>Store</t>
        </is>
      </c>
      <c r="E877" s="13" t="inlineStr">
        <is>
          <t>Furniture</t>
        </is>
      </c>
      <c r="F877" s="13" t="inlineStr">
        <is>
          <t>Lounge Chair</t>
        </is>
      </c>
      <c r="G877" s="13" t="inlineStr">
        <is>
          <t>Consumer</t>
        </is>
      </c>
      <c r="H877" s="13" t="inlineStr">
        <is>
          <t>3</t>
        </is>
      </c>
      <c r="I877" s="14" t="inlineStr">
        <is>
          <t>441.99</t>
        </is>
      </c>
      <c r="J877" s="15" t="inlineStr">
        <is>
          <t>0.01</t>
        </is>
      </c>
      <c r="K877" s="14" t="inlineStr">
        <is>
          <t>265.19</t>
        </is>
      </c>
      <c r="L877" s="13" t="inlineStr">
        <is>
          <t>4</t>
        </is>
      </c>
      <c r="M877" s="13" t="inlineStr">
        <is>
          <t>Completed</t>
        </is>
      </c>
      <c r="N877" s="13" t="inlineStr">
        <is>
          <t>A. Shah</t>
        </is>
      </c>
    </row>
    <row r="878">
      <c r="A878" s="13" t="inlineStr">
        <is>
          <t>HC-100876</t>
        </is>
      </c>
      <c r="B878" s="13" t="inlineStr">
        <is>
          <t>02/10/2024</t>
        </is>
      </c>
      <c r="C878" s="13" t="inlineStr">
        <is>
          <t>west</t>
        </is>
      </c>
      <c r="D878" s="13" t="inlineStr">
        <is>
          <t>Online</t>
        </is>
      </c>
      <c r="E878" s="13" t="inlineStr">
        <is>
          <t>Kitchen</t>
        </is>
      </c>
      <c r="F878" s="13" t="inlineStr">
        <is>
          <t>Chef Knife</t>
        </is>
      </c>
      <c r="G878" s="13" t="inlineStr">
        <is>
          <t>Consumer</t>
        </is>
      </c>
      <c r="H878" s="13" t="inlineStr">
        <is>
          <t>3</t>
        </is>
      </c>
      <c r="I878" s="14" t="inlineStr">
        <is>
          <t>$65.90</t>
        </is>
      </c>
      <c r="J878" s="15" t="inlineStr">
        <is>
          <t>0.11</t>
        </is>
      </c>
      <c r="K878" s="14" t="inlineStr">
        <is>
          <t>23.73</t>
        </is>
      </c>
      <c r="L878" s="13" t="inlineStr">
        <is>
          <t>5</t>
        </is>
      </c>
      <c r="M878" s="13" t="inlineStr">
        <is>
          <t>Completed</t>
        </is>
      </c>
      <c r="N878" s="13" t="inlineStr">
        <is>
          <t>K. Mensah</t>
        </is>
      </c>
    </row>
    <row r="879">
      <c r="A879" s="13" t="inlineStr">
        <is>
          <t>HC-100877</t>
        </is>
      </c>
      <c r="B879" s="13" t="inlineStr">
        <is>
          <t>28-Oct-24</t>
        </is>
      </c>
      <c r="C879" s="13" t="inlineStr">
        <is>
          <t>North</t>
        </is>
      </c>
      <c r="D879" s="13" t="inlineStr">
        <is>
          <t>Online</t>
        </is>
      </c>
      <c r="E879" s="13" t="inlineStr">
        <is>
          <t>Furniture</t>
        </is>
      </c>
      <c r="F879" s="13" t="inlineStr">
        <is>
          <t>Oak Desk</t>
        </is>
      </c>
      <c r="G879" s="13" t="inlineStr">
        <is>
          <t>corporate</t>
        </is>
      </c>
      <c r="H879" s="13" t="inlineStr">
        <is>
          <t>2</t>
        </is>
      </c>
      <c r="I879" s="14" t="inlineStr">
        <is>
          <t>777.29</t>
        </is>
      </c>
      <c r="J879" s="15" t="inlineStr">
        <is>
          <t>0.13</t>
        </is>
      </c>
      <c r="K879" s="14" t="inlineStr">
        <is>
          <t>481.92</t>
        </is>
      </c>
      <c r="L879" s="13" t="inlineStr">
        <is>
          <t>4</t>
        </is>
      </c>
      <c r="M879" s="13" t="inlineStr">
        <is>
          <t>Completed</t>
        </is>
      </c>
      <c r="N879" s="13" t="inlineStr">
        <is>
          <t>P. Rossi</t>
        </is>
      </c>
    </row>
    <row r="880">
      <c r="A880" s="13" t="inlineStr">
        <is>
          <t>HC-100878</t>
        </is>
      </c>
      <c r="B880" s="13" t="inlineStr">
        <is>
          <t>2025/07/11</t>
        </is>
      </c>
      <c r="C880" s="13" t="inlineStr">
        <is>
          <t>North</t>
        </is>
      </c>
      <c r="D880" s="13" t="inlineStr">
        <is>
          <t>Online</t>
        </is>
      </c>
      <c r="E880" s="13" t="inlineStr">
        <is>
          <t>Textiles</t>
        </is>
      </c>
      <c r="F880" s="13" t="inlineStr">
        <is>
          <t>Wool Throw</t>
        </is>
      </c>
      <c r="G880" s="13" t="inlineStr">
        <is>
          <t>Consumer</t>
        </is>
      </c>
      <c r="H880" s="13" t="inlineStr">
        <is>
          <t>1</t>
        </is>
      </c>
      <c r="I880" s="14" t="inlineStr">
        <is>
          <t>79.59</t>
        </is>
      </c>
      <c r="J880" s="15" t="inlineStr">
        <is>
          <t>0.06</t>
        </is>
      </c>
      <c r="K880" s="14" t="inlineStr">
        <is>
          <t>33.43</t>
        </is>
      </c>
      <c r="L880" s="13" t="inlineStr">
        <is>
          <t>5</t>
        </is>
      </c>
      <c r="M880" s="13" t="inlineStr">
        <is>
          <t>Completed</t>
        </is>
      </c>
      <c r="N880" s="13" t="inlineStr">
        <is>
          <t>K. Mensah</t>
        </is>
      </c>
    </row>
    <row r="881">
      <c r="A881" s="13" t="inlineStr">
        <is>
          <t>HC-100879</t>
        </is>
      </c>
      <c r="B881" s="13" t="inlineStr">
        <is>
          <t>02.12.2024</t>
        </is>
      </c>
      <c r="C881" s="13" t="inlineStr">
        <is>
          <t>West</t>
        </is>
      </c>
      <c r="D881" s="13" t="inlineStr">
        <is>
          <t>Online</t>
        </is>
      </c>
      <c r="E881" s="13" t="inlineStr">
        <is>
          <t>Furniture</t>
        </is>
      </c>
      <c r="F881" s="13" t="inlineStr">
        <is>
          <t>Walnut Shelf</t>
        </is>
      </c>
      <c r="G881" s="13" t="inlineStr"/>
      <c r="H881" s="13" t="inlineStr">
        <is>
          <t>4</t>
        </is>
      </c>
      <c r="I881" s="14" t="inlineStr">
        <is>
          <t>203.23</t>
        </is>
      </c>
      <c r="J881" s="15" t="inlineStr">
        <is>
          <t>0.17</t>
        </is>
      </c>
      <c r="K881" s="14" t="inlineStr">
        <is>
          <t>111.78</t>
        </is>
      </c>
      <c r="L881" s="13" t="inlineStr">
        <is>
          <t>5</t>
        </is>
      </c>
      <c r="M881" s="13" t="inlineStr">
        <is>
          <t>Completed</t>
        </is>
      </c>
      <c r="N881" s="13" t="inlineStr">
        <is>
          <t>P. Rossi</t>
        </is>
      </c>
    </row>
    <row r="882">
      <c r="A882" s="13" t="inlineStr">
        <is>
          <t>HC-100880</t>
        </is>
      </c>
      <c r="B882" s="13" t="inlineStr">
        <is>
          <t>11/05/2024</t>
        </is>
      </c>
      <c r="C882" s="13" t="inlineStr">
        <is>
          <t>North</t>
        </is>
      </c>
      <c r="D882" s="13" t="inlineStr">
        <is>
          <t>Store</t>
        </is>
      </c>
      <c r="E882" s="13" t="inlineStr">
        <is>
          <t>Textiles</t>
        </is>
      </c>
      <c r="F882" s="13" t="inlineStr">
        <is>
          <t>Wool Throw</t>
        </is>
      </c>
      <c r="G882" s="13" t="inlineStr">
        <is>
          <t>Consumer</t>
        </is>
      </c>
      <c r="H882" s="13" t="inlineStr">
        <is>
          <t>4</t>
        </is>
      </c>
      <c r="I882" s="14" t="inlineStr">
        <is>
          <t>78.68</t>
        </is>
      </c>
      <c r="J882" s="15" t="inlineStr">
        <is>
          <t>0.06</t>
        </is>
      </c>
      <c r="K882" s="14" t="inlineStr">
        <is>
          <t>33.05</t>
        </is>
      </c>
      <c r="L882" s="13" t="inlineStr">
        <is>
          <t>5</t>
        </is>
      </c>
      <c r="M882" s="13" t="inlineStr">
        <is>
          <t>Completed</t>
        </is>
      </c>
      <c r="N882" s="13" t="inlineStr">
        <is>
          <t>R. Ibarra</t>
        </is>
      </c>
    </row>
    <row r="883">
      <c r="A883" s="13" t="inlineStr">
        <is>
          <t>HC-100881</t>
        </is>
      </c>
      <c r="B883" s="13" t="inlineStr">
        <is>
          <t>14-May-25</t>
        </is>
      </c>
      <c r="C883" s="13" t="inlineStr">
        <is>
          <t>South</t>
        </is>
      </c>
      <c r="D883" s="13" t="inlineStr">
        <is>
          <t>Store</t>
        </is>
      </c>
      <c r="E883" s="13" t="inlineStr">
        <is>
          <t>Textiles</t>
        </is>
      </c>
      <c r="F883" s="13" t="inlineStr">
        <is>
          <t>Cotton Duvet</t>
        </is>
      </c>
      <c r="G883" s="13" t="inlineStr">
        <is>
          <t>Consumer</t>
        </is>
      </c>
      <c r="H883" s="13" t="inlineStr">
        <is>
          <t>3</t>
        </is>
      </c>
      <c r="I883" s="14" t="inlineStr">
        <is>
          <t>120.02</t>
        </is>
      </c>
      <c r="J883" s="15" t="inlineStr">
        <is>
          <t>0.11</t>
        </is>
      </c>
      <c r="K883" s="14" t="inlineStr">
        <is>
          <t>52.81</t>
        </is>
      </c>
      <c r="L883" s="13" t="inlineStr">
        <is>
          <t>7</t>
        </is>
      </c>
      <c r="M883" s="13" t="inlineStr">
        <is>
          <t>Completed</t>
        </is>
      </c>
      <c r="N883" s="13" t="inlineStr">
        <is>
          <t>S. Nguyen</t>
        </is>
      </c>
    </row>
    <row r="884">
      <c r="A884" s="13" t="inlineStr">
        <is>
          <t>HC-100882</t>
        </is>
      </c>
      <c r="B884" s="13" t="inlineStr">
        <is>
          <t>2025/07/03</t>
        </is>
      </c>
      <c r="C884" s="13" t="inlineStr">
        <is>
          <t xml:space="preserve"> west </t>
        </is>
      </c>
      <c r="D884" s="13" t="inlineStr">
        <is>
          <t>Wholesale</t>
        </is>
      </c>
      <c r="E884" s="13" t="inlineStr">
        <is>
          <t>Kitchen</t>
        </is>
      </c>
      <c r="F884" s="13" t="inlineStr">
        <is>
          <t>Ceramic Set</t>
        </is>
      </c>
      <c r="G884" s="13" t="inlineStr">
        <is>
          <t>Corporate</t>
        </is>
      </c>
      <c r="H884" s="13" t="inlineStr">
        <is>
          <t>21</t>
        </is>
      </c>
      <c r="I884" s="14" t="inlineStr">
        <is>
          <t>88.63</t>
        </is>
      </c>
      <c r="J884" s="15" t="inlineStr">
        <is>
          <t>0.16</t>
        </is>
      </c>
      <c r="K884" s="14" t="inlineStr">
        <is>
          <t>33.68</t>
        </is>
      </c>
      <c r="L884" s="13" t="inlineStr">
        <is>
          <t>7</t>
        </is>
      </c>
      <c r="M884" s="13" t="inlineStr">
        <is>
          <t>Completed</t>
        </is>
      </c>
      <c r="N884" s="13" t="inlineStr">
        <is>
          <t>A. Shah</t>
        </is>
      </c>
    </row>
    <row r="885">
      <c r="A885" s="13" t="inlineStr">
        <is>
          <t>HC-100883</t>
        </is>
      </c>
      <c r="B885" s="13" t="inlineStr">
        <is>
          <t>14.06.2025</t>
        </is>
      </c>
      <c r="C885" s="13" t="inlineStr">
        <is>
          <t>West</t>
        </is>
      </c>
      <c r="D885" s="13" t="inlineStr">
        <is>
          <t>Store</t>
        </is>
      </c>
      <c r="E885" s="13" t="inlineStr">
        <is>
          <t>Furniture</t>
        </is>
      </c>
      <c r="F885" s="13" t="inlineStr">
        <is>
          <t>Oak Desk</t>
        </is>
      </c>
      <c r="G885" s="13" t="inlineStr">
        <is>
          <t>Consumer</t>
        </is>
      </c>
      <c r="H885" s="13" t="inlineStr">
        <is>
          <t>3</t>
        </is>
      </c>
      <c r="I885" s="14" t="inlineStr">
        <is>
          <t>812.70</t>
        </is>
      </c>
      <c r="J885" s="15" t="inlineStr">
        <is>
          <t>0.06</t>
        </is>
      </c>
      <c r="K885" s="14" t="inlineStr">
        <is>
          <t>503.87</t>
        </is>
      </c>
      <c r="L885" s="13" t="inlineStr">
        <is>
          <t>2</t>
        </is>
      </c>
      <c r="M885" s="13" t="inlineStr">
        <is>
          <t>Completed</t>
        </is>
      </c>
      <c r="N885" s="13" t="inlineStr">
        <is>
          <t>S. Nguyen</t>
        </is>
      </c>
    </row>
    <row r="886">
      <c r="A886" s="13" t="inlineStr">
        <is>
          <t>HC-100884</t>
        </is>
      </c>
      <c r="B886" s="13" t="inlineStr">
        <is>
          <t>06/01/2024</t>
        </is>
      </c>
      <c r="C886" s="13" t="inlineStr">
        <is>
          <t>East</t>
        </is>
      </c>
      <c r="D886" s="13" t="inlineStr">
        <is>
          <t>Online</t>
        </is>
      </c>
      <c r="E886" s="13" t="inlineStr">
        <is>
          <t>Lighting</t>
        </is>
      </c>
      <c r="F886" s="13" t="inlineStr">
        <is>
          <t>Brass Sconce</t>
        </is>
      </c>
      <c r="G886" s="13" t="inlineStr"/>
      <c r="H886" s="13" t="inlineStr">
        <is>
          <t>1</t>
        </is>
      </c>
      <c r="I886" s="14" t="inlineStr">
        <is>
          <t>116.21</t>
        </is>
      </c>
      <c r="J886" s="15" t="inlineStr">
        <is>
          <t>0.06</t>
        </is>
      </c>
      <c r="K886" s="14" t="inlineStr">
        <is>
          <t>53.46</t>
        </is>
      </c>
      <c r="L886" s="13" t="inlineStr">
        <is>
          <t>5</t>
        </is>
      </c>
      <c r="M886" s="13" t="inlineStr">
        <is>
          <t>complete</t>
        </is>
      </c>
      <c r="N886" s="13" t="inlineStr">
        <is>
          <t>S. Nguyen</t>
        </is>
      </c>
    </row>
    <row r="887">
      <c r="A887" s="13" t="inlineStr">
        <is>
          <t>HC-100885</t>
        </is>
      </c>
      <c r="B887" s="13" t="inlineStr">
        <is>
          <t>21-Sep-25</t>
        </is>
      </c>
      <c r="C887" s="13" t="inlineStr">
        <is>
          <t>North</t>
        </is>
      </c>
      <c r="D887" s="13" t="inlineStr">
        <is>
          <t>Wholesale</t>
        </is>
      </c>
      <c r="E887" s="13" t="inlineStr">
        <is>
          <t>Furniture</t>
        </is>
      </c>
      <c r="F887" s="13" t="inlineStr">
        <is>
          <t>Lounge Chair</t>
        </is>
      </c>
      <c r="G887" s="13" t="inlineStr"/>
      <c r="H887" s="13" t="inlineStr">
        <is>
          <t>17</t>
        </is>
      </c>
      <c r="I887" s="14" t="inlineStr">
        <is>
          <t>470.06</t>
        </is>
      </c>
      <c r="J887" s="15" t="inlineStr">
        <is>
          <t>0.31</t>
        </is>
      </c>
      <c r="K887" s="14" t="inlineStr">
        <is>
          <t>282.03</t>
        </is>
      </c>
      <c r="L887" s="13" t="inlineStr">
        <is>
          <t>4</t>
        </is>
      </c>
      <c r="M887" s="13" t="inlineStr">
        <is>
          <t>Completed</t>
        </is>
      </c>
      <c r="N887" s="13" t="inlineStr">
        <is>
          <t>J. Patel</t>
        </is>
      </c>
    </row>
    <row r="888">
      <c r="A888" s="13" t="inlineStr">
        <is>
          <t>HC-100886</t>
        </is>
      </c>
      <c r="B888" s="13" t="inlineStr">
        <is>
          <t>2025/07/12</t>
        </is>
      </c>
      <c r="C888" s="13" t="inlineStr">
        <is>
          <t>North</t>
        </is>
      </c>
      <c r="D888" s="13" t="inlineStr">
        <is>
          <t>e-commerce</t>
        </is>
      </c>
      <c r="E888" s="13" t="inlineStr">
        <is>
          <t>Kitchen</t>
        </is>
      </c>
      <c r="F888" s="13" t="inlineStr">
        <is>
          <t>Cast Skillet</t>
        </is>
      </c>
      <c r="G888" s="13" t="inlineStr">
        <is>
          <t>Corporate</t>
        </is>
      </c>
      <c r="H888" s="13" t="inlineStr">
        <is>
          <t>3</t>
        </is>
      </c>
      <c r="I888" s="14" t="inlineStr">
        <is>
          <t>54.98</t>
        </is>
      </c>
      <c r="J888" s="15" t="inlineStr">
        <is>
          <t>0.04</t>
        </is>
      </c>
      <c r="K888" s="14" t="inlineStr">
        <is>
          <t>21.99</t>
        </is>
      </c>
      <c r="L888" s="13" t="inlineStr">
        <is>
          <t>6</t>
        </is>
      </c>
      <c r="M888" s="13" t="inlineStr">
        <is>
          <t>Completed</t>
        </is>
      </c>
      <c r="N888" s="13" t="inlineStr">
        <is>
          <t>A. Shah</t>
        </is>
      </c>
    </row>
    <row r="889">
      <c r="A889" s="13" t="inlineStr">
        <is>
          <t>HC-100887</t>
        </is>
      </c>
      <c r="B889" s="13" t="inlineStr">
        <is>
          <t>03.12.2024</t>
        </is>
      </c>
      <c r="C889" s="13" t="inlineStr">
        <is>
          <t>West</t>
        </is>
      </c>
      <c r="D889" s="13" t="inlineStr">
        <is>
          <t>Store</t>
        </is>
      </c>
      <c r="E889" s="13" t="inlineStr">
        <is>
          <t>Lighting</t>
        </is>
      </c>
      <c r="F889" s="13" t="inlineStr">
        <is>
          <t>Arc Lamp</t>
        </is>
      </c>
      <c r="G889" s="13" t="inlineStr">
        <is>
          <t>Consumer</t>
        </is>
      </c>
      <c r="H889" s="13" t="inlineStr">
        <is>
          <t>3</t>
        </is>
      </c>
      <c r="I889" s="14" t="inlineStr">
        <is>
          <t>319.22</t>
        </is>
      </c>
      <c r="J889" s="15" t="inlineStr">
        <is>
          <t>0.06</t>
        </is>
      </c>
      <c r="K889" s="14" t="inlineStr">
        <is>
          <t>153.23</t>
        </is>
      </c>
      <c r="L889" s="13" t="inlineStr">
        <is>
          <t>4</t>
        </is>
      </c>
      <c r="M889" s="13" t="inlineStr">
        <is>
          <t>Completed</t>
        </is>
      </c>
      <c r="N889" s="13" t="inlineStr">
        <is>
          <t>A. Shah</t>
        </is>
      </c>
    </row>
    <row r="890">
      <c r="A890" s="13" t="inlineStr">
        <is>
          <t>HC-100888</t>
        </is>
      </c>
      <c r="B890" s="13" t="inlineStr">
        <is>
          <t>05/05/2025</t>
        </is>
      </c>
      <c r="C890" s="13" t="inlineStr">
        <is>
          <t>east</t>
        </is>
      </c>
      <c r="D890" s="13" t="inlineStr">
        <is>
          <t>Wholesale</t>
        </is>
      </c>
      <c r="E890" s="13" t="inlineStr">
        <is>
          <t>FURNITURE</t>
        </is>
      </c>
      <c r="F890" s="13" t="inlineStr">
        <is>
          <t>Linen Sofa</t>
        </is>
      </c>
      <c r="G890" s="13" t="inlineStr">
        <is>
          <t>Corporate</t>
        </is>
      </c>
      <c r="H890" s="13" t="inlineStr">
        <is>
          <t>22</t>
        </is>
      </c>
      <c r="I890" s="14" t="inlineStr">
        <is>
          <t>$1,060.22</t>
        </is>
      </c>
      <c r="J890" s="15" t="inlineStr">
        <is>
          <t>0.26</t>
        </is>
      </c>
      <c r="K890" s="14" t="inlineStr">
        <is>
          <t>699.74</t>
        </is>
      </c>
      <c r="L890" s="13" t="inlineStr">
        <is>
          <t>11</t>
        </is>
      </c>
      <c r="M890" s="13" t="inlineStr">
        <is>
          <t>Completed</t>
        </is>
      </c>
      <c r="N890" s="13" t="inlineStr">
        <is>
          <t>K. Mensah</t>
        </is>
      </c>
    </row>
    <row r="891">
      <c r="A891" s="13" t="inlineStr">
        <is>
          <t>HC-100889</t>
        </is>
      </c>
      <c r="B891" s="13" t="inlineStr">
        <is>
          <t>04-Dec-24</t>
        </is>
      </c>
      <c r="C891" s="13" t="inlineStr">
        <is>
          <t>North</t>
        </is>
      </c>
      <c r="D891" s="13" t="inlineStr">
        <is>
          <t>Online</t>
        </is>
      </c>
      <c r="E891" s="13" t="inlineStr">
        <is>
          <t>Lighting</t>
        </is>
      </c>
      <c r="F891" s="13" t="inlineStr">
        <is>
          <t>Arc Lamp</t>
        </is>
      </c>
      <c r="G891" s="13" t="inlineStr">
        <is>
          <t>Corporate</t>
        </is>
      </c>
      <c r="H891" s="13" t="inlineStr">
        <is>
          <t>2</t>
        </is>
      </c>
      <c r="I891" s="14" t="inlineStr">
        <is>
          <t>304.41</t>
        </is>
      </c>
      <c r="J891" s="15" t="inlineStr">
        <is>
          <t>0.12</t>
        </is>
      </c>
      <c r="K891" s="14" t="inlineStr">
        <is>
          <t>146.12</t>
        </is>
      </c>
      <c r="L891" s="13" t="inlineStr">
        <is>
          <t>7</t>
        </is>
      </c>
      <c r="M891" s="13" t="inlineStr">
        <is>
          <t>Completed</t>
        </is>
      </c>
      <c r="N891" s="13" t="inlineStr">
        <is>
          <t>L. Berger</t>
        </is>
      </c>
    </row>
    <row r="892">
      <c r="A892" s="13" t="inlineStr">
        <is>
          <t>HC-100890</t>
        </is>
      </c>
      <c r="B892" s="13" t="inlineStr">
        <is>
          <t>2025/07/22</t>
        </is>
      </c>
      <c r="C892" s="13" t="inlineStr">
        <is>
          <t>West</t>
        </is>
      </c>
      <c r="D892" s="13" t="inlineStr">
        <is>
          <t>Online</t>
        </is>
      </c>
      <c r="E892" s="13" t="inlineStr">
        <is>
          <t>TEXTILES</t>
        </is>
      </c>
      <c r="F892" s="13" t="inlineStr">
        <is>
          <t>Linen Curtain</t>
        </is>
      </c>
      <c r="G892" s="13" t="inlineStr">
        <is>
          <t>Consumer</t>
        </is>
      </c>
      <c r="H892" s="13" t="inlineStr">
        <is>
          <t>1</t>
        </is>
      </c>
      <c r="I892" s="14" t="inlineStr">
        <is>
          <t>100.33</t>
        </is>
      </c>
      <c r="J892" s="15" t="inlineStr">
        <is>
          <t>0.07</t>
        </is>
      </c>
      <c r="K892" s="14" t="inlineStr">
        <is>
          <t>45.15</t>
        </is>
      </c>
      <c r="L892" s="13" t="inlineStr">
        <is>
          <t>3</t>
        </is>
      </c>
      <c r="M892" s="13" t="inlineStr">
        <is>
          <t>COMPLETED</t>
        </is>
      </c>
      <c r="N892" s="13" t="inlineStr">
        <is>
          <t>K. Mensah</t>
        </is>
      </c>
    </row>
    <row r="893">
      <c r="A893" s="13" t="inlineStr">
        <is>
          <t>HC-100891</t>
        </is>
      </c>
      <c r="B893" s="13" t="inlineStr">
        <is>
          <t>11.10.2024</t>
        </is>
      </c>
      <c r="C893" s="13" t="inlineStr">
        <is>
          <t>West</t>
        </is>
      </c>
      <c r="D893" s="13" t="inlineStr">
        <is>
          <t>Store</t>
        </is>
      </c>
      <c r="E893" s="13" t="inlineStr">
        <is>
          <t>Kitchen</t>
        </is>
      </c>
      <c r="F893" s="13" t="inlineStr">
        <is>
          <t>Cast Skillet</t>
        </is>
      </c>
      <c r="G893" s="13" t="inlineStr">
        <is>
          <t>Corporate</t>
        </is>
      </c>
      <c r="H893" s="13" t="inlineStr">
        <is>
          <t>1</t>
        </is>
      </c>
      <c r="I893" s="14" t="inlineStr">
        <is>
          <t>51.37</t>
        </is>
      </c>
      <c r="J893" s="15" t="inlineStr">
        <is>
          <t>0.02</t>
        </is>
      </c>
      <c r="K893" s="14" t="inlineStr">
        <is>
          <t>20.55</t>
        </is>
      </c>
      <c r="L893" s="13" t="inlineStr">
        <is>
          <t>2</t>
        </is>
      </c>
      <c r="M893" s="13" t="inlineStr">
        <is>
          <t>Returned</t>
        </is>
      </c>
      <c r="N893" s="13" t="inlineStr">
        <is>
          <t>M. Okonkwo</t>
        </is>
      </c>
    </row>
    <row r="894">
      <c r="A894" s="13" t="inlineStr">
        <is>
          <t>HC-100892</t>
        </is>
      </c>
      <c r="B894" s="13" t="inlineStr">
        <is>
          <t>09/11/2024</t>
        </is>
      </c>
      <c r="C894" s="13" t="inlineStr">
        <is>
          <t>North</t>
        </is>
      </c>
      <c r="D894" s="13" t="inlineStr">
        <is>
          <t>Store</t>
        </is>
      </c>
      <c r="E894" s="13" t="inlineStr">
        <is>
          <t>Textiles</t>
        </is>
      </c>
      <c r="F894" s="13" t="inlineStr">
        <is>
          <t>Wool Throw</t>
        </is>
      </c>
      <c r="G894" s="13" t="inlineStr">
        <is>
          <t>Corporate</t>
        </is>
      </c>
      <c r="H894" s="13" t="inlineStr">
        <is>
          <t>2</t>
        </is>
      </c>
      <c r="I894" s="14" t="inlineStr">
        <is>
          <t>$77.19</t>
        </is>
      </c>
      <c r="J894" s="15" t="inlineStr">
        <is>
          <t>0.10</t>
        </is>
      </c>
      <c r="K894" s="14" t="inlineStr">
        <is>
          <t>32.42</t>
        </is>
      </c>
      <c r="L894" s="13" t="inlineStr">
        <is>
          <t>6</t>
        </is>
      </c>
      <c r="M894" s="13" t="inlineStr">
        <is>
          <t>COMPLETED</t>
        </is>
      </c>
      <c r="N894" s="13" t="inlineStr">
        <is>
          <t>A. Shah</t>
        </is>
      </c>
    </row>
    <row r="895">
      <c r="A895" s="13" t="inlineStr">
        <is>
          <t>HC-100893</t>
        </is>
      </c>
      <c r="B895" s="13" t="inlineStr">
        <is>
          <t>02-May-24</t>
        </is>
      </c>
      <c r="C895" s="13" t="inlineStr">
        <is>
          <t>NORTH</t>
        </is>
      </c>
      <c r="D895" s="13" t="inlineStr">
        <is>
          <t>Online</t>
        </is>
      </c>
      <c r="E895" s="13" t="inlineStr">
        <is>
          <t>KITCHEN</t>
        </is>
      </c>
      <c r="F895" s="13" t="inlineStr">
        <is>
          <t>Cast Skillet</t>
        </is>
      </c>
      <c r="G895" s="13" t="inlineStr">
        <is>
          <t>Consumer</t>
        </is>
      </c>
      <c r="H895" s="13" t="inlineStr">
        <is>
          <t>3</t>
        </is>
      </c>
      <c r="I895" s="14" t="inlineStr">
        <is>
          <t>54.24</t>
        </is>
      </c>
      <c r="J895" s="15" t="inlineStr">
        <is>
          <t>0.11</t>
        </is>
      </c>
      <c r="K895" s="14" t="inlineStr">
        <is>
          <t>21.70</t>
        </is>
      </c>
      <c r="L895" s="13" t="inlineStr">
        <is>
          <t>4</t>
        </is>
      </c>
      <c r="M895" s="13" t="inlineStr">
        <is>
          <t>Completed</t>
        </is>
      </c>
      <c r="N895" s="13" t="inlineStr">
        <is>
          <t>K. Mensah</t>
        </is>
      </c>
    </row>
    <row r="896">
      <c r="A896" s="13" t="inlineStr">
        <is>
          <t>HC-100894</t>
        </is>
      </c>
      <c r="B896" s="13" t="inlineStr">
        <is>
          <t>2024/01/09</t>
        </is>
      </c>
      <c r="C896" s="13" t="inlineStr">
        <is>
          <t>South</t>
        </is>
      </c>
      <c r="D896" s="13" t="inlineStr">
        <is>
          <t>Store</t>
        </is>
      </c>
      <c r="E896" s="13" t="inlineStr">
        <is>
          <t>Lighting</t>
        </is>
      </c>
      <c r="F896" s="13" t="inlineStr">
        <is>
          <t>Brass Sconce</t>
        </is>
      </c>
      <c r="G896" s="13" t="inlineStr">
        <is>
          <t>Corporate</t>
        </is>
      </c>
      <c r="H896" s="13" t="inlineStr">
        <is>
          <t>4</t>
        </is>
      </c>
      <c r="I896" s="14" t="inlineStr">
        <is>
          <t>$141.04</t>
        </is>
      </c>
      <c r="J896" s="15" t="inlineStr">
        <is>
          <t>0.02</t>
        </is>
      </c>
      <c r="K896" s="14" t="inlineStr">
        <is>
          <t>64.88</t>
        </is>
      </c>
      <c r="L896" s="13" t="inlineStr">
        <is>
          <t>1</t>
        </is>
      </c>
      <c r="M896" s="13" t="inlineStr">
        <is>
          <t>Completed</t>
        </is>
      </c>
      <c r="N896" s="13" t="inlineStr">
        <is>
          <t>S. Nguyen</t>
        </is>
      </c>
    </row>
    <row r="897">
      <c r="A897" s="13" t="inlineStr">
        <is>
          <t>HC-100895</t>
        </is>
      </c>
      <c r="B897" s="13" t="inlineStr">
        <is>
          <t>20.12.2024</t>
        </is>
      </c>
      <c r="C897" s="13" t="inlineStr">
        <is>
          <t>West</t>
        </is>
      </c>
      <c r="D897" s="13" t="inlineStr">
        <is>
          <t>Online</t>
        </is>
      </c>
      <c r="E897" s="13" t="inlineStr">
        <is>
          <t>Furniture</t>
        </is>
      </c>
      <c r="F897" s="13" t="inlineStr">
        <is>
          <t>Lounge Chair</t>
        </is>
      </c>
      <c r="G897" s="13" t="inlineStr">
        <is>
          <t>Consumer</t>
        </is>
      </c>
      <c r="H897" s="13" t="inlineStr">
        <is>
          <t>4</t>
        </is>
      </c>
      <c r="I897" s="14" t="inlineStr">
        <is>
          <t>493.15</t>
        </is>
      </c>
      <c r="J897" s="15" t="inlineStr">
        <is>
          <t>0.03</t>
        </is>
      </c>
      <c r="K897" s="14" t="inlineStr">
        <is>
          <t>295.89</t>
        </is>
      </c>
      <c r="L897" s="13" t="inlineStr">
        <is>
          <t>5</t>
        </is>
      </c>
      <c r="M897" s="13" t="inlineStr">
        <is>
          <t>Completed</t>
        </is>
      </c>
      <c r="N897" s="13" t="inlineStr">
        <is>
          <t>P. Rossi</t>
        </is>
      </c>
    </row>
    <row r="898">
      <c r="A898" s="13" t="inlineStr">
        <is>
          <t>HC-100896</t>
        </is>
      </c>
      <c r="B898" s="13" t="inlineStr">
        <is>
          <t>11/27/2024</t>
        </is>
      </c>
      <c r="C898" s="13" t="inlineStr">
        <is>
          <t>north</t>
        </is>
      </c>
      <c r="D898" s="13" t="inlineStr">
        <is>
          <t>Store</t>
        </is>
      </c>
      <c r="E898" s="13" t="inlineStr">
        <is>
          <t>Kitchen</t>
        </is>
      </c>
      <c r="F898" s="13" t="inlineStr">
        <is>
          <t>Ceramic Set</t>
        </is>
      </c>
      <c r="G898" s="13" t="inlineStr">
        <is>
          <t>Corporate</t>
        </is>
      </c>
      <c r="H898" s="13" t="inlineStr">
        <is>
          <t>3</t>
        </is>
      </c>
      <c r="I898" s="14" t="inlineStr">
        <is>
          <t>88.96</t>
        </is>
      </c>
      <c r="J898" s="15" t="inlineStr">
        <is>
          <t>0.09</t>
        </is>
      </c>
      <c r="K898" s="14" t="inlineStr">
        <is>
          <t>33.80</t>
        </is>
      </c>
      <c r="L898" s="13" t="inlineStr">
        <is>
          <t>3</t>
        </is>
      </c>
      <c r="M898" s="13" t="inlineStr">
        <is>
          <t>Completed</t>
        </is>
      </c>
      <c r="N898" s="13" t="inlineStr">
        <is>
          <t>P. Rossi</t>
        </is>
      </c>
    </row>
    <row r="899">
      <c r="A899" s="13" t="inlineStr">
        <is>
          <t>HC-100897</t>
        </is>
      </c>
      <c r="B899" s="13" t="inlineStr">
        <is>
          <t>04-Jul-24</t>
        </is>
      </c>
      <c r="C899" s="13" t="inlineStr">
        <is>
          <t>South</t>
        </is>
      </c>
      <c r="D899" s="13" t="inlineStr">
        <is>
          <t>Online</t>
        </is>
      </c>
      <c r="E899" s="13" t="inlineStr">
        <is>
          <t>Lighting</t>
        </is>
      </c>
      <c r="F899" s="13" t="inlineStr">
        <is>
          <t>Brass Sconce</t>
        </is>
      </c>
      <c r="G899" s="13" t="inlineStr">
        <is>
          <t>Consumer</t>
        </is>
      </c>
      <c r="H899" s="13" t="inlineStr">
        <is>
          <t>1</t>
        </is>
      </c>
      <c r="I899" s="14" t="inlineStr">
        <is>
          <t>144.24</t>
        </is>
      </c>
      <c r="J899" s="15" t="inlineStr">
        <is>
          <t>0.12</t>
        </is>
      </c>
      <c r="K899" s="14" t="inlineStr">
        <is>
          <t>66.35</t>
        </is>
      </c>
      <c r="L899" s="13" t="inlineStr">
        <is>
          <t>6</t>
        </is>
      </c>
      <c r="M899" s="13" t="inlineStr">
        <is>
          <t>Completed</t>
        </is>
      </c>
      <c r="N899" s="13" t="inlineStr">
        <is>
          <t>A. Shah</t>
        </is>
      </c>
    </row>
    <row r="900">
      <c r="A900" s="13" t="inlineStr">
        <is>
          <t>HC-100898</t>
        </is>
      </c>
      <c r="B900" s="13" t="inlineStr">
        <is>
          <t>2025/07/11</t>
        </is>
      </c>
      <c r="C900" s="13" t="inlineStr">
        <is>
          <t>South</t>
        </is>
      </c>
      <c r="D900" s="13" t="inlineStr">
        <is>
          <t>Online</t>
        </is>
      </c>
      <c r="E900" s="13" t="inlineStr">
        <is>
          <t>Kitchen</t>
        </is>
      </c>
      <c r="F900" s="13" t="inlineStr">
        <is>
          <t>Ceramic Set</t>
        </is>
      </c>
      <c r="G900" s="13" t="inlineStr">
        <is>
          <t>Corporate</t>
        </is>
      </c>
      <c r="H900" s="13" t="inlineStr">
        <is>
          <t>3</t>
        </is>
      </c>
      <c r="I900" s="14" t="inlineStr">
        <is>
          <t>81.27</t>
        </is>
      </c>
      <c r="J900" s="15" t="inlineStr">
        <is>
          <t>0.18</t>
        </is>
      </c>
      <c r="K900" s="14" t="inlineStr">
        <is>
          <t>30.88</t>
        </is>
      </c>
      <c r="L900" s="13" t="inlineStr">
        <is>
          <t>7</t>
        </is>
      </c>
      <c r="M900" s="13" t="inlineStr">
        <is>
          <t>Completed</t>
        </is>
      </c>
      <c r="N900" s="13" t="inlineStr">
        <is>
          <t>K. Mensah</t>
        </is>
      </c>
    </row>
    <row r="901">
      <c r="A901" s="13" t="inlineStr">
        <is>
          <t>HC-100899</t>
        </is>
      </c>
      <c r="B901" s="13" t="inlineStr">
        <is>
          <t>03.10.2024</t>
        </is>
      </c>
      <c r="C901" s="13" t="inlineStr">
        <is>
          <t>west</t>
        </is>
      </c>
      <c r="D901" s="13" t="inlineStr">
        <is>
          <t>Online</t>
        </is>
      </c>
      <c r="E901" s="13" t="inlineStr">
        <is>
          <t>Furniture</t>
        </is>
      </c>
      <c r="F901" s="13" t="inlineStr">
        <is>
          <t>Linen Sofa</t>
        </is>
      </c>
      <c r="G901" s="13" t="inlineStr">
        <is>
          <t>consumer</t>
        </is>
      </c>
      <c r="H901" s="13" t="inlineStr">
        <is>
          <t>3</t>
        </is>
      </c>
      <c r="I901" s="14" t="inlineStr">
        <is>
          <t>1247.21</t>
        </is>
      </c>
      <c r="J901" s="15" t="inlineStr">
        <is>
          <t>0.05</t>
        </is>
      </c>
      <c r="K901" s="14" t="inlineStr">
        <is>
          <t>823.16</t>
        </is>
      </c>
      <c r="L901" s="13" t="inlineStr">
        <is>
          <t>2</t>
        </is>
      </c>
      <c r="M901" s="13" t="inlineStr">
        <is>
          <t>Completed</t>
        </is>
      </c>
      <c r="N901" s="13" t="inlineStr">
        <is>
          <t>K. Mensah</t>
        </is>
      </c>
    </row>
    <row r="902">
      <c r="A902" s="13" t="inlineStr">
        <is>
          <t>HC-100900</t>
        </is>
      </c>
      <c r="B902" s="13" t="inlineStr">
        <is>
          <t>04/01/2024</t>
        </is>
      </c>
      <c r="C902" s="13" t="inlineStr">
        <is>
          <t>east</t>
        </is>
      </c>
      <c r="D902" s="13" t="inlineStr">
        <is>
          <t>e-commerce</t>
        </is>
      </c>
      <c r="E902" s="13" t="inlineStr">
        <is>
          <t>Furniture</t>
        </is>
      </c>
      <c r="F902" s="13" t="inlineStr">
        <is>
          <t>Linen Sofa</t>
        </is>
      </c>
      <c r="G902" s="13" t="inlineStr">
        <is>
          <t>Consumer</t>
        </is>
      </c>
      <c r="H902" s="13" t="inlineStr">
        <is>
          <t>2</t>
        </is>
      </c>
      <c r="I902" s="14" t="inlineStr">
        <is>
          <t>1088.45</t>
        </is>
      </c>
      <c r="J902" s="15" t="inlineStr">
        <is>
          <t>0.13</t>
        </is>
      </c>
      <c r="K902" s="14" t="inlineStr">
        <is>
          <t>718.38</t>
        </is>
      </c>
      <c r="L902" s="13" t="inlineStr">
        <is>
          <t>7</t>
        </is>
      </c>
      <c r="M902" s="13" t="inlineStr">
        <is>
          <t>Completed</t>
        </is>
      </c>
      <c r="N902" s="13" t="inlineStr">
        <is>
          <t>A. Shah</t>
        </is>
      </c>
    </row>
    <row r="903">
      <c r="A903" s="13" t="inlineStr">
        <is>
          <t>HC-100901</t>
        </is>
      </c>
      <c r="B903" s="13" t="inlineStr">
        <is>
          <t>26-Dec-24</t>
        </is>
      </c>
      <c r="C903" s="13" t="inlineStr">
        <is>
          <t>North</t>
        </is>
      </c>
      <c r="D903" s="13" t="inlineStr">
        <is>
          <t>Online</t>
        </is>
      </c>
      <c r="E903" s="13" t="inlineStr">
        <is>
          <t>Kitchen</t>
        </is>
      </c>
      <c r="F903" s="13" t="inlineStr">
        <is>
          <t>Chef Knife</t>
        </is>
      </c>
      <c r="G903" s="13" t="inlineStr">
        <is>
          <t>Consumer</t>
        </is>
      </c>
      <c r="H903" s="13" t="inlineStr">
        <is>
          <t>4</t>
        </is>
      </c>
      <c r="I903" s="14" t="inlineStr">
        <is>
          <t>66.03</t>
        </is>
      </c>
      <c r="J903" s="15" t="inlineStr">
        <is>
          <t>0.03</t>
        </is>
      </c>
      <c r="K903" s="14" t="inlineStr">
        <is>
          <t>23.77</t>
        </is>
      </c>
      <c r="L903" s="13" t="inlineStr">
        <is>
          <t>7</t>
        </is>
      </c>
      <c r="M903" s="13" t="inlineStr">
        <is>
          <t>Completed</t>
        </is>
      </c>
      <c r="N903" s="13" t="inlineStr">
        <is>
          <t>A. Shah</t>
        </is>
      </c>
    </row>
    <row r="904">
      <c r="A904" s="13" t="inlineStr">
        <is>
          <t>HC-100902</t>
        </is>
      </c>
      <c r="B904" s="13" t="inlineStr">
        <is>
          <t>2025/09/24</t>
        </is>
      </c>
      <c r="C904" s="13" t="inlineStr">
        <is>
          <t>West</t>
        </is>
      </c>
      <c r="D904" s="13" t="inlineStr">
        <is>
          <t>Online</t>
        </is>
      </c>
      <c r="E904" s="13" t="inlineStr">
        <is>
          <t>Kitchen</t>
        </is>
      </c>
      <c r="F904" s="13" t="inlineStr">
        <is>
          <t>Cast Skillet</t>
        </is>
      </c>
      <c r="G904" s="13" t="inlineStr">
        <is>
          <t>Consumer</t>
        </is>
      </c>
      <c r="H904" s="13" t="inlineStr">
        <is>
          <t>1</t>
        </is>
      </c>
      <c r="I904" s="14" t="inlineStr">
        <is>
          <t>54.28</t>
        </is>
      </c>
      <c r="J904" s="15" t="inlineStr">
        <is>
          <t>0.10</t>
        </is>
      </c>
      <c r="K904" s="14" t="inlineStr">
        <is>
          <t>21.71</t>
        </is>
      </c>
      <c r="L904" s="13" t="inlineStr">
        <is>
          <t>6</t>
        </is>
      </c>
      <c r="M904" s="13" t="inlineStr">
        <is>
          <t>Completed</t>
        </is>
      </c>
      <c r="N904" s="13" t="inlineStr">
        <is>
          <t>K. Mensah</t>
        </is>
      </c>
    </row>
    <row r="905">
      <c r="A905" s="13" t="inlineStr">
        <is>
          <t>HC-100903</t>
        </is>
      </c>
      <c r="B905" s="13" t="inlineStr">
        <is>
          <t>21.06.2024</t>
        </is>
      </c>
      <c r="C905" s="13" t="inlineStr">
        <is>
          <t>East</t>
        </is>
      </c>
      <c r="D905" s="13" t="inlineStr">
        <is>
          <t>Store</t>
        </is>
      </c>
      <c r="E905" s="13" t="inlineStr">
        <is>
          <t>Textiles</t>
        </is>
      </c>
      <c r="F905" s="13" t="inlineStr">
        <is>
          <t>Cotton Duvet</t>
        </is>
      </c>
      <c r="G905" s="13" t="inlineStr">
        <is>
          <t>Home Office</t>
        </is>
      </c>
      <c r="H905" s="13" t="inlineStr">
        <is>
          <t>1</t>
        </is>
      </c>
      <c r="I905" s="14" t="inlineStr">
        <is>
          <t>109.11</t>
        </is>
      </c>
      <c r="J905" s="15" t="inlineStr">
        <is>
          <t>0.07</t>
        </is>
      </c>
      <c r="K905" s="14" t="inlineStr">
        <is>
          <t>48.01</t>
        </is>
      </c>
      <c r="L905" s="13" t="inlineStr">
        <is>
          <t>4</t>
        </is>
      </c>
      <c r="M905" s="13" t="inlineStr">
        <is>
          <t>Completed</t>
        </is>
      </c>
      <c r="N905" s="13" t="inlineStr">
        <is>
          <t>L. Berger</t>
        </is>
      </c>
    </row>
    <row r="906">
      <c r="A906" s="13" t="inlineStr">
        <is>
          <t>HC-100904</t>
        </is>
      </c>
      <c r="B906" s="13" t="inlineStr">
        <is>
          <t>04/21/2024</t>
        </is>
      </c>
      <c r="C906" s="13" t="inlineStr">
        <is>
          <t>East</t>
        </is>
      </c>
      <c r="D906" s="13" t="inlineStr">
        <is>
          <t>Online</t>
        </is>
      </c>
      <c r="E906" s="13" t="inlineStr">
        <is>
          <t>Lighting</t>
        </is>
      </c>
      <c r="F906" s="13" t="inlineStr">
        <is>
          <t>Pendant Light</t>
        </is>
      </c>
      <c r="G906" s="13" t="inlineStr">
        <is>
          <t>Corporate</t>
        </is>
      </c>
      <c r="H906" s="13" t="inlineStr">
        <is>
          <t>3</t>
        </is>
      </c>
      <c r="I906" s="14" t="inlineStr">
        <is>
          <t>156.85</t>
        </is>
      </c>
      <c r="J906" s="15" t="inlineStr">
        <is>
          <t>0.10</t>
        </is>
      </c>
      <c r="K906" s="14" t="inlineStr">
        <is>
          <t>78.43</t>
        </is>
      </c>
      <c r="L906" s="13" t="inlineStr">
        <is>
          <t>8</t>
        </is>
      </c>
      <c r="M906" s="13" t="inlineStr">
        <is>
          <t>Completed</t>
        </is>
      </c>
      <c r="N906" s="13" t="inlineStr">
        <is>
          <t>M. Okonkwo</t>
        </is>
      </c>
    </row>
    <row r="907">
      <c r="A907" s="13" t="inlineStr">
        <is>
          <t>HC-100905</t>
        </is>
      </c>
      <c r="B907" s="13" t="inlineStr">
        <is>
          <t>01-Mar-25</t>
        </is>
      </c>
      <c r="C907" s="13" t="inlineStr">
        <is>
          <t>West</t>
        </is>
      </c>
      <c r="D907" s="13" t="inlineStr">
        <is>
          <t>retail</t>
        </is>
      </c>
      <c r="E907" s="13" t="inlineStr">
        <is>
          <t>Furniture</t>
        </is>
      </c>
      <c r="F907" s="13" t="inlineStr">
        <is>
          <t>Lounge Chair</t>
        </is>
      </c>
      <c r="G907" s="13" t="inlineStr">
        <is>
          <t>Consumer</t>
        </is>
      </c>
      <c r="H907" s="13" t="inlineStr">
        <is>
          <t>1</t>
        </is>
      </c>
      <c r="I907" s="14" t="inlineStr">
        <is>
          <t>487.88</t>
        </is>
      </c>
      <c r="J907" s="15" t="inlineStr">
        <is>
          <t>4%</t>
        </is>
      </c>
      <c r="K907" s="14" t="inlineStr">
        <is>
          <t>292.73</t>
        </is>
      </c>
      <c r="L907" s="13" t="inlineStr">
        <is>
          <t>7</t>
        </is>
      </c>
      <c r="M907" s="13" t="inlineStr">
        <is>
          <t>Completed</t>
        </is>
      </c>
      <c r="N907" s="13" t="inlineStr">
        <is>
          <t>R. Ibarra</t>
        </is>
      </c>
    </row>
    <row r="908">
      <c r="A908" s="13" t="inlineStr">
        <is>
          <t>HC-100906</t>
        </is>
      </c>
      <c r="B908" s="13" t="inlineStr">
        <is>
          <t>2024/10/23</t>
        </is>
      </c>
      <c r="C908" s="13" t="inlineStr">
        <is>
          <t>west</t>
        </is>
      </c>
      <c r="D908" s="13" t="inlineStr">
        <is>
          <t>Online</t>
        </is>
      </c>
      <c r="E908" s="13" t="inlineStr">
        <is>
          <t>Textiles</t>
        </is>
      </c>
      <c r="F908" s="13" t="inlineStr">
        <is>
          <t>Cotton Duvet</t>
        </is>
      </c>
      <c r="G908" s="13" t="inlineStr">
        <is>
          <t>Corporate</t>
        </is>
      </c>
      <c r="H908" s="13" t="inlineStr">
        <is>
          <t>Two</t>
        </is>
      </c>
      <c r="I908" s="14" t="inlineStr">
        <is>
          <t>112.65</t>
        </is>
      </c>
      <c r="J908" s="15" t="inlineStr">
        <is>
          <t>0.12</t>
        </is>
      </c>
      <c r="K908" s="14" t="inlineStr">
        <is>
          <t>49.56</t>
        </is>
      </c>
      <c r="L908" s="13" t="inlineStr">
        <is>
          <t>5</t>
        </is>
      </c>
      <c r="M908" s="13" t="inlineStr">
        <is>
          <t>Completed</t>
        </is>
      </c>
      <c r="N908" s="13" t="inlineStr">
        <is>
          <t>K. Mensah</t>
        </is>
      </c>
    </row>
    <row r="909">
      <c r="A909" s="13" t="inlineStr">
        <is>
          <t>HC-100907</t>
        </is>
      </c>
      <c r="B909" s="13" t="inlineStr">
        <is>
          <t>14.12.2024</t>
        </is>
      </c>
      <c r="C909" s="13" t="inlineStr">
        <is>
          <t>East</t>
        </is>
      </c>
      <c r="D909" s="13" t="inlineStr">
        <is>
          <t>Store</t>
        </is>
      </c>
      <c r="E909" s="13" t="inlineStr">
        <is>
          <t>Furniture</t>
        </is>
      </c>
      <c r="F909" s="13" t="inlineStr">
        <is>
          <t>Walnut Shelf</t>
        </is>
      </c>
      <c r="G909" s="13" t="inlineStr"/>
      <c r="H909" s="13" t="inlineStr">
        <is>
          <t>Five</t>
        </is>
      </c>
      <c r="I909" s="14" t="inlineStr">
        <is>
          <t>196.04</t>
        </is>
      </c>
      <c r="J909" s="15" t="inlineStr">
        <is>
          <t>0.11</t>
        </is>
      </c>
      <c r="K909" s="14" t="inlineStr">
        <is>
          <t>107.82</t>
        </is>
      </c>
      <c r="L909" s="13" t="inlineStr">
        <is>
          <t>8</t>
        </is>
      </c>
      <c r="M909" s="13" t="inlineStr">
        <is>
          <t>Completed</t>
        </is>
      </c>
      <c r="N909" s="13" t="inlineStr">
        <is>
          <t>P. Rossi</t>
        </is>
      </c>
    </row>
    <row r="910">
      <c r="A910" s="13" t="inlineStr">
        <is>
          <t>HC-100908</t>
        </is>
      </c>
      <c r="B910" s="13" t="inlineStr">
        <is>
          <t>04/01/2025</t>
        </is>
      </c>
      <c r="C910" s="13" t="inlineStr">
        <is>
          <t>north</t>
        </is>
      </c>
      <c r="D910" s="13" t="inlineStr">
        <is>
          <t>Wholesale</t>
        </is>
      </c>
      <c r="E910" s="13" t="inlineStr">
        <is>
          <t>Textiles</t>
        </is>
      </c>
      <c r="F910" s="13" t="inlineStr">
        <is>
          <t>Wool Throw</t>
        </is>
      </c>
      <c r="G910" s="13" t="inlineStr">
        <is>
          <t>Consumer</t>
        </is>
      </c>
      <c r="H910" s="13" t="inlineStr">
        <is>
          <t>18</t>
        </is>
      </c>
      <c r="I910" s="14" t="inlineStr">
        <is>
          <t>70.64</t>
        </is>
      </c>
      <c r="J910" s="15" t="inlineStr">
        <is>
          <t>0.18</t>
        </is>
      </c>
      <c r="K910" s="14" t="inlineStr">
        <is>
          <t>29.67</t>
        </is>
      </c>
      <c r="L910" s="13" t="inlineStr">
        <is>
          <t>10</t>
        </is>
      </c>
      <c r="M910" s="13" t="inlineStr">
        <is>
          <t>Completed</t>
        </is>
      </c>
      <c r="N910" s="13" t="inlineStr">
        <is>
          <t>R. Ibarra</t>
        </is>
      </c>
    </row>
    <row r="911">
      <c r="A911" s="13" t="inlineStr">
        <is>
          <t>HC-100909</t>
        </is>
      </c>
      <c r="B911" s="13" t="inlineStr">
        <is>
          <t>05-Aug-25</t>
        </is>
      </c>
      <c r="C911" s="13" t="inlineStr">
        <is>
          <t>West</t>
        </is>
      </c>
      <c r="D911" s="13" t="inlineStr">
        <is>
          <t>retail</t>
        </is>
      </c>
      <c r="E911" s="13" t="inlineStr">
        <is>
          <t>Furniture</t>
        </is>
      </c>
      <c r="F911" s="13" t="inlineStr">
        <is>
          <t>Walnut Shelf</t>
        </is>
      </c>
      <c r="G911" s="13" t="inlineStr">
        <is>
          <t>Corporate</t>
        </is>
      </c>
      <c r="H911" s="13" t="inlineStr">
        <is>
          <t>1</t>
        </is>
      </c>
      <c r="I911" s="14" t="inlineStr">
        <is>
          <t>226.37</t>
        </is>
      </c>
      <c r="J911" s="15" t="inlineStr">
        <is>
          <t>0.08</t>
        </is>
      </c>
      <c r="K911" s="14" t="inlineStr">
        <is>
          <t>124.50</t>
        </is>
      </c>
      <c r="L911" s="13" t="inlineStr">
        <is>
          <t>7</t>
        </is>
      </c>
      <c r="M911" s="13" t="inlineStr">
        <is>
          <t>Completed</t>
        </is>
      </c>
      <c r="N911" s="13" t="inlineStr">
        <is>
          <t>S. Nguyen</t>
        </is>
      </c>
    </row>
    <row r="912">
      <c r="A912" s="13" t="inlineStr">
        <is>
          <t>HC-100910</t>
        </is>
      </c>
      <c r="B912" s="13" t="inlineStr">
        <is>
          <t>2025/09/13</t>
        </is>
      </c>
      <c r="C912" s="13" t="inlineStr">
        <is>
          <t>west</t>
        </is>
      </c>
      <c r="D912" s="13" t="inlineStr">
        <is>
          <t>Store</t>
        </is>
      </c>
      <c r="E912" s="13" t="inlineStr">
        <is>
          <t>Furniture</t>
        </is>
      </c>
      <c r="F912" s="13" t="inlineStr">
        <is>
          <t>Oak Desk</t>
        </is>
      </c>
      <c r="G912" s="13" t="inlineStr">
        <is>
          <t>Corporate</t>
        </is>
      </c>
      <c r="H912" s="13" t="inlineStr">
        <is>
          <t>1</t>
        </is>
      </c>
      <c r="I912" s="14" t="inlineStr">
        <is>
          <t>859.42</t>
        </is>
      </c>
      <c r="J912" s="15" t="inlineStr">
        <is>
          <t>0.09</t>
        </is>
      </c>
      <c r="K912" s="14" t="inlineStr">
        <is>
          <t>532.84</t>
        </is>
      </c>
      <c r="L912" s="13" t="inlineStr">
        <is>
          <t>5</t>
        </is>
      </c>
      <c r="M912" s="13" t="inlineStr">
        <is>
          <t>Completed</t>
        </is>
      </c>
      <c r="N912" s="13" t="inlineStr">
        <is>
          <t>J. Patel</t>
        </is>
      </c>
    </row>
    <row r="913">
      <c r="A913" s="13" t="inlineStr">
        <is>
          <t>HC-100911</t>
        </is>
      </c>
      <c r="B913" s="13" t="inlineStr">
        <is>
          <t>25.05.2025</t>
        </is>
      </c>
      <c r="C913" s="13" t="inlineStr">
        <is>
          <t>NORTH</t>
        </is>
      </c>
      <c r="D913" s="13" t="inlineStr">
        <is>
          <t>Online</t>
        </is>
      </c>
      <c r="E913" s="13" t="inlineStr">
        <is>
          <t>Kitchen</t>
        </is>
      </c>
      <c r="F913" s="13" t="inlineStr">
        <is>
          <t>Chef Knife</t>
        </is>
      </c>
      <c r="G913" s="13" t="inlineStr">
        <is>
          <t>Consumer</t>
        </is>
      </c>
      <c r="H913" s="13" t="inlineStr">
        <is>
          <t>1</t>
        </is>
      </c>
      <c r="I913" s="14" t="inlineStr">
        <is>
          <t>66.19</t>
        </is>
      </c>
      <c r="J913" s="15" t="inlineStr">
        <is>
          <t>0.03</t>
        </is>
      </c>
      <c r="K913" s="14" t="inlineStr">
        <is>
          <t>23.83</t>
        </is>
      </c>
      <c r="L913" s="13" t="inlineStr">
        <is>
          <t>2</t>
        </is>
      </c>
      <c r="M913" s="13" t="inlineStr">
        <is>
          <t>Completed</t>
        </is>
      </c>
      <c r="N913" s="13" t="inlineStr">
        <is>
          <t>L. Berger</t>
        </is>
      </c>
    </row>
    <row r="914">
      <c r="A914" s="13" t="inlineStr">
        <is>
          <t>HC-100912</t>
        </is>
      </c>
      <c r="B914" s="13" t="inlineStr">
        <is>
          <t>07/26/2025</t>
        </is>
      </c>
      <c r="C914" s="13" t="inlineStr">
        <is>
          <t>East</t>
        </is>
      </c>
      <c r="D914" s="13" t="inlineStr">
        <is>
          <t>Online</t>
        </is>
      </c>
      <c r="E914" s="13" t="inlineStr">
        <is>
          <t>Kitchen</t>
        </is>
      </c>
      <c r="F914" s="13" t="inlineStr">
        <is>
          <t>Cast Skillet</t>
        </is>
      </c>
      <c r="G914" s="13" t="inlineStr">
        <is>
          <t>Home Office</t>
        </is>
      </c>
      <c r="H914" s="13" t="inlineStr">
        <is>
          <t>2</t>
        </is>
      </c>
      <c r="I914" s="14" t="inlineStr">
        <is>
          <t>48.10</t>
        </is>
      </c>
      <c r="J914" s="15" t="inlineStr">
        <is>
          <t>0.13</t>
        </is>
      </c>
      <c r="K914" s="14" t="inlineStr">
        <is>
          <t>19.24</t>
        </is>
      </c>
      <c r="L914" s="13" t="inlineStr">
        <is>
          <t>8</t>
        </is>
      </c>
      <c r="M914" s="13" t="inlineStr">
        <is>
          <t>COMPLETED</t>
        </is>
      </c>
      <c r="N914" s="13" t="inlineStr">
        <is>
          <t>K. Mensah</t>
        </is>
      </c>
    </row>
    <row r="915">
      <c r="A915" s="13" t="inlineStr">
        <is>
          <t>HC-100913</t>
        </is>
      </c>
      <c r="B915" s="13" t="inlineStr">
        <is>
          <t>27-Aug-24</t>
        </is>
      </c>
      <c r="C915" s="13" t="inlineStr">
        <is>
          <t>South</t>
        </is>
      </c>
      <c r="D915" s="13" t="inlineStr">
        <is>
          <t>Store</t>
        </is>
      </c>
      <c r="E915" s="13" t="inlineStr">
        <is>
          <t>Lighting</t>
        </is>
      </c>
      <c r="F915" s="13" t="inlineStr">
        <is>
          <t>Arc Lamp</t>
        </is>
      </c>
      <c r="G915" s="13" t="inlineStr">
        <is>
          <t>Corporate</t>
        </is>
      </c>
      <c r="H915" s="13" t="inlineStr">
        <is>
          <t>2</t>
        </is>
      </c>
      <c r="I915" s="14" t="inlineStr">
        <is>
          <t>320.07</t>
        </is>
      </c>
      <c r="J915" s="15" t="inlineStr">
        <is>
          <t>0.05</t>
        </is>
      </c>
      <c r="K915" s="14" t="inlineStr">
        <is>
          <t>153.64</t>
        </is>
      </c>
      <c r="L915" s="13" t="inlineStr">
        <is>
          <t>7</t>
        </is>
      </c>
      <c r="M915" s="13" t="inlineStr">
        <is>
          <t>Completed</t>
        </is>
      </c>
      <c r="N915" s="13" t="inlineStr">
        <is>
          <t>L. Berger</t>
        </is>
      </c>
    </row>
    <row r="916">
      <c r="A916" s="13" t="inlineStr">
        <is>
          <t>HC-100914</t>
        </is>
      </c>
      <c r="B916" s="13" t="inlineStr">
        <is>
          <t>2025/05/14</t>
        </is>
      </c>
      <c r="C916" s="13" t="inlineStr">
        <is>
          <t>North</t>
        </is>
      </c>
      <c r="D916" s="13" t="inlineStr">
        <is>
          <t>Store</t>
        </is>
      </c>
      <c r="E916" s="13" t="inlineStr">
        <is>
          <t>Lighting</t>
        </is>
      </c>
      <c r="F916" s="13" t="inlineStr">
        <is>
          <t>Pendant Light</t>
        </is>
      </c>
      <c r="G916" s="13" t="inlineStr">
        <is>
          <t>Corporate</t>
        </is>
      </c>
      <c r="H916" s="13" t="inlineStr">
        <is>
          <t>2</t>
        </is>
      </c>
      <c r="I916" s="14" t="inlineStr">
        <is>
          <t>179.32</t>
        </is>
      </c>
      <c r="J916" s="15" t="inlineStr">
        <is>
          <t>0.08</t>
        </is>
      </c>
      <c r="K916" s="14" t="inlineStr">
        <is>
          <t>89.66</t>
        </is>
      </c>
      <c r="L916" s="13" t="inlineStr">
        <is>
          <t>2</t>
        </is>
      </c>
      <c r="M916" s="13" t="inlineStr">
        <is>
          <t>Completed</t>
        </is>
      </c>
      <c r="N916" s="13" t="inlineStr">
        <is>
          <t>L. Berger</t>
        </is>
      </c>
    </row>
    <row r="917">
      <c r="A917" s="13" t="inlineStr">
        <is>
          <t>HC-100915</t>
        </is>
      </c>
      <c r="B917" s="13" t="inlineStr">
        <is>
          <t>27.07.2025</t>
        </is>
      </c>
      <c r="C917" s="13" t="inlineStr">
        <is>
          <t>East</t>
        </is>
      </c>
      <c r="D917" s="13" t="inlineStr">
        <is>
          <t>Store</t>
        </is>
      </c>
      <c r="E917" s="13" t="inlineStr">
        <is>
          <t>KITCHEN</t>
        </is>
      </c>
      <c r="F917" s="13" t="inlineStr">
        <is>
          <t>Chef Knife</t>
        </is>
      </c>
      <c r="G917" s="13" t="inlineStr">
        <is>
          <t>Consumer</t>
        </is>
      </c>
      <c r="H917" s="13" t="inlineStr">
        <is>
          <t>4</t>
        </is>
      </c>
      <c r="I917" s="14" t="inlineStr">
        <is>
          <t>58.66</t>
        </is>
      </c>
      <c r="J917" s="15" t="inlineStr">
        <is>
          <t>0.08</t>
        </is>
      </c>
      <c r="K917" s="14" t="inlineStr">
        <is>
          <t>21.12</t>
        </is>
      </c>
      <c r="L917" s="13" t="inlineStr">
        <is>
          <t>7</t>
        </is>
      </c>
      <c r="M917" s="13" t="inlineStr">
        <is>
          <t>Completed</t>
        </is>
      </c>
      <c r="N917" s="13" t="inlineStr">
        <is>
          <t>J. Patel</t>
        </is>
      </c>
    </row>
    <row r="918">
      <c r="A918" s="13" t="inlineStr">
        <is>
          <t>HC-100916</t>
        </is>
      </c>
      <c r="B918" s="13" t="inlineStr">
        <is>
          <t>04/26/2025</t>
        </is>
      </c>
      <c r="C918" s="13" t="inlineStr">
        <is>
          <t>east</t>
        </is>
      </c>
      <c r="D918" s="13" t="inlineStr">
        <is>
          <t>Wholesale</t>
        </is>
      </c>
      <c r="E918" s="13" t="inlineStr">
        <is>
          <t>Lighting</t>
        </is>
      </c>
      <c r="F918" s="13" t="inlineStr">
        <is>
          <t>Arc Lamp</t>
        </is>
      </c>
      <c r="G918" s="13" t="inlineStr">
        <is>
          <t>Consumer</t>
        </is>
      </c>
      <c r="H918" s="13" t="inlineStr">
        <is>
          <t>22</t>
        </is>
      </c>
      <c r="I918" s="14" t="inlineStr">
        <is>
          <t>270.12</t>
        </is>
      </c>
      <c r="J918" s="15" t="inlineStr">
        <is>
          <t>0.26</t>
        </is>
      </c>
      <c r="K918" s="14" t="inlineStr">
        <is>
          <t>129.66</t>
        </is>
      </c>
      <c r="L918" s="13" t="inlineStr">
        <is>
          <t>5</t>
        </is>
      </c>
      <c r="M918" s="13" t="inlineStr">
        <is>
          <t>Completed</t>
        </is>
      </c>
      <c r="N918" s="13" t="inlineStr">
        <is>
          <t>J. Patel</t>
        </is>
      </c>
    </row>
    <row r="919">
      <c r="A919" s="13" t="inlineStr">
        <is>
          <t>HC-100917</t>
        </is>
      </c>
      <c r="B919" s="13" t="inlineStr">
        <is>
          <t>04-Mar-24</t>
        </is>
      </c>
      <c r="C919" s="13" t="inlineStr">
        <is>
          <t>North</t>
        </is>
      </c>
      <c r="D919" s="13" t="inlineStr">
        <is>
          <t>Wholesale</t>
        </is>
      </c>
      <c r="E919" s="13" t="inlineStr">
        <is>
          <t>Textiles</t>
        </is>
      </c>
      <c r="F919" s="13" t="inlineStr">
        <is>
          <t>Wool Throw</t>
        </is>
      </c>
      <c r="G919" s="13" t="inlineStr">
        <is>
          <t>Home Office</t>
        </is>
      </c>
      <c r="H919" s="13" t="inlineStr">
        <is>
          <t>22</t>
        </is>
      </c>
      <c r="I919" s="14" t="inlineStr">
        <is>
          <t>74.70</t>
        </is>
      </c>
      <c r="J919" s="15" t="inlineStr">
        <is>
          <t>0.17</t>
        </is>
      </c>
      <c r="K919" s="14" t="inlineStr">
        <is>
          <t>31.37</t>
        </is>
      </c>
      <c r="L919" s="13" t="inlineStr">
        <is>
          <t>4</t>
        </is>
      </c>
      <c r="M919" s="13" t="inlineStr">
        <is>
          <t>Completed</t>
        </is>
      </c>
      <c r="N919" s="13" t="inlineStr">
        <is>
          <t>M. Okonkwo</t>
        </is>
      </c>
    </row>
    <row r="920">
      <c r="A920" s="13" t="inlineStr">
        <is>
          <t>HC-100918</t>
        </is>
      </c>
      <c r="B920" s="13" t="inlineStr">
        <is>
          <t>2024/08/27</t>
        </is>
      </c>
      <c r="C920" s="13" t="inlineStr">
        <is>
          <t>West</t>
        </is>
      </c>
      <c r="D920" s="13" t="inlineStr">
        <is>
          <t>Online</t>
        </is>
      </c>
      <c r="E920" s="13" t="inlineStr">
        <is>
          <t>Furniture</t>
        </is>
      </c>
      <c r="F920" s="13" t="inlineStr">
        <is>
          <t>Oak Desk</t>
        </is>
      </c>
      <c r="G920" s="13" t="inlineStr">
        <is>
          <t>Consumer</t>
        </is>
      </c>
      <c r="H920" s="13" t="inlineStr">
        <is>
          <t>3</t>
        </is>
      </c>
      <c r="I920" s="14" t="inlineStr">
        <is>
          <t>890.90</t>
        </is>
      </c>
      <c r="J920" s="15" t="inlineStr">
        <is>
          <t>0.06</t>
        </is>
      </c>
      <c r="K920" s="14" t="inlineStr">
        <is>
          <t>552.36</t>
        </is>
      </c>
      <c r="L920" s="13" t="inlineStr">
        <is>
          <t>3</t>
        </is>
      </c>
      <c r="M920" s="13" t="inlineStr">
        <is>
          <t>Completed</t>
        </is>
      </c>
      <c r="N920" s="13" t="inlineStr">
        <is>
          <t>P. Rossi</t>
        </is>
      </c>
    </row>
    <row r="921">
      <c r="A921" s="13" t="inlineStr">
        <is>
          <t>HC-100919</t>
        </is>
      </c>
      <c r="B921" s="13" t="inlineStr">
        <is>
          <t>30.06.2024</t>
        </is>
      </c>
      <c r="C921" s="13" t="inlineStr">
        <is>
          <t>North</t>
        </is>
      </c>
      <c r="D921" s="13" t="inlineStr">
        <is>
          <t>In-Store</t>
        </is>
      </c>
      <c r="E921" s="13" t="inlineStr">
        <is>
          <t>Furniture</t>
        </is>
      </c>
      <c r="F921" s="13" t="inlineStr">
        <is>
          <t>Walnut Shelf</t>
        </is>
      </c>
      <c r="G921" s="13" t="inlineStr">
        <is>
          <t>Consumer</t>
        </is>
      </c>
      <c r="H921" s="13" t="inlineStr">
        <is>
          <t>4</t>
        </is>
      </c>
      <c r="I921" s="14" t="inlineStr">
        <is>
          <t>209.27</t>
        </is>
      </c>
      <c r="J921" s="15" t="inlineStr">
        <is>
          <t>0.05</t>
        </is>
      </c>
      <c r="K921" s="14" t="inlineStr">
        <is>
          <t>115.10</t>
        </is>
      </c>
      <c r="L921" s="13" t="inlineStr">
        <is>
          <t>6</t>
        </is>
      </c>
      <c r="M921" s="13" t="inlineStr">
        <is>
          <t>Returned</t>
        </is>
      </c>
      <c r="N921" s="13" t="inlineStr">
        <is>
          <t>K. Mensah</t>
        </is>
      </c>
    </row>
    <row r="922">
      <c r="A922" s="13" t="inlineStr">
        <is>
          <t>HC-100920</t>
        </is>
      </c>
      <c r="B922" s="13" t="inlineStr">
        <is>
          <t>06/11/2025</t>
        </is>
      </c>
      <c r="C922" s="13" t="inlineStr">
        <is>
          <t>South</t>
        </is>
      </c>
      <c r="D922" s="13" t="inlineStr">
        <is>
          <t>Store</t>
        </is>
      </c>
      <c r="E922" s="13" t="inlineStr">
        <is>
          <t>Textiles</t>
        </is>
      </c>
      <c r="F922" s="13" t="inlineStr">
        <is>
          <t>Linen Curtain</t>
        </is>
      </c>
      <c r="G922" s="13" t="inlineStr">
        <is>
          <t>Home Office</t>
        </is>
      </c>
      <c r="H922" s="13" t="inlineStr">
        <is>
          <t>4</t>
        </is>
      </c>
      <c r="I922" s="14" t="inlineStr">
        <is>
          <t>98.60</t>
        </is>
      </c>
      <c r="J922" s="15" t="inlineStr">
        <is>
          <t>0.09</t>
        </is>
      </c>
      <c r="K922" s="14" t="inlineStr">
        <is>
          <t>44.37</t>
        </is>
      </c>
      <c r="L922" s="13" t="inlineStr">
        <is>
          <t>6</t>
        </is>
      </c>
      <c r="M922" s="13" t="inlineStr">
        <is>
          <t>Completed</t>
        </is>
      </c>
      <c r="N922" s="13" t="inlineStr">
        <is>
          <t>A. Shah</t>
        </is>
      </c>
    </row>
    <row r="923">
      <c r="A923" s="13" t="inlineStr">
        <is>
          <t>HC-100921</t>
        </is>
      </c>
      <c r="B923" s="13" t="inlineStr">
        <is>
          <t>30-Jan-24</t>
        </is>
      </c>
      <c r="C923" s="13" t="inlineStr">
        <is>
          <t>West</t>
        </is>
      </c>
      <c r="D923" s="13" t="inlineStr">
        <is>
          <t>Store</t>
        </is>
      </c>
      <c r="E923" s="13" t="inlineStr">
        <is>
          <t>Furniture</t>
        </is>
      </c>
      <c r="F923" s="13" t="inlineStr">
        <is>
          <t>Lounge Chair</t>
        </is>
      </c>
      <c r="G923" s="13" t="inlineStr">
        <is>
          <t>Home Office</t>
        </is>
      </c>
      <c r="H923" s="13" t="inlineStr">
        <is>
          <t>3</t>
        </is>
      </c>
      <c r="I923" s="14" t="inlineStr">
        <is>
          <t>477.62</t>
        </is>
      </c>
      <c r="J923" s="15" t="inlineStr">
        <is>
          <t>0.00</t>
        </is>
      </c>
      <c r="K923" s="14" t="inlineStr">
        <is>
          <t>286.57</t>
        </is>
      </c>
      <c r="L923" s="13" t="inlineStr">
        <is>
          <t>7</t>
        </is>
      </c>
      <c r="M923" s="13" t="inlineStr">
        <is>
          <t>Completed</t>
        </is>
      </c>
      <c r="N923" s="13" t="inlineStr">
        <is>
          <t>K. Mensah</t>
        </is>
      </c>
    </row>
    <row r="924">
      <c r="A924" s="13" t="inlineStr">
        <is>
          <t>HC-100922</t>
        </is>
      </c>
      <c r="B924" s="13" t="inlineStr">
        <is>
          <t>2024/02/28</t>
        </is>
      </c>
      <c r="C924" s="13" t="inlineStr">
        <is>
          <t>South</t>
        </is>
      </c>
      <c r="D924" s="13" t="inlineStr">
        <is>
          <t>Store</t>
        </is>
      </c>
      <c r="E924" s="13" t="inlineStr">
        <is>
          <t>Lighting</t>
        </is>
      </c>
      <c r="F924" s="13" t="inlineStr">
        <is>
          <t>Brass Sconce</t>
        </is>
      </c>
      <c r="G924" s="13" t="inlineStr">
        <is>
          <t>Consumer</t>
        </is>
      </c>
      <c r="H924" s="13" t="inlineStr">
        <is>
          <t>1</t>
        </is>
      </c>
      <c r="I924" s="14" t="inlineStr">
        <is>
          <t>135.43</t>
        </is>
      </c>
      <c r="J924" s="15" t="inlineStr">
        <is>
          <t>0.03</t>
        </is>
      </c>
      <c r="K924" s="14" t="inlineStr">
        <is>
          <t>62.30</t>
        </is>
      </c>
      <c r="L924" s="13" t="inlineStr">
        <is>
          <t>6</t>
        </is>
      </c>
      <c r="M924" s="13" t="inlineStr">
        <is>
          <t>Completed</t>
        </is>
      </c>
      <c r="N924" s="13" t="inlineStr">
        <is>
          <t>J. Patel</t>
        </is>
      </c>
    </row>
    <row r="925">
      <c r="A925" s="13" t="inlineStr">
        <is>
          <t>HC-100923</t>
        </is>
      </c>
      <c r="B925" s="13" t="inlineStr">
        <is>
          <t>25.11.2024</t>
        </is>
      </c>
      <c r="C925" s="13" t="inlineStr">
        <is>
          <t>west</t>
        </is>
      </c>
      <c r="D925" s="13" t="inlineStr">
        <is>
          <t>Wholesale</t>
        </is>
      </c>
      <c r="E925" s="13" t="inlineStr">
        <is>
          <t>Textiles</t>
        </is>
      </c>
      <c r="F925" s="13" t="inlineStr">
        <is>
          <t>Cotton Duvet</t>
        </is>
      </c>
      <c r="G925" s="13" t="inlineStr">
        <is>
          <t>Consumer</t>
        </is>
      </c>
      <c r="H925" s="13" t="inlineStr">
        <is>
          <t>33</t>
        </is>
      </c>
      <c r="I925" s="14" t="inlineStr">
        <is>
          <t>128.69</t>
        </is>
      </c>
      <c r="J925" s="15" t="inlineStr">
        <is>
          <t>0.23</t>
        </is>
      </c>
      <c r="K925" s="14" t="inlineStr">
        <is>
          <t>56.62</t>
        </is>
      </c>
      <c r="L925" s="13" t="inlineStr">
        <is>
          <t>9</t>
        </is>
      </c>
      <c r="M925" s="13" t="inlineStr">
        <is>
          <t>Returned</t>
        </is>
      </c>
      <c r="N925" s="13" t="inlineStr">
        <is>
          <t>A. Shah</t>
        </is>
      </c>
    </row>
    <row r="926">
      <c r="A926" s="13" t="inlineStr">
        <is>
          <t>HC-100924</t>
        </is>
      </c>
      <c r="B926" s="13" t="inlineStr">
        <is>
          <t>01/26/2025</t>
        </is>
      </c>
      <c r="C926" s="13" t="inlineStr">
        <is>
          <t>West</t>
        </is>
      </c>
      <c r="D926" s="13" t="inlineStr">
        <is>
          <t>Online</t>
        </is>
      </c>
      <c r="E926" s="13" t="inlineStr">
        <is>
          <t>Furniture</t>
        </is>
      </c>
      <c r="F926" s="13" t="inlineStr">
        <is>
          <t>Linen Sofa</t>
        </is>
      </c>
      <c r="G926" s="13" t="inlineStr">
        <is>
          <t>Corporate</t>
        </is>
      </c>
      <c r="H926" s="13" t="inlineStr">
        <is>
          <t>1</t>
        </is>
      </c>
      <c r="I926" s="14" t="inlineStr">
        <is>
          <t>1291.36</t>
        </is>
      </c>
      <c r="J926" s="15" t="inlineStr">
        <is>
          <t>0.03</t>
        </is>
      </c>
      <c r="K926" s="14" t="inlineStr">
        <is>
          <t>852.30</t>
        </is>
      </c>
      <c r="L926" s="13" t="inlineStr">
        <is>
          <t>10</t>
        </is>
      </c>
      <c r="M926" s="13" t="inlineStr">
        <is>
          <t>retrned</t>
        </is>
      </c>
      <c r="N926" s="13" t="inlineStr">
        <is>
          <t>J. Patel</t>
        </is>
      </c>
    </row>
    <row r="927">
      <c r="A927" s="13" t="inlineStr">
        <is>
          <t>HC-100925</t>
        </is>
      </c>
      <c r="B927" s="13" t="inlineStr">
        <is>
          <t>02-Nov-24</t>
        </is>
      </c>
      <c r="C927" s="13" t="inlineStr">
        <is>
          <t>North</t>
        </is>
      </c>
      <c r="D927" s="13" t="inlineStr">
        <is>
          <t>Store</t>
        </is>
      </c>
      <c r="E927" s="13" t="inlineStr">
        <is>
          <t>Textiles</t>
        </is>
      </c>
      <c r="F927" s="13" t="inlineStr">
        <is>
          <t>Wool Throw</t>
        </is>
      </c>
      <c r="G927" s="13" t="inlineStr">
        <is>
          <t>Consumer</t>
        </is>
      </c>
      <c r="H927" s="13" t="inlineStr">
        <is>
          <t>2</t>
        </is>
      </c>
      <c r="I927" s="14" t="inlineStr">
        <is>
          <t>74.15</t>
        </is>
      </c>
      <c r="J927" s="15" t="inlineStr">
        <is>
          <t>0.04</t>
        </is>
      </c>
      <c r="K927" s="14" t="inlineStr">
        <is>
          <t>31.14</t>
        </is>
      </c>
      <c r="L927" s="13" t="inlineStr">
        <is>
          <t>6</t>
        </is>
      </c>
      <c r="M927" s="13" t="inlineStr">
        <is>
          <t>Completed</t>
        </is>
      </c>
      <c r="N927" s="13" t="inlineStr">
        <is>
          <t>J. Patel</t>
        </is>
      </c>
    </row>
    <row r="928">
      <c r="A928" s="13" t="inlineStr">
        <is>
          <t>HC-100926</t>
        </is>
      </c>
      <c r="B928" s="13" t="inlineStr">
        <is>
          <t>2024/11/27</t>
        </is>
      </c>
      <c r="C928" s="13" t="inlineStr">
        <is>
          <t xml:space="preserve"> North </t>
        </is>
      </c>
      <c r="D928" s="13" t="inlineStr">
        <is>
          <t>In-Store</t>
        </is>
      </c>
      <c r="E928" s="13" t="inlineStr">
        <is>
          <t>Kitchen</t>
        </is>
      </c>
      <c r="F928" s="13" t="inlineStr">
        <is>
          <t>Chef Knife</t>
        </is>
      </c>
      <c r="G928" s="13" t="inlineStr">
        <is>
          <t>Home Office</t>
        </is>
      </c>
      <c r="H928" s="13" t="inlineStr">
        <is>
          <t>4</t>
        </is>
      </c>
      <c r="I928" s="14" t="inlineStr">
        <is>
          <t>59.31</t>
        </is>
      </c>
      <c r="J928" s="15" t="inlineStr">
        <is>
          <t>0.09</t>
        </is>
      </c>
      <c r="K928" s="14" t="inlineStr">
        <is>
          <t>21.35</t>
        </is>
      </c>
      <c r="L928" s="13" t="inlineStr">
        <is>
          <t>2</t>
        </is>
      </c>
      <c r="M928" s="13" t="inlineStr">
        <is>
          <t>Completed</t>
        </is>
      </c>
      <c r="N928" s="13" t="inlineStr">
        <is>
          <t>L. Berger</t>
        </is>
      </c>
    </row>
    <row r="929">
      <c r="A929" s="13" t="inlineStr">
        <is>
          <t>HC-100927</t>
        </is>
      </c>
      <c r="B929" s="13" t="inlineStr">
        <is>
          <t>30.10.2024</t>
        </is>
      </c>
      <c r="C929" s="13" t="inlineStr">
        <is>
          <t>SOUTH</t>
        </is>
      </c>
      <c r="D929" s="13" t="inlineStr">
        <is>
          <t>In-Store</t>
        </is>
      </c>
      <c r="E929" s="13" t="inlineStr">
        <is>
          <t>Furniture</t>
        </is>
      </c>
      <c r="F929" s="13" t="inlineStr">
        <is>
          <t>Oak Desk</t>
        </is>
      </c>
      <c r="G929" s="13" t="inlineStr">
        <is>
          <t>Corporate</t>
        </is>
      </c>
      <c r="H929" s="13" t="inlineStr">
        <is>
          <t>4</t>
        </is>
      </c>
      <c r="I929" s="14" t="inlineStr">
        <is>
          <t>$897.59</t>
        </is>
      </c>
      <c r="J929" s="15" t="inlineStr">
        <is>
          <t>0.08</t>
        </is>
      </c>
      <c r="K929" s="14" t="inlineStr">
        <is>
          <t>556.51</t>
        </is>
      </c>
      <c r="L929" s="13" t="inlineStr">
        <is>
          <t>5</t>
        </is>
      </c>
      <c r="M929" s="13" t="inlineStr">
        <is>
          <t>Compleated</t>
        </is>
      </c>
      <c r="N929" s="13" t="inlineStr">
        <is>
          <t>R. Ibarra</t>
        </is>
      </c>
    </row>
    <row r="930">
      <c r="A930" s="13" t="inlineStr">
        <is>
          <t>HC-100928</t>
        </is>
      </c>
      <c r="B930" s="13" t="inlineStr">
        <is>
          <t>06/19/2025</t>
        </is>
      </c>
      <c r="C930" s="13" t="inlineStr">
        <is>
          <t>South</t>
        </is>
      </c>
      <c r="D930" s="13" t="inlineStr">
        <is>
          <t>Online</t>
        </is>
      </c>
      <c r="E930" s="13" t="inlineStr">
        <is>
          <t>Lighting</t>
        </is>
      </c>
      <c r="F930" s="13" t="inlineStr">
        <is>
          <t>Pendant Light</t>
        </is>
      </c>
      <c r="G930" s="13" t="inlineStr">
        <is>
          <t>Corporate</t>
        </is>
      </c>
      <c r="H930" s="13" t="inlineStr">
        <is>
          <t>1</t>
        </is>
      </c>
      <c r="I930" s="14" t="inlineStr">
        <is>
          <t>172.56</t>
        </is>
      </c>
      <c r="J930" s="15" t="inlineStr">
        <is>
          <t>0.12</t>
        </is>
      </c>
      <c r="K930" s="14" t="inlineStr">
        <is>
          <t>86.28</t>
        </is>
      </c>
      <c r="L930" s="13" t="inlineStr">
        <is>
          <t>6</t>
        </is>
      </c>
      <c r="M930" s="13" t="inlineStr">
        <is>
          <t>Completed</t>
        </is>
      </c>
      <c r="N930" s="13" t="inlineStr">
        <is>
          <t>R. Ibarra</t>
        </is>
      </c>
    </row>
    <row r="931">
      <c r="A931" s="13" t="inlineStr">
        <is>
          <t>HC-100929</t>
        </is>
      </c>
      <c r="B931" s="13" t="inlineStr">
        <is>
          <t>29-Jan-24</t>
        </is>
      </c>
      <c r="C931" s="13" t="inlineStr">
        <is>
          <t>west</t>
        </is>
      </c>
      <c r="D931" s="13" t="inlineStr">
        <is>
          <t>Online</t>
        </is>
      </c>
      <c r="E931" s="13" t="inlineStr">
        <is>
          <t>Furniture</t>
        </is>
      </c>
      <c r="F931" s="13" t="inlineStr">
        <is>
          <t>Walnut Shelf</t>
        </is>
      </c>
      <c r="G931" s="13" t="inlineStr">
        <is>
          <t>Home Office</t>
        </is>
      </c>
      <c r="H931" s="13" t="inlineStr">
        <is>
          <t>1</t>
        </is>
      </c>
      <c r="I931" s="14" t="inlineStr">
        <is>
          <t>224.58</t>
        </is>
      </c>
      <c r="J931" s="15" t="inlineStr">
        <is>
          <t>0.17</t>
        </is>
      </c>
      <c r="K931" s="14" t="inlineStr">
        <is>
          <t>123.52</t>
        </is>
      </c>
      <c r="L931" s="13" t="inlineStr">
        <is>
          <t>5</t>
        </is>
      </c>
      <c r="M931" s="13" t="inlineStr">
        <is>
          <t>Completed</t>
        </is>
      </c>
      <c r="N931" s="13" t="inlineStr">
        <is>
          <t>J. Patel</t>
        </is>
      </c>
    </row>
    <row r="932">
      <c r="A932" s="13" t="inlineStr">
        <is>
          <t>HC-100930</t>
        </is>
      </c>
      <c r="B932" s="13" t="inlineStr">
        <is>
          <t>2025/04/14</t>
        </is>
      </c>
      <c r="C932" s="13" t="inlineStr">
        <is>
          <t>West</t>
        </is>
      </c>
      <c r="D932" s="13" t="inlineStr">
        <is>
          <t>Store</t>
        </is>
      </c>
      <c r="E932" s="13" t="inlineStr">
        <is>
          <t>KITCHEN</t>
        </is>
      </c>
      <c r="F932" s="13" t="inlineStr">
        <is>
          <t>Ceramic Set</t>
        </is>
      </c>
      <c r="G932" s="13" t="inlineStr">
        <is>
          <t>Consumer</t>
        </is>
      </c>
      <c r="H932" s="13" t="inlineStr">
        <is>
          <t>4</t>
        </is>
      </c>
      <c r="I932" s="14" t="inlineStr">
        <is>
          <t>80.78</t>
        </is>
      </c>
      <c r="J932" s="15" t="inlineStr">
        <is>
          <t>0.08</t>
        </is>
      </c>
      <c r="K932" s="14" t="inlineStr">
        <is>
          <t>30.70</t>
        </is>
      </c>
      <c r="L932" s="13" t="inlineStr">
        <is>
          <t>8</t>
        </is>
      </c>
      <c r="M932" s="13" t="inlineStr">
        <is>
          <t>Completed</t>
        </is>
      </c>
      <c r="N932" s="13" t="inlineStr">
        <is>
          <t>R. Ibarra</t>
        </is>
      </c>
    </row>
    <row r="933">
      <c r="A933" s="13" t="inlineStr">
        <is>
          <t>HC-100931</t>
        </is>
      </c>
      <c r="B933" s="13" t="inlineStr">
        <is>
          <t>12.05.2024</t>
        </is>
      </c>
      <c r="C933" s="13" t="inlineStr">
        <is>
          <t>South</t>
        </is>
      </c>
      <c r="D933" s="13" t="inlineStr">
        <is>
          <t>Online</t>
        </is>
      </c>
      <c r="E933" s="13" t="inlineStr">
        <is>
          <t>Furniture</t>
        </is>
      </c>
      <c r="F933" s="13" t="inlineStr">
        <is>
          <t>Oak Desk</t>
        </is>
      </c>
      <c r="G933" s="13" t="inlineStr">
        <is>
          <t>Corporate</t>
        </is>
      </c>
      <c r="H933" s="13" t="inlineStr">
        <is>
          <t>2</t>
        </is>
      </c>
      <c r="I933" s="14" t="inlineStr">
        <is>
          <t>812.34</t>
        </is>
      </c>
      <c r="J933" s="15" t="inlineStr">
        <is>
          <t>0.07</t>
        </is>
      </c>
      <c r="K933" s="14" t="inlineStr">
        <is>
          <t>503.65</t>
        </is>
      </c>
      <c r="L933" s="13" t="inlineStr">
        <is>
          <t>4</t>
        </is>
      </c>
      <c r="M933" s="13" t="inlineStr">
        <is>
          <t>Completed</t>
        </is>
      </c>
      <c r="N933" s="13" t="inlineStr">
        <is>
          <t>M. Okonkwo</t>
        </is>
      </c>
    </row>
    <row r="934">
      <c r="A934" s="13" t="inlineStr">
        <is>
          <t>HC-100932</t>
        </is>
      </c>
      <c r="B934" s="13" t="inlineStr">
        <is>
          <t>02/01/2025</t>
        </is>
      </c>
      <c r="C934" s="13" t="inlineStr">
        <is>
          <t>North</t>
        </is>
      </c>
      <c r="D934" s="13" t="inlineStr">
        <is>
          <t>Online</t>
        </is>
      </c>
      <c r="E934" s="13" t="inlineStr">
        <is>
          <t>Furniture</t>
        </is>
      </c>
      <c r="F934" s="13" t="inlineStr">
        <is>
          <t>Lounge Chair</t>
        </is>
      </c>
      <c r="G934" s="13" t="inlineStr">
        <is>
          <t>Consumer</t>
        </is>
      </c>
      <c r="H934" s="13" t="inlineStr">
        <is>
          <t>1</t>
        </is>
      </c>
      <c r="I934" s="14" t="inlineStr">
        <is>
          <t>487.68</t>
        </is>
      </c>
      <c r="J934" s="15" t="inlineStr">
        <is>
          <t>0.05</t>
        </is>
      </c>
      <c r="K934" s="14" t="inlineStr">
        <is>
          <t>292.61</t>
        </is>
      </c>
      <c r="L934" s="13" t="inlineStr">
        <is>
          <t>5</t>
        </is>
      </c>
      <c r="M934" s="13" t="inlineStr">
        <is>
          <t>COMPLETED</t>
        </is>
      </c>
      <c r="N934" s="13" t="inlineStr">
        <is>
          <t>P. Rossi</t>
        </is>
      </c>
    </row>
    <row r="935">
      <c r="A935" s="13" t="inlineStr">
        <is>
          <t>HC-100933</t>
        </is>
      </c>
      <c r="B935" s="13" t="inlineStr">
        <is>
          <t>22-Mar-24</t>
        </is>
      </c>
      <c r="C935" s="13" t="inlineStr">
        <is>
          <t xml:space="preserve"> west </t>
        </is>
      </c>
      <c r="D935" s="13" t="inlineStr">
        <is>
          <t>Store</t>
        </is>
      </c>
      <c r="E935" s="13" t="inlineStr">
        <is>
          <t>Furniture</t>
        </is>
      </c>
      <c r="F935" s="13" t="inlineStr">
        <is>
          <t>Oak Desk</t>
        </is>
      </c>
      <c r="G935" s="13" t="inlineStr">
        <is>
          <t>Consumer</t>
        </is>
      </c>
      <c r="H935" s="13" t="inlineStr">
        <is>
          <t>2</t>
        </is>
      </c>
      <c r="I935" s="14" t="inlineStr">
        <is>
          <t>899.68</t>
        </is>
      </c>
      <c r="J935" s="15" t="inlineStr">
        <is>
          <t>0.09</t>
        </is>
      </c>
      <c r="K935" s="14" t="inlineStr">
        <is>
          <t>557.80</t>
        </is>
      </c>
      <c r="L935" s="13" t="inlineStr">
        <is>
          <t>4</t>
        </is>
      </c>
      <c r="M935" s="13" t="inlineStr">
        <is>
          <t>Completed</t>
        </is>
      </c>
      <c r="N935" s="13" t="inlineStr">
        <is>
          <t>R. Ibarra</t>
        </is>
      </c>
    </row>
    <row r="936">
      <c r="A936" s="13" t="inlineStr">
        <is>
          <t>HC-100934</t>
        </is>
      </c>
      <c r="B936" s="13" t="inlineStr">
        <is>
          <t>2025/06/13</t>
        </is>
      </c>
      <c r="C936" s="13" t="inlineStr">
        <is>
          <t>West</t>
        </is>
      </c>
      <c r="D936" s="13" t="inlineStr">
        <is>
          <t>Online</t>
        </is>
      </c>
      <c r="E936" s="13" t="inlineStr">
        <is>
          <t>Lighting</t>
        </is>
      </c>
      <c r="F936" s="13" t="inlineStr">
        <is>
          <t>Brass Sconce</t>
        </is>
      </c>
      <c r="G936" s="13" t="inlineStr">
        <is>
          <t>Home Office</t>
        </is>
      </c>
      <c r="H936" s="13" t="inlineStr">
        <is>
          <t>3</t>
        </is>
      </c>
      <c r="I936" s="14" t="inlineStr">
        <is>
          <t>151.12</t>
        </is>
      </c>
      <c r="J936" s="15" t="inlineStr">
        <is>
          <t>0.06</t>
        </is>
      </c>
      <c r="K936" s="14" t="inlineStr">
        <is>
          <t>69.52</t>
        </is>
      </c>
      <c r="L936" s="13" t="inlineStr">
        <is>
          <t>4</t>
        </is>
      </c>
      <c r="M936" s="13" t="inlineStr">
        <is>
          <t>Cancelled</t>
        </is>
      </c>
      <c r="N936" s="13" t="inlineStr">
        <is>
          <t>L. Berger</t>
        </is>
      </c>
    </row>
    <row r="937">
      <c r="A937" s="13" t="inlineStr">
        <is>
          <t>HC-100935</t>
        </is>
      </c>
      <c r="B937" s="13" t="inlineStr">
        <is>
          <t>18.06.2024</t>
        </is>
      </c>
      <c r="C937" s="13" t="inlineStr">
        <is>
          <t>West</t>
        </is>
      </c>
      <c r="D937" s="13" t="inlineStr">
        <is>
          <t>Wholesale</t>
        </is>
      </c>
      <c r="E937" s="13" t="inlineStr">
        <is>
          <t>Furniture</t>
        </is>
      </c>
      <c r="F937" s="13" t="inlineStr">
        <is>
          <t>Walnut Shelf</t>
        </is>
      </c>
      <c r="G937" s="13" t="inlineStr">
        <is>
          <t>Consumer</t>
        </is>
      </c>
      <c r="H937" s="13" t="inlineStr">
        <is>
          <t>16</t>
        </is>
      </c>
      <c r="I937" s="14" t="inlineStr">
        <is>
          <t>233.21</t>
        </is>
      </c>
      <c r="J937" s="15" t="inlineStr">
        <is>
          <t>0.22</t>
        </is>
      </c>
      <c r="K937" s="14" t="inlineStr">
        <is>
          <t>128.27</t>
        </is>
      </c>
      <c r="L937" s="13" t="inlineStr">
        <is>
          <t>7</t>
        </is>
      </c>
      <c r="M937" s="13" t="inlineStr">
        <is>
          <t>Cancelled</t>
        </is>
      </c>
      <c r="N937" s="13" t="inlineStr">
        <is>
          <t>A. Shah</t>
        </is>
      </c>
    </row>
    <row r="938">
      <c r="A938" s="13" t="inlineStr">
        <is>
          <t>HC-100936</t>
        </is>
      </c>
      <c r="B938" s="13" t="inlineStr">
        <is>
          <t>08/29/2025</t>
        </is>
      </c>
      <c r="C938" s="13" t="inlineStr">
        <is>
          <t>East</t>
        </is>
      </c>
      <c r="D938" s="13" t="inlineStr">
        <is>
          <t>Store</t>
        </is>
      </c>
      <c r="E938" s="13" t="inlineStr">
        <is>
          <t>Textiles</t>
        </is>
      </c>
      <c r="F938" s="13" t="inlineStr">
        <is>
          <t>Linen Curtain</t>
        </is>
      </c>
      <c r="G938" s="13" t="inlineStr">
        <is>
          <t>Consumer</t>
        </is>
      </c>
      <c r="H938" s="13" t="inlineStr">
        <is>
          <t>1</t>
        </is>
      </c>
      <c r="I938" s="14" t="inlineStr">
        <is>
          <t>79.09</t>
        </is>
      </c>
      <c r="J938" s="15" t="inlineStr">
        <is>
          <t>0.04</t>
        </is>
      </c>
      <c r="K938" s="14" t="inlineStr">
        <is>
          <t>35.59</t>
        </is>
      </c>
      <c r="L938" s="13" t="inlineStr">
        <is>
          <t>10</t>
        </is>
      </c>
      <c r="M938" s="13" t="inlineStr">
        <is>
          <t>complete</t>
        </is>
      </c>
      <c r="N938" s="13" t="inlineStr">
        <is>
          <t>J. Patel</t>
        </is>
      </c>
    </row>
    <row r="939">
      <c r="A939" s="13" t="inlineStr">
        <is>
          <t>HC-100937</t>
        </is>
      </c>
      <c r="B939" s="13" t="inlineStr">
        <is>
          <t>20-Dec-24</t>
        </is>
      </c>
      <c r="C939" s="13" t="inlineStr">
        <is>
          <t>South</t>
        </is>
      </c>
      <c r="D939" s="13" t="inlineStr">
        <is>
          <t>Store</t>
        </is>
      </c>
      <c r="E939" s="13" t="inlineStr">
        <is>
          <t>LIGHTING</t>
        </is>
      </c>
      <c r="F939" s="13" t="inlineStr">
        <is>
          <t>Arc Lamp</t>
        </is>
      </c>
      <c r="G939" s="13" t="inlineStr">
        <is>
          <t>Consumer</t>
        </is>
      </c>
      <c r="H939" s="13" t="inlineStr">
        <is>
          <t>4</t>
        </is>
      </c>
      <c r="I939" s="14" t="inlineStr">
        <is>
          <t>312.06</t>
        </is>
      </c>
      <c r="J939" s="15" t="inlineStr">
        <is>
          <t>3%</t>
        </is>
      </c>
      <c r="K939" s="14" t="inlineStr">
        <is>
          <t>149.79</t>
        </is>
      </c>
      <c r="L939" s="13" t="inlineStr">
        <is>
          <t>9</t>
        </is>
      </c>
      <c r="M939" s="13" t="inlineStr">
        <is>
          <t>Canceled</t>
        </is>
      </c>
      <c r="N939" s="13" t="inlineStr">
        <is>
          <t>J. Patel</t>
        </is>
      </c>
    </row>
    <row r="940">
      <c r="A940" s="13" t="inlineStr">
        <is>
          <t>HC-100938</t>
        </is>
      </c>
      <c r="B940" s="13" t="inlineStr">
        <is>
          <t>2025/08/14</t>
        </is>
      </c>
      <c r="C940" s="13" t="inlineStr">
        <is>
          <t>North</t>
        </is>
      </c>
      <c r="D940" s="13" t="inlineStr">
        <is>
          <t>Wholesale</t>
        </is>
      </c>
      <c r="E940" s="13" t="inlineStr">
        <is>
          <t>Kitchen</t>
        </is>
      </c>
      <c r="F940" s="13" t="inlineStr">
        <is>
          <t>Chef Knife</t>
        </is>
      </c>
      <c r="G940" s="13" t="inlineStr">
        <is>
          <t>Corporate</t>
        </is>
      </c>
      <c r="H940" s="13" t="inlineStr">
        <is>
          <t>24</t>
        </is>
      </c>
      <c r="I940" s="14" t="inlineStr">
        <is>
          <t>65.24</t>
        </is>
      </c>
      <c r="J940" s="15" t="inlineStr">
        <is>
          <t>0.13</t>
        </is>
      </c>
      <c r="K940" s="14" t="inlineStr">
        <is>
          <t>23.49</t>
        </is>
      </c>
      <c r="L940" s="13" t="inlineStr">
        <is>
          <t>7</t>
        </is>
      </c>
      <c r="M940" s="13" t="inlineStr">
        <is>
          <t>COMPLETED</t>
        </is>
      </c>
      <c r="N940" s="13" t="inlineStr">
        <is>
          <t>J. Patel</t>
        </is>
      </c>
    </row>
    <row r="941">
      <c r="A941" s="13" t="inlineStr">
        <is>
          <t>HC-100939</t>
        </is>
      </c>
      <c r="B941" s="13" t="inlineStr">
        <is>
          <t>12.09.2024</t>
        </is>
      </c>
      <c r="C941" s="13" t="inlineStr">
        <is>
          <t>East</t>
        </is>
      </c>
      <c r="D941" s="13" t="inlineStr">
        <is>
          <t>Store</t>
        </is>
      </c>
      <c r="E941" s="13" t="inlineStr">
        <is>
          <t>Furniture</t>
        </is>
      </c>
      <c r="F941" s="13" t="inlineStr">
        <is>
          <t>Lounge Chair</t>
        </is>
      </c>
      <c r="G941" s="13" t="inlineStr">
        <is>
          <t>Home Office</t>
        </is>
      </c>
      <c r="H941" s="13" t="inlineStr">
        <is>
          <t>1</t>
        </is>
      </c>
      <c r="I941" s="14" t="inlineStr">
        <is>
          <t>$443.94</t>
        </is>
      </c>
      <c r="J941" s="15" t="inlineStr">
        <is>
          <t>0.08</t>
        </is>
      </c>
      <c r="K941" s="14" t="inlineStr">
        <is>
          <t>266.36</t>
        </is>
      </c>
      <c r="L941" s="13" t="inlineStr">
        <is>
          <t>11</t>
        </is>
      </c>
      <c r="M941" s="13" t="inlineStr">
        <is>
          <t>Completed</t>
        </is>
      </c>
      <c r="N941" s="13" t="inlineStr">
        <is>
          <t>A. Shah</t>
        </is>
      </c>
    </row>
    <row r="942">
      <c r="A942" s="13" t="inlineStr">
        <is>
          <t>HC-100940</t>
        </is>
      </c>
      <c r="B942" s="13" t="inlineStr">
        <is>
          <t>03/02/2025</t>
        </is>
      </c>
      <c r="C942" s="13" t="inlineStr">
        <is>
          <t>West</t>
        </is>
      </c>
      <c r="D942" s="13" t="inlineStr">
        <is>
          <t>Wholesale</t>
        </is>
      </c>
      <c r="E942" s="13" t="inlineStr">
        <is>
          <t>Furniture</t>
        </is>
      </c>
      <c r="F942" s="13" t="inlineStr">
        <is>
          <t>Oak Desk</t>
        </is>
      </c>
      <c r="G942" s="13" t="inlineStr">
        <is>
          <t>Home Office</t>
        </is>
      </c>
      <c r="H942" s="13" t="inlineStr">
        <is>
          <t>22</t>
        </is>
      </c>
      <c r="I942" s="14" t="inlineStr">
        <is>
          <t>773.34</t>
        </is>
      </c>
      <c r="J942" s="15" t="inlineStr">
        <is>
          <t>0.25</t>
        </is>
      </c>
      <c r="K942" s="14" t="inlineStr">
        <is>
          <t>479.47</t>
        </is>
      </c>
      <c r="L942" s="13" t="inlineStr">
        <is>
          <t>3</t>
        </is>
      </c>
      <c r="M942" s="13" t="inlineStr">
        <is>
          <t>Completed</t>
        </is>
      </c>
      <c r="N942" s="13" t="inlineStr">
        <is>
          <t>P. Rossi</t>
        </is>
      </c>
    </row>
    <row r="943">
      <c r="A943" s="13" t="inlineStr">
        <is>
          <t>HC-100941</t>
        </is>
      </c>
      <c r="B943" s="13" t="inlineStr">
        <is>
          <t>30-May-24</t>
        </is>
      </c>
      <c r="C943" s="13" t="inlineStr">
        <is>
          <t>Eas</t>
        </is>
      </c>
      <c r="D943" s="13" t="inlineStr">
        <is>
          <t>e-commerce</t>
        </is>
      </c>
      <c r="E943" s="13" t="inlineStr">
        <is>
          <t>Textiles</t>
        </is>
      </c>
      <c r="F943" s="13" t="inlineStr">
        <is>
          <t>Cotton Duvet</t>
        </is>
      </c>
      <c r="G943" s="13" t="inlineStr">
        <is>
          <t>Consumer</t>
        </is>
      </c>
      <c r="H943" s="13" t="inlineStr">
        <is>
          <t>3</t>
        </is>
      </c>
      <c r="I943" s="14" t="inlineStr">
        <is>
          <t>110.59</t>
        </is>
      </c>
      <c r="J943" s="15" t="inlineStr">
        <is>
          <t>0.14</t>
        </is>
      </c>
      <c r="K943" s="14" t="inlineStr">
        <is>
          <t>48.66</t>
        </is>
      </c>
      <c r="L943" s="13" t="inlineStr">
        <is>
          <t>9</t>
        </is>
      </c>
      <c r="M943" s="13" t="inlineStr">
        <is>
          <t>Completed</t>
        </is>
      </c>
      <c r="N943" s="13" t="inlineStr">
        <is>
          <t>R. Ibarra</t>
        </is>
      </c>
    </row>
    <row r="944">
      <c r="A944" s="13" t="inlineStr">
        <is>
          <t>HC-100942</t>
        </is>
      </c>
      <c r="B944" s="13" t="inlineStr">
        <is>
          <t>2024/02/01</t>
        </is>
      </c>
      <c r="C944" s="13" t="inlineStr">
        <is>
          <t>East</t>
        </is>
      </c>
      <c r="D944" s="13" t="inlineStr">
        <is>
          <t>Store</t>
        </is>
      </c>
      <c r="E944" s="13" t="inlineStr">
        <is>
          <t>TEXTILES</t>
        </is>
      </c>
      <c r="F944" s="13" t="inlineStr">
        <is>
          <t>Wool Throw</t>
        </is>
      </c>
      <c r="G944" s="13" t="inlineStr">
        <is>
          <t>Consumer</t>
        </is>
      </c>
      <c r="H944" s="13" t="inlineStr">
        <is>
          <t>1</t>
        </is>
      </c>
      <c r="I944" s="14" t="inlineStr">
        <is>
          <t>62.87</t>
        </is>
      </c>
      <c r="J944" s="15" t="inlineStr">
        <is>
          <t>0.09</t>
        </is>
      </c>
      <c r="K944" s="14" t="inlineStr">
        <is>
          <t>26.40</t>
        </is>
      </c>
      <c r="L944" s="13" t="inlineStr">
        <is>
          <t>11</t>
        </is>
      </c>
      <c r="M944" s="13" t="inlineStr">
        <is>
          <t>Completed</t>
        </is>
      </c>
      <c r="N944" s="13" t="inlineStr">
        <is>
          <t>S. Nguyen</t>
        </is>
      </c>
    </row>
    <row r="945">
      <c r="A945" s="13" t="inlineStr">
        <is>
          <t>HC-100943</t>
        </is>
      </c>
      <c r="B945" s="13" t="inlineStr">
        <is>
          <t>07.06.2025</t>
        </is>
      </c>
      <c r="C945" s="13" t="inlineStr">
        <is>
          <t>South</t>
        </is>
      </c>
      <c r="D945" s="13" t="inlineStr">
        <is>
          <t>Store</t>
        </is>
      </c>
      <c r="E945" s="13" t="inlineStr">
        <is>
          <t>Furniture</t>
        </is>
      </c>
      <c r="F945" s="13" t="inlineStr">
        <is>
          <t>Lounge Chair</t>
        </is>
      </c>
      <c r="G945" s="13" t="inlineStr">
        <is>
          <t>Consumer</t>
        </is>
      </c>
      <c r="H945" s="13" t="inlineStr">
        <is>
          <t>3</t>
        </is>
      </c>
      <c r="I945" s="14" t="inlineStr">
        <is>
          <t>455.17</t>
        </is>
      </c>
      <c r="J945" s="15" t="inlineStr">
        <is>
          <t>0.03</t>
        </is>
      </c>
      <c r="K945" s="14" t="inlineStr">
        <is>
          <t>273.10</t>
        </is>
      </c>
      <c r="L945" s="13" t="inlineStr">
        <is>
          <t>5</t>
        </is>
      </c>
      <c r="M945" s="13" t="inlineStr">
        <is>
          <t>Completed</t>
        </is>
      </c>
      <c r="N945" s="13" t="inlineStr">
        <is>
          <t>P. Rossi</t>
        </is>
      </c>
    </row>
    <row r="946">
      <c r="A946" s="13" t="inlineStr">
        <is>
          <t>HC-100944</t>
        </is>
      </c>
      <c r="B946" s="13" t="inlineStr">
        <is>
          <t>01/23/2025</t>
        </is>
      </c>
      <c r="C946" s="13" t="inlineStr">
        <is>
          <t>West</t>
        </is>
      </c>
      <c r="D946" s="13" t="inlineStr">
        <is>
          <t>Store</t>
        </is>
      </c>
      <c r="E946" s="13" t="inlineStr">
        <is>
          <t>Furniture</t>
        </is>
      </c>
      <c r="F946" s="13" t="inlineStr">
        <is>
          <t>Lounge Chair</t>
        </is>
      </c>
      <c r="G946" s="13" t="inlineStr">
        <is>
          <t>Corporate</t>
        </is>
      </c>
      <c r="H946" s="13" t="inlineStr">
        <is>
          <t>3</t>
        </is>
      </c>
      <c r="I946" s="14" t="inlineStr">
        <is>
          <t>$491.10</t>
        </is>
      </c>
      <c r="J946" s="15" t="inlineStr">
        <is>
          <t>4%</t>
        </is>
      </c>
      <c r="K946" s="14" t="inlineStr">
        <is>
          <t>294.66</t>
        </is>
      </c>
      <c r="L946" s="13" t="inlineStr">
        <is>
          <t>3</t>
        </is>
      </c>
      <c r="M946" s="13" t="inlineStr">
        <is>
          <t>Completed</t>
        </is>
      </c>
      <c r="N946" s="13" t="inlineStr">
        <is>
          <t>L. Berger</t>
        </is>
      </c>
    </row>
    <row r="947">
      <c r="A947" s="13" t="inlineStr">
        <is>
          <t>HC-100945</t>
        </is>
      </c>
      <c r="B947" s="13" t="inlineStr">
        <is>
          <t>02-Nov-24</t>
        </is>
      </c>
      <c r="C947" s="13" t="inlineStr">
        <is>
          <t>East</t>
        </is>
      </c>
      <c r="D947" s="13" t="inlineStr">
        <is>
          <t>Store</t>
        </is>
      </c>
      <c r="E947" s="13" t="inlineStr">
        <is>
          <t>Furniture</t>
        </is>
      </c>
      <c r="F947" s="13" t="inlineStr">
        <is>
          <t>Lounge Chair</t>
        </is>
      </c>
      <c r="G947" s="13" t="inlineStr">
        <is>
          <t>Home Office</t>
        </is>
      </c>
      <c r="H947" s="13" t="inlineStr">
        <is>
          <t>2</t>
        </is>
      </c>
      <c r="I947" s="14" t="inlineStr">
        <is>
          <t>421.35</t>
        </is>
      </c>
      <c r="J947" s="15" t="inlineStr">
        <is>
          <t>0.12</t>
        </is>
      </c>
      <c r="K947" s="14" t="inlineStr">
        <is>
          <t>252.81</t>
        </is>
      </c>
      <c r="L947" s="13" t="inlineStr">
        <is>
          <t>9</t>
        </is>
      </c>
      <c r="M947" s="13" t="inlineStr">
        <is>
          <t>complete</t>
        </is>
      </c>
      <c r="N947" s="13" t="inlineStr">
        <is>
          <t>L. Berger</t>
        </is>
      </c>
    </row>
    <row r="948">
      <c r="A948" s="13" t="inlineStr">
        <is>
          <t>HC-100946</t>
        </is>
      </c>
      <c r="B948" s="13" t="inlineStr">
        <is>
          <t>2024/10/23</t>
        </is>
      </c>
      <c r="C948" s="13" t="inlineStr">
        <is>
          <t>South</t>
        </is>
      </c>
      <c r="D948" s="13" t="inlineStr">
        <is>
          <t>Online</t>
        </is>
      </c>
      <c r="E948" s="13" t="inlineStr">
        <is>
          <t>Textiles</t>
        </is>
      </c>
      <c r="F948" s="13" t="inlineStr">
        <is>
          <t>Cotton Duvet</t>
        </is>
      </c>
      <c r="G948" s="13" t="inlineStr">
        <is>
          <t>Consumer</t>
        </is>
      </c>
      <c r="H948" s="13" t="inlineStr">
        <is>
          <t>2</t>
        </is>
      </c>
      <c r="I948" s="14" t="inlineStr">
        <is>
          <t>113.76</t>
        </is>
      </c>
      <c r="J948" s="15" t="inlineStr">
        <is>
          <t>0.02</t>
        </is>
      </c>
      <c r="K948" s="14" t="inlineStr">
        <is>
          <t>50.06</t>
        </is>
      </c>
      <c r="L948" s="13" t="inlineStr">
        <is>
          <t>3</t>
        </is>
      </c>
      <c r="M948" s="13" t="inlineStr">
        <is>
          <t>Completed</t>
        </is>
      </c>
      <c r="N948" s="13" t="inlineStr">
        <is>
          <t>J. Patel</t>
        </is>
      </c>
    </row>
    <row r="949">
      <c r="A949" s="13" t="inlineStr">
        <is>
          <t>HC-100947</t>
        </is>
      </c>
      <c r="B949" s="13" t="inlineStr">
        <is>
          <t>28.01.2024</t>
        </is>
      </c>
      <c r="C949" s="13" t="inlineStr">
        <is>
          <t>South</t>
        </is>
      </c>
      <c r="D949" s="13" t="inlineStr">
        <is>
          <t>Store</t>
        </is>
      </c>
      <c r="E949" s="13" t="inlineStr">
        <is>
          <t>Lighting</t>
        </is>
      </c>
      <c r="F949" s="13" t="inlineStr">
        <is>
          <t>Brass Sconce</t>
        </is>
      </c>
      <c r="G949" s="13" t="inlineStr">
        <is>
          <t>Consumer</t>
        </is>
      </c>
      <c r="H949" s="13" t="inlineStr">
        <is>
          <t>2</t>
        </is>
      </c>
      <c r="I949" s="14" t="inlineStr">
        <is>
          <t>137.17</t>
        </is>
      </c>
      <c r="J949" s="15" t="inlineStr">
        <is>
          <t>0.05</t>
        </is>
      </c>
      <c r="K949" s="14" t="inlineStr">
        <is>
          <t>63.10</t>
        </is>
      </c>
      <c r="L949" s="13" t="inlineStr">
        <is>
          <t>4</t>
        </is>
      </c>
      <c r="M949" s="13" t="inlineStr">
        <is>
          <t>Completed</t>
        </is>
      </c>
      <c r="N949" s="13" t="inlineStr">
        <is>
          <t>P. Rossi</t>
        </is>
      </c>
    </row>
    <row r="950">
      <c r="A950" s="13" t="inlineStr">
        <is>
          <t>HC-100948</t>
        </is>
      </c>
      <c r="B950" s="13" t="inlineStr">
        <is>
          <t>09/27/2024</t>
        </is>
      </c>
      <c r="C950" s="13" t="inlineStr">
        <is>
          <t xml:space="preserve"> west </t>
        </is>
      </c>
      <c r="D950" s="13" t="inlineStr">
        <is>
          <t>Store</t>
        </is>
      </c>
      <c r="E950" s="13" t="inlineStr">
        <is>
          <t>Textiles</t>
        </is>
      </c>
      <c r="F950" s="13" t="inlineStr">
        <is>
          <t>Linen Curtain</t>
        </is>
      </c>
      <c r="G950" s="13" t="inlineStr">
        <is>
          <t>Consumer</t>
        </is>
      </c>
      <c r="H950" s="13" t="inlineStr">
        <is>
          <t>1</t>
        </is>
      </c>
      <c r="I950" s="14" t="inlineStr">
        <is>
          <t>$88.23</t>
        </is>
      </c>
      <c r="J950" s="15" t="inlineStr">
        <is>
          <t>0.00</t>
        </is>
      </c>
      <c r="K950" s="14" t="inlineStr">
        <is>
          <t>39.70</t>
        </is>
      </c>
      <c r="L950" s="13" t="inlineStr">
        <is>
          <t>10</t>
        </is>
      </c>
      <c r="M950" s="13" t="inlineStr">
        <is>
          <t>Compleated</t>
        </is>
      </c>
      <c r="N950" s="13" t="inlineStr">
        <is>
          <t>M. Okonkwo</t>
        </is>
      </c>
    </row>
    <row r="951">
      <c r="A951" s="13" t="inlineStr">
        <is>
          <t>HC-100949</t>
        </is>
      </c>
      <c r="B951" s="13" t="inlineStr">
        <is>
          <t>22-Jul-25</t>
        </is>
      </c>
      <c r="C951" s="13" t="inlineStr">
        <is>
          <t>West</t>
        </is>
      </c>
      <c r="D951" s="13" t="inlineStr">
        <is>
          <t>Online</t>
        </is>
      </c>
      <c r="E951" s="13" t="inlineStr">
        <is>
          <t>Furniture</t>
        </is>
      </c>
      <c r="F951" s="13" t="inlineStr">
        <is>
          <t>Lounge Chair</t>
        </is>
      </c>
      <c r="G951" s="13" t="inlineStr"/>
      <c r="H951" s="13" t="inlineStr">
        <is>
          <t>1</t>
        </is>
      </c>
      <c r="I951" s="14" t="inlineStr">
        <is>
          <t>508.22</t>
        </is>
      </c>
      <c r="J951" s="15" t="inlineStr">
        <is>
          <t>0.07</t>
        </is>
      </c>
      <c r="K951" s="14" t="inlineStr">
        <is>
          <t>304.93</t>
        </is>
      </c>
      <c r="L951" s="13" t="inlineStr">
        <is>
          <t>7</t>
        </is>
      </c>
      <c r="M951" s="13" t="inlineStr">
        <is>
          <t>Completed</t>
        </is>
      </c>
      <c r="N951" s="13" t="inlineStr">
        <is>
          <t>K. Mensah</t>
        </is>
      </c>
    </row>
    <row r="952">
      <c r="A952" s="13" t="inlineStr">
        <is>
          <t>HC-100950</t>
        </is>
      </c>
      <c r="B952" s="13" t="inlineStr">
        <is>
          <t>2025/02/03</t>
        </is>
      </c>
      <c r="C952" s="13" t="inlineStr">
        <is>
          <t>East</t>
        </is>
      </c>
      <c r="D952" s="13" t="inlineStr">
        <is>
          <t>B2B</t>
        </is>
      </c>
      <c r="E952" s="13" t="inlineStr">
        <is>
          <t>Textiles</t>
        </is>
      </c>
      <c r="F952" s="13" t="inlineStr">
        <is>
          <t>Cotton Duvet</t>
        </is>
      </c>
      <c r="G952" s="13" t="inlineStr">
        <is>
          <t>Consumer</t>
        </is>
      </c>
      <c r="H952" s="13" t="inlineStr">
        <is>
          <t>26</t>
        </is>
      </c>
      <c r="I952" s="14" t="inlineStr">
        <is>
          <t>112.22</t>
        </is>
      </c>
      <c r="J952" s="15" t="inlineStr">
        <is>
          <t>0.18</t>
        </is>
      </c>
      <c r="K952" s="14" t="inlineStr">
        <is>
          <t>49.38</t>
        </is>
      </c>
      <c r="L952" s="13" t="inlineStr">
        <is>
          <t>8</t>
        </is>
      </c>
      <c r="M952" s="13" t="inlineStr">
        <is>
          <t>Completed</t>
        </is>
      </c>
      <c r="N952" s="13" t="inlineStr">
        <is>
          <t>K. Mensah</t>
        </is>
      </c>
    </row>
    <row r="953">
      <c r="A953" s="13" t="inlineStr">
        <is>
          <t>HC-100951</t>
        </is>
      </c>
      <c r="B953" s="13" t="inlineStr">
        <is>
          <t>15.03.2025</t>
        </is>
      </c>
      <c r="C953" s="13" t="inlineStr">
        <is>
          <t>South</t>
        </is>
      </c>
      <c r="D953" s="13" t="inlineStr">
        <is>
          <t>Store</t>
        </is>
      </c>
      <c r="E953" s="13" t="inlineStr">
        <is>
          <t>Textiles</t>
        </is>
      </c>
      <c r="F953" s="13" t="inlineStr">
        <is>
          <t>Linen Curtain</t>
        </is>
      </c>
      <c r="G953" s="13" t="inlineStr">
        <is>
          <t>Consumer</t>
        </is>
      </c>
      <c r="H953" s="13" t="inlineStr">
        <is>
          <t>3</t>
        </is>
      </c>
      <c r="I953" s="14" t="inlineStr">
        <is>
          <t>$89.54</t>
        </is>
      </c>
      <c r="J953" s="15" t="inlineStr">
        <is>
          <t>0.04</t>
        </is>
      </c>
      <c r="K953" s="14" t="inlineStr">
        <is>
          <t>40.29</t>
        </is>
      </c>
      <c r="L953" s="13" t="inlineStr">
        <is>
          <t>8</t>
        </is>
      </c>
      <c r="M953" s="13" t="inlineStr">
        <is>
          <t>Returned</t>
        </is>
      </c>
      <c r="N953" s="13" t="inlineStr">
        <is>
          <t>J. Patel</t>
        </is>
      </c>
    </row>
    <row r="954">
      <c r="A954" s="13" t="inlineStr">
        <is>
          <t>HC-100952</t>
        </is>
      </c>
      <c r="B954" s="13" t="inlineStr">
        <is>
          <t>09/24/2025</t>
        </is>
      </c>
      <c r="C954" s="13" t="inlineStr">
        <is>
          <t>West</t>
        </is>
      </c>
      <c r="D954" s="13" t="inlineStr">
        <is>
          <t>Online</t>
        </is>
      </c>
      <c r="E954" s="13" t="inlineStr">
        <is>
          <t>Kitchen</t>
        </is>
      </c>
      <c r="F954" s="13" t="inlineStr">
        <is>
          <t>Chef Knife</t>
        </is>
      </c>
      <c r="G954" s="13" t="inlineStr">
        <is>
          <t>Corporate</t>
        </is>
      </c>
      <c r="H954" s="13" t="inlineStr">
        <is>
          <t>1</t>
        </is>
      </c>
      <c r="I954" s="14" t="inlineStr">
        <is>
          <t>62.84</t>
        </is>
      </c>
      <c r="J954" s="15" t="inlineStr">
        <is>
          <t>0.14</t>
        </is>
      </c>
      <c r="K954" s="14" t="inlineStr">
        <is>
          <t>22.62</t>
        </is>
      </c>
      <c r="L954" s="13" t="inlineStr">
        <is>
          <t>5</t>
        </is>
      </c>
      <c r="M954" s="13" t="inlineStr">
        <is>
          <t>Completed</t>
        </is>
      </c>
      <c r="N954" s="13" t="inlineStr">
        <is>
          <t>R. Ibarra</t>
        </is>
      </c>
    </row>
    <row r="955">
      <c r="A955" s="13" t="inlineStr">
        <is>
          <t>HC-100953</t>
        </is>
      </c>
      <c r="B955" s="13" t="inlineStr">
        <is>
          <t>24-Sep-25</t>
        </is>
      </c>
      <c r="C955" s="13" t="inlineStr">
        <is>
          <t>WEST</t>
        </is>
      </c>
      <c r="D955" s="13" t="inlineStr">
        <is>
          <t>Online</t>
        </is>
      </c>
      <c r="E955" s="13" t="inlineStr">
        <is>
          <t>Kitchen</t>
        </is>
      </c>
      <c r="F955" s="13" t="inlineStr">
        <is>
          <t>Cast Skillet</t>
        </is>
      </c>
      <c r="G955" s="13" t="inlineStr">
        <is>
          <t>Consumer</t>
        </is>
      </c>
      <c r="H955" s="13" t="inlineStr">
        <is>
          <t>1</t>
        </is>
      </c>
      <c r="I955" s="14" t="inlineStr">
        <is>
          <t>$55.13</t>
        </is>
      </c>
      <c r="J955" s="15" t="inlineStr">
        <is>
          <t>0.04</t>
        </is>
      </c>
      <c r="K955" s="14" t="inlineStr">
        <is>
          <t>22.05</t>
        </is>
      </c>
      <c r="L955" s="13" t="inlineStr">
        <is>
          <t>4</t>
        </is>
      </c>
      <c r="M955" s="13" t="inlineStr">
        <is>
          <t>Completed</t>
        </is>
      </c>
      <c r="N955" s="13" t="inlineStr">
        <is>
          <t>A. Shah</t>
        </is>
      </c>
    </row>
    <row r="956">
      <c r="A956" s="13" t="inlineStr">
        <is>
          <t>HC-100954</t>
        </is>
      </c>
      <c r="B956" s="13" t="inlineStr">
        <is>
          <t>2024/05/12</t>
        </is>
      </c>
      <c r="C956" s="13" t="inlineStr">
        <is>
          <t>West</t>
        </is>
      </c>
      <c r="D956" s="13" t="inlineStr">
        <is>
          <t>Store</t>
        </is>
      </c>
      <c r="E956" s="13" t="inlineStr">
        <is>
          <t>Furniture</t>
        </is>
      </c>
      <c r="F956" s="13" t="inlineStr">
        <is>
          <t>Lounge Chair</t>
        </is>
      </c>
      <c r="G956" s="13" t="inlineStr"/>
      <c r="H956" s="13" t="inlineStr">
        <is>
          <t>2</t>
        </is>
      </c>
      <c r="I956" s="14" t="inlineStr">
        <is>
          <t>514.22</t>
        </is>
      </c>
      <c r="J956" s="15" t="inlineStr">
        <is>
          <t>0.08</t>
        </is>
      </c>
      <c r="K956" s="14" t="inlineStr">
        <is>
          <t>308.53</t>
        </is>
      </c>
      <c r="L956" s="13" t="inlineStr">
        <is>
          <t>5</t>
        </is>
      </c>
      <c r="M956" s="13" t="inlineStr">
        <is>
          <t>Completed</t>
        </is>
      </c>
      <c r="N956" s="13" t="inlineStr">
        <is>
          <t>K. Mensah</t>
        </is>
      </c>
    </row>
    <row r="957">
      <c r="A957" s="13" t="inlineStr">
        <is>
          <t>HC-100955</t>
        </is>
      </c>
      <c r="B957" s="13" t="inlineStr">
        <is>
          <t>05.04.2024</t>
        </is>
      </c>
      <c r="C957" s="13" t="inlineStr">
        <is>
          <t>North</t>
        </is>
      </c>
      <c r="D957" s="13" t="inlineStr">
        <is>
          <t>Online</t>
        </is>
      </c>
      <c r="E957" s="13" t="inlineStr">
        <is>
          <t>Textiles</t>
        </is>
      </c>
      <c r="F957" s="13" t="inlineStr">
        <is>
          <t>Linen Curtain</t>
        </is>
      </c>
      <c r="G957" s="13" t="inlineStr">
        <is>
          <t>Corporate</t>
        </is>
      </c>
      <c r="H957" s="13" t="inlineStr">
        <is>
          <t>3</t>
        </is>
      </c>
      <c r="I957" s="14" t="inlineStr">
        <is>
          <t>92.48</t>
        </is>
      </c>
      <c r="J957" s="15" t="inlineStr">
        <is>
          <t>0.12</t>
        </is>
      </c>
      <c r="K957" s="14" t="inlineStr">
        <is>
          <t>41.62</t>
        </is>
      </c>
      <c r="L957" s="13" t="inlineStr">
        <is>
          <t>7</t>
        </is>
      </c>
      <c r="M957" s="13" t="inlineStr">
        <is>
          <t>Returned</t>
        </is>
      </c>
      <c r="N957" s="13" t="inlineStr">
        <is>
          <t>A. Shah</t>
        </is>
      </c>
    </row>
    <row r="958">
      <c r="A958" s="13" t="inlineStr">
        <is>
          <t>HC-100956</t>
        </is>
      </c>
      <c r="B958" s="13" t="inlineStr">
        <is>
          <t>04/11/2024</t>
        </is>
      </c>
      <c r="C958" s="13" t="inlineStr">
        <is>
          <t>WEST</t>
        </is>
      </c>
      <c r="D958" s="13" t="inlineStr">
        <is>
          <t>Online</t>
        </is>
      </c>
      <c r="E958" s="13" t="inlineStr">
        <is>
          <t>Kitchen</t>
        </is>
      </c>
      <c r="F958" s="13" t="inlineStr">
        <is>
          <t>Cast Skillet</t>
        </is>
      </c>
      <c r="G958" s="13" t="inlineStr">
        <is>
          <t>Consumer</t>
        </is>
      </c>
      <c r="H958" s="13" t="inlineStr">
        <is>
          <t>2</t>
        </is>
      </c>
      <c r="I958" s="14" t="inlineStr">
        <is>
          <t>51.49</t>
        </is>
      </c>
      <c r="J958" s="15" t="inlineStr">
        <is>
          <t>0.11</t>
        </is>
      </c>
      <c r="K958" s="14" t="inlineStr">
        <is>
          <t>20.60</t>
        </is>
      </c>
      <c r="L958" s="13" t="inlineStr">
        <is>
          <t>5</t>
        </is>
      </c>
      <c r="M958" s="13" t="inlineStr">
        <is>
          <t>Completed</t>
        </is>
      </c>
      <c r="N958" s="13" t="inlineStr">
        <is>
          <t>P. Rossi</t>
        </is>
      </c>
    </row>
    <row r="959">
      <c r="A959" s="13" t="inlineStr">
        <is>
          <t>HC-100957</t>
        </is>
      </c>
      <c r="B959" s="13" t="inlineStr">
        <is>
          <t>09-Jul-25</t>
        </is>
      </c>
      <c r="C959" s="13" t="inlineStr">
        <is>
          <t>West</t>
        </is>
      </c>
      <c r="D959" s="13" t="inlineStr">
        <is>
          <t>Store</t>
        </is>
      </c>
      <c r="E959" s="13" t="inlineStr">
        <is>
          <t>Kitchen</t>
        </is>
      </c>
      <c r="F959" s="13" t="inlineStr">
        <is>
          <t>Chef Knife</t>
        </is>
      </c>
      <c r="G959" s="13" t="inlineStr">
        <is>
          <t>Consumer</t>
        </is>
      </c>
      <c r="H959" s="13" t="inlineStr">
        <is>
          <t>4</t>
        </is>
      </c>
      <c r="I959" s="14" t="inlineStr">
        <is>
          <t>65.08</t>
        </is>
      </c>
      <c r="J959" s="15" t="inlineStr">
        <is>
          <t>0.01</t>
        </is>
      </c>
      <c r="K959" s="14" t="inlineStr">
        <is>
          <t>23.43</t>
        </is>
      </c>
      <c r="L959" s="13" t="inlineStr">
        <is>
          <t>7</t>
        </is>
      </c>
      <c r="M959" s="13" t="inlineStr">
        <is>
          <t>Completed</t>
        </is>
      </c>
      <c r="N959" s="13" t="inlineStr">
        <is>
          <t>R. Ibarra</t>
        </is>
      </c>
    </row>
    <row r="960">
      <c r="A960" s="13" t="inlineStr">
        <is>
          <t>HC-100958</t>
        </is>
      </c>
      <c r="B960" s="13" t="inlineStr">
        <is>
          <t>2025/07/23</t>
        </is>
      </c>
      <c r="C960" s="13" t="inlineStr">
        <is>
          <t>West</t>
        </is>
      </c>
      <c r="D960" s="13" t="inlineStr">
        <is>
          <t>Wholesale</t>
        </is>
      </c>
      <c r="E960" s="13" t="inlineStr">
        <is>
          <t>Textiles</t>
        </is>
      </c>
      <c r="F960" s="13" t="inlineStr">
        <is>
          <t>Wool Throw</t>
        </is>
      </c>
      <c r="G960" s="13" t="inlineStr">
        <is>
          <t>Consumer</t>
        </is>
      </c>
      <c r="H960" s="13" t="inlineStr">
        <is>
          <t>Twelve</t>
        </is>
      </c>
      <c r="I960" s="14" t="inlineStr">
        <is>
          <t>69.83</t>
        </is>
      </c>
      <c r="J960" s="15" t="inlineStr">
        <is>
          <t>0.17</t>
        </is>
      </c>
      <c r="K960" s="14" t="inlineStr">
        <is>
          <t>29.33</t>
        </is>
      </c>
      <c r="L960" s="13" t="inlineStr">
        <is>
          <t>9</t>
        </is>
      </c>
      <c r="M960" s="13" t="inlineStr">
        <is>
          <t>RETURNED</t>
        </is>
      </c>
      <c r="N960" s="13" t="inlineStr">
        <is>
          <t>J. Patel</t>
        </is>
      </c>
    </row>
    <row r="961">
      <c r="A961" s="13" t="inlineStr">
        <is>
          <t>HC-100959</t>
        </is>
      </c>
      <c r="B961" s="13" t="inlineStr">
        <is>
          <t>30.04.2024</t>
        </is>
      </c>
      <c r="C961" s="13" t="inlineStr">
        <is>
          <t>North</t>
        </is>
      </c>
      <c r="D961" s="13" t="inlineStr">
        <is>
          <t>Wholesale</t>
        </is>
      </c>
      <c r="E961" s="13" t="inlineStr">
        <is>
          <t>Lighting</t>
        </is>
      </c>
      <c r="F961" s="13" t="inlineStr">
        <is>
          <t>Brass Sconce</t>
        </is>
      </c>
      <c r="G961" s="13" t="inlineStr">
        <is>
          <t>Consumer</t>
        </is>
      </c>
      <c r="H961" s="13" t="inlineStr">
        <is>
          <t>26</t>
        </is>
      </c>
      <c r="I961" s="14" t="inlineStr">
        <is>
          <t>133.73</t>
        </is>
      </c>
      <c r="J961" s="15" t="inlineStr">
        <is>
          <t>0.15</t>
        </is>
      </c>
      <c r="K961" s="14" t="inlineStr">
        <is>
          <t>61.52</t>
        </is>
      </c>
      <c r="L961" s="13" t="inlineStr">
        <is>
          <t>4</t>
        </is>
      </c>
      <c r="M961" s="13" t="inlineStr">
        <is>
          <t>Completed</t>
        </is>
      </c>
      <c r="N961" s="13" t="inlineStr">
        <is>
          <t>P. Rossi</t>
        </is>
      </c>
    </row>
    <row r="962">
      <c r="A962" s="13" t="inlineStr">
        <is>
          <t>HC-100960</t>
        </is>
      </c>
      <c r="B962" s="13" t="inlineStr">
        <is>
          <t>09/27/2025</t>
        </is>
      </c>
      <c r="C962" s="13" t="inlineStr">
        <is>
          <t>North</t>
        </is>
      </c>
      <c r="D962" s="13" t="inlineStr">
        <is>
          <t>Store</t>
        </is>
      </c>
      <c r="E962" s="13" t="inlineStr">
        <is>
          <t>Textiles</t>
        </is>
      </c>
      <c r="F962" s="13" t="inlineStr">
        <is>
          <t>Cotton Duvet</t>
        </is>
      </c>
      <c r="G962" s="13" t="inlineStr">
        <is>
          <t>Home Office</t>
        </is>
      </c>
      <c r="H962" s="13" t="inlineStr">
        <is>
          <t>3</t>
        </is>
      </c>
      <c r="I962" s="14" t="inlineStr">
        <is>
          <t>113.11</t>
        </is>
      </c>
      <c r="J962" s="15" t="inlineStr">
        <is>
          <t>0.10</t>
        </is>
      </c>
      <c r="K962" s="14" t="inlineStr">
        <is>
          <t>49.77</t>
        </is>
      </c>
      <c r="L962" s="13" t="inlineStr">
        <is>
          <t>8</t>
        </is>
      </c>
      <c r="M962" s="13" t="inlineStr">
        <is>
          <t>Completed</t>
        </is>
      </c>
      <c r="N962" s="13" t="inlineStr">
        <is>
          <t>P. Rossi</t>
        </is>
      </c>
    </row>
    <row r="963">
      <c r="A963" s="13" t="inlineStr">
        <is>
          <t>HC-100961</t>
        </is>
      </c>
      <c r="B963" s="13" t="inlineStr">
        <is>
          <t>30-Mar-25</t>
        </is>
      </c>
      <c r="C963" s="13" t="inlineStr">
        <is>
          <t>South</t>
        </is>
      </c>
      <c r="D963" s="13" t="inlineStr">
        <is>
          <t>Store</t>
        </is>
      </c>
      <c r="E963" s="13" t="inlineStr">
        <is>
          <t>Furniture</t>
        </is>
      </c>
      <c r="F963" s="13" t="inlineStr">
        <is>
          <t>Walnut Shelf</t>
        </is>
      </c>
      <c r="G963" s="13" t="inlineStr">
        <is>
          <t>Home Office</t>
        </is>
      </c>
      <c r="H963" s="13" t="inlineStr">
        <is>
          <t>3</t>
        </is>
      </c>
      <c r="I963" s="14" t="inlineStr">
        <is>
          <t>211.16</t>
        </is>
      </c>
      <c r="J963" s="15" t="inlineStr">
        <is>
          <t>0.11</t>
        </is>
      </c>
      <c r="K963" s="14" t="inlineStr">
        <is>
          <t>116.14</t>
        </is>
      </c>
      <c r="L963" s="13" t="inlineStr">
        <is>
          <t>7</t>
        </is>
      </c>
      <c r="M963" s="13" t="inlineStr">
        <is>
          <t>Completed</t>
        </is>
      </c>
      <c r="N963" s="13" t="inlineStr">
        <is>
          <t>R. Ibarra</t>
        </is>
      </c>
    </row>
    <row r="964">
      <c r="A964" s="13" t="inlineStr">
        <is>
          <t>HC-100962</t>
        </is>
      </c>
      <c r="B964" s="13" t="inlineStr">
        <is>
          <t>2024/02/28</t>
        </is>
      </c>
      <c r="C964" s="13" t="inlineStr">
        <is>
          <t>South</t>
        </is>
      </c>
      <c r="D964" s="13" t="inlineStr">
        <is>
          <t>Wholesale</t>
        </is>
      </c>
      <c r="E964" s="13" t="inlineStr">
        <is>
          <t>Textiles</t>
        </is>
      </c>
      <c r="F964" s="13" t="inlineStr">
        <is>
          <t>Wool Throw</t>
        </is>
      </c>
      <c r="G964" s="13" t="inlineStr">
        <is>
          <t>Consumer</t>
        </is>
      </c>
      <c r="H964" s="13" t="inlineStr">
        <is>
          <t>32</t>
        </is>
      </c>
      <c r="I964" s="14" t="inlineStr">
        <is>
          <t>75.06</t>
        </is>
      </c>
      <c r="J964" s="15" t="inlineStr">
        <is>
          <t>0.20</t>
        </is>
      </c>
      <c r="K964" s="14" t="inlineStr">
        <is>
          <t>31.52</t>
        </is>
      </c>
      <c r="L964" s="13" t="inlineStr">
        <is>
          <t>6</t>
        </is>
      </c>
      <c r="M964" s="13" t="inlineStr">
        <is>
          <t>Returned</t>
        </is>
      </c>
      <c r="N964" s="13" t="inlineStr">
        <is>
          <t>R. Ibarra</t>
        </is>
      </c>
    </row>
    <row r="965">
      <c r="A965" s="13" t="inlineStr">
        <is>
          <t>HC-100963</t>
        </is>
      </c>
      <c r="B965" s="13" t="inlineStr">
        <is>
          <t>01.09.2024</t>
        </is>
      </c>
      <c r="C965" s="13" t="inlineStr">
        <is>
          <t>West</t>
        </is>
      </c>
      <c r="D965" s="13" t="inlineStr">
        <is>
          <t>Online</t>
        </is>
      </c>
      <c r="E965" s="13" t="inlineStr">
        <is>
          <t>FURNITURE</t>
        </is>
      </c>
      <c r="F965" s="13" t="inlineStr">
        <is>
          <t>Walnut Shelf</t>
        </is>
      </c>
      <c r="G965" s="13" t="inlineStr">
        <is>
          <t>corporate</t>
        </is>
      </c>
      <c r="H965" s="13" t="inlineStr">
        <is>
          <t>2</t>
        </is>
      </c>
      <c r="I965" s="14" t="inlineStr">
        <is>
          <t>226.81</t>
        </is>
      </c>
      <c r="J965" s="15" t="inlineStr">
        <is>
          <t>0.05</t>
        </is>
      </c>
      <c r="K965" s="14" t="inlineStr">
        <is>
          <t>124.75</t>
        </is>
      </c>
      <c r="L965" s="13" t="inlineStr">
        <is>
          <t>6</t>
        </is>
      </c>
      <c r="M965" s="13" t="inlineStr">
        <is>
          <t>Completed</t>
        </is>
      </c>
      <c r="N965" s="13" t="inlineStr">
        <is>
          <t>S. Nguyen</t>
        </is>
      </c>
    </row>
    <row r="966">
      <c r="A966" s="13" t="inlineStr">
        <is>
          <t>HC-100964</t>
        </is>
      </c>
      <c r="B966" s="13" t="inlineStr">
        <is>
          <t>04/26/2025</t>
        </is>
      </c>
      <c r="C966" s="13" t="inlineStr">
        <is>
          <t>West</t>
        </is>
      </c>
      <c r="D966" s="13" t="inlineStr">
        <is>
          <t>Store</t>
        </is>
      </c>
      <c r="E966" s="13" t="inlineStr">
        <is>
          <t>Kitchen</t>
        </is>
      </c>
      <c r="F966" s="13" t="inlineStr">
        <is>
          <t>Cast Skillet</t>
        </is>
      </c>
      <c r="G966" s="13" t="inlineStr">
        <is>
          <t>Consumer</t>
        </is>
      </c>
      <c r="H966" s="13" t="inlineStr">
        <is>
          <t>4</t>
        </is>
      </c>
      <c r="I966" s="14" t="inlineStr">
        <is>
          <t>57.92</t>
        </is>
      </c>
      <c r="J966" s="15" t="inlineStr">
        <is>
          <t>0.09</t>
        </is>
      </c>
      <c r="K966" s="14" t="inlineStr">
        <is>
          <t>23.17</t>
        </is>
      </c>
      <c r="L966" s="13" t="inlineStr">
        <is>
          <t>7</t>
        </is>
      </c>
      <c r="M966" s="13" t="inlineStr">
        <is>
          <t>Completed</t>
        </is>
      </c>
      <c r="N966" s="13" t="inlineStr">
        <is>
          <t>P. Rossi</t>
        </is>
      </c>
    </row>
    <row r="967">
      <c r="A967" s="13" t="inlineStr">
        <is>
          <t>HC-100965</t>
        </is>
      </c>
      <c r="B967" s="13" t="inlineStr">
        <is>
          <t>03-Aug-25</t>
        </is>
      </c>
      <c r="C967" s="13" t="inlineStr">
        <is>
          <t>North</t>
        </is>
      </c>
      <c r="D967" s="13" t="inlineStr">
        <is>
          <t>Online</t>
        </is>
      </c>
      <c r="E967" s="13" t="inlineStr">
        <is>
          <t>Kitchen</t>
        </is>
      </c>
      <c r="F967" s="13" t="inlineStr">
        <is>
          <t>Chef Knife</t>
        </is>
      </c>
      <c r="G967" s="13" t="inlineStr">
        <is>
          <t>Consumer</t>
        </is>
      </c>
      <c r="H967" s="13" t="inlineStr">
        <is>
          <t>3</t>
        </is>
      </c>
      <c r="I967" s="14" t="inlineStr">
        <is>
          <t>61.55</t>
        </is>
      </c>
      <c r="J967" s="15" t="inlineStr">
        <is>
          <t>5%</t>
        </is>
      </c>
      <c r="K967" s="14" t="inlineStr">
        <is>
          <t>22.16</t>
        </is>
      </c>
      <c r="L967" s="13" t="inlineStr">
        <is>
          <t>3</t>
        </is>
      </c>
      <c r="M967" s="13" t="inlineStr">
        <is>
          <t>Canceled</t>
        </is>
      </c>
      <c r="N967" s="13" t="inlineStr">
        <is>
          <t>A. Shah</t>
        </is>
      </c>
    </row>
    <row r="968">
      <c r="A968" s="13" t="inlineStr">
        <is>
          <t>HC-100966</t>
        </is>
      </c>
      <c r="B968" s="13" t="inlineStr">
        <is>
          <t>2025/07/15</t>
        </is>
      </c>
      <c r="C968" s="13" t="inlineStr">
        <is>
          <t>North</t>
        </is>
      </c>
      <c r="D968" s="13" t="inlineStr">
        <is>
          <t>Wholesale</t>
        </is>
      </c>
      <c r="E968" s="13" t="inlineStr">
        <is>
          <t>Kitchen</t>
        </is>
      </c>
      <c r="F968" s="13" t="inlineStr">
        <is>
          <t>Ceramic Set</t>
        </is>
      </c>
      <c r="G968" s="13" t="inlineStr">
        <is>
          <t>Consumer</t>
        </is>
      </c>
      <c r="H968" s="13" t="inlineStr">
        <is>
          <t>29</t>
        </is>
      </c>
      <c r="I968" s="14" t="inlineStr">
        <is>
          <t>81.35</t>
        </is>
      </c>
      <c r="J968" s="15" t="inlineStr">
        <is>
          <t>0.31</t>
        </is>
      </c>
      <c r="K968" s="14" t="inlineStr">
        <is>
          <t>30.91</t>
        </is>
      </c>
      <c r="L968" s="13" t="inlineStr">
        <is>
          <t>8</t>
        </is>
      </c>
      <c r="M968" s="13" t="inlineStr">
        <is>
          <t>Compleated</t>
        </is>
      </c>
      <c r="N968" s="13" t="inlineStr">
        <is>
          <t>P. Rossi</t>
        </is>
      </c>
    </row>
    <row r="969">
      <c r="A969" s="13" t="inlineStr">
        <is>
          <t>HC-100967</t>
        </is>
      </c>
      <c r="B969" s="13" t="inlineStr">
        <is>
          <t>12.11.2024</t>
        </is>
      </c>
      <c r="C969" s="13" t="inlineStr">
        <is>
          <t>South</t>
        </is>
      </c>
      <c r="D969" s="13" t="inlineStr">
        <is>
          <t>Online</t>
        </is>
      </c>
      <c r="E969" s="13" t="inlineStr">
        <is>
          <t>Lighting</t>
        </is>
      </c>
      <c r="F969" s="13" t="inlineStr">
        <is>
          <t>Arc Lamp</t>
        </is>
      </c>
      <c r="G969" s="13" t="inlineStr">
        <is>
          <t>Consumer</t>
        </is>
      </c>
      <c r="H969" s="13" t="inlineStr">
        <is>
          <t>2</t>
        </is>
      </c>
      <c r="I969" s="14" t="inlineStr">
        <is>
          <t>303.61</t>
        </is>
      </c>
      <c r="J969" s="15" t="inlineStr">
        <is>
          <t>0.03</t>
        </is>
      </c>
      <c r="K969" s="14" t="inlineStr">
        <is>
          <t>145.73</t>
        </is>
      </c>
      <c r="L969" s="13" t="inlineStr">
        <is>
          <t>5</t>
        </is>
      </c>
      <c r="M969" s="13" t="inlineStr">
        <is>
          <t>Completed</t>
        </is>
      </c>
      <c r="N969" s="13" t="inlineStr">
        <is>
          <t>K. Mensah</t>
        </is>
      </c>
    </row>
    <row r="970">
      <c r="A970" s="13" t="inlineStr">
        <is>
          <t>HC-100968</t>
        </is>
      </c>
      <c r="B970" s="13" t="inlineStr">
        <is>
          <t>02/15/2024</t>
        </is>
      </c>
      <c r="C970" s="13" t="inlineStr">
        <is>
          <t>West</t>
        </is>
      </c>
      <c r="D970" s="13" t="inlineStr">
        <is>
          <t>Online</t>
        </is>
      </c>
      <c r="E970" s="13" t="inlineStr">
        <is>
          <t>Furniture</t>
        </is>
      </c>
      <c r="F970" s="13" t="inlineStr">
        <is>
          <t>Oak Desk</t>
        </is>
      </c>
      <c r="G970" s="13" t="inlineStr">
        <is>
          <t>consumer</t>
        </is>
      </c>
      <c r="H970" s="13" t="inlineStr">
        <is>
          <t>3</t>
        </is>
      </c>
      <c r="I970" s="14" t="inlineStr">
        <is>
          <t>845.31</t>
        </is>
      </c>
      <c r="J970" s="15" t="inlineStr">
        <is>
          <t>0.15</t>
        </is>
      </c>
      <c r="K970" s="14" t="inlineStr">
        <is>
          <t>524.09</t>
        </is>
      </c>
      <c r="L970" s="13" t="inlineStr">
        <is>
          <t>N/A</t>
        </is>
      </c>
      <c r="M970" s="13" t="inlineStr">
        <is>
          <t>Cancelled</t>
        </is>
      </c>
      <c r="N970" s="13" t="inlineStr">
        <is>
          <t>J. Patel</t>
        </is>
      </c>
    </row>
    <row r="971">
      <c r="A971" s="13" t="inlineStr">
        <is>
          <t>HC-100969</t>
        </is>
      </c>
      <c r="B971" s="13" t="inlineStr">
        <is>
          <t>19-Mar-25</t>
        </is>
      </c>
      <c r="C971" s="13" t="inlineStr">
        <is>
          <t>north</t>
        </is>
      </c>
      <c r="D971" s="13" t="inlineStr">
        <is>
          <t>Store</t>
        </is>
      </c>
      <c r="E971" s="13" t="inlineStr">
        <is>
          <t>Furniture</t>
        </is>
      </c>
      <c r="F971" s="13" t="inlineStr">
        <is>
          <t>Walnut Shelf</t>
        </is>
      </c>
      <c r="G971" s="13" t="inlineStr">
        <is>
          <t>Consumer</t>
        </is>
      </c>
      <c r="H971" s="13" t="inlineStr">
        <is>
          <t>2</t>
        </is>
      </c>
      <c r="I971" s="14" t="inlineStr">
        <is>
          <t>206.24</t>
        </is>
      </c>
      <c r="J971" s="15" t="inlineStr">
        <is>
          <t>0.02</t>
        </is>
      </c>
      <c r="K971" s="14" t="inlineStr">
        <is>
          <t>113.43</t>
        </is>
      </c>
      <c r="L971" s="13" t="inlineStr">
        <is>
          <t>5</t>
        </is>
      </c>
      <c r="M971" s="13" t="inlineStr">
        <is>
          <t>Completed</t>
        </is>
      </c>
      <c r="N971" s="13" t="inlineStr">
        <is>
          <t>J. Patel</t>
        </is>
      </c>
    </row>
    <row r="972">
      <c r="A972" s="13" t="inlineStr">
        <is>
          <t>HC-100970</t>
        </is>
      </c>
      <c r="B972" s="13" t="inlineStr">
        <is>
          <t>2024/12/14</t>
        </is>
      </c>
      <c r="C972" s="13" t="inlineStr">
        <is>
          <t>East</t>
        </is>
      </c>
      <c r="D972" s="13" t="inlineStr">
        <is>
          <t>Wholesale</t>
        </is>
      </c>
      <c r="E972" s="13" t="inlineStr">
        <is>
          <t>Furniture</t>
        </is>
      </c>
      <c r="F972" s="13" t="inlineStr">
        <is>
          <t>Lounge Chair</t>
        </is>
      </c>
      <c r="G972" s="13" t="inlineStr">
        <is>
          <t>Consumer</t>
        </is>
      </c>
      <c r="H972" s="13" t="inlineStr">
        <is>
          <t>37</t>
        </is>
      </c>
      <c r="I972" s="14" t="inlineStr">
        <is>
          <t>439.38</t>
        </is>
      </c>
      <c r="J972" s="15" t="inlineStr">
        <is>
          <t>0.22</t>
        </is>
      </c>
      <c r="K972" s="14" t="inlineStr">
        <is>
          <t>263.63</t>
        </is>
      </c>
      <c r="L972" s="13" t="inlineStr">
        <is>
          <t>8</t>
        </is>
      </c>
      <c r="M972" s="13" t="inlineStr">
        <is>
          <t>Completed</t>
        </is>
      </c>
      <c r="N972" s="13" t="inlineStr">
        <is>
          <t>K. Mensah</t>
        </is>
      </c>
    </row>
    <row r="973">
      <c r="A973" s="13" t="inlineStr">
        <is>
          <t>HC-100971</t>
        </is>
      </c>
      <c r="B973" s="13" t="inlineStr">
        <is>
          <t>29.11.2024</t>
        </is>
      </c>
      <c r="C973" s="13" t="inlineStr">
        <is>
          <t>South</t>
        </is>
      </c>
      <c r="D973" s="13" t="inlineStr">
        <is>
          <t>Online</t>
        </is>
      </c>
      <c r="E973" s="13" t="inlineStr">
        <is>
          <t>Textiles</t>
        </is>
      </c>
      <c r="F973" s="13" t="inlineStr">
        <is>
          <t>Cotton Duvet</t>
        </is>
      </c>
      <c r="G973" s="13" t="inlineStr">
        <is>
          <t>Corporate</t>
        </is>
      </c>
      <c r="H973" s="13" t="inlineStr">
        <is>
          <t>4</t>
        </is>
      </c>
      <c r="I973" s="14" t="inlineStr">
        <is>
          <t>110.91</t>
        </is>
      </c>
      <c r="J973" s="15" t="inlineStr">
        <is>
          <t>0.11</t>
        </is>
      </c>
      <c r="K973" s="14" t="inlineStr">
        <is>
          <t>48.80</t>
        </is>
      </c>
      <c r="L973" s="13" t="inlineStr">
        <is>
          <t>2</t>
        </is>
      </c>
      <c r="M973" s="13" t="inlineStr">
        <is>
          <t>Completed</t>
        </is>
      </c>
      <c r="N973" s="13" t="inlineStr">
        <is>
          <t>A. Shah</t>
        </is>
      </c>
    </row>
    <row r="974">
      <c r="A974" s="13" t="inlineStr">
        <is>
          <t>HC-100972</t>
        </is>
      </c>
      <c r="B974" s="13" t="inlineStr">
        <is>
          <t>06/29/2025</t>
        </is>
      </c>
      <c r="C974" s="13" t="inlineStr">
        <is>
          <t>West</t>
        </is>
      </c>
      <c r="D974" s="13" t="inlineStr">
        <is>
          <t>Online</t>
        </is>
      </c>
      <c r="E974" s="13" t="inlineStr">
        <is>
          <t>Textiles</t>
        </is>
      </c>
      <c r="F974" s="13" t="inlineStr">
        <is>
          <t>Linen Curtain</t>
        </is>
      </c>
      <c r="G974" s="13" t="inlineStr">
        <is>
          <t>Consumer</t>
        </is>
      </c>
      <c r="H974" s="13" t="inlineStr">
        <is>
          <t>3</t>
        </is>
      </c>
      <c r="I974" s="14" t="inlineStr">
        <is>
          <t>99.70</t>
        </is>
      </c>
      <c r="J974" s="15" t="inlineStr">
        <is>
          <t>0.03</t>
        </is>
      </c>
      <c r="K974" s="14" t="inlineStr">
        <is>
          <t>44.87</t>
        </is>
      </c>
      <c r="L974" s="13" t="inlineStr">
        <is>
          <t>5</t>
        </is>
      </c>
      <c r="M974" s="13" t="inlineStr">
        <is>
          <t>Completed</t>
        </is>
      </c>
      <c r="N974" s="13" t="inlineStr">
        <is>
          <t>P. Rossi</t>
        </is>
      </c>
    </row>
    <row r="975">
      <c r="A975" s="13" t="inlineStr">
        <is>
          <t>HC-100973</t>
        </is>
      </c>
      <c r="B975" s="13" t="inlineStr">
        <is>
          <t>07-Aug-24</t>
        </is>
      </c>
      <c r="C975" s="13" t="inlineStr">
        <is>
          <t>South</t>
        </is>
      </c>
      <c r="D975" s="13" t="inlineStr">
        <is>
          <t>Store</t>
        </is>
      </c>
      <c r="E975" s="13" t="inlineStr">
        <is>
          <t>Kitchen</t>
        </is>
      </c>
      <c r="F975" s="13" t="inlineStr">
        <is>
          <t>Cast Skillet</t>
        </is>
      </c>
      <c r="G975" s="13" t="inlineStr">
        <is>
          <t>Corporate</t>
        </is>
      </c>
      <c r="H975" s="13" t="inlineStr">
        <is>
          <t>4</t>
        </is>
      </c>
      <c r="I975" s="14" t="inlineStr">
        <is>
          <t>58.01</t>
        </is>
      </c>
      <c r="J975" s="15" t="inlineStr">
        <is>
          <t>0.12</t>
        </is>
      </c>
      <c r="K975" s="14" t="inlineStr">
        <is>
          <t>23.21</t>
        </is>
      </c>
      <c r="L975" s="13" t="inlineStr">
        <is>
          <t>6</t>
        </is>
      </c>
      <c r="M975" s="13" t="inlineStr">
        <is>
          <t>Completed</t>
        </is>
      </c>
      <c r="N975" s="13" t="inlineStr">
        <is>
          <t>M. Okonkwo</t>
        </is>
      </c>
    </row>
    <row r="976">
      <c r="A976" s="13" t="inlineStr">
        <is>
          <t>HC-100974</t>
        </is>
      </c>
      <c r="B976" s="13" t="inlineStr">
        <is>
          <t>2024/11/29</t>
        </is>
      </c>
      <c r="C976" s="13" t="inlineStr">
        <is>
          <t>North</t>
        </is>
      </c>
      <c r="D976" s="13" t="inlineStr">
        <is>
          <t>Store</t>
        </is>
      </c>
      <c r="E976" s="13" t="inlineStr">
        <is>
          <t>Kitchen</t>
        </is>
      </c>
      <c r="F976" s="13" t="inlineStr">
        <is>
          <t>Cast Skillet</t>
        </is>
      </c>
      <c r="G976" s="13" t="inlineStr">
        <is>
          <t>Consumer</t>
        </is>
      </c>
      <c r="H976" s="13" t="inlineStr">
        <is>
          <t>2</t>
        </is>
      </c>
      <c r="I976" s="14" t="inlineStr">
        <is>
          <t>54.17</t>
        </is>
      </c>
      <c r="J976" s="15" t="inlineStr">
        <is>
          <t>0.07</t>
        </is>
      </c>
      <c r="K976" s="14" t="inlineStr">
        <is>
          <t>21.67</t>
        </is>
      </c>
      <c r="L976" s="13" t="inlineStr">
        <is>
          <t>5</t>
        </is>
      </c>
      <c r="M976" s="13" t="inlineStr">
        <is>
          <t>Returned</t>
        </is>
      </c>
      <c r="N976" s="13" t="inlineStr">
        <is>
          <t>L. Berger</t>
        </is>
      </c>
    </row>
    <row r="977">
      <c r="A977" s="13" t="inlineStr">
        <is>
          <t>HC-100975</t>
        </is>
      </c>
      <c r="B977" s="13" t="inlineStr">
        <is>
          <t>19.01.2025</t>
        </is>
      </c>
      <c r="C977" s="13" t="inlineStr">
        <is>
          <t>West</t>
        </is>
      </c>
      <c r="D977" s="13" t="inlineStr">
        <is>
          <t>Online</t>
        </is>
      </c>
      <c r="E977" s="13" t="inlineStr">
        <is>
          <t>Furniture</t>
        </is>
      </c>
      <c r="F977" s="13" t="inlineStr">
        <is>
          <t>Walnut Shelf</t>
        </is>
      </c>
      <c r="G977" s="13" t="inlineStr">
        <is>
          <t>corporate</t>
        </is>
      </c>
      <c r="H977" s="13" t="inlineStr">
        <is>
          <t>1</t>
        </is>
      </c>
      <c r="I977" s="14" t="inlineStr">
        <is>
          <t>233.02</t>
        </is>
      </c>
      <c r="J977" s="15" t="inlineStr">
        <is>
          <t>0.13</t>
        </is>
      </c>
      <c r="K977" s="14" t="inlineStr">
        <is>
          <t>128.16</t>
        </is>
      </c>
      <c r="L977" s="13" t="inlineStr">
        <is>
          <t>N/A</t>
        </is>
      </c>
      <c r="M977" s="13" t="inlineStr">
        <is>
          <t>Completed</t>
        </is>
      </c>
      <c r="N977" s="13" t="inlineStr">
        <is>
          <t>J. Patel</t>
        </is>
      </c>
    </row>
    <row r="978">
      <c r="A978" s="13" t="inlineStr">
        <is>
          <t>HC-100976</t>
        </is>
      </c>
      <c r="B978" s="13" t="inlineStr">
        <is>
          <t>02/12/2025</t>
        </is>
      </c>
      <c r="C978" s="13" t="inlineStr">
        <is>
          <t>South</t>
        </is>
      </c>
      <c r="D978" s="13" t="inlineStr">
        <is>
          <t>Store</t>
        </is>
      </c>
      <c r="E978" s="13" t="inlineStr">
        <is>
          <t>Kitchen</t>
        </is>
      </c>
      <c r="F978" s="13" t="inlineStr">
        <is>
          <t>Ceramic Set</t>
        </is>
      </c>
      <c r="G978" s="13" t="inlineStr">
        <is>
          <t>Consumer</t>
        </is>
      </c>
      <c r="H978" s="13" t="inlineStr">
        <is>
          <t>2</t>
        </is>
      </c>
      <c r="I978" s="14" t="inlineStr">
        <is>
          <t>83.07</t>
        </is>
      </c>
      <c r="J978" s="15" t="inlineStr">
        <is>
          <t>0.10</t>
        </is>
      </c>
      <c r="K978" s="14" t="inlineStr">
        <is>
          <t>31.57</t>
        </is>
      </c>
      <c r="L978" s="13" t="inlineStr">
        <is>
          <t>3</t>
        </is>
      </c>
      <c r="M978" s="13" t="inlineStr">
        <is>
          <t>Completed</t>
        </is>
      </c>
      <c r="N978" s="13" t="inlineStr">
        <is>
          <t>L. Berger</t>
        </is>
      </c>
    </row>
    <row r="979">
      <c r="A979" s="13" t="inlineStr">
        <is>
          <t>HC-100977</t>
        </is>
      </c>
      <c r="B979" s="13" t="inlineStr">
        <is>
          <t>21-May-24</t>
        </is>
      </c>
      <c r="C979" s="13" t="inlineStr">
        <is>
          <t>North</t>
        </is>
      </c>
      <c r="D979" s="13" t="inlineStr">
        <is>
          <t>Online</t>
        </is>
      </c>
      <c r="E979" s="13" t="inlineStr">
        <is>
          <t>Textiles</t>
        </is>
      </c>
      <c r="F979" s="13" t="inlineStr">
        <is>
          <t>Linen Curtain</t>
        </is>
      </c>
      <c r="G979" s="13" t="inlineStr">
        <is>
          <t>Consumer</t>
        </is>
      </c>
      <c r="H979" s="13" t="inlineStr">
        <is>
          <t>2</t>
        </is>
      </c>
      <c r="I979" s="14" t="inlineStr">
        <is>
          <t>87.99</t>
        </is>
      </c>
      <c r="J979" s="15" t="inlineStr">
        <is>
          <t>0.18</t>
        </is>
      </c>
      <c r="K979" s="14" t="inlineStr">
        <is>
          <t>39.60</t>
        </is>
      </c>
      <c r="L979" s="13" t="inlineStr">
        <is>
          <t>7</t>
        </is>
      </c>
      <c r="M979" s="13" t="inlineStr">
        <is>
          <t>COMPLETED</t>
        </is>
      </c>
      <c r="N979" s="13" t="inlineStr">
        <is>
          <t>P. Rossi</t>
        </is>
      </c>
    </row>
    <row r="980">
      <c r="A980" s="13" t="inlineStr">
        <is>
          <t>HC-100978</t>
        </is>
      </c>
      <c r="B980" s="13" t="inlineStr">
        <is>
          <t>2024/04/07</t>
        </is>
      </c>
      <c r="C980" s="13" t="inlineStr">
        <is>
          <t>West</t>
        </is>
      </c>
      <c r="D980" s="13" t="inlineStr">
        <is>
          <t>Store</t>
        </is>
      </c>
      <c r="E980" s="13" t="inlineStr">
        <is>
          <t>Furniture</t>
        </is>
      </c>
      <c r="F980" s="13" t="inlineStr">
        <is>
          <t>Oak Desk</t>
        </is>
      </c>
      <c r="G980" s="13" t="inlineStr">
        <is>
          <t>Corporate</t>
        </is>
      </c>
      <c r="H980" s="13" t="inlineStr">
        <is>
          <t>3</t>
        </is>
      </c>
      <c r="I980" s="14" t="inlineStr">
        <is>
          <t>875.97</t>
        </is>
      </c>
      <c r="J980" s="15" t="inlineStr">
        <is>
          <t>0.11</t>
        </is>
      </c>
      <c r="K980" s="14" t="inlineStr">
        <is>
          <t>543.10</t>
        </is>
      </c>
      <c r="L980" s="13" t="inlineStr">
        <is>
          <t>3</t>
        </is>
      </c>
      <c r="M980" s="13" t="inlineStr">
        <is>
          <t>Completed</t>
        </is>
      </c>
      <c r="N980" s="13" t="inlineStr">
        <is>
          <t>K. Mensah</t>
        </is>
      </c>
    </row>
    <row r="981">
      <c r="A981" s="13" t="inlineStr">
        <is>
          <t>HC-100979</t>
        </is>
      </c>
      <c r="B981" s="13" t="inlineStr">
        <is>
          <t>18.09.2025</t>
        </is>
      </c>
      <c r="C981" s="13" t="inlineStr">
        <is>
          <t>East</t>
        </is>
      </c>
      <c r="D981" s="13" t="inlineStr">
        <is>
          <t>web</t>
        </is>
      </c>
      <c r="E981" s="13" t="inlineStr">
        <is>
          <t>Kitchen</t>
        </is>
      </c>
      <c r="F981" s="13" t="inlineStr">
        <is>
          <t>Chef Knife</t>
        </is>
      </c>
      <c r="G981" s="13" t="inlineStr">
        <is>
          <t>Consumer</t>
        </is>
      </c>
      <c r="H981" s="13" t="inlineStr">
        <is>
          <t>3</t>
        </is>
      </c>
      <c r="I981" s="14" t="inlineStr">
        <is>
          <t>56.27</t>
        </is>
      </c>
      <c r="J981" s="15" t="inlineStr">
        <is>
          <t>0.03</t>
        </is>
      </c>
      <c r="K981" s="14" t="inlineStr">
        <is>
          <t>20.26</t>
        </is>
      </c>
      <c r="L981" s="13" t="inlineStr">
        <is>
          <t>8</t>
        </is>
      </c>
      <c r="M981" s="13" t="inlineStr">
        <is>
          <t>Completed</t>
        </is>
      </c>
      <c r="N981" s="13" t="inlineStr">
        <is>
          <t>K. Mensah</t>
        </is>
      </c>
    </row>
    <row r="982">
      <c r="A982" s="13" t="inlineStr">
        <is>
          <t>HC-100980</t>
        </is>
      </c>
      <c r="B982" s="13" t="inlineStr">
        <is>
          <t>03/31/2025</t>
        </is>
      </c>
      <c r="C982" s="13" t="inlineStr">
        <is>
          <t>WEST</t>
        </is>
      </c>
      <c r="D982" s="13" t="inlineStr">
        <is>
          <t>Store</t>
        </is>
      </c>
      <c r="E982" s="13" t="inlineStr">
        <is>
          <t>Furniture</t>
        </is>
      </c>
      <c r="F982" s="13" t="inlineStr">
        <is>
          <t>Oak Desk</t>
        </is>
      </c>
      <c r="G982" s="13" t="inlineStr">
        <is>
          <t>Home Office</t>
        </is>
      </c>
      <c r="H982" s="13" t="inlineStr">
        <is>
          <t>3</t>
        </is>
      </c>
      <c r="I982" s="14" t="inlineStr">
        <is>
          <t>880.27</t>
        </is>
      </c>
      <c r="J982" s="15" t="inlineStr">
        <is>
          <t>0.12</t>
        </is>
      </c>
      <c r="K982" s="14" t="inlineStr">
        <is>
          <t>545.77</t>
        </is>
      </c>
      <c r="L982" s="13" t="inlineStr">
        <is>
          <t>8</t>
        </is>
      </c>
      <c r="M982" s="13" t="inlineStr">
        <is>
          <t>Completed</t>
        </is>
      </c>
      <c r="N982" s="13" t="inlineStr">
        <is>
          <t>R. Ibarra</t>
        </is>
      </c>
    </row>
    <row r="983">
      <c r="A983" s="13" t="inlineStr">
        <is>
          <t>HC-100981</t>
        </is>
      </c>
      <c r="B983" s="13" t="inlineStr">
        <is>
          <t>10-Mar-24</t>
        </is>
      </c>
      <c r="C983" s="13" t="inlineStr">
        <is>
          <t>South</t>
        </is>
      </c>
      <c r="D983" s="13" t="inlineStr">
        <is>
          <t>Store</t>
        </is>
      </c>
      <c r="E983" s="13" t="inlineStr">
        <is>
          <t>Textiles</t>
        </is>
      </c>
      <c r="F983" s="13" t="inlineStr">
        <is>
          <t>Wool Throw</t>
        </is>
      </c>
      <c r="G983" s="13" t="inlineStr">
        <is>
          <t>Consumer</t>
        </is>
      </c>
      <c r="H983" s="13" t="inlineStr">
        <is>
          <t>3</t>
        </is>
      </c>
      <c r="I983" s="14" t="inlineStr">
        <is>
          <t>79.72</t>
        </is>
      </c>
      <c r="J983" s="15" t="inlineStr">
        <is>
          <t>0.07</t>
        </is>
      </c>
      <c r="K983" s="14" t="inlineStr">
        <is>
          <t>33.48</t>
        </is>
      </c>
      <c r="L983" s="13" t="inlineStr">
        <is>
          <t>6</t>
        </is>
      </c>
      <c r="M983" s="13" t="inlineStr">
        <is>
          <t>Returned</t>
        </is>
      </c>
      <c r="N983" s="13" t="inlineStr">
        <is>
          <t>K. Mensah</t>
        </is>
      </c>
    </row>
    <row r="984">
      <c r="A984" s="13" t="inlineStr">
        <is>
          <t>HC-100982</t>
        </is>
      </c>
      <c r="B984" s="13" t="inlineStr">
        <is>
          <t>2025/02/19</t>
        </is>
      </c>
      <c r="C984" s="13" t="inlineStr">
        <is>
          <t>East</t>
        </is>
      </c>
      <c r="D984" s="13" t="inlineStr">
        <is>
          <t>Online</t>
        </is>
      </c>
      <c r="E984" s="13" t="inlineStr">
        <is>
          <t>Furniture</t>
        </is>
      </c>
      <c r="F984" s="13" t="inlineStr">
        <is>
          <t>Linen Sofa</t>
        </is>
      </c>
      <c r="G984" s="13" t="inlineStr"/>
      <c r="H984" s="13" t="inlineStr">
        <is>
          <t>1</t>
        </is>
      </c>
      <c r="I984" s="14" t="inlineStr">
        <is>
          <t>1046.52</t>
        </is>
      </c>
      <c r="J984" s="15" t="inlineStr">
        <is>
          <t>0.04</t>
        </is>
      </c>
      <c r="K984" s="14" t="inlineStr">
        <is>
          <t>690.70</t>
        </is>
      </c>
      <c r="L984" s="13" t="inlineStr">
        <is>
          <t>10</t>
        </is>
      </c>
      <c r="M984" s="13" t="inlineStr">
        <is>
          <t>Completed</t>
        </is>
      </c>
      <c r="N984" s="13" t="inlineStr">
        <is>
          <t>J. Patel</t>
        </is>
      </c>
    </row>
    <row r="985">
      <c r="A985" s="13" t="inlineStr">
        <is>
          <t>HC-100983</t>
        </is>
      </c>
      <c r="B985" s="13" t="inlineStr">
        <is>
          <t>02.06.2024</t>
        </is>
      </c>
      <c r="C985" s="13" t="inlineStr">
        <is>
          <t>South</t>
        </is>
      </c>
      <c r="D985" s="13" t="inlineStr">
        <is>
          <t>Wholesale</t>
        </is>
      </c>
      <c r="E985" s="13" t="inlineStr">
        <is>
          <t>KITCHEN</t>
        </is>
      </c>
      <c r="F985" s="13" t="inlineStr">
        <is>
          <t>Chef Knife</t>
        </is>
      </c>
      <c r="G985" s="13" t="inlineStr">
        <is>
          <t>Consumer</t>
        </is>
      </c>
      <c r="H985" s="13" t="inlineStr">
        <is>
          <t>15</t>
        </is>
      </c>
      <c r="I985" s="14" t="inlineStr">
        <is>
          <t>63.73</t>
        </is>
      </c>
      <c r="J985" s="15" t="inlineStr">
        <is>
          <t>0.16</t>
        </is>
      </c>
      <c r="K985" s="14" t="inlineStr">
        <is>
          <t>22.94</t>
        </is>
      </c>
      <c r="L985" s="13" t="inlineStr">
        <is>
          <t>5</t>
        </is>
      </c>
      <c r="M985" s="13" t="inlineStr">
        <is>
          <t>Completed</t>
        </is>
      </c>
      <c r="N985" s="13" t="inlineStr">
        <is>
          <t>P. Rossi</t>
        </is>
      </c>
    </row>
    <row r="986">
      <c r="A986" s="13" t="inlineStr">
        <is>
          <t>HC-100984</t>
        </is>
      </c>
      <c r="B986" s="13" t="inlineStr">
        <is>
          <t>06/06/2025</t>
        </is>
      </c>
      <c r="C986" s="13" t="inlineStr">
        <is>
          <t>east</t>
        </is>
      </c>
      <c r="D986" s="13" t="inlineStr">
        <is>
          <t>Online</t>
        </is>
      </c>
      <c r="E986" s="13" t="inlineStr">
        <is>
          <t>Textiles</t>
        </is>
      </c>
      <c r="F986" s="13" t="inlineStr">
        <is>
          <t>Cotton Duvet</t>
        </is>
      </c>
      <c r="G986" s="13" t="inlineStr">
        <is>
          <t>Corporate</t>
        </is>
      </c>
      <c r="H986" s="13" t="inlineStr">
        <is>
          <t>three</t>
        </is>
      </c>
      <c r="I986" s="14" t="inlineStr">
        <is>
          <t>108.57</t>
        </is>
      </c>
      <c r="J986" s="15" t="inlineStr">
        <is>
          <t>0.02</t>
        </is>
      </c>
      <c r="K986" s="14" t="inlineStr">
        <is>
          <t>47.77</t>
        </is>
      </c>
      <c r="L986" s="13" t="inlineStr">
        <is>
          <t>12</t>
        </is>
      </c>
      <c r="M986" s="13" t="inlineStr">
        <is>
          <t>Completed</t>
        </is>
      </c>
      <c r="N986" s="13" t="inlineStr">
        <is>
          <t>P. Rossi</t>
        </is>
      </c>
    </row>
    <row r="987">
      <c r="A987" s="13" t="inlineStr">
        <is>
          <t>HC-100985</t>
        </is>
      </c>
      <c r="B987" s="13" t="inlineStr">
        <is>
          <t>02-Jun-25</t>
        </is>
      </c>
      <c r="C987" s="13" t="inlineStr">
        <is>
          <t>North</t>
        </is>
      </c>
      <c r="D987" s="13" t="inlineStr">
        <is>
          <t>Store</t>
        </is>
      </c>
      <c r="E987" s="13" t="inlineStr">
        <is>
          <t>Lighting</t>
        </is>
      </c>
      <c r="F987" s="13" t="inlineStr">
        <is>
          <t>Pendant Light</t>
        </is>
      </c>
      <c r="G987" s="13" t="inlineStr">
        <is>
          <t>Home Office</t>
        </is>
      </c>
      <c r="H987" s="13" t="inlineStr">
        <is>
          <t>3</t>
        </is>
      </c>
      <c r="I987" s="14" t="inlineStr">
        <is>
          <t>182.16</t>
        </is>
      </c>
      <c r="J987" s="15" t="inlineStr">
        <is>
          <t>0.00</t>
        </is>
      </c>
      <c r="K987" s="14" t="inlineStr">
        <is>
          <t>91.08</t>
        </is>
      </c>
      <c r="L987" s="13" t="inlineStr">
        <is>
          <t>6</t>
        </is>
      </c>
      <c r="M987" s="13" t="inlineStr">
        <is>
          <t>complete</t>
        </is>
      </c>
      <c r="N987" s="13" t="inlineStr">
        <is>
          <t>P. Rossi</t>
        </is>
      </c>
    </row>
    <row r="988">
      <c r="A988" s="13" t="inlineStr">
        <is>
          <t>HC-100986</t>
        </is>
      </c>
      <c r="B988" s="13" t="inlineStr">
        <is>
          <t>2025/09/24</t>
        </is>
      </c>
      <c r="C988" s="13" t="inlineStr">
        <is>
          <t>NORTH</t>
        </is>
      </c>
      <c r="D988" s="13" t="inlineStr">
        <is>
          <t>Online</t>
        </is>
      </c>
      <c r="E988" s="13" t="inlineStr">
        <is>
          <t>Textiles</t>
        </is>
      </c>
      <c r="F988" s="13" t="inlineStr">
        <is>
          <t>Cotton Duvet</t>
        </is>
      </c>
      <c r="G988" s="13" t="inlineStr">
        <is>
          <t>corporate</t>
        </is>
      </c>
      <c r="H988" s="13" t="inlineStr">
        <is>
          <t>2</t>
        </is>
      </c>
      <c r="I988" s="14" t="inlineStr">
        <is>
          <t>127.24</t>
        </is>
      </c>
      <c r="J988" s="15" t="inlineStr">
        <is>
          <t>0.14</t>
        </is>
      </c>
      <c r="K988" s="14" t="inlineStr">
        <is>
          <t>55.99</t>
        </is>
      </c>
      <c r="L988" s="13" t="inlineStr">
        <is>
          <t>5</t>
        </is>
      </c>
      <c r="M988" s="13" t="inlineStr">
        <is>
          <t>Completed</t>
        </is>
      </c>
      <c r="N988" s="13" t="inlineStr">
        <is>
          <t>J. Patel</t>
        </is>
      </c>
    </row>
    <row r="989">
      <c r="A989" s="13" t="inlineStr">
        <is>
          <t>HC-100987</t>
        </is>
      </c>
      <c r="B989" s="13" t="inlineStr">
        <is>
          <t>02.07.2025</t>
        </is>
      </c>
      <c r="C989" s="13" t="inlineStr">
        <is>
          <t>South</t>
        </is>
      </c>
      <c r="D989" s="13" t="inlineStr">
        <is>
          <t>Store</t>
        </is>
      </c>
      <c r="E989" s="13" t="inlineStr">
        <is>
          <t>Textiles</t>
        </is>
      </c>
      <c r="F989" s="13" t="inlineStr">
        <is>
          <t>Cotton Duvet</t>
        </is>
      </c>
      <c r="G989" s="13" t="inlineStr">
        <is>
          <t>Consumer</t>
        </is>
      </c>
      <c r="H989" s="13" t="inlineStr">
        <is>
          <t>1</t>
        </is>
      </c>
      <c r="I989" s="14" t="inlineStr">
        <is>
          <t>122.27</t>
        </is>
      </c>
      <c r="J989" s="15" t="inlineStr">
        <is>
          <t>0.09</t>
        </is>
      </c>
      <c r="K989" s="14" t="inlineStr">
        <is>
          <t>53.80</t>
        </is>
      </c>
      <c r="L989" s="13" t="inlineStr">
        <is>
          <t>4</t>
        </is>
      </c>
      <c r="M989" s="13" t="inlineStr">
        <is>
          <t>Completed</t>
        </is>
      </c>
      <c r="N989" s="13" t="inlineStr">
        <is>
          <t>L. Berger</t>
        </is>
      </c>
    </row>
    <row r="990">
      <c r="A990" s="13" t="inlineStr">
        <is>
          <t>HC-100988</t>
        </is>
      </c>
      <c r="B990" s="13" t="inlineStr">
        <is>
          <t>09/02/2025</t>
        </is>
      </c>
      <c r="C990" s="13" t="inlineStr">
        <is>
          <t>West</t>
        </is>
      </c>
      <c r="D990" s="13" t="inlineStr">
        <is>
          <t>Wholesale</t>
        </is>
      </c>
      <c r="E990" s="13" t="inlineStr">
        <is>
          <t>Lighting</t>
        </is>
      </c>
      <c r="F990" s="13" t="inlineStr">
        <is>
          <t>Pendant Light</t>
        </is>
      </c>
      <c r="G990" s="13" t="inlineStr">
        <is>
          <t>Consumer</t>
        </is>
      </c>
      <c r="H990" s="13" t="inlineStr">
        <is>
          <t>18</t>
        </is>
      </c>
      <c r="I990" s="14" t="inlineStr">
        <is>
          <t>187.18</t>
        </is>
      </c>
      <c r="J990" s="15" t="inlineStr">
        <is>
          <t>0.25</t>
        </is>
      </c>
      <c r="K990" s="14" t="inlineStr">
        <is>
          <t>93.59</t>
        </is>
      </c>
      <c r="L990" s="13" t="inlineStr">
        <is>
          <t>6</t>
        </is>
      </c>
      <c r="M990" s="13" t="inlineStr">
        <is>
          <t>Completed</t>
        </is>
      </c>
      <c r="N990" s="13" t="inlineStr">
        <is>
          <t>R. Ibarra</t>
        </is>
      </c>
    </row>
    <row r="991">
      <c r="A991" s="13" t="inlineStr">
        <is>
          <t>HC-100989</t>
        </is>
      </c>
      <c r="B991" s="13" t="inlineStr">
        <is>
          <t>30-Sep-24</t>
        </is>
      </c>
      <c r="C991" s="13" t="inlineStr">
        <is>
          <t>West</t>
        </is>
      </c>
      <c r="D991" s="13" t="inlineStr">
        <is>
          <t>Online</t>
        </is>
      </c>
      <c r="E991" s="13" t="inlineStr">
        <is>
          <t>Textiles</t>
        </is>
      </c>
      <c r="F991" s="13" t="inlineStr">
        <is>
          <t>Linen Curtain</t>
        </is>
      </c>
      <c r="G991" s="13" t="inlineStr">
        <is>
          <t>Consumer</t>
        </is>
      </c>
      <c r="H991" s="13" t="inlineStr">
        <is>
          <t>1</t>
        </is>
      </c>
      <c r="I991" s="14" t="inlineStr">
        <is>
          <t>101.72</t>
        </is>
      </c>
      <c r="J991" s="15" t="inlineStr">
        <is>
          <t>0.07</t>
        </is>
      </c>
      <c r="K991" s="14" t="inlineStr">
        <is>
          <t>45.77</t>
        </is>
      </c>
      <c r="L991" s="13" t="inlineStr">
        <is>
          <t>5</t>
        </is>
      </c>
      <c r="M991" s="13" t="inlineStr">
        <is>
          <t>Completed</t>
        </is>
      </c>
      <c r="N991" s="13" t="inlineStr">
        <is>
          <t>M. Okonkwo</t>
        </is>
      </c>
    </row>
    <row r="992">
      <c r="A992" s="13" t="inlineStr">
        <is>
          <t>HC-100990</t>
        </is>
      </c>
      <c r="B992" s="13" t="inlineStr">
        <is>
          <t>2025/09/22</t>
        </is>
      </c>
      <c r="C992" s="13" t="inlineStr">
        <is>
          <t>West</t>
        </is>
      </c>
      <c r="D992" s="13" t="inlineStr">
        <is>
          <t>Online</t>
        </is>
      </c>
      <c r="E992" s="13" t="inlineStr">
        <is>
          <t>Lighting</t>
        </is>
      </c>
      <c r="F992" s="13" t="inlineStr">
        <is>
          <t>Arc Lamp</t>
        </is>
      </c>
      <c r="G992" s="13" t="inlineStr">
        <is>
          <t>Corporate</t>
        </is>
      </c>
      <c r="H992" s="13" t="inlineStr">
        <is>
          <t>2</t>
        </is>
      </c>
      <c r="I992" s="14" t="inlineStr">
        <is>
          <t>324.77</t>
        </is>
      </c>
      <c r="J992" s="15" t="inlineStr">
        <is>
          <t>0.11</t>
        </is>
      </c>
      <c r="K992" s="14" t="inlineStr">
        <is>
          <t>155.89</t>
        </is>
      </c>
      <c r="L992" s="13" t="inlineStr">
        <is>
          <t>4</t>
        </is>
      </c>
      <c r="M992" s="13" t="inlineStr">
        <is>
          <t>COMPLETED</t>
        </is>
      </c>
      <c r="N992" s="13" t="inlineStr">
        <is>
          <t>P. Rossi</t>
        </is>
      </c>
    </row>
    <row r="993">
      <c r="A993" s="13" t="inlineStr">
        <is>
          <t>HC-100991</t>
        </is>
      </c>
      <c r="B993" s="13" t="inlineStr">
        <is>
          <t>09.05.2024</t>
        </is>
      </c>
      <c r="C993" s="13" t="inlineStr">
        <is>
          <t>WEST</t>
        </is>
      </c>
      <c r="D993" s="13" t="inlineStr">
        <is>
          <t>Store</t>
        </is>
      </c>
      <c r="E993" s="13" t="inlineStr">
        <is>
          <t>Textiles</t>
        </is>
      </c>
      <c r="F993" s="13" t="inlineStr">
        <is>
          <t>Linen Curtain</t>
        </is>
      </c>
      <c r="G993" s="13" t="inlineStr">
        <is>
          <t>Consumer</t>
        </is>
      </c>
      <c r="H993" s="13" t="inlineStr">
        <is>
          <t>3</t>
        </is>
      </c>
      <c r="I993" s="14" t="inlineStr">
        <is>
          <t>95.48</t>
        </is>
      </c>
      <c r="J993" s="15" t="inlineStr">
        <is>
          <t>0.02</t>
        </is>
      </c>
      <c r="K993" s="14" t="inlineStr">
        <is>
          <t>42.97</t>
        </is>
      </c>
      <c r="L993" s="13" t="inlineStr">
        <is>
          <t>4</t>
        </is>
      </c>
      <c r="M993" s="13" t="inlineStr">
        <is>
          <t>Completed</t>
        </is>
      </c>
      <c r="N993" s="13" t="inlineStr">
        <is>
          <t>M. Okonkwo</t>
        </is>
      </c>
    </row>
    <row r="994">
      <c r="A994" s="13" t="inlineStr">
        <is>
          <t>HC-100992</t>
        </is>
      </c>
      <c r="B994" s="13" t="inlineStr">
        <is>
          <t>04/11/2025</t>
        </is>
      </c>
      <c r="C994" s="13" t="inlineStr">
        <is>
          <t>North</t>
        </is>
      </c>
      <c r="D994" s="13" t="inlineStr">
        <is>
          <t>Store</t>
        </is>
      </c>
      <c r="E994" s="13" t="inlineStr">
        <is>
          <t>Furniture</t>
        </is>
      </c>
      <c r="F994" s="13" t="inlineStr">
        <is>
          <t>Lounge Chair</t>
        </is>
      </c>
      <c r="G994" s="13" t="inlineStr">
        <is>
          <t>Consumer</t>
        </is>
      </c>
      <c r="H994" s="13" t="inlineStr">
        <is>
          <t>3</t>
        </is>
      </c>
      <c r="I994" s="14" t="inlineStr">
        <is>
          <t>446.49</t>
        </is>
      </c>
      <c r="J994" s="15" t="inlineStr">
        <is>
          <t>0.11</t>
        </is>
      </c>
      <c r="K994" s="14" t="inlineStr">
        <is>
          <t>267.89</t>
        </is>
      </c>
      <c r="L994" s="13" t="inlineStr">
        <is>
          <t>4</t>
        </is>
      </c>
      <c r="M994" s="13" t="inlineStr">
        <is>
          <t>Completed</t>
        </is>
      </c>
      <c r="N994" s="13" t="inlineStr">
        <is>
          <t>J. Patel</t>
        </is>
      </c>
    </row>
    <row r="995">
      <c r="A995" s="13" t="inlineStr">
        <is>
          <t>HC-100993</t>
        </is>
      </c>
      <c r="B995" s="13" t="inlineStr">
        <is>
          <t>26-Dec-24</t>
        </is>
      </c>
      <c r="C995" s="13" t="inlineStr">
        <is>
          <t>West</t>
        </is>
      </c>
      <c r="D995" s="13" t="inlineStr">
        <is>
          <t>Store</t>
        </is>
      </c>
      <c r="E995" s="13" t="inlineStr">
        <is>
          <t>Kitchen</t>
        </is>
      </c>
      <c r="F995" s="13" t="inlineStr">
        <is>
          <t>Ceramic Set</t>
        </is>
      </c>
      <c r="G995" s="13" t="inlineStr">
        <is>
          <t>Home Office</t>
        </is>
      </c>
      <c r="H995" s="13" t="inlineStr">
        <is>
          <t>5</t>
        </is>
      </c>
      <c r="I995" s="14" t="inlineStr">
        <is>
          <t>89.16</t>
        </is>
      </c>
      <c r="J995" s="15" t="inlineStr">
        <is>
          <t>0.06</t>
        </is>
      </c>
      <c r="K995" s="14" t="inlineStr">
        <is>
          <t>33.88</t>
        </is>
      </c>
      <c r="L995" s="13" t="inlineStr">
        <is>
          <t>8</t>
        </is>
      </c>
      <c r="M995" s="13" t="inlineStr">
        <is>
          <t>Completed</t>
        </is>
      </c>
      <c r="N995" s="13" t="inlineStr">
        <is>
          <t>J. Patel</t>
        </is>
      </c>
    </row>
    <row r="996">
      <c r="A996" s="13" t="inlineStr">
        <is>
          <t>HC-100994</t>
        </is>
      </c>
      <c r="B996" s="13" t="inlineStr">
        <is>
          <t>2024/11/04</t>
        </is>
      </c>
      <c r="C996" s="13" t="inlineStr">
        <is>
          <t>Sout</t>
        </is>
      </c>
      <c r="D996" s="13" t="inlineStr">
        <is>
          <t>In-Store</t>
        </is>
      </c>
      <c r="E996" s="13" t="inlineStr">
        <is>
          <t>Textiles</t>
        </is>
      </c>
      <c r="F996" s="13" t="inlineStr">
        <is>
          <t>Cotton Duvet</t>
        </is>
      </c>
      <c r="G996" s="13" t="inlineStr">
        <is>
          <t>Consumer</t>
        </is>
      </c>
      <c r="H996" s="13" t="inlineStr">
        <is>
          <t>2</t>
        </is>
      </c>
      <c r="I996" s="14" t="inlineStr">
        <is>
          <t>121.07</t>
        </is>
      </c>
      <c r="J996" s="15" t="inlineStr">
        <is>
          <t>0.07</t>
        </is>
      </c>
      <c r="K996" s="14" t="inlineStr">
        <is>
          <t>53.27</t>
        </is>
      </c>
      <c r="L996" s="13" t="inlineStr">
        <is>
          <t>2</t>
        </is>
      </c>
      <c r="M996" s="13" t="inlineStr">
        <is>
          <t>Completed</t>
        </is>
      </c>
      <c r="N996" s="13" t="inlineStr">
        <is>
          <t>L. Berger</t>
        </is>
      </c>
    </row>
    <row r="997">
      <c r="A997" s="13" t="inlineStr">
        <is>
          <t>HC-100995</t>
        </is>
      </c>
      <c r="B997" s="13" t="inlineStr">
        <is>
          <t>11.02.2024</t>
        </is>
      </c>
      <c r="C997" s="13" t="inlineStr">
        <is>
          <t>South</t>
        </is>
      </c>
      <c r="D997" s="13" t="inlineStr">
        <is>
          <t>Store</t>
        </is>
      </c>
      <c r="E997" s="13" t="inlineStr">
        <is>
          <t>TEXTILES</t>
        </is>
      </c>
      <c r="F997" s="13" t="inlineStr">
        <is>
          <t>Linen Curtain</t>
        </is>
      </c>
      <c r="G997" s="13" t="inlineStr">
        <is>
          <t>Home Office</t>
        </is>
      </c>
      <c r="H997" s="13" t="inlineStr">
        <is>
          <t>4</t>
        </is>
      </c>
      <c r="I997" s="14" t="inlineStr">
        <is>
          <t>89.67</t>
        </is>
      </c>
      <c r="J997" s="15" t="inlineStr">
        <is>
          <t>0.06</t>
        </is>
      </c>
      <c r="K997" s="14" t="inlineStr">
        <is>
          <t>40.35</t>
        </is>
      </c>
      <c r="L997" s="13" t="inlineStr">
        <is>
          <t>1</t>
        </is>
      </c>
      <c r="M997" s="13" t="inlineStr">
        <is>
          <t>Returned</t>
        </is>
      </c>
      <c r="N997" s="13" t="inlineStr">
        <is>
          <t>K. Mensah</t>
        </is>
      </c>
    </row>
    <row r="998">
      <c r="A998" s="13" t="inlineStr">
        <is>
          <t>HC-100996</t>
        </is>
      </c>
      <c r="B998" s="13" t="inlineStr">
        <is>
          <t>11/02/2024</t>
        </is>
      </c>
      <c r="C998" s="13" t="inlineStr">
        <is>
          <t>West</t>
        </is>
      </c>
      <c r="D998" s="13" t="inlineStr">
        <is>
          <t>Store</t>
        </is>
      </c>
      <c r="E998" s="13" t="inlineStr">
        <is>
          <t>Textiles</t>
        </is>
      </c>
      <c r="F998" s="13" t="inlineStr">
        <is>
          <t>Linen Curtain</t>
        </is>
      </c>
      <c r="G998" s="13" t="inlineStr">
        <is>
          <t>Consumer</t>
        </is>
      </c>
      <c r="H998" s="13" t="inlineStr">
        <is>
          <t>4</t>
        </is>
      </c>
      <c r="I998" s="14" t="inlineStr">
        <is>
          <t>101.43</t>
        </is>
      </c>
      <c r="J998" s="15" t="inlineStr">
        <is>
          <t>0.03</t>
        </is>
      </c>
      <c r="K998" s="14" t="inlineStr">
        <is>
          <t>45.64</t>
        </is>
      </c>
      <c r="L998" s="13" t="inlineStr">
        <is>
          <t>3</t>
        </is>
      </c>
      <c r="M998" s="13" t="inlineStr">
        <is>
          <t>Canceled</t>
        </is>
      </c>
      <c r="N998" s="13" t="inlineStr">
        <is>
          <t>M. Okonkwo</t>
        </is>
      </c>
    </row>
    <row r="999">
      <c r="A999" s="13" t="inlineStr">
        <is>
          <t>HC-100997</t>
        </is>
      </c>
      <c r="B999" s="13" t="inlineStr">
        <is>
          <t>05-May-24</t>
        </is>
      </c>
      <c r="C999" s="13" t="inlineStr">
        <is>
          <t xml:space="preserve"> west </t>
        </is>
      </c>
      <c r="D999" s="13" t="inlineStr">
        <is>
          <t>Store</t>
        </is>
      </c>
      <c r="E999" s="13" t="inlineStr">
        <is>
          <t>Kitchen</t>
        </is>
      </c>
      <c r="F999" s="13" t="inlineStr">
        <is>
          <t>Ceramic Set</t>
        </is>
      </c>
      <c r="G999" s="13" t="inlineStr">
        <is>
          <t>Consumer</t>
        </is>
      </c>
      <c r="H999" s="13" t="inlineStr">
        <is>
          <t>1</t>
        </is>
      </c>
      <c r="I999" s="14" t="inlineStr">
        <is>
          <t>79.37</t>
        </is>
      </c>
      <c r="J999" s="15" t="inlineStr">
        <is>
          <t>0.10</t>
        </is>
      </c>
      <c r="K999" s="14" t="inlineStr">
        <is>
          <t>30.16</t>
        </is>
      </c>
      <c r="L999" s="13" t="inlineStr">
        <is>
          <t>3</t>
        </is>
      </c>
      <c r="M999" s="13" t="inlineStr">
        <is>
          <t>Completed</t>
        </is>
      </c>
      <c r="N999" s="13" t="inlineStr">
        <is>
          <t>R. Ibarra</t>
        </is>
      </c>
    </row>
    <row r="1000">
      <c r="A1000" s="13" t="inlineStr">
        <is>
          <t>HC-100998</t>
        </is>
      </c>
      <c r="B1000" s="13" t="inlineStr">
        <is>
          <t>2024/11/01</t>
        </is>
      </c>
      <c r="C1000" s="13" t="inlineStr">
        <is>
          <t>South</t>
        </is>
      </c>
      <c r="D1000" s="13" t="inlineStr">
        <is>
          <t>Store</t>
        </is>
      </c>
      <c r="E1000" s="13" t="inlineStr">
        <is>
          <t>KITCHEN</t>
        </is>
      </c>
      <c r="F1000" s="13" t="inlineStr">
        <is>
          <t>Ceramic Set</t>
        </is>
      </c>
      <c r="G1000" s="13" t="inlineStr">
        <is>
          <t>Consumer</t>
        </is>
      </c>
      <c r="H1000" s="13" t="inlineStr">
        <is>
          <t>3</t>
        </is>
      </c>
      <c r="I1000" s="14" t="inlineStr">
        <is>
          <t>80.64</t>
        </is>
      </c>
      <c r="J1000" s="15" t="inlineStr">
        <is>
          <t>0.08</t>
        </is>
      </c>
      <c r="K1000" s="14" t="inlineStr">
        <is>
          <t>30.64</t>
        </is>
      </c>
      <c r="L1000" s="13" t="inlineStr">
        <is>
          <t>5</t>
        </is>
      </c>
      <c r="M1000" s="13" t="inlineStr">
        <is>
          <t>Completed</t>
        </is>
      </c>
      <c r="N1000" s="13" t="inlineStr">
        <is>
          <t>S. Nguyen</t>
        </is>
      </c>
    </row>
    <row r="1001">
      <c r="A1001" s="13" t="inlineStr">
        <is>
          <t>HC-100999</t>
        </is>
      </c>
      <c r="B1001" s="13" t="inlineStr">
        <is>
          <t>15.01.2025</t>
        </is>
      </c>
      <c r="C1001" s="13" t="inlineStr">
        <is>
          <t>north</t>
        </is>
      </c>
      <c r="D1001" s="13" t="inlineStr">
        <is>
          <t>Online</t>
        </is>
      </c>
      <c r="E1001" s="13" t="inlineStr">
        <is>
          <t>Textiles</t>
        </is>
      </c>
      <c r="F1001" s="13" t="inlineStr">
        <is>
          <t>Linen Curtain</t>
        </is>
      </c>
      <c r="G1001" s="13" t="inlineStr">
        <is>
          <t>Corporate</t>
        </is>
      </c>
      <c r="H1001" s="13" t="inlineStr">
        <is>
          <t>1</t>
        </is>
      </c>
      <c r="I1001" s="14" t="inlineStr">
        <is>
          <t>91.66</t>
        </is>
      </c>
      <c r="J1001" s="15" t="inlineStr">
        <is>
          <t>0.03</t>
        </is>
      </c>
      <c r="K1001" s="14" t="inlineStr">
        <is>
          <t>41.25</t>
        </is>
      </c>
      <c r="L1001" s="13" t="inlineStr">
        <is>
          <t>7</t>
        </is>
      </c>
      <c r="M1001" s="13" t="inlineStr">
        <is>
          <t>Compleated</t>
        </is>
      </c>
      <c r="N1001" s="13" t="inlineStr">
        <is>
          <t>R. Ibarra</t>
        </is>
      </c>
    </row>
    <row r="1002">
      <c r="A1002" s="13" t="inlineStr">
        <is>
          <t>HC-101000</t>
        </is>
      </c>
      <c r="B1002" s="13" t="inlineStr">
        <is>
          <t>09/05/2024</t>
        </is>
      </c>
      <c r="C1002" s="13" t="inlineStr">
        <is>
          <t>South</t>
        </is>
      </c>
      <c r="D1002" s="13" t="inlineStr">
        <is>
          <t>Wholesale</t>
        </is>
      </c>
      <c r="E1002" s="13" t="inlineStr">
        <is>
          <t>Furniture</t>
        </is>
      </c>
      <c r="F1002" s="13" t="inlineStr">
        <is>
          <t>Linen Sofa</t>
        </is>
      </c>
      <c r="G1002" s="13" t="inlineStr">
        <is>
          <t>Home Office</t>
        </is>
      </c>
      <c r="H1002" s="13" t="inlineStr">
        <is>
          <t>15</t>
        </is>
      </c>
      <c r="I1002" s="14" t="inlineStr">
        <is>
          <t>1225.09</t>
        </is>
      </c>
      <c r="J1002" s="15" t="inlineStr">
        <is>
          <t>0.16</t>
        </is>
      </c>
      <c r="K1002" s="14" t="inlineStr">
        <is>
          <t>808.56</t>
        </is>
      </c>
      <c r="L1002" s="13" t="inlineStr">
        <is>
          <t>5</t>
        </is>
      </c>
      <c r="M1002" s="13" t="inlineStr">
        <is>
          <t>Completed</t>
        </is>
      </c>
      <c r="N1002" s="13" t="inlineStr">
        <is>
          <t>S. Nguyen</t>
        </is>
      </c>
    </row>
    <row r="1003">
      <c r="A1003" s="13" t="inlineStr">
        <is>
          <t>HC-101001</t>
        </is>
      </c>
      <c r="B1003" s="13" t="inlineStr">
        <is>
          <t>13-Feb-24</t>
        </is>
      </c>
      <c r="C1003" s="13" t="inlineStr">
        <is>
          <t>North</t>
        </is>
      </c>
      <c r="D1003" s="13" t="inlineStr">
        <is>
          <t>Store</t>
        </is>
      </c>
      <c r="E1003" s="13" t="inlineStr">
        <is>
          <t>LIGHTING</t>
        </is>
      </c>
      <c r="F1003" s="13" t="inlineStr">
        <is>
          <t>Brass Sconce</t>
        </is>
      </c>
      <c r="G1003" s="13" t="inlineStr">
        <is>
          <t>Corporate</t>
        </is>
      </c>
      <c r="H1003" s="13" t="inlineStr">
        <is>
          <t>2</t>
        </is>
      </c>
      <c r="I1003" s="14" t="inlineStr">
        <is>
          <t>133.21</t>
        </is>
      </c>
      <c r="J1003" s="15" t="inlineStr">
        <is>
          <t>0.01</t>
        </is>
      </c>
      <c r="K1003" s="14" t="inlineStr">
        <is>
          <t>61.28</t>
        </is>
      </c>
      <c r="L1003" s="13" t="inlineStr">
        <is>
          <t>5</t>
        </is>
      </c>
      <c r="M1003" s="13" t="inlineStr">
        <is>
          <t>Completed</t>
        </is>
      </c>
      <c r="N1003" s="13" t="inlineStr">
        <is>
          <t>L. Berger</t>
        </is>
      </c>
    </row>
    <row r="1004">
      <c r="A1004" s="13" t="inlineStr">
        <is>
          <t>HC-101002</t>
        </is>
      </c>
      <c r="B1004" s="13" t="inlineStr">
        <is>
          <t>2024/07/10</t>
        </is>
      </c>
      <c r="C1004" s="13" t="inlineStr">
        <is>
          <t>west</t>
        </is>
      </c>
      <c r="D1004" s="13" t="inlineStr">
        <is>
          <t>Online</t>
        </is>
      </c>
      <c r="E1004" s="13" t="inlineStr">
        <is>
          <t>Lighting</t>
        </is>
      </c>
      <c r="F1004" s="13" t="inlineStr">
        <is>
          <t>Pendant Light</t>
        </is>
      </c>
      <c r="G1004" s="13" t="inlineStr"/>
      <c r="H1004" s="13" t="inlineStr">
        <is>
          <t>1</t>
        </is>
      </c>
      <c r="I1004" s="14" t="inlineStr">
        <is>
          <t>188.07</t>
        </is>
      </c>
      <c r="J1004" s="15" t="inlineStr">
        <is>
          <t>0.04</t>
        </is>
      </c>
      <c r="K1004" s="14" t="inlineStr">
        <is>
          <t>94.03</t>
        </is>
      </c>
      <c r="L1004" s="13" t="inlineStr">
        <is>
          <t>5</t>
        </is>
      </c>
      <c r="M1004" s="13" t="inlineStr">
        <is>
          <t>Completed</t>
        </is>
      </c>
      <c r="N1004" s="13" t="inlineStr">
        <is>
          <t>J. Patel</t>
        </is>
      </c>
    </row>
    <row r="1005">
      <c r="A1005" s="13" t="inlineStr">
        <is>
          <t>HC-101003</t>
        </is>
      </c>
      <c r="B1005" s="13" t="inlineStr">
        <is>
          <t>17.04.2025</t>
        </is>
      </c>
      <c r="C1005" s="13" t="inlineStr">
        <is>
          <t>South</t>
        </is>
      </c>
      <c r="D1005" s="13" t="inlineStr">
        <is>
          <t>Store</t>
        </is>
      </c>
      <c r="E1005" s="13" t="inlineStr">
        <is>
          <t>Lighting</t>
        </is>
      </c>
      <c r="F1005" s="13" t="inlineStr">
        <is>
          <t>Arc Lamp</t>
        </is>
      </c>
      <c r="G1005" s="13" t="inlineStr">
        <is>
          <t>consumer</t>
        </is>
      </c>
      <c r="H1005" s="13" t="inlineStr">
        <is>
          <t>3</t>
        </is>
      </c>
      <c r="I1005" s="14" t="inlineStr">
        <is>
          <t>314.57</t>
        </is>
      </c>
      <c r="J1005" s="15" t="inlineStr">
        <is>
          <t>0.12</t>
        </is>
      </c>
      <c r="K1005" s="14" t="inlineStr">
        <is>
          <t>151.00</t>
        </is>
      </c>
      <c r="L1005" s="13" t="inlineStr">
        <is>
          <t>7</t>
        </is>
      </c>
      <c r="M1005" s="13" t="inlineStr">
        <is>
          <t>Completed</t>
        </is>
      </c>
      <c r="N1005" s="13" t="inlineStr">
        <is>
          <t>M. Okonkwo</t>
        </is>
      </c>
    </row>
    <row r="1006">
      <c r="A1006" s="13" t="inlineStr">
        <is>
          <t>HC-101004</t>
        </is>
      </c>
      <c r="B1006" s="13" t="inlineStr">
        <is>
          <t>08/30/2025</t>
        </is>
      </c>
      <c r="C1006" s="13" t="inlineStr">
        <is>
          <t>West</t>
        </is>
      </c>
      <c r="D1006" s="13" t="inlineStr">
        <is>
          <t>retail</t>
        </is>
      </c>
      <c r="E1006" s="13" t="inlineStr">
        <is>
          <t>Textiles</t>
        </is>
      </c>
      <c r="F1006" s="13" t="inlineStr">
        <is>
          <t>Wool Throw</t>
        </is>
      </c>
      <c r="G1006" s="13" t="inlineStr">
        <is>
          <t>Consumer</t>
        </is>
      </c>
      <c r="H1006" s="13" t="inlineStr">
        <is>
          <t>1</t>
        </is>
      </c>
      <c r="I1006" s="14" t="inlineStr">
        <is>
          <t>78.50</t>
        </is>
      </c>
      <c r="J1006" s="15" t="inlineStr">
        <is>
          <t>0.05</t>
        </is>
      </c>
      <c r="K1006" s="14" t="inlineStr">
        <is>
          <t>32.97</t>
        </is>
      </c>
      <c r="L1006" s="13" t="inlineStr">
        <is>
          <t>6</t>
        </is>
      </c>
      <c r="M1006" s="13" t="inlineStr">
        <is>
          <t>Completed</t>
        </is>
      </c>
      <c r="N1006" s="13" t="inlineStr">
        <is>
          <t>A. Shah</t>
        </is>
      </c>
    </row>
    <row r="1007">
      <c r="A1007" s="13" t="inlineStr">
        <is>
          <t>HC-101005</t>
        </is>
      </c>
      <c r="B1007" s="13" t="inlineStr">
        <is>
          <t>17-Jun-25</t>
        </is>
      </c>
      <c r="C1007" s="13" t="inlineStr">
        <is>
          <t>West</t>
        </is>
      </c>
      <c r="D1007" s="13" t="inlineStr">
        <is>
          <t>Online</t>
        </is>
      </c>
      <c r="E1007" s="13" t="inlineStr">
        <is>
          <t>Kitchen</t>
        </is>
      </c>
      <c r="F1007" s="13" t="inlineStr">
        <is>
          <t>Ceramic Set</t>
        </is>
      </c>
      <c r="G1007" s="13" t="inlineStr"/>
      <c r="H1007" s="13" t="inlineStr">
        <is>
          <t>three</t>
        </is>
      </c>
      <c r="I1007" s="14" t="inlineStr">
        <is>
          <t>91.87</t>
        </is>
      </c>
      <c r="J1007" s="15" t="inlineStr">
        <is>
          <t>0.12</t>
        </is>
      </c>
      <c r="K1007" s="14" t="inlineStr">
        <is>
          <t>34.91</t>
        </is>
      </c>
      <c r="L1007" s="13" t="inlineStr">
        <is>
          <t>2</t>
        </is>
      </c>
      <c r="M1007" s="13" t="inlineStr">
        <is>
          <t>Completed</t>
        </is>
      </c>
      <c r="N1007" s="13" t="inlineStr">
        <is>
          <t>R. Ibarra</t>
        </is>
      </c>
    </row>
    <row r="1008">
      <c r="A1008" s="13" t="inlineStr">
        <is>
          <t>HC-101006</t>
        </is>
      </c>
      <c r="B1008" s="13" t="inlineStr">
        <is>
          <t>2025/06/11</t>
        </is>
      </c>
      <c r="C1008" s="13" t="inlineStr">
        <is>
          <t>East</t>
        </is>
      </c>
      <c r="D1008" s="13" t="inlineStr">
        <is>
          <t>e-commerce</t>
        </is>
      </c>
      <c r="E1008" s="13" t="inlineStr">
        <is>
          <t>Kitchen</t>
        </is>
      </c>
      <c r="F1008" s="13" t="inlineStr">
        <is>
          <t>Cast Skillet</t>
        </is>
      </c>
      <c r="G1008" s="13" t="inlineStr">
        <is>
          <t>Consumer</t>
        </is>
      </c>
      <c r="H1008" s="13" t="inlineStr">
        <is>
          <t>3</t>
        </is>
      </c>
      <c r="I1008" s="14" t="inlineStr">
        <is>
          <t>48.02</t>
        </is>
      </c>
      <c r="J1008" s="15" t="inlineStr">
        <is>
          <t>0.07</t>
        </is>
      </c>
      <c r="K1008" s="14" t="inlineStr">
        <is>
          <t>19.21</t>
        </is>
      </c>
      <c r="L1008" s="13" t="inlineStr">
        <is>
          <t>9</t>
        </is>
      </c>
      <c r="M1008" s="13" t="inlineStr">
        <is>
          <t>Cancelled</t>
        </is>
      </c>
      <c r="N1008" s="13" t="inlineStr">
        <is>
          <t>L. Berger</t>
        </is>
      </c>
    </row>
    <row r="1009">
      <c r="A1009" s="13" t="inlineStr">
        <is>
          <t>HC-101007</t>
        </is>
      </c>
      <c r="B1009" s="13" t="inlineStr">
        <is>
          <t>13.05.2024</t>
        </is>
      </c>
      <c r="C1009" s="13" t="inlineStr">
        <is>
          <t>South</t>
        </is>
      </c>
      <c r="D1009" s="13" t="inlineStr">
        <is>
          <t>Store</t>
        </is>
      </c>
      <c r="E1009" s="13" t="inlineStr">
        <is>
          <t>KITCHEN</t>
        </is>
      </c>
      <c r="F1009" s="13" t="inlineStr">
        <is>
          <t>Chef Knife</t>
        </is>
      </c>
      <c r="G1009" s="13" t="inlineStr">
        <is>
          <t>consumer</t>
        </is>
      </c>
      <c r="H1009" s="13" t="inlineStr">
        <is>
          <t>3</t>
        </is>
      </c>
      <c r="I1009" s="14" t="inlineStr">
        <is>
          <t>60.63</t>
        </is>
      </c>
      <c r="J1009" s="15" t="inlineStr">
        <is>
          <t>0.10</t>
        </is>
      </c>
      <c r="K1009" s="14" t="inlineStr">
        <is>
          <t>21.83</t>
        </is>
      </c>
      <c r="L1009" s="13" t="inlineStr">
        <is>
          <t>6</t>
        </is>
      </c>
      <c r="M1009" s="13" t="inlineStr">
        <is>
          <t>COMPLETED</t>
        </is>
      </c>
      <c r="N1009" s="13" t="inlineStr">
        <is>
          <t>R. Ibarra</t>
        </is>
      </c>
    </row>
    <row r="1010">
      <c r="A1010" s="13" t="inlineStr">
        <is>
          <t>HC-101008</t>
        </is>
      </c>
      <c r="B1010" s="13" t="inlineStr">
        <is>
          <t>02/10/2024</t>
        </is>
      </c>
      <c r="C1010" s="13" t="inlineStr">
        <is>
          <t>South</t>
        </is>
      </c>
      <c r="D1010" s="13" t="inlineStr">
        <is>
          <t>Wholesale</t>
        </is>
      </c>
      <c r="E1010" s="13" t="inlineStr">
        <is>
          <t>Lighting</t>
        </is>
      </c>
      <c r="F1010" s="13" t="inlineStr">
        <is>
          <t>Brass Sconce</t>
        </is>
      </c>
      <c r="G1010" s="13" t="inlineStr">
        <is>
          <t>Home Office</t>
        </is>
      </c>
      <c r="H1010" s="13" t="inlineStr">
        <is>
          <t>21</t>
        </is>
      </c>
      <c r="I1010" s="14" t="inlineStr">
        <is>
          <t>146.25</t>
        </is>
      </c>
      <c r="J1010" s="15" t="inlineStr">
        <is>
          <t>0.32</t>
        </is>
      </c>
      <c r="K1010" s="14" t="inlineStr">
        <is>
          <t>67.28</t>
        </is>
      </c>
      <c r="L1010" s="13" t="inlineStr">
        <is>
          <t>6</t>
        </is>
      </c>
      <c r="M1010" s="13" t="inlineStr">
        <is>
          <t>Completed</t>
        </is>
      </c>
      <c r="N1010" s="13" t="inlineStr">
        <is>
          <t>K. Mensah</t>
        </is>
      </c>
    </row>
    <row r="1011">
      <c r="A1011" s="13" t="inlineStr">
        <is>
          <t>HC-101009</t>
        </is>
      </c>
      <c r="B1011" s="13" t="inlineStr">
        <is>
          <t>19-Dec-24</t>
        </is>
      </c>
      <c r="C1011" s="13" t="inlineStr">
        <is>
          <t>North</t>
        </is>
      </c>
      <c r="D1011" s="13" t="inlineStr">
        <is>
          <t>e-commerce</t>
        </is>
      </c>
      <c r="E1011" s="13" t="inlineStr">
        <is>
          <t>Kitchen</t>
        </is>
      </c>
      <c r="F1011" s="13" t="inlineStr">
        <is>
          <t>Cast Skillet</t>
        </is>
      </c>
      <c r="G1011" s="13" t="inlineStr">
        <is>
          <t>consumer</t>
        </is>
      </c>
      <c r="H1011" s="13" t="inlineStr">
        <is>
          <t>2</t>
        </is>
      </c>
      <c r="I1011" s="14" t="inlineStr">
        <is>
          <t>$57.12</t>
        </is>
      </c>
      <c r="J1011" s="15" t="inlineStr">
        <is>
          <t>0.14</t>
        </is>
      </c>
      <c r="K1011" s="14" t="inlineStr">
        <is>
          <t>22.85</t>
        </is>
      </c>
      <c r="L1011" s="13" t="inlineStr">
        <is>
          <t>2</t>
        </is>
      </c>
      <c r="M1011" s="13" t="inlineStr">
        <is>
          <t>Completed</t>
        </is>
      </c>
      <c r="N1011" s="13" t="inlineStr">
        <is>
          <t>L. Berger</t>
        </is>
      </c>
    </row>
    <row r="1012">
      <c r="A1012" s="13" t="inlineStr">
        <is>
          <t>HC-101010</t>
        </is>
      </c>
      <c r="B1012" s="13" t="inlineStr">
        <is>
          <t>2024/05/04</t>
        </is>
      </c>
      <c r="C1012" s="13" t="inlineStr">
        <is>
          <t>West</t>
        </is>
      </c>
      <c r="D1012" s="13" t="inlineStr">
        <is>
          <t>Online</t>
        </is>
      </c>
      <c r="E1012" s="13" t="inlineStr">
        <is>
          <t>Furniture</t>
        </is>
      </c>
      <c r="F1012" s="13" t="inlineStr">
        <is>
          <t>Walnut Shelf</t>
        </is>
      </c>
      <c r="G1012" s="13" t="inlineStr">
        <is>
          <t>Corporate</t>
        </is>
      </c>
      <c r="H1012" s="13" t="inlineStr">
        <is>
          <t>2</t>
        </is>
      </c>
      <c r="I1012" s="14" t="inlineStr">
        <is>
          <t>219.92</t>
        </is>
      </c>
      <c r="J1012" s="15" t="inlineStr">
        <is>
          <t>0.12</t>
        </is>
      </c>
      <c r="K1012" s="14" t="inlineStr">
        <is>
          <t>120.95</t>
        </is>
      </c>
      <c r="L1012" s="13" t="inlineStr">
        <is>
          <t>9</t>
        </is>
      </c>
      <c r="M1012" s="13" t="inlineStr">
        <is>
          <t>COMPLETED</t>
        </is>
      </c>
      <c r="N1012" s="13" t="inlineStr">
        <is>
          <t>A. Shah</t>
        </is>
      </c>
    </row>
    <row r="1013">
      <c r="A1013" s="13" t="inlineStr">
        <is>
          <t>HC-101011</t>
        </is>
      </c>
      <c r="B1013" s="13" t="inlineStr">
        <is>
          <t>03.07.2025</t>
        </is>
      </c>
      <c r="C1013" s="13" t="inlineStr">
        <is>
          <t xml:space="preserve"> North </t>
        </is>
      </c>
      <c r="D1013" s="13" t="inlineStr">
        <is>
          <t>Store</t>
        </is>
      </c>
      <c r="E1013" s="13" t="inlineStr">
        <is>
          <t>Textiles</t>
        </is>
      </c>
      <c r="F1013" s="13" t="inlineStr">
        <is>
          <t>Cotton Duvet</t>
        </is>
      </c>
      <c r="G1013" s="13" t="inlineStr">
        <is>
          <t>Consumer</t>
        </is>
      </c>
      <c r="H1013" s="13" t="inlineStr">
        <is>
          <t>4</t>
        </is>
      </c>
      <c r="I1013" s="14" t="inlineStr">
        <is>
          <t>121.93</t>
        </is>
      </c>
      <c r="J1013" s="15" t="inlineStr">
        <is>
          <t>0.03</t>
        </is>
      </c>
      <c r="K1013" s="14" t="inlineStr">
        <is>
          <t>53.65</t>
        </is>
      </c>
      <c r="L1013" s="13" t="inlineStr">
        <is>
          <t>2</t>
        </is>
      </c>
      <c r="M1013" s="13" t="inlineStr">
        <is>
          <t>Completed</t>
        </is>
      </c>
      <c r="N1013" s="13" t="inlineStr">
        <is>
          <t>R. Ibarra</t>
        </is>
      </c>
    </row>
    <row r="1014">
      <c r="A1014" s="13" t="inlineStr">
        <is>
          <t>HC-101012</t>
        </is>
      </c>
      <c r="B1014" s="13" t="inlineStr">
        <is>
          <t>08/26/2025</t>
        </is>
      </c>
      <c r="C1014" s="13" t="inlineStr">
        <is>
          <t>EAST</t>
        </is>
      </c>
      <c r="D1014" s="13" t="inlineStr">
        <is>
          <t>Wholesale</t>
        </is>
      </c>
      <c r="E1014" s="13" t="inlineStr">
        <is>
          <t>Kitchen</t>
        </is>
      </c>
      <c r="F1014" s="13" t="inlineStr">
        <is>
          <t>Ceramic Set</t>
        </is>
      </c>
      <c r="G1014" s="13" t="inlineStr">
        <is>
          <t>Consumer</t>
        </is>
      </c>
      <c r="H1014" s="13" t="inlineStr">
        <is>
          <t>10</t>
        </is>
      </c>
      <c r="I1014" s="14" t="inlineStr">
        <is>
          <t>78.66</t>
        </is>
      </c>
      <c r="J1014" s="15" t="inlineStr">
        <is>
          <t>0.17</t>
        </is>
      </c>
      <c r="K1014" s="14" t="inlineStr">
        <is>
          <t>29.89</t>
        </is>
      </c>
      <c r="L1014" s="13" t="inlineStr">
        <is>
          <t>11</t>
        </is>
      </c>
      <c r="M1014" s="13" t="inlineStr">
        <is>
          <t>Completed</t>
        </is>
      </c>
      <c r="N1014" s="13" t="inlineStr">
        <is>
          <t>M. Okonkwo</t>
        </is>
      </c>
    </row>
    <row r="1015">
      <c r="A1015" s="13" t="inlineStr">
        <is>
          <t>HC-101013</t>
        </is>
      </c>
      <c r="B1015" s="13" t="inlineStr">
        <is>
          <t>13-Dec-24</t>
        </is>
      </c>
      <c r="C1015" s="13" t="inlineStr">
        <is>
          <t>West</t>
        </is>
      </c>
      <c r="D1015" s="13" t="inlineStr">
        <is>
          <t>Store</t>
        </is>
      </c>
      <c r="E1015" s="13" t="inlineStr">
        <is>
          <t>Textiles</t>
        </is>
      </c>
      <c r="F1015" s="13" t="inlineStr">
        <is>
          <t>Cotton Duvet</t>
        </is>
      </c>
      <c r="G1015" s="13" t="inlineStr">
        <is>
          <t>Home Office</t>
        </is>
      </c>
      <c r="H1015" s="13" t="inlineStr">
        <is>
          <t>4</t>
        </is>
      </c>
      <c r="I1015" s="14" t="inlineStr">
        <is>
          <t>125.24</t>
        </is>
      </c>
      <c r="J1015" s="15" t="inlineStr">
        <is>
          <t>0.09</t>
        </is>
      </c>
      <c r="K1015" s="14" t="inlineStr">
        <is>
          <t>55.11</t>
        </is>
      </c>
      <c r="L1015" s="13" t="inlineStr">
        <is>
          <t>5</t>
        </is>
      </c>
      <c r="M1015" s="13" t="inlineStr">
        <is>
          <t>Completed</t>
        </is>
      </c>
      <c r="N1015" s="13" t="inlineStr">
        <is>
          <t>K. Mensah</t>
        </is>
      </c>
    </row>
    <row r="1016">
      <c r="A1016" s="13" t="inlineStr">
        <is>
          <t>HC-101014</t>
        </is>
      </c>
      <c r="B1016" s="13" t="inlineStr">
        <is>
          <t>2025/02/27</t>
        </is>
      </c>
      <c r="C1016" s="13" t="inlineStr">
        <is>
          <t>South</t>
        </is>
      </c>
      <c r="D1016" s="13" t="inlineStr">
        <is>
          <t>In-Store</t>
        </is>
      </c>
      <c r="E1016" s="13" t="inlineStr">
        <is>
          <t>Furniture</t>
        </is>
      </c>
      <c r="F1016" s="13" t="inlineStr">
        <is>
          <t>Linen Sofa</t>
        </is>
      </c>
      <c r="G1016" s="13" t="inlineStr">
        <is>
          <t>Consumer</t>
        </is>
      </c>
      <c r="H1016" s="13" t="inlineStr">
        <is>
          <t>2</t>
        </is>
      </c>
      <c r="I1016" s="14" t="inlineStr">
        <is>
          <t>1161.34</t>
        </is>
      </c>
      <c r="J1016" s="15" t="inlineStr">
        <is>
          <t>0.05</t>
        </is>
      </c>
      <c r="K1016" s="14" t="inlineStr">
        <is>
          <t>766.48</t>
        </is>
      </c>
      <c r="L1016" s="13" t="inlineStr">
        <is>
          <t>2</t>
        </is>
      </c>
      <c r="M1016" s="13" t="inlineStr">
        <is>
          <t>Completed</t>
        </is>
      </c>
      <c r="N1016" s="13" t="inlineStr">
        <is>
          <t>P. Rossi</t>
        </is>
      </c>
    </row>
    <row r="1017">
      <c r="A1017" s="13" t="inlineStr">
        <is>
          <t>HC-101015</t>
        </is>
      </c>
      <c r="B1017" s="13" t="inlineStr">
        <is>
          <t>02.04.2024</t>
        </is>
      </c>
      <c r="C1017" s="13" t="inlineStr">
        <is>
          <t>East</t>
        </is>
      </c>
      <c r="D1017" s="13" t="inlineStr">
        <is>
          <t>Store</t>
        </is>
      </c>
      <c r="E1017" s="13" t="inlineStr">
        <is>
          <t>Furniture</t>
        </is>
      </c>
      <c r="F1017" s="13" t="inlineStr">
        <is>
          <t>Lounge Chair</t>
        </is>
      </c>
      <c r="G1017" s="13" t="inlineStr">
        <is>
          <t>Consumer</t>
        </is>
      </c>
      <c r="H1017" s="13" t="inlineStr">
        <is>
          <t>3</t>
        </is>
      </c>
      <c r="I1017" s="14" t="inlineStr">
        <is>
          <t>412.49</t>
        </is>
      </c>
      <c r="J1017" s="15" t="inlineStr">
        <is>
          <t>0.07</t>
        </is>
      </c>
      <c r="K1017" s="14" t="inlineStr">
        <is>
          <t>247.49</t>
        </is>
      </c>
      <c r="L1017" s="13" t="inlineStr">
        <is>
          <t>12</t>
        </is>
      </c>
      <c r="M1017" s="13" t="inlineStr">
        <is>
          <t>Completed</t>
        </is>
      </c>
      <c r="N1017" s="13" t="inlineStr">
        <is>
          <t>M. Okonkwo</t>
        </is>
      </c>
    </row>
    <row r="1018">
      <c r="A1018" s="13" t="inlineStr">
        <is>
          <t>HC-101016</t>
        </is>
      </c>
      <c r="B1018" s="13" t="inlineStr">
        <is>
          <t>07/23/2024</t>
        </is>
      </c>
      <c r="C1018" s="13" t="inlineStr">
        <is>
          <t>South</t>
        </is>
      </c>
      <c r="D1018" s="13" t="inlineStr">
        <is>
          <t>web</t>
        </is>
      </c>
      <c r="E1018" s="13" t="inlineStr">
        <is>
          <t>Textiles</t>
        </is>
      </c>
      <c r="F1018" s="13" t="inlineStr">
        <is>
          <t>Wool Throw</t>
        </is>
      </c>
      <c r="G1018" s="13" t="inlineStr">
        <is>
          <t>Consumer</t>
        </is>
      </c>
      <c r="H1018" s="13" t="inlineStr">
        <is>
          <t>1</t>
        </is>
      </c>
      <c r="I1018" s="14" t="inlineStr">
        <is>
          <t>$78.74</t>
        </is>
      </c>
      <c r="J1018" s="15" t="inlineStr">
        <is>
          <t>0.09</t>
        </is>
      </c>
      <c r="K1018" s="14" t="inlineStr">
        <is>
          <t>33.07</t>
        </is>
      </c>
      <c r="L1018" s="13" t="inlineStr">
        <is>
          <t>8</t>
        </is>
      </c>
      <c r="M1018" s="13" t="inlineStr">
        <is>
          <t>Cancelled</t>
        </is>
      </c>
      <c r="N1018" s="13" t="inlineStr">
        <is>
          <t>R. Ibarra</t>
        </is>
      </c>
    </row>
    <row r="1019">
      <c r="A1019" s="13" t="inlineStr">
        <is>
          <t>HC-101017</t>
        </is>
      </c>
      <c r="B1019" s="13" t="inlineStr">
        <is>
          <t>17-Feb-25</t>
        </is>
      </c>
      <c r="C1019" s="13" t="inlineStr">
        <is>
          <t>East</t>
        </is>
      </c>
      <c r="D1019" s="13" t="inlineStr">
        <is>
          <t>Wholesale</t>
        </is>
      </c>
      <c r="E1019" s="13" t="inlineStr">
        <is>
          <t>Lighting</t>
        </is>
      </c>
      <c r="F1019" s="13" t="inlineStr">
        <is>
          <t>Pendant Light</t>
        </is>
      </c>
      <c r="G1019" s="13" t="inlineStr">
        <is>
          <t>Consumer</t>
        </is>
      </c>
      <c r="H1019" s="13" t="inlineStr">
        <is>
          <t>29</t>
        </is>
      </c>
      <c r="I1019" s="14" t="inlineStr">
        <is>
          <t>158.32</t>
        </is>
      </c>
      <c r="J1019" s="15" t="inlineStr">
        <is>
          <t>0.29</t>
        </is>
      </c>
      <c r="K1019" s="14" t="inlineStr">
        <is>
          <t>79.16</t>
        </is>
      </c>
      <c r="L1019" s="13" t="inlineStr">
        <is>
          <t>8</t>
        </is>
      </c>
      <c r="M1019" s="13" t="inlineStr">
        <is>
          <t>Completed</t>
        </is>
      </c>
      <c r="N1019" s="13" t="inlineStr">
        <is>
          <t>R. Ibarra</t>
        </is>
      </c>
    </row>
    <row r="1020">
      <c r="A1020" s="13" t="inlineStr">
        <is>
          <t>HC-101018</t>
        </is>
      </c>
      <c r="B1020" s="13" t="inlineStr">
        <is>
          <t>2024/01/10</t>
        </is>
      </c>
      <c r="C1020" s="13" t="inlineStr">
        <is>
          <t>East</t>
        </is>
      </c>
      <c r="D1020" s="13" t="inlineStr">
        <is>
          <t>Store</t>
        </is>
      </c>
      <c r="E1020" s="13" t="inlineStr">
        <is>
          <t>Textiles</t>
        </is>
      </c>
      <c r="F1020" s="13" t="inlineStr">
        <is>
          <t>Cotton Duvet</t>
        </is>
      </c>
      <c r="G1020" s="13" t="inlineStr">
        <is>
          <t>Consumer</t>
        </is>
      </c>
      <c r="H1020" s="13" t="inlineStr">
        <is>
          <t>1</t>
        </is>
      </c>
      <c r="I1020" s="14" t="inlineStr">
        <is>
          <t>115.51</t>
        </is>
      </c>
      <c r="J1020" s="15" t="inlineStr">
        <is>
          <t>0.01</t>
        </is>
      </c>
      <c r="K1020" s="14" t="inlineStr">
        <is>
          <t>50.83</t>
        </is>
      </c>
      <c r="L1020" s="13" t="inlineStr">
        <is>
          <t>9</t>
        </is>
      </c>
      <c r="M1020" s="13" t="inlineStr">
        <is>
          <t>RETURNED</t>
        </is>
      </c>
      <c r="N1020" s="13" t="inlineStr">
        <is>
          <t>M. Okonkwo</t>
        </is>
      </c>
    </row>
    <row r="1021">
      <c r="A1021" s="13" t="inlineStr">
        <is>
          <t>HC-101019</t>
        </is>
      </c>
      <c r="B1021" s="13" t="inlineStr">
        <is>
          <t>04.07.2025</t>
        </is>
      </c>
      <c r="C1021" s="13" t="inlineStr">
        <is>
          <t>South</t>
        </is>
      </c>
      <c r="D1021" s="13" t="inlineStr">
        <is>
          <t>Online</t>
        </is>
      </c>
      <c r="E1021" s="13" t="inlineStr">
        <is>
          <t>Furniture</t>
        </is>
      </c>
      <c r="F1021" s="13" t="inlineStr">
        <is>
          <t>Linen Sofa</t>
        </is>
      </c>
      <c r="G1021" s="13" t="inlineStr">
        <is>
          <t>Consumer</t>
        </is>
      </c>
      <c r="H1021" s="13" t="inlineStr">
        <is>
          <t>2</t>
        </is>
      </c>
      <c r="I1021" s="14" t="inlineStr">
        <is>
          <t>1167.54</t>
        </is>
      </c>
      <c r="J1021" s="15" t="inlineStr">
        <is>
          <t>0.09</t>
        </is>
      </c>
      <c r="K1021" s="14" t="inlineStr">
        <is>
          <t>770.58</t>
        </is>
      </c>
      <c r="L1021" s="13" t="inlineStr">
        <is>
          <t>7</t>
        </is>
      </c>
      <c r="M1021" s="13" t="inlineStr">
        <is>
          <t>Completed</t>
        </is>
      </c>
      <c r="N1021" s="13" t="inlineStr">
        <is>
          <t>K. Mensah</t>
        </is>
      </c>
    </row>
    <row r="1022">
      <c r="A1022" s="13" t="inlineStr">
        <is>
          <t>HC-101020</t>
        </is>
      </c>
      <c r="B1022" s="13" t="inlineStr">
        <is>
          <t>06/15/2025</t>
        </is>
      </c>
      <c r="C1022" s="13" t="inlineStr">
        <is>
          <t>South</t>
        </is>
      </c>
      <c r="D1022" s="13" t="inlineStr">
        <is>
          <t>Wholesale</t>
        </is>
      </c>
      <c r="E1022" s="13" t="inlineStr">
        <is>
          <t>TEXTILES</t>
        </is>
      </c>
      <c r="F1022" s="13" t="inlineStr">
        <is>
          <t>Linen Curtain</t>
        </is>
      </c>
      <c r="G1022" s="13" t="inlineStr">
        <is>
          <t>Consumer</t>
        </is>
      </c>
      <c r="H1022" s="13" t="inlineStr">
        <is>
          <t>24</t>
        </is>
      </c>
      <c r="I1022" s="14" t="inlineStr">
        <is>
          <t>90.29</t>
        </is>
      </c>
      <c r="J1022" s="15" t="inlineStr">
        <is>
          <t>0.16</t>
        </is>
      </c>
      <c r="K1022" s="14" t="inlineStr">
        <is>
          <t>40.63</t>
        </is>
      </c>
      <c r="L1022" s="13" t="inlineStr">
        <is>
          <t>8</t>
        </is>
      </c>
      <c r="M1022" s="13" t="inlineStr">
        <is>
          <t>Completed</t>
        </is>
      </c>
      <c r="N1022" s="13" t="inlineStr">
        <is>
          <t>R. Ibarra</t>
        </is>
      </c>
    </row>
    <row r="1023">
      <c r="A1023" s="13" t="inlineStr">
        <is>
          <t>HC-101021</t>
        </is>
      </c>
      <c r="B1023" s="13" t="inlineStr">
        <is>
          <t>15-Nov-24</t>
        </is>
      </c>
      <c r="C1023" s="13" t="inlineStr">
        <is>
          <t>north</t>
        </is>
      </c>
      <c r="D1023" s="13" t="inlineStr">
        <is>
          <t>Online</t>
        </is>
      </c>
      <c r="E1023" s="13" t="inlineStr">
        <is>
          <t>Lighting</t>
        </is>
      </c>
      <c r="F1023" s="13" t="inlineStr">
        <is>
          <t>Arc Lamp</t>
        </is>
      </c>
      <c r="G1023" s="13" t="inlineStr">
        <is>
          <t>Home Office</t>
        </is>
      </c>
      <c r="H1023" s="13" t="inlineStr">
        <is>
          <t>4</t>
        </is>
      </c>
      <c r="I1023" s="14" t="inlineStr">
        <is>
          <t>333.32</t>
        </is>
      </c>
      <c r="J1023" s="15" t="inlineStr">
        <is>
          <t>0.04</t>
        </is>
      </c>
      <c r="K1023" s="14" t="inlineStr">
        <is>
          <t>159.99</t>
        </is>
      </c>
      <c r="L1023" s="13" t="inlineStr">
        <is>
          <t>7</t>
        </is>
      </c>
      <c r="M1023" s="13" t="inlineStr">
        <is>
          <t>Completed</t>
        </is>
      </c>
      <c r="N1023" s="13" t="inlineStr">
        <is>
          <t>R. Ibarra</t>
        </is>
      </c>
    </row>
    <row r="1024">
      <c r="A1024" s="13" t="inlineStr">
        <is>
          <t>HC-101022</t>
        </is>
      </c>
      <c r="B1024" s="13" t="inlineStr">
        <is>
          <t>2024/05/04</t>
        </is>
      </c>
      <c r="C1024" s="13" t="inlineStr">
        <is>
          <t>South</t>
        </is>
      </c>
      <c r="D1024" s="13" t="inlineStr">
        <is>
          <t>Online</t>
        </is>
      </c>
      <c r="E1024" s="13" t="inlineStr">
        <is>
          <t>Furniture</t>
        </is>
      </c>
      <c r="F1024" s="13" t="inlineStr">
        <is>
          <t>Lounge Chair</t>
        </is>
      </c>
      <c r="G1024" s="13" t="inlineStr">
        <is>
          <t>Corporate</t>
        </is>
      </c>
      <c r="H1024" s="13" t="inlineStr">
        <is>
          <t>2</t>
        </is>
      </c>
      <c r="I1024" s="14" t="inlineStr">
        <is>
          <t>507.03</t>
        </is>
      </c>
      <c r="J1024" s="15" t="inlineStr">
        <is>
          <t>0.13</t>
        </is>
      </c>
      <c r="K1024" s="14" t="inlineStr">
        <is>
          <t>304.22</t>
        </is>
      </c>
      <c r="L1024" s="13" t="inlineStr">
        <is>
          <t>5</t>
        </is>
      </c>
      <c r="M1024" s="13" t="inlineStr">
        <is>
          <t>Completed</t>
        </is>
      </c>
      <c r="N1024" s="13" t="inlineStr">
        <is>
          <t>M. Okonkwo</t>
        </is>
      </c>
    </row>
    <row r="1025">
      <c r="A1025" s="13" t="inlineStr">
        <is>
          <t>HC-101023</t>
        </is>
      </c>
      <c r="B1025" s="13" t="inlineStr">
        <is>
          <t>23.10.2024</t>
        </is>
      </c>
      <c r="C1025" s="13" t="inlineStr">
        <is>
          <t>West</t>
        </is>
      </c>
      <c r="D1025" s="13" t="inlineStr">
        <is>
          <t>retail</t>
        </is>
      </c>
      <c r="E1025" s="13" t="inlineStr">
        <is>
          <t>Furniture</t>
        </is>
      </c>
      <c r="F1025" s="13" t="inlineStr">
        <is>
          <t>Linen Sofa</t>
        </is>
      </c>
      <c r="G1025" s="13" t="inlineStr"/>
      <c r="H1025" s="13" t="inlineStr">
        <is>
          <t>2</t>
        </is>
      </c>
      <c r="I1025" s="14" t="inlineStr">
        <is>
          <t>$1,286.43</t>
        </is>
      </c>
      <c r="J1025" s="15" t="inlineStr">
        <is>
          <t>0.11</t>
        </is>
      </c>
      <c r="K1025" s="14" t="inlineStr">
        <is>
          <t>849.04</t>
        </is>
      </c>
      <c r="L1025" s="13" t="inlineStr">
        <is>
          <t>4</t>
        </is>
      </c>
      <c r="M1025" s="13" t="inlineStr">
        <is>
          <t>Completed</t>
        </is>
      </c>
      <c r="N1025" s="13" t="inlineStr">
        <is>
          <t>K. Mensah</t>
        </is>
      </c>
    </row>
    <row r="1026">
      <c r="A1026" s="13" t="inlineStr">
        <is>
          <t>HC-101024</t>
        </is>
      </c>
      <c r="B1026" s="13" t="inlineStr">
        <is>
          <t>01/27/2024</t>
        </is>
      </c>
      <c r="C1026" s="13" t="inlineStr">
        <is>
          <t xml:space="preserve"> west </t>
        </is>
      </c>
      <c r="D1026" s="13" t="inlineStr">
        <is>
          <t>Online</t>
        </is>
      </c>
      <c r="E1026" s="13" t="inlineStr">
        <is>
          <t>Kitchen</t>
        </is>
      </c>
      <c r="F1026" s="13" t="inlineStr">
        <is>
          <t>Chef Knife</t>
        </is>
      </c>
      <c r="G1026" s="13" t="inlineStr">
        <is>
          <t>Consumer</t>
        </is>
      </c>
      <c r="H1026" s="13" t="inlineStr">
        <is>
          <t>2</t>
        </is>
      </c>
      <c r="I1026" s="14" t="inlineStr">
        <is>
          <t>65.33</t>
        </is>
      </c>
      <c r="J1026" s="15" t="inlineStr">
        <is>
          <t>0.15</t>
        </is>
      </c>
      <c r="K1026" s="14" t="inlineStr">
        <is>
          <t>23.52</t>
        </is>
      </c>
      <c r="L1026" s="13" t="inlineStr">
        <is>
          <t>3</t>
        </is>
      </c>
      <c r="M1026" s="13" t="inlineStr">
        <is>
          <t>Completed</t>
        </is>
      </c>
      <c r="N1026" s="13" t="inlineStr">
        <is>
          <t>J. Patel</t>
        </is>
      </c>
    </row>
    <row r="1027">
      <c r="A1027" s="13" t="inlineStr">
        <is>
          <t>HC-101025</t>
        </is>
      </c>
      <c r="B1027" s="13" t="inlineStr">
        <is>
          <t>15-Mar-24</t>
        </is>
      </c>
      <c r="C1027" s="13" t="inlineStr">
        <is>
          <t>South</t>
        </is>
      </c>
      <c r="D1027" s="13" t="inlineStr">
        <is>
          <t>In-Store</t>
        </is>
      </c>
      <c r="E1027" s="13" t="inlineStr">
        <is>
          <t>Furniture</t>
        </is>
      </c>
      <c r="F1027" s="13" t="inlineStr">
        <is>
          <t>Lounge Chair</t>
        </is>
      </c>
      <c r="G1027" s="13" t="inlineStr">
        <is>
          <t>Consumer</t>
        </is>
      </c>
      <c r="H1027" s="13" t="inlineStr">
        <is>
          <t>2</t>
        </is>
      </c>
      <c r="I1027" s="14" t="inlineStr">
        <is>
          <t>517.78</t>
        </is>
      </c>
      <c r="J1027" s="15" t="inlineStr">
        <is>
          <t>0.07</t>
        </is>
      </c>
      <c r="K1027" s="14" t="inlineStr">
        <is>
          <t>310.67</t>
        </is>
      </c>
      <c r="L1027" s="13" t="inlineStr">
        <is>
          <t>5</t>
        </is>
      </c>
      <c r="M1027" s="13" t="inlineStr">
        <is>
          <t>Completed</t>
        </is>
      </c>
      <c r="N1027" s="13" t="inlineStr">
        <is>
          <t>J. Patel</t>
        </is>
      </c>
    </row>
    <row r="1028">
      <c r="A1028" s="13" t="inlineStr">
        <is>
          <t>HC-101026</t>
        </is>
      </c>
      <c r="B1028" s="13" t="inlineStr">
        <is>
          <t>2025/06/01</t>
        </is>
      </c>
      <c r="C1028" s="13" t="inlineStr">
        <is>
          <t>North</t>
        </is>
      </c>
      <c r="D1028" s="13" t="inlineStr">
        <is>
          <t>Store</t>
        </is>
      </c>
      <c r="E1028" s="13" t="inlineStr">
        <is>
          <t>Kitchen</t>
        </is>
      </c>
      <c r="F1028" s="13" t="inlineStr">
        <is>
          <t>Ceramic Set</t>
        </is>
      </c>
      <c r="G1028" s="13" t="inlineStr">
        <is>
          <t>Consumer</t>
        </is>
      </c>
      <c r="H1028" s="13" t="inlineStr">
        <is>
          <t>4</t>
        </is>
      </c>
      <c r="I1028" s="14" t="inlineStr">
        <is>
          <t>85.90</t>
        </is>
      </c>
      <c r="J1028" s="15" t="inlineStr">
        <is>
          <t>0.07</t>
        </is>
      </c>
      <c r="K1028" s="14" t="inlineStr">
        <is>
          <t>32.64</t>
        </is>
      </c>
      <c r="L1028" s="13" t="inlineStr">
        <is>
          <t>3</t>
        </is>
      </c>
      <c r="M1028" s="13" t="inlineStr">
        <is>
          <t>Completed</t>
        </is>
      </c>
      <c r="N1028" s="13" t="inlineStr">
        <is>
          <t>S. Nguyen</t>
        </is>
      </c>
    </row>
    <row r="1029">
      <c r="A1029" s="13" t="inlineStr">
        <is>
          <t>HC-101027</t>
        </is>
      </c>
      <c r="B1029" s="13" t="inlineStr">
        <is>
          <t>11.04.2024</t>
        </is>
      </c>
      <c r="C1029" s="13" t="inlineStr">
        <is>
          <t>East</t>
        </is>
      </c>
      <c r="D1029" s="13" t="inlineStr">
        <is>
          <t>Store</t>
        </is>
      </c>
      <c r="E1029" s="13" t="inlineStr">
        <is>
          <t>KITCHEN</t>
        </is>
      </c>
      <c r="F1029" s="13" t="inlineStr">
        <is>
          <t>Chef Knife</t>
        </is>
      </c>
      <c r="G1029" s="13" t="inlineStr">
        <is>
          <t>Consumer</t>
        </is>
      </c>
      <c r="H1029" s="13" t="inlineStr">
        <is>
          <t>4</t>
        </is>
      </c>
      <c r="I1029" s="14" t="inlineStr">
        <is>
          <t>58.95</t>
        </is>
      </c>
      <c r="J1029" s="15" t="inlineStr">
        <is>
          <t>0.09</t>
        </is>
      </c>
      <c r="K1029" s="14" t="inlineStr">
        <is>
          <t>21.22</t>
        </is>
      </c>
      <c r="L1029" s="13" t="inlineStr">
        <is>
          <t>11</t>
        </is>
      </c>
      <c r="M1029" s="13" t="inlineStr">
        <is>
          <t>COMPLETED</t>
        </is>
      </c>
      <c r="N1029" s="13" t="inlineStr">
        <is>
          <t>A. Shah</t>
        </is>
      </c>
    </row>
    <row r="1030">
      <c r="A1030" s="13" t="inlineStr">
        <is>
          <t>HC-101028</t>
        </is>
      </c>
      <c r="B1030" s="13" t="inlineStr">
        <is>
          <t>04/06/2025</t>
        </is>
      </c>
      <c r="C1030" s="13" t="inlineStr">
        <is>
          <t>North</t>
        </is>
      </c>
      <c r="D1030" s="13" t="inlineStr">
        <is>
          <t>Wholesale</t>
        </is>
      </c>
      <c r="E1030" s="13" t="inlineStr">
        <is>
          <t>Textiles</t>
        </is>
      </c>
      <c r="F1030" s="13" t="inlineStr">
        <is>
          <t>Cotton Duvet</t>
        </is>
      </c>
      <c r="G1030" s="13" t="inlineStr">
        <is>
          <t>Consumer</t>
        </is>
      </c>
      <c r="H1030" s="13" t="inlineStr">
        <is>
          <t>16</t>
        </is>
      </c>
      <c r="I1030" s="14" t="inlineStr">
        <is>
          <t>119.79</t>
        </is>
      </c>
      <c r="J1030" s="15" t="inlineStr">
        <is>
          <t>0.21</t>
        </is>
      </c>
      <c r="K1030" s="14" t="inlineStr">
        <is>
          <t>52.71</t>
        </is>
      </c>
      <c r="L1030" s="13" t="inlineStr">
        <is>
          <t>N/A</t>
        </is>
      </c>
      <c r="M1030" s="13" t="inlineStr">
        <is>
          <t>Completed</t>
        </is>
      </c>
      <c r="N1030" s="13" t="inlineStr">
        <is>
          <t>L. Berger</t>
        </is>
      </c>
    </row>
    <row r="1031">
      <c r="A1031" s="13" t="inlineStr">
        <is>
          <t>HC-101029</t>
        </is>
      </c>
      <c r="B1031" s="13" t="inlineStr">
        <is>
          <t>11-Jun-24</t>
        </is>
      </c>
      <c r="C1031" s="13" t="inlineStr">
        <is>
          <t>West</t>
        </is>
      </c>
      <c r="D1031" s="13" t="inlineStr">
        <is>
          <t>Online</t>
        </is>
      </c>
      <c r="E1031" s="13" t="inlineStr">
        <is>
          <t>Furniture</t>
        </is>
      </c>
      <c r="F1031" s="13" t="inlineStr">
        <is>
          <t>Linen Sofa</t>
        </is>
      </c>
      <c r="G1031" s="13" t="inlineStr">
        <is>
          <t>Consumer</t>
        </is>
      </c>
      <c r="H1031" s="13" t="inlineStr">
        <is>
          <t>2</t>
        </is>
      </c>
      <c r="I1031" s="14" t="inlineStr">
        <is>
          <t>1315.97</t>
        </is>
      </c>
      <c r="J1031" s="15" t="inlineStr">
        <is>
          <t>0.06</t>
        </is>
      </c>
      <c r="K1031" s="14" t="inlineStr">
        <is>
          <t>868.54</t>
        </is>
      </c>
      <c r="L1031" s="13" t="inlineStr">
        <is>
          <t>6</t>
        </is>
      </c>
      <c r="M1031" s="13" t="inlineStr">
        <is>
          <t>Completed</t>
        </is>
      </c>
      <c r="N1031" s="13" t="inlineStr">
        <is>
          <t>R. Ibarra</t>
        </is>
      </c>
    </row>
    <row r="1032">
      <c r="A1032" s="13" t="inlineStr">
        <is>
          <t>HC-101030</t>
        </is>
      </c>
      <c r="B1032" s="13" t="inlineStr">
        <is>
          <t>2024/11/01</t>
        </is>
      </c>
      <c r="C1032" s="13" t="inlineStr">
        <is>
          <t>West</t>
        </is>
      </c>
      <c r="D1032" s="13" t="inlineStr">
        <is>
          <t>Store</t>
        </is>
      </c>
      <c r="E1032" s="13" t="inlineStr">
        <is>
          <t>Textiles</t>
        </is>
      </c>
      <c r="F1032" s="13" t="inlineStr">
        <is>
          <t>Linen Curtain</t>
        </is>
      </c>
      <c r="G1032" s="13" t="inlineStr">
        <is>
          <t>Corporate</t>
        </is>
      </c>
      <c r="H1032" s="13" t="inlineStr">
        <is>
          <t>3</t>
        </is>
      </c>
      <c r="I1032" s="14" t="inlineStr">
        <is>
          <t>97.83</t>
        </is>
      </c>
      <c r="J1032" s="15" t="inlineStr">
        <is>
          <t>0.11</t>
        </is>
      </c>
      <c r="K1032" s="14" t="inlineStr">
        <is>
          <t>44.02</t>
        </is>
      </c>
      <c r="L1032" s="13" t="inlineStr">
        <is>
          <t>8</t>
        </is>
      </c>
      <c r="M1032" s="13" t="inlineStr">
        <is>
          <t>Completed</t>
        </is>
      </c>
      <c r="N1032" s="13" t="inlineStr">
        <is>
          <t>M. Okonkwo</t>
        </is>
      </c>
    </row>
    <row r="1033">
      <c r="A1033" s="13" t="inlineStr">
        <is>
          <t>HC-101031</t>
        </is>
      </c>
      <c r="B1033" s="13" t="inlineStr">
        <is>
          <t>25.04.2024</t>
        </is>
      </c>
      <c r="C1033" s="13" t="inlineStr">
        <is>
          <t>south</t>
        </is>
      </c>
      <c r="D1033" s="13" t="inlineStr">
        <is>
          <t>Store</t>
        </is>
      </c>
      <c r="E1033" s="13" t="inlineStr">
        <is>
          <t>Kitchen</t>
        </is>
      </c>
      <c r="F1033" s="13" t="inlineStr">
        <is>
          <t>Cast Skillet</t>
        </is>
      </c>
      <c r="G1033" s="13" t="inlineStr">
        <is>
          <t>Consumer</t>
        </is>
      </c>
      <c r="H1033" s="13" t="inlineStr">
        <is>
          <t>1</t>
        </is>
      </c>
      <c r="I1033" s="14" t="inlineStr">
        <is>
          <t>57.66</t>
        </is>
      </c>
      <c r="J1033" s="15" t="inlineStr">
        <is>
          <t>3%</t>
        </is>
      </c>
      <c r="K1033" s="14" t="inlineStr">
        <is>
          <t>23.06</t>
        </is>
      </c>
      <c r="L1033" s="13" t="inlineStr">
        <is>
          <t>4</t>
        </is>
      </c>
      <c r="M1033" s="13" t="inlineStr">
        <is>
          <t>Returned</t>
        </is>
      </c>
      <c r="N1033" s="13" t="inlineStr">
        <is>
          <t>K. Mensah</t>
        </is>
      </c>
    </row>
    <row r="1034">
      <c r="A1034" s="13" t="inlineStr">
        <is>
          <t>HC-101032</t>
        </is>
      </c>
      <c r="B1034" s="13" t="inlineStr">
        <is>
          <t>11/23/2024</t>
        </is>
      </c>
      <c r="C1034" s="13" t="inlineStr">
        <is>
          <t>West</t>
        </is>
      </c>
      <c r="D1034" s="13" t="inlineStr">
        <is>
          <t>Store</t>
        </is>
      </c>
      <c r="E1034" s="13" t="inlineStr">
        <is>
          <t>Furniture</t>
        </is>
      </c>
      <c r="F1034" s="13" t="inlineStr">
        <is>
          <t>Linen Sofa</t>
        </is>
      </c>
      <c r="G1034" s="13" t="inlineStr">
        <is>
          <t>Consumer</t>
        </is>
      </c>
      <c r="H1034" s="13" t="inlineStr">
        <is>
          <t>3</t>
        </is>
      </c>
      <c r="I1034" s="14" t="inlineStr">
        <is>
          <t>1203.34</t>
        </is>
      </c>
      <c r="J1034" s="15" t="inlineStr">
        <is>
          <t>0.06</t>
        </is>
      </c>
      <c r="K1034" s="14" t="inlineStr">
        <is>
          <t>794.20</t>
        </is>
      </c>
      <c r="L1034" s="13" t="inlineStr">
        <is>
          <t>5</t>
        </is>
      </c>
      <c r="M1034" s="13" t="inlineStr">
        <is>
          <t>retrned</t>
        </is>
      </c>
      <c r="N1034" s="13" t="inlineStr">
        <is>
          <t>J. Patel</t>
        </is>
      </c>
    </row>
    <row r="1035">
      <c r="A1035" s="13" t="inlineStr">
        <is>
          <t>HC-101033</t>
        </is>
      </c>
      <c r="B1035" s="13" t="inlineStr">
        <is>
          <t>04-Jun-24</t>
        </is>
      </c>
      <c r="C1035" s="13" t="inlineStr">
        <is>
          <t>WEST</t>
        </is>
      </c>
      <c r="D1035" s="13" t="inlineStr">
        <is>
          <t>Store</t>
        </is>
      </c>
      <c r="E1035" s="13" t="inlineStr">
        <is>
          <t>Furniture</t>
        </is>
      </c>
      <c r="F1035" s="13" t="inlineStr">
        <is>
          <t>Oak Desk</t>
        </is>
      </c>
      <c r="G1035" s="13" t="inlineStr">
        <is>
          <t>Consumer</t>
        </is>
      </c>
      <c r="H1035" s="13" t="inlineStr">
        <is>
          <t>3</t>
        </is>
      </c>
      <c r="I1035" s="14" t="inlineStr">
        <is>
          <t>853.45</t>
        </is>
      </c>
      <c r="J1035" s="15" t="inlineStr">
        <is>
          <t>0.07</t>
        </is>
      </c>
      <c r="K1035" s="14" t="inlineStr">
        <is>
          <t>529.14</t>
        </is>
      </c>
      <c r="L1035" s="13" t="inlineStr">
        <is>
          <t>6</t>
        </is>
      </c>
      <c r="M1035" s="13" t="inlineStr">
        <is>
          <t>Completed</t>
        </is>
      </c>
      <c r="N1035" s="13" t="inlineStr">
        <is>
          <t>A. Shah</t>
        </is>
      </c>
    </row>
    <row r="1036">
      <c r="A1036" s="13" t="inlineStr">
        <is>
          <t>HC-101034</t>
        </is>
      </c>
      <c r="B1036" s="13" t="inlineStr">
        <is>
          <t>2024/12/26</t>
        </is>
      </c>
      <c r="C1036" s="13" t="inlineStr">
        <is>
          <t>East</t>
        </is>
      </c>
      <c r="D1036" s="13" t="inlineStr">
        <is>
          <t>Online</t>
        </is>
      </c>
      <c r="E1036" s="13" t="inlineStr">
        <is>
          <t>Furniture</t>
        </is>
      </c>
      <c r="F1036" s="13" t="inlineStr">
        <is>
          <t>Linen Sofa</t>
        </is>
      </c>
      <c r="G1036" s="13" t="inlineStr">
        <is>
          <t>Consumer</t>
        </is>
      </c>
      <c r="H1036" s="13" t="inlineStr">
        <is>
          <t>4</t>
        </is>
      </c>
      <c r="I1036" s="14" t="inlineStr">
        <is>
          <t>1205.66</t>
        </is>
      </c>
      <c r="J1036" s="15" t="inlineStr">
        <is>
          <t>0.06</t>
        </is>
      </c>
      <c r="K1036" s="14" t="inlineStr">
        <is>
          <t>795.73</t>
        </is>
      </c>
      <c r="L1036" s="13" t="inlineStr">
        <is>
          <t>8</t>
        </is>
      </c>
      <c r="M1036" s="13" t="inlineStr">
        <is>
          <t>Completed</t>
        </is>
      </c>
      <c r="N1036" s="13" t="inlineStr">
        <is>
          <t>A. Shah</t>
        </is>
      </c>
    </row>
    <row r="1037">
      <c r="A1037" s="13" t="inlineStr">
        <is>
          <t>HC-101035</t>
        </is>
      </c>
      <c r="B1037" s="13" t="inlineStr">
        <is>
          <t>07.05.2024</t>
        </is>
      </c>
      <c r="C1037" s="13" t="inlineStr">
        <is>
          <t>North</t>
        </is>
      </c>
      <c r="D1037" s="13" t="inlineStr">
        <is>
          <t>Store</t>
        </is>
      </c>
      <c r="E1037" s="13" t="inlineStr">
        <is>
          <t>Furniture</t>
        </is>
      </c>
      <c r="F1037" s="13" t="inlineStr">
        <is>
          <t>Oak Desk</t>
        </is>
      </c>
      <c r="G1037" s="13" t="inlineStr">
        <is>
          <t>Consumer</t>
        </is>
      </c>
      <c r="H1037" s="13" t="inlineStr">
        <is>
          <t>two</t>
        </is>
      </c>
      <c r="I1037" s="14" t="inlineStr">
        <is>
          <t>903.37</t>
        </is>
      </c>
      <c r="J1037" s="15" t="inlineStr">
        <is>
          <t>0.05</t>
        </is>
      </c>
      <c r="K1037" s="14" t="inlineStr">
        <is>
          <t>560.09</t>
        </is>
      </c>
      <c r="L1037" s="13" t="inlineStr">
        <is>
          <t>4</t>
        </is>
      </c>
      <c r="M1037" s="13" t="inlineStr">
        <is>
          <t>COMPLETED</t>
        </is>
      </c>
      <c r="N1037" s="13" t="inlineStr">
        <is>
          <t>J. Patel</t>
        </is>
      </c>
    </row>
    <row r="1038">
      <c r="A1038" s="13" t="inlineStr">
        <is>
          <t>HC-101036</t>
        </is>
      </c>
      <c r="B1038" s="13" t="inlineStr">
        <is>
          <t>10/02/2024</t>
        </is>
      </c>
      <c r="C1038" s="13" t="inlineStr">
        <is>
          <t>South</t>
        </is>
      </c>
      <c r="D1038" s="13" t="inlineStr">
        <is>
          <t>Store</t>
        </is>
      </c>
      <c r="E1038" s="13" t="inlineStr">
        <is>
          <t>Furniture</t>
        </is>
      </c>
      <c r="F1038" s="13" t="inlineStr">
        <is>
          <t>Linen Sofa</t>
        </is>
      </c>
      <c r="G1038" s="13" t="inlineStr">
        <is>
          <t>Consumer</t>
        </is>
      </c>
      <c r="H1038" s="13" t="inlineStr">
        <is>
          <t>1</t>
        </is>
      </c>
      <c r="I1038" s="14" t="inlineStr">
        <is>
          <t>$1,273.45</t>
        </is>
      </c>
      <c r="J1038" s="15" t="inlineStr">
        <is>
          <t>0.08</t>
        </is>
      </c>
      <c r="K1038" s="14" t="inlineStr">
        <is>
          <t>840.48</t>
        </is>
      </c>
      <c r="L1038" s="13" t="inlineStr">
        <is>
          <t>4</t>
        </is>
      </c>
      <c r="M1038" s="13" t="inlineStr">
        <is>
          <t>Completed</t>
        </is>
      </c>
      <c r="N1038" s="13" t="inlineStr">
        <is>
          <t>J. Patel</t>
        </is>
      </c>
    </row>
    <row r="1039">
      <c r="A1039" s="13" t="inlineStr">
        <is>
          <t>HC-101037</t>
        </is>
      </c>
      <c r="B1039" s="13" t="inlineStr">
        <is>
          <t>28-Jan-24</t>
        </is>
      </c>
      <c r="C1039" s="13" t="inlineStr">
        <is>
          <t>North</t>
        </is>
      </c>
      <c r="D1039" s="13" t="inlineStr">
        <is>
          <t>Wholesale</t>
        </is>
      </c>
      <c r="E1039" s="13" t="inlineStr">
        <is>
          <t>Kitchen</t>
        </is>
      </c>
      <c r="F1039" s="13" t="inlineStr">
        <is>
          <t>Cast Skillet</t>
        </is>
      </c>
      <c r="G1039" s="13" t="inlineStr">
        <is>
          <t>Consumer</t>
        </is>
      </c>
      <c r="H1039" s="13" t="inlineStr">
        <is>
          <t>25</t>
        </is>
      </c>
      <c r="I1039" s="14" t="inlineStr">
        <is>
          <t>52.86</t>
        </is>
      </c>
      <c r="J1039" s="15" t="inlineStr">
        <is>
          <t>0.16</t>
        </is>
      </c>
      <c r="K1039" s="14" t="inlineStr">
        <is>
          <t>21.14</t>
        </is>
      </c>
      <c r="L1039" s="13" t="inlineStr">
        <is>
          <t>6</t>
        </is>
      </c>
      <c r="M1039" s="13" t="inlineStr">
        <is>
          <t>Completed</t>
        </is>
      </c>
      <c r="N1039" s="13" t="inlineStr">
        <is>
          <t>R. Ibarra</t>
        </is>
      </c>
    </row>
    <row r="1040">
      <c r="A1040" s="13" t="inlineStr">
        <is>
          <t>HC-101038</t>
        </is>
      </c>
      <c r="B1040" s="13" t="inlineStr">
        <is>
          <t>2024/09/24</t>
        </is>
      </c>
      <c r="C1040" s="13" t="inlineStr">
        <is>
          <t>South</t>
        </is>
      </c>
      <c r="D1040" s="13" t="inlineStr">
        <is>
          <t>Store</t>
        </is>
      </c>
      <c r="E1040" s="13" t="inlineStr">
        <is>
          <t>Furniture</t>
        </is>
      </c>
      <c r="F1040" s="13" t="inlineStr">
        <is>
          <t>Walnut Shelf</t>
        </is>
      </c>
      <c r="G1040" s="13" t="inlineStr">
        <is>
          <t>Home Office</t>
        </is>
      </c>
      <c r="H1040" s="13" t="inlineStr">
        <is>
          <t>4</t>
        </is>
      </c>
      <c r="I1040" s="14" t="inlineStr">
        <is>
          <t>214.17</t>
        </is>
      </c>
      <c r="J1040" s="15" t="inlineStr">
        <is>
          <t>0.01</t>
        </is>
      </c>
      <c r="K1040" s="14" t="inlineStr">
        <is>
          <t>117.79</t>
        </is>
      </c>
      <c r="L1040" s="13" t="inlineStr">
        <is>
          <t>1</t>
        </is>
      </c>
      <c r="M1040" s="13" t="inlineStr">
        <is>
          <t>Completed</t>
        </is>
      </c>
      <c r="N1040" s="13" t="inlineStr">
        <is>
          <t>L. Berger</t>
        </is>
      </c>
    </row>
    <row r="1041">
      <c r="A1041" s="13" t="inlineStr">
        <is>
          <t>HC-101039</t>
        </is>
      </c>
      <c r="B1041" s="13" t="inlineStr">
        <is>
          <t>26.07.2024</t>
        </is>
      </c>
      <c r="C1041" s="13" t="inlineStr">
        <is>
          <t>South</t>
        </is>
      </c>
      <c r="D1041" s="13" t="inlineStr">
        <is>
          <t>Store</t>
        </is>
      </c>
      <c r="E1041" s="13" t="inlineStr">
        <is>
          <t>Textiles</t>
        </is>
      </c>
      <c r="F1041" s="13" t="inlineStr">
        <is>
          <t>Wool Throw</t>
        </is>
      </c>
      <c r="G1041" s="13" t="inlineStr">
        <is>
          <t>Consumer</t>
        </is>
      </c>
      <c r="H1041" s="13" t="inlineStr">
        <is>
          <t>2</t>
        </is>
      </c>
      <c r="I1041" s="14" t="inlineStr">
        <is>
          <t>79.54</t>
        </is>
      </c>
      <c r="J1041" s="15" t="inlineStr">
        <is>
          <t>0.11</t>
        </is>
      </c>
      <c r="K1041" s="14" t="inlineStr">
        <is>
          <t>33.41</t>
        </is>
      </c>
      <c r="L1041" s="13" t="inlineStr">
        <is>
          <t>7</t>
        </is>
      </c>
      <c r="M1041" s="13" t="inlineStr">
        <is>
          <t>Completed</t>
        </is>
      </c>
      <c r="N1041" s="13" t="inlineStr">
        <is>
          <t>L. Berger</t>
        </is>
      </c>
    </row>
    <row r="1042">
      <c r="A1042" s="13" t="inlineStr">
        <is>
          <t>HC-101040</t>
        </is>
      </c>
      <c r="B1042" s="13" t="inlineStr">
        <is>
          <t>06/04/2025</t>
        </is>
      </c>
      <c r="C1042" s="13" t="inlineStr">
        <is>
          <t>South</t>
        </is>
      </c>
      <c r="D1042" s="13" t="inlineStr">
        <is>
          <t>Store</t>
        </is>
      </c>
      <c r="E1042" s="13" t="inlineStr">
        <is>
          <t>Lighting</t>
        </is>
      </c>
      <c r="F1042" s="13" t="inlineStr">
        <is>
          <t>Brass Sconce</t>
        </is>
      </c>
      <c r="G1042" s="13" t="inlineStr">
        <is>
          <t>Home Office</t>
        </is>
      </c>
      <c r="H1042" s="13" t="inlineStr">
        <is>
          <t>2</t>
        </is>
      </c>
      <c r="I1042" s="14" t="inlineStr">
        <is>
          <t>133.27</t>
        </is>
      </c>
      <c r="J1042" s="15" t="inlineStr">
        <is>
          <t>0.01</t>
        </is>
      </c>
      <c r="K1042" s="14" t="inlineStr">
        <is>
          <t>61.30</t>
        </is>
      </c>
      <c r="L1042" s="13" t="inlineStr">
        <is>
          <t>6</t>
        </is>
      </c>
      <c r="M1042" s="13" t="inlineStr">
        <is>
          <t>Completed</t>
        </is>
      </c>
      <c r="N1042" s="13" t="inlineStr">
        <is>
          <t>P. Rossi</t>
        </is>
      </c>
    </row>
    <row r="1043">
      <c r="A1043" s="13" t="inlineStr">
        <is>
          <t>HC-101041</t>
        </is>
      </c>
      <c r="B1043" s="13" t="inlineStr">
        <is>
          <t>26-Jan-25</t>
        </is>
      </c>
      <c r="C1043" s="13" t="inlineStr">
        <is>
          <t>North</t>
        </is>
      </c>
      <c r="D1043" s="13" t="inlineStr">
        <is>
          <t>Online</t>
        </is>
      </c>
      <c r="E1043" s="13" t="inlineStr">
        <is>
          <t>LIGHTING</t>
        </is>
      </c>
      <c r="F1043" s="13" t="inlineStr">
        <is>
          <t>Arc Lamp</t>
        </is>
      </c>
      <c r="G1043" s="13" t="inlineStr">
        <is>
          <t>Consumer</t>
        </is>
      </c>
      <c r="H1043" s="13" t="inlineStr">
        <is>
          <t>1</t>
        </is>
      </c>
      <c r="I1043" s="14" t="inlineStr">
        <is>
          <t>324.30</t>
        </is>
      </c>
      <c r="J1043" s="15" t="inlineStr">
        <is>
          <t>0.15</t>
        </is>
      </c>
      <c r="K1043" s="14" t="inlineStr">
        <is>
          <t>155.66</t>
        </is>
      </c>
      <c r="L1043" s="13" t="inlineStr">
        <is>
          <t>7</t>
        </is>
      </c>
      <c r="M1043" s="13" t="inlineStr">
        <is>
          <t>Completed</t>
        </is>
      </c>
      <c r="N1043" s="13" t="inlineStr">
        <is>
          <t>J. Patel</t>
        </is>
      </c>
    </row>
    <row r="1044">
      <c r="A1044" s="13" t="inlineStr">
        <is>
          <t>HC-101042</t>
        </is>
      </c>
      <c r="B1044" s="13" t="inlineStr">
        <is>
          <t>2024/11/10</t>
        </is>
      </c>
      <c r="C1044" s="13" t="inlineStr">
        <is>
          <t>North</t>
        </is>
      </c>
      <c r="D1044" s="13" t="inlineStr">
        <is>
          <t>Store</t>
        </is>
      </c>
      <c r="E1044" s="13" t="inlineStr">
        <is>
          <t>Furniture</t>
        </is>
      </c>
      <c r="F1044" s="13" t="inlineStr">
        <is>
          <t>Linen Sofa</t>
        </is>
      </c>
      <c r="G1044" s="13" t="inlineStr">
        <is>
          <t>Consumer</t>
        </is>
      </c>
      <c r="H1044" s="13" t="inlineStr">
        <is>
          <t>4</t>
        </is>
      </c>
      <c r="I1044" s="14" t="inlineStr">
        <is>
          <t>1332.50</t>
        </is>
      </c>
      <c r="J1044" s="15" t="inlineStr">
        <is>
          <t>0.10</t>
        </is>
      </c>
      <c r="K1044" s="14" t="inlineStr">
        <is>
          <t>879.45</t>
        </is>
      </c>
      <c r="L1044" s="13" t="inlineStr">
        <is>
          <t>5</t>
        </is>
      </c>
      <c r="M1044" s="13" t="inlineStr">
        <is>
          <t>Completed</t>
        </is>
      </c>
      <c r="N1044" s="13" t="inlineStr">
        <is>
          <t>J. Patel</t>
        </is>
      </c>
    </row>
    <row r="1045">
      <c r="A1045" s="13" t="inlineStr">
        <is>
          <t>HC-101043</t>
        </is>
      </c>
      <c r="B1045" s="13" t="inlineStr">
        <is>
          <t>23.06.2025</t>
        </is>
      </c>
      <c r="C1045" s="13" t="inlineStr">
        <is>
          <t>North</t>
        </is>
      </c>
      <c r="D1045" s="13" t="inlineStr">
        <is>
          <t>Online</t>
        </is>
      </c>
      <c r="E1045" s="13" t="inlineStr">
        <is>
          <t>Textiles</t>
        </is>
      </c>
      <c r="F1045" s="13" t="inlineStr">
        <is>
          <t>Linen Curtain</t>
        </is>
      </c>
      <c r="G1045" s="13" t="inlineStr">
        <is>
          <t>Consumer</t>
        </is>
      </c>
      <c r="H1045" s="13" t="inlineStr">
        <is>
          <t>3</t>
        </is>
      </c>
      <c r="I1045" s="14" t="inlineStr">
        <is>
          <t>91.94</t>
        </is>
      </c>
      <c r="J1045" s="15" t="inlineStr">
        <is>
          <t>0.15</t>
        </is>
      </c>
      <c r="K1045" s="14" t="inlineStr">
        <is>
          <t>41.37</t>
        </is>
      </c>
      <c r="L1045" s="13" t="inlineStr">
        <is>
          <t>7</t>
        </is>
      </c>
      <c r="M1045" s="13" t="inlineStr">
        <is>
          <t>retrned</t>
        </is>
      </c>
      <c r="N1045" s="13" t="inlineStr">
        <is>
          <t>L. Berger</t>
        </is>
      </c>
    </row>
    <row r="1046">
      <c r="A1046" s="13" t="inlineStr">
        <is>
          <t>HC-101044</t>
        </is>
      </c>
      <c r="B1046" s="13" t="inlineStr">
        <is>
          <t>09/22/2025</t>
        </is>
      </c>
      <c r="C1046" s="13" t="inlineStr">
        <is>
          <t>West</t>
        </is>
      </c>
      <c r="D1046" s="13" t="inlineStr">
        <is>
          <t>Online</t>
        </is>
      </c>
      <c r="E1046" s="13" t="inlineStr">
        <is>
          <t>Kitchen</t>
        </is>
      </c>
      <c r="F1046" s="13" t="inlineStr">
        <is>
          <t>Chef Knife</t>
        </is>
      </c>
      <c r="G1046" s="13" t="inlineStr">
        <is>
          <t>Consumer</t>
        </is>
      </c>
      <c r="H1046" s="13" t="inlineStr">
        <is>
          <t>2</t>
        </is>
      </c>
      <c r="I1046" s="14" t="inlineStr">
        <is>
          <t>$59.64</t>
        </is>
      </c>
      <c r="J1046" s="15" t="inlineStr">
        <is>
          <t>0.03</t>
        </is>
      </c>
      <c r="K1046" s="14" t="inlineStr">
        <is>
          <t>21.47</t>
        </is>
      </c>
      <c r="L1046" s="13" t="inlineStr">
        <is>
          <t>6</t>
        </is>
      </c>
      <c r="M1046" s="13" t="inlineStr">
        <is>
          <t>Completed</t>
        </is>
      </c>
      <c r="N1046" s="13" t="inlineStr">
        <is>
          <t>A. Shah</t>
        </is>
      </c>
    </row>
    <row r="1047">
      <c r="A1047" s="13" t="inlineStr">
        <is>
          <t>HC-101045</t>
        </is>
      </c>
      <c r="B1047" s="13" t="inlineStr">
        <is>
          <t>11-Feb-25</t>
        </is>
      </c>
      <c r="C1047" s="13" t="inlineStr">
        <is>
          <t>North</t>
        </is>
      </c>
      <c r="D1047" s="13" t="inlineStr">
        <is>
          <t>Store</t>
        </is>
      </c>
      <c r="E1047" s="13" t="inlineStr">
        <is>
          <t>Furniture</t>
        </is>
      </c>
      <c r="F1047" s="13" t="inlineStr">
        <is>
          <t>Walnut Shelf</t>
        </is>
      </c>
      <c r="G1047" s="13" t="inlineStr">
        <is>
          <t>Corporate</t>
        </is>
      </c>
      <c r="H1047" s="13" t="inlineStr">
        <is>
          <t>1</t>
        </is>
      </c>
      <c r="I1047" s="14" t="inlineStr">
        <is>
          <t>224.28</t>
        </is>
      </c>
      <c r="J1047" s="15" t="inlineStr">
        <is>
          <t>11%</t>
        </is>
      </c>
      <c r="K1047" s="14" t="inlineStr">
        <is>
          <t>123.36</t>
        </is>
      </c>
      <c r="L1047" s="13" t="inlineStr">
        <is>
          <t>4</t>
        </is>
      </c>
      <c r="M1047" s="13" t="inlineStr">
        <is>
          <t>complete</t>
        </is>
      </c>
      <c r="N1047" s="13" t="inlineStr">
        <is>
          <t>A. Shah</t>
        </is>
      </c>
    </row>
    <row r="1048">
      <c r="A1048" s="13" t="inlineStr">
        <is>
          <t>HC-101046</t>
        </is>
      </c>
      <c r="B1048" s="13" t="inlineStr">
        <is>
          <t>2025/06/16</t>
        </is>
      </c>
      <c r="C1048" s="13" t="inlineStr">
        <is>
          <t>Nort</t>
        </is>
      </c>
      <c r="D1048" s="13" t="inlineStr">
        <is>
          <t>Online</t>
        </is>
      </c>
      <c r="E1048" s="13" t="inlineStr">
        <is>
          <t>Furniture</t>
        </is>
      </c>
      <c r="F1048" s="13" t="inlineStr">
        <is>
          <t>Oak Desk</t>
        </is>
      </c>
      <c r="G1048" s="13" t="inlineStr">
        <is>
          <t>Consumer</t>
        </is>
      </c>
      <c r="H1048" s="13" t="inlineStr">
        <is>
          <t>two</t>
        </is>
      </c>
      <c r="I1048" s="14" t="inlineStr">
        <is>
          <t>824.71</t>
        </is>
      </c>
      <c r="J1048" s="15" t="inlineStr">
        <is>
          <t>0.14</t>
        </is>
      </c>
      <c r="K1048" s="14" t="inlineStr">
        <is>
          <t>511.32</t>
        </is>
      </c>
      <c r="L1048" s="13" t="inlineStr">
        <is>
          <t>4</t>
        </is>
      </c>
      <c r="M1048" s="13" t="inlineStr">
        <is>
          <t>Completed</t>
        </is>
      </c>
      <c r="N1048" s="13" t="inlineStr">
        <is>
          <t>S. Nguyen</t>
        </is>
      </c>
    </row>
    <row r="1049">
      <c r="A1049" s="13" t="inlineStr">
        <is>
          <t>HC-101047</t>
        </is>
      </c>
      <c r="B1049" s="13" t="inlineStr">
        <is>
          <t>09.12.2024</t>
        </is>
      </c>
      <c r="C1049" s="13" t="inlineStr">
        <is>
          <t>Sout</t>
        </is>
      </c>
      <c r="D1049" s="13" t="inlineStr">
        <is>
          <t>e-commerce</t>
        </is>
      </c>
      <c r="E1049" s="13" t="inlineStr">
        <is>
          <t>Furniture</t>
        </is>
      </c>
      <c r="F1049" s="13" t="inlineStr">
        <is>
          <t>Oak Desk</t>
        </is>
      </c>
      <c r="G1049" s="13" t="inlineStr">
        <is>
          <t>Consumer</t>
        </is>
      </c>
      <c r="H1049" s="13" t="inlineStr">
        <is>
          <t>3</t>
        </is>
      </c>
      <c r="I1049" s="14" t="inlineStr">
        <is>
          <t>832.63</t>
        </is>
      </c>
      <c r="J1049" s="15" t="inlineStr">
        <is>
          <t>0.04</t>
        </is>
      </c>
      <c r="K1049" s="14" t="inlineStr">
        <is>
          <t>516.23</t>
        </is>
      </c>
      <c r="L1049" s="13" t="inlineStr">
        <is>
          <t>5</t>
        </is>
      </c>
      <c r="M1049" s="13" t="inlineStr">
        <is>
          <t>Completed</t>
        </is>
      </c>
      <c r="N1049" s="13" t="inlineStr">
        <is>
          <t>S. Nguyen</t>
        </is>
      </c>
    </row>
    <row r="1050">
      <c r="A1050" s="13" t="inlineStr">
        <is>
          <t>HC-101048</t>
        </is>
      </c>
      <c r="B1050" s="13" t="inlineStr">
        <is>
          <t>01/11/2025</t>
        </is>
      </c>
      <c r="C1050" s="13" t="inlineStr">
        <is>
          <t>Nort</t>
        </is>
      </c>
      <c r="D1050" s="13" t="inlineStr">
        <is>
          <t>Store</t>
        </is>
      </c>
      <c r="E1050" s="13" t="inlineStr">
        <is>
          <t>Furniture</t>
        </is>
      </c>
      <c r="F1050" s="13" t="inlineStr">
        <is>
          <t>Oak Desk</t>
        </is>
      </c>
      <c r="G1050" s="13" t="inlineStr">
        <is>
          <t>Home Office</t>
        </is>
      </c>
      <c r="H1050" s="13" t="inlineStr">
        <is>
          <t>3</t>
        </is>
      </c>
      <c r="I1050" s="14" t="inlineStr">
        <is>
          <t>874.87</t>
        </is>
      </c>
      <c r="J1050" s="15" t="inlineStr">
        <is>
          <t>0.12</t>
        </is>
      </c>
      <c r="K1050" s="14" t="inlineStr">
        <is>
          <t>542.42</t>
        </is>
      </c>
      <c r="L1050" s="13" t="inlineStr">
        <is>
          <t>5</t>
        </is>
      </c>
      <c r="M1050" s="13" t="inlineStr">
        <is>
          <t>Completed</t>
        </is>
      </c>
      <c r="N1050" s="13" t="inlineStr">
        <is>
          <t>J. Patel</t>
        </is>
      </c>
    </row>
    <row r="1051">
      <c r="A1051" s="13" t="inlineStr">
        <is>
          <t>HC-101049</t>
        </is>
      </c>
      <c r="B1051" s="13" t="inlineStr">
        <is>
          <t>03-Jun-25</t>
        </is>
      </c>
      <c r="C1051" s="13" t="inlineStr">
        <is>
          <t>WEST</t>
        </is>
      </c>
      <c r="D1051" s="13" t="inlineStr">
        <is>
          <t>e-commerce</t>
        </is>
      </c>
      <c r="E1051" s="13" t="inlineStr">
        <is>
          <t>Kitchen</t>
        </is>
      </c>
      <c r="F1051" s="13" t="inlineStr">
        <is>
          <t>Ceramic Set</t>
        </is>
      </c>
      <c r="G1051" s="13" t="inlineStr">
        <is>
          <t>Consumer</t>
        </is>
      </c>
      <c r="H1051" s="13" t="inlineStr">
        <is>
          <t>2</t>
        </is>
      </c>
      <c r="I1051" s="14" t="inlineStr">
        <is>
          <t>84.08</t>
        </is>
      </c>
      <c r="J1051" s="15" t="inlineStr">
        <is>
          <t>0.12</t>
        </is>
      </c>
      <c r="K1051" s="14" t="inlineStr">
        <is>
          <t>31.95</t>
        </is>
      </c>
      <c r="L1051" s="13" t="inlineStr">
        <is>
          <t>6</t>
        </is>
      </c>
      <c r="M1051" s="13" t="inlineStr">
        <is>
          <t>Completed</t>
        </is>
      </c>
      <c r="N1051" s="13" t="inlineStr">
        <is>
          <t>S. Nguyen</t>
        </is>
      </c>
    </row>
    <row r="1052">
      <c r="A1052" s="13" t="inlineStr">
        <is>
          <t>HC-101050</t>
        </is>
      </c>
      <c r="B1052" s="13" t="inlineStr">
        <is>
          <t>2024/08/22</t>
        </is>
      </c>
      <c r="C1052" s="13" t="inlineStr">
        <is>
          <t>North</t>
        </is>
      </c>
      <c r="D1052" s="13" t="inlineStr">
        <is>
          <t>Store</t>
        </is>
      </c>
      <c r="E1052" s="13" t="inlineStr">
        <is>
          <t>Lighting</t>
        </is>
      </c>
      <c r="F1052" s="13" t="inlineStr">
        <is>
          <t>Brass Sconce</t>
        </is>
      </c>
      <c r="G1052" s="13" t="inlineStr">
        <is>
          <t>Corporate</t>
        </is>
      </c>
      <c r="H1052" s="13" t="inlineStr">
        <is>
          <t>3</t>
        </is>
      </c>
      <c r="I1052" s="14" t="inlineStr">
        <is>
          <t>130.36</t>
        </is>
      </c>
      <c r="J1052" s="15" t="inlineStr">
        <is>
          <t>0.04</t>
        </is>
      </c>
      <c r="K1052" s="14" t="inlineStr">
        <is>
          <t>59.96</t>
        </is>
      </c>
      <c r="L1052" s="13" t="inlineStr">
        <is>
          <t>8</t>
        </is>
      </c>
      <c r="M1052" s="13" t="inlineStr">
        <is>
          <t>Returned</t>
        </is>
      </c>
      <c r="N1052" s="13" t="inlineStr">
        <is>
          <t>K. Mensah</t>
        </is>
      </c>
    </row>
    <row r="1053">
      <c r="A1053" s="13" t="inlineStr">
        <is>
          <t>HC-101051</t>
        </is>
      </c>
      <c r="B1053" s="13" t="inlineStr">
        <is>
          <t>23.06.2025</t>
        </is>
      </c>
      <c r="C1053" s="13" t="inlineStr">
        <is>
          <t>West</t>
        </is>
      </c>
      <c r="D1053" s="13" t="inlineStr">
        <is>
          <t>Store</t>
        </is>
      </c>
      <c r="E1053" s="13" t="inlineStr">
        <is>
          <t>Textiles</t>
        </is>
      </c>
      <c r="F1053" s="13" t="inlineStr">
        <is>
          <t>Wool Throw</t>
        </is>
      </c>
      <c r="G1053" s="13" t="inlineStr">
        <is>
          <t>Corporate</t>
        </is>
      </c>
      <c r="H1053" s="13" t="inlineStr">
        <is>
          <t>1</t>
        </is>
      </c>
      <c r="I1053" s="14" t="inlineStr">
        <is>
          <t>79.51</t>
        </is>
      </c>
      <c r="J1053" s="15" t="inlineStr">
        <is>
          <t>0.10</t>
        </is>
      </c>
      <c r="K1053" s="14" t="inlineStr">
        <is>
          <t>33.39</t>
        </is>
      </c>
      <c r="L1053" s="13" t="inlineStr">
        <is>
          <t>4</t>
        </is>
      </c>
      <c r="M1053" s="13" t="inlineStr">
        <is>
          <t>Completed</t>
        </is>
      </c>
      <c r="N1053" s="13" t="inlineStr">
        <is>
          <t>J. Patel</t>
        </is>
      </c>
    </row>
    <row r="1054">
      <c r="A1054" s="13" t="inlineStr">
        <is>
          <t>HC-101052</t>
        </is>
      </c>
      <c r="B1054" s="13" t="inlineStr">
        <is>
          <t>07/26/2025</t>
        </is>
      </c>
      <c r="C1054" s="13" t="inlineStr">
        <is>
          <t>West</t>
        </is>
      </c>
      <c r="D1054" s="13" t="inlineStr">
        <is>
          <t>Store</t>
        </is>
      </c>
      <c r="E1054" s="13" t="inlineStr">
        <is>
          <t>Kitchen</t>
        </is>
      </c>
      <c r="F1054" s="13" t="inlineStr">
        <is>
          <t>Ceramic Set</t>
        </is>
      </c>
      <c r="G1054" s="13" t="inlineStr">
        <is>
          <t>Consumer</t>
        </is>
      </c>
      <c r="H1054" s="13" t="inlineStr">
        <is>
          <t>4</t>
        </is>
      </c>
      <c r="I1054" s="14" t="inlineStr">
        <is>
          <t>91.09</t>
        </is>
      </c>
      <c r="J1054" s="15" t="inlineStr">
        <is>
          <t>0.11</t>
        </is>
      </c>
      <c r="K1054" s="14" t="inlineStr">
        <is>
          <t>34.62</t>
        </is>
      </c>
      <c r="L1054" s="13" t="inlineStr">
        <is>
          <t>6</t>
        </is>
      </c>
      <c r="M1054" s="13" t="inlineStr">
        <is>
          <t>Completed</t>
        </is>
      </c>
      <c r="N1054" s="13" t="inlineStr">
        <is>
          <t>P. Rossi</t>
        </is>
      </c>
    </row>
    <row r="1055">
      <c r="A1055" s="13" t="inlineStr">
        <is>
          <t>HC-101053</t>
        </is>
      </c>
      <c r="B1055" s="13" t="inlineStr">
        <is>
          <t>25-Jun-24</t>
        </is>
      </c>
      <c r="C1055" s="13" t="inlineStr">
        <is>
          <t>Eas</t>
        </is>
      </c>
      <c r="D1055" s="13" t="inlineStr">
        <is>
          <t>Store</t>
        </is>
      </c>
      <c r="E1055" s="13" t="inlineStr">
        <is>
          <t>Lighting</t>
        </is>
      </c>
      <c r="F1055" s="13" t="inlineStr">
        <is>
          <t>Brass Sconce</t>
        </is>
      </c>
      <c r="G1055" s="13" t="inlineStr">
        <is>
          <t>Consumer</t>
        </is>
      </c>
      <c r="H1055" s="13" t="inlineStr">
        <is>
          <t>2</t>
        </is>
      </c>
      <c r="I1055" s="14" t="inlineStr">
        <is>
          <t>133.82</t>
        </is>
      </c>
      <c r="J1055" s="15" t="inlineStr">
        <is>
          <t>0.07</t>
        </is>
      </c>
      <c r="K1055" s="14" t="inlineStr">
        <is>
          <t>61.56</t>
        </is>
      </c>
      <c r="L1055" s="13" t="inlineStr">
        <is>
          <t>8</t>
        </is>
      </c>
      <c r="M1055" s="13" t="inlineStr">
        <is>
          <t>Completed</t>
        </is>
      </c>
      <c r="N1055" s="13" t="inlineStr">
        <is>
          <t>A. Shah</t>
        </is>
      </c>
    </row>
    <row r="1056">
      <c r="A1056" s="13" t="inlineStr">
        <is>
          <t>HC-101054</t>
        </is>
      </c>
      <c r="B1056" s="13" t="inlineStr">
        <is>
          <t>2025/08/09</t>
        </is>
      </c>
      <c r="C1056" s="13" t="inlineStr">
        <is>
          <t>Nort</t>
        </is>
      </c>
      <c r="D1056" s="13" t="inlineStr">
        <is>
          <t>Online</t>
        </is>
      </c>
      <c r="E1056" s="13" t="inlineStr">
        <is>
          <t>Textiles</t>
        </is>
      </c>
      <c r="F1056" s="13" t="inlineStr">
        <is>
          <t>Linen Curtain</t>
        </is>
      </c>
      <c r="G1056" s="13" t="inlineStr">
        <is>
          <t>Consumer</t>
        </is>
      </c>
      <c r="H1056" s="13" t="inlineStr">
        <is>
          <t>1</t>
        </is>
      </c>
      <c r="I1056" s="14" t="inlineStr">
        <is>
          <t>91.59</t>
        </is>
      </c>
      <c r="J1056" s="15" t="inlineStr">
        <is>
          <t>0.15</t>
        </is>
      </c>
      <c r="K1056" s="14" t="inlineStr">
        <is>
          <t>41.22</t>
        </is>
      </c>
      <c r="L1056" s="13" t="inlineStr">
        <is>
          <t>4</t>
        </is>
      </c>
      <c r="M1056" s="13" t="inlineStr">
        <is>
          <t>Returned</t>
        </is>
      </c>
      <c r="N1056" s="13" t="inlineStr">
        <is>
          <t>A. Shah</t>
        </is>
      </c>
    </row>
    <row r="1057">
      <c r="A1057" s="13" t="inlineStr">
        <is>
          <t>HC-101055</t>
        </is>
      </c>
      <c r="B1057" s="13" t="inlineStr">
        <is>
          <t>30.04.2025</t>
        </is>
      </c>
      <c r="C1057" s="13" t="inlineStr">
        <is>
          <t>East</t>
        </is>
      </c>
      <c r="D1057" s="13" t="inlineStr">
        <is>
          <t>Store</t>
        </is>
      </c>
      <c r="E1057" s="13" t="inlineStr">
        <is>
          <t>Lighting</t>
        </is>
      </c>
      <c r="F1057" s="13" t="inlineStr">
        <is>
          <t>Brass Sconce</t>
        </is>
      </c>
      <c r="G1057" s="13" t="inlineStr">
        <is>
          <t>Corporate</t>
        </is>
      </c>
      <c r="H1057" s="13" t="inlineStr">
        <is>
          <t>2</t>
        </is>
      </c>
      <c r="I1057" s="14" t="inlineStr">
        <is>
          <t>132.21</t>
        </is>
      </c>
      <c r="J1057" s="15" t="inlineStr">
        <is>
          <t>0.10</t>
        </is>
      </c>
      <c r="K1057" s="14" t="inlineStr">
        <is>
          <t>60.82</t>
        </is>
      </c>
      <c r="L1057" s="13" t="inlineStr">
        <is>
          <t>12</t>
        </is>
      </c>
      <c r="M1057" s="13" t="inlineStr">
        <is>
          <t>Completed</t>
        </is>
      </c>
      <c r="N1057" s="13" t="inlineStr">
        <is>
          <t>R. Ibarra</t>
        </is>
      </c>
    </row>
    <row r="1058">
      <c r="A1058" s="13" t="inlineStr">
        <is>
          <t>HC-101056</t>
        </is>
      </c>
      <c r="B1058" s="13" t="inlineStr">
        <is>
          <t>07/07/2025</t>
        </is>
      </c>
      <c r="C1058" s="13" t="inlineStr">
        <is>
          <t xml:space="preserve"> west </t>
        </is>
      </c>
      <c r="D1058" s="13" t="inlineStr">
        <is>
          <t>retail</t>
        </is>
      </c>
      <c r="E1058" s="13" t="inlineStr">
        <is>
          <t>Kitchen</t>
        </is>
      </c>
      <c r="F1058" s="13" t="inlineStr">
        <is>
          <t>Chef Knife</t>
        </is>
      </c>
      <c r="G1058" s="13" t="inlineStr">
        <is>
          <t>Consumer</t>
        </is>
      </c>
      <c r="H1058" s="13" t="inlineStr">
        <is>
          <t>2</t>
        </is>
      </c>
      <c r="I1058" s="14" t="inlineStr">
        <is>
          <t>63.29</t>
        </is>
      </c>
      <c r="J1058" s="15" t="inlineStr">
        <is>
          <t>0.08</t>
        </is>
      </c>
      <c r="K1058" s="14" t="inlineStr">
        <is>
          <t>22.79</t>
        </is>
      </c>
      <c r="L1058" s="13" t="inlineStr">
        <is>
          <t>9</t>
        </is>
      </c>
      <c r="M1058" s="13" t="inlineStr">
        <is>
          <t>Completed</t>
        </is>
      </c>
      <c r="N1058" s="13" t="inlineStr">
        <is>
          <t>J. Patel</t>
        </is>
      </c>
    </row>
    <row r="1059">
      <c r="A1059" s="13" t="inlineStr">
        <is>
          <t>HC-101057</t>
        </is>
      </c>
      <c r="B1059" s="13" t="inlineStr">
        <is>
          <t>27-Mar-25</t>
        </is>
      </c>
      <c r="C1059" s="13" t="inlineStr">
        <is>
          <t>South</t>
        </is>
      </c>
      <c r="D1059" s="13" t="inlineStr">
        <is>
          <t>Store</t>
        </is>
      </c>
      <c r="E1059" s="13" t="inlineStr">
        <is>
          <t>Lighting</t>
        </is>
      </c>
      <c r="F1059" s="13" t="inlineStr">
        <is>
          <t>Arc Lamp</t>
        </is>
      </c>
      <c r="G1059" s="13" t="inlineStr">
        <is>
          <t>Home Office</t>
        </is>
      </c>
      <c r="H1059" s="13" t="inlineStr">
        <is>
          <t>4</t>
        </is>
      </c>
      <c r="I1059" s="14" t="inlineStr">
        <is>
          <t>290.05</t>
        </is>
      </c>
      <c r="J1059" s="15" t="inlineStr">
        <is>
          <t>10%</t>
        </is>
      </c>
      <c r="K1059" s="14" t="inlineStr">
        <is>
          <t>139.22</t>
        </is>
      </c>
      <c r="L1059" s="13" t="inlineStr">
        <is>
          <t>5</t>
        </is>
      </c>
      <c r="M1059" s="13" t="inlineStr">
        <is>
          <t>Completed</t>
        </is>
      </c>
      <c r="N1059" s="13" t="inlineStr">
        <is>
          <t>M. Okonkwo</t>
        </is>
      </c>
    </row>
    <row r="1060">
      <c r="A1060" s="13" t="inlineStr">
        <is>
          <t>HC-101058</t>
        </is>
      </c>
      <c r="B1060" s="13" t="inlineStr">
        <is>
          <t>2024/03/04</t>
        </is>
      </c>
      <c r="C1060" s="13" t="inlineStr">
        <is>
          <t>South</t>
        </is>
      </c>
      <c r="D1060" s="13" t="inlineStr">
        <is>
          <t>Store</t>
        </is>
      </c>
      <c r="E1060" s="13" t="inlineStr">
        <is>
          <t>Textiles</t>
        </is>
      </c>
      <c r="F1060" s="13" t="inlineStr">
        <is>
          <t>Wool Throw</t>
        </is>
      </c>
      <c r="G1060" s="13" t="inlineStr">
        <is>
          <t>Home Office</t>
        </is>
      </c>
      <c r="H1060" s="13" t="inlineStr">
        <is>
          <t>4</t>
        </is>
      </c>
      <c r="I1060" s="14" t="inlineStr">
        <is>
          <t>74.69</t>
        </is>
      </c>
      <c r="J1060" s="15" t="inlineStr">
        <is>
          <t>0.08</t>
        </is>
      </c>
      <c r="K1060" s="14" t="inlineStr">
        <is>
          <t>31.37</t>
        </is>
      </c>
      <c r="L1060" s="13" t="inlineStr">
        <is>
          <t>9</t>
        </is>
      </c>
      <c r="M1060" s="13" t="inlineStr">
        <is>
          <t>Completed</t>
        </is>
      </c>
      <c r="N1060" s="13" t="inlineStr">
        <is>
          <t>R. Ibarra</t>
        </is>
      </c>
    </row>
    <row r="1061">
      <c r="A1061" s="13" t="inlineStr">
        <is>
          <t>HC-101059</t>
        </is>
      </c>
      <c r="B1061" s="13" t="inlineStr">
        <is>
          <t>22.01.2024</t>
        </is>
      </c>
      <c r="C1061" s="13" t="inlineStr">
        <is>
          <t>EAST</t>
        </is>
      </c>
      <c r="D1061" s="13" t="inlineStr">
        <is>
          <t>Wholesale</t>
        </is>
      </c>
      <c r="E1061" s="13" t="inlineStr">
        <is>
          <t>Textiles</t>
        </is>
      </c>
      <c r="F1061" s="13" t="inlineStr">
        <is>
          <t>Linen Curtain</t>
        </is>
      </c>
      <c r="G1061" s="13" t="inlineStr">
        <is>
          <t>Consumer</t>
        </is>
      </c>
      <c r="H1061" s="13" t="inlineStr">
        <is>
          <t>8</t>
        </is>
      </c>
      <c r="I1061" s="14" t="inlineStr">
        <is>
          <t>87.09</t>
        </is>
      </c>
      <c r="J1061" s="15" t="inlineStr">
        <is>
          <t>0.26</t>
        </is>
      </c>
      <c r="K1061" s="14" t="inlineStr">
        <is>
          <t>39.19</t>
        </is>
      </c>
      <c r="L1061" s="13" t="inlineStr">
        <is>
          <t>10</t>
        </is>
      </c>
      <c r="M1061" s="13" t="inlineStr">
        <is>
          <t>Completed</t>
        </is>
      </c>
      <c r="N1061" s="13" t="inlineStr">
        <is>
          <t>R. Ibarra</t>
        </is>
      </c>
    </row>
    <row r="1062">
      <c r="A1062" s="13" t="inlineStr">
        <is>
          <t>HC-101060</t>
        </is>
      </c>
      <c r="B1062" s="13" t="inlineStr">
        <is>
          <t>05/23/2025</t>
        </is>
      </c>
      <c r="C1062" s="13" t="inlineStr">
        <is>
          <t>South</t>
        </is>
      </c>
      <c r="D1062" s="13" t="inlineStr">
        <is>
          <t>Store</t>
        </is>
      </c>
      <c r="E1062" s="13" t="inlineStr">
        <is>
          <t>TEXTILES</t>
        </is>
      </c>
      <c r="F1062" s="13" t="inlineStr">
        <is>
          <t>Wool Throw</t>
        </is>
      </c>
      <c r="G1062" s="13" t="inlineStr">
        <is>
          <t>corporate</t>
        </is>
      </c>
      <c r="H1062" s="13" t="inlineStr">
        <is>
          <t>2</t>
        </is>
      </c>
      <c r="I1062" s="14" t="inlineStr">
        <is>
          <t>73.59</t>
        </is>
      </c>
      <c r="J1062" s="15" t="inlineStr">
        <is>
          <t>0.03</t>
        </is>
      </c>
      <c r="K1062" s="14" t="inlineStr">
        <is>
          <t>30.91</t>
        </is>
      </c>
      <c r="L1062" s="13" t="inlineStr">
        <is>
          <t>2</t>
        </is>
      </c>
      <c r="M1062" s="13" t="inlineStr">
        <is>
          <t>Completed</t>
        </is>
      </c>
      <c r="N1062" s="13" t="inlineStr">
        <is>
          <t>S. Nguyen</t>
        </is>
      </c>
    </row>
    <row r="1063">
      <c r="A1063" s="13" t="inlineStr">
        <is>
          <t>HC-101061</t>
        </is>
      </c>
      <c r="B1063" s="13" t="inlineStr">
        <is>
          <t>06-Jun-25</t>
        </is>
      </c>
      <c r="C1063" s="13" t="inlineStr">
        <is>
          <t>South</t>
        </is>
      </c>
      <c r="D1063" s="13" t="inlineStr">
        <is>
          <t>Online</t>
        </is>
      </c>
      <c r="E1063" s="13" t="inlineStr">
        <is>
          <t>FURNITURE</t>
        </is>
      </c>
      <c r="F1063" s="13" t="inlineStr">
        <is>
          <t>Linen Sofa</t>
        </is>
      </c>
      <c r="G1063" s="13" t="inlineStr">
        <is>
          <t>Consumer</t>
        </is>
      </c>
      <c r="H1063" s="13" t="inlineStr">
        <is>
          <t>3</t>
        </is>
      </c>
      <c r="I1063" s="14" t="inlineStr">
        <is>
          <t>1200.71</t>
        </is>
      </c>
      <c r="J1063" s="15" t="inlineStr">
        <is>
          <t>0.18</t>
        </is>
      </c>
      <c r="K1063" s="14" t="inlineStr">
        <is>
          <t>792.47</t>
        </is>
      </c>
      <c r="L1063" s="13" t="inlineStr">
        <is>
          <t>2</t>
        </is>
      </c>
      <c r="M1063" s="13" t="inlineStr">
        <is>
          <t>complete</t>
        </is>
      </c>
      <c r="N1063" s="13" t="inlineStr">
        <is>
          <t>S. Nguyen</t>
        </is>
      </c>
    </row>
    <row r="1064">
      <c r="A1064" s="13" t="inlineStr">
        <is>
          <t>HC-101062</t>
        </is>
      </c>
      <c r="B1064" s="13" t="inlineStr">
        <is>
          <t>2024/08/15</t>
        </is>
      </c>
      <c r="C1064" s="13" t="inlineStr">
        <is>
          <t>West</t>
        </is>
      </c>
      <c r="D1064" s="13" t="inlineStr">
        <is>
          <t>Store</t>
        </is>
      </c>
      <c r="E1064" s="13" t="inlineStr">
        <is>
          <t>Kitchen</t>
        </is>
      </c>
      <c r="F1064" s="13" t="inlineStr">
        <is>
          <t>Chef Knife</t>
        </is>
      </c>
      <c r="G1064" s="13" t="inlineStr">
        <is>
          <t>Consumer</t>
        </is>
      </c>
      <c r="H1064" s="13" t="inlineStr">
        <is>
          <t>3</t>
        </is>
      </c>
      <c r="I1064" s="14" t="inlineStr">
        <is>
          <t>63.27</t>
        </is>
      </c>
      <c r="J1064" s="15" t="inlineStr">
        <is>
          <t>0.06</t>
        </is>
      </c>
      <c r="K1064" s="14" t="inlineStr">
        <is>
          <t>22.78</t>
        </is>
      </c>
      <c r="L1064" s="13" t="inlineStr">
        <is>
          <t>3</t>
        </is>
      </c>
      <c r="M1064" s="13" t="inlineStr">
        <is>
          <t>Completed</t>
        </is>
      </c>
      <c r="N1064" s="13" t="inlineStr">
        <is>
          <t>K. Mensah</t>
        </is>
      </c>
    </row>
    <row r="1065">
      <c r="A1065" s="13" t="inlineStr">
        <is>
          <t>HC-101063</t>
        </is>
      </c>
      <c r="B1065" s="13" t="inlineStr">
        <is>
          <t>15.10.2024</t>
        </is>
      </c>
      <c r="C1065" s="13" t="inlineStr">
        <is>
          <t>North</t>
        </is>
      </c>
      <c r="D1065" s="13" t="inlineStr">
        <is>
          <t>Online</t>
        </is>
      </c>
      <c r="E1065" s="13" t="inlineStr">
        <is>
          <t>Furniture</t>
        </is>
      </c>
      <c r="F1065" s="13" t="inlineStr">
        <is>
          <t>Lounge Chair</t>
        </is>
      </c>
      <c r="G1065" s="13" t="inlineStr">
        <is>
          <t>Corporate</t>
        </is>
      </c>
      <c r="H1065" s="13" t="inlineStr">
        <is>
          <t>two</t>
        </is>
      </c>
      <c r="I1065" s="14" t="inlineStr">
        <is>
          <t>504.51</t>
        </is>
      </c>
      <c r="J1065" s="15" t="inlineStr">
        <is>
          <t>0.17</t>
        </is>
      </c>
      <c r="K1065" s="14" t="inlineStr">
        <is>
          <t>302.71</t>
        </is>
      </c>
      <c r="L1065" s="13" t="inlineStr">
        <is>
          <t>N/A</t>
        </is>
      </c>
      <c r="M1065" s="13" t="inlineStr">
        <is>
          <t>Completed</t>
        </is>
      </c>
      <c r="N1065" s="13" t="inlineStr">
        <is>
          <t>K. Mensah</t>
        </is>
      </c>
    </row>
    <row r="1066">
      <c r="A1066" s="13" t="inlineStr">
        <is>
          <t>HC-101064</t>
        </is>
      </c>
      <c r="B1066" s="13" t="inlineStr">
        <is>
          <t>12/13/2024</t>
        </is>
      </c>
      <c r="C1066" s="13" t="inlineStr">
        <is>
          <t>West</t>
        </is>
      </c>
      <c r="D1066" s="13" t="inlineStr">
        <is>
          <t>web</t>
        </is>
      </c>
      <c r="E1066" s="13" t="inlineStr">
        <is>
          <t>Lighting</t>
        </is>
      </c>
      <c r="F1066" s="13" t="inlineStr">
        <is>
          <t>Pendant Light</t>
        </is>
      </c>
      <c r="G1066" s="13" t="inlineStr">
        <is>
          <t>Consumer</t>
        </is>
      </c>
      <c r="H1066" s="13" t="inlineStr">
        <is>
          <t>3</t>
        </is>
      </c>
      <c r="I1066" s="14" t="inlineStr">
        <is>
          <t>181.77</t>
        </is>
      </c>
      <c r="J1066" s="15" t="inlineStr">
        <is>
          <t>0.06</t>
        </is>
      </c>
      <c r="K1066" s="14" t="inlineStr">
        <is>
          <t>90.88</t>
        </is>
      </c>
      <c r="L1066" s="13" t="inlineStr">
        <is>
          <t>N/A</t>
        </is>
      </c>
      <c r="M1066" s="13" t="inlineStr">
        <is>
          <t>Completed</t>
        </is>
      </c>
      <c r="N1066" s="13" t="inlineStr">
        <is>
          <t>P. Rossi</t>
        </is>
      </c>
    </row>
    <row r="1067">
      <c r="A1067" s="13" t="inlineStr">
        <is>
          <t>HC-101065</t>
        </is>
      </c>
      <c r="B1067" s="13" t="inlineStr">
        <is>
          <t>12-Dec-24</t>
        </is>
      </c>
      <c r="C1067" s="13" t="inlineStr">
        <is>
          <t>North</t>
        </is>
      </c>
      <c r="D1067" s="13" t="inlineStr">
        <is>
          <t>Store</t>
        </is>
      </c>
      <c r="E1067" s="13" t="inlineStr">
        <is>
          <t>Furniture</t>
        </is>
      </c>
      <c r="F1067" s="13" t="inlineStr">
        <is>
          <t>Oak Desk</t>
        </is>
      </c>
      <c r="G1067" s="13" t="inlineStr">
        <is>
          <t>Consumer</t>
        </is>
      </c>
      <c r="H1067" s="13" t="inlineStr">
        <is>
          <t>5</t>
        </is>
      </c>
      <c r="I1067" s="14" t="inlineStr">
        <is>
          <t>836.83</t>
        </is>
      </c>
      <c r="J1067" s="15" t="inlineStr">
        <is>
          <t>0.05</t>
        </is>
      </c>
      <c r="K1067" s="14" t="inlineStr">
        <is>
          <t>518.83</t>
        </is>
      </c>
      <c r="L1067" s="13" t="inlineStr">
        <is>
          <t>8</t>
        </is>
      </c>
      <c r="M1067" s="13" t="inlineStr">
        <is>
          <t>Completed</t>
        </is>
      </c>
      <c r="N1067" s="13" t="inlineStr">
        <is>
          <t>A. Shah</t>
        </is>
      </c>
    </row>
    <row r="1068">
      <c r="A1068" s="13" t="inlineStr">
        <is>
          <t>HC-101066</t>
        </is>
      </c>
      <c r="B1068" s="13" t="inlineStr">
        <is>
          <t>2024/10/09</t>
        </is>
      </c>
      <c r="C1068" s="13" t="inlineStr">
        <is>
          <t>West</t>
        </is>
      </c>
      <c r="D1068" s="13" t="inlineStr">
        <is>
          <t>Online</t>
        </is>
      </c>
      <c r="E1068" s="13" t="inlineStr">
        <is>
          <t>Kitchen</t>
        </is>
      </c>
      <c r="F1068" s="13" t="inlineStr">
        <is>
          <t>Chef Knife</t>
        </is>
      </c>
      <c r="G1068" s="13" t="inlineStr">
        <is>
          <t>consumer</t>
        </is>
      </c>
      <c r="H1068" s="13" t="inlineStr">
        <is>
          <t>3</t>
        </is>
      </c>
      <c r="I1068" s="14" t="inlineStr">
        <is>
          <t>61.23</t>
        </is>
      </c>
      <c r="J1068" s="15" t="inlineStr">
        <is>
          <t>0.06</t>
        </is>
      </c>
      <c r="K1068" s="14" t="inlineStr">
        <is>
          <t>22.04</t>
        </is>
      </c>
      <c r="L1068" s="13" t="inlineStr">
        <is>
          <t>6</t>
        </is>
      </c>
      <c r="M1068" s="13" t="inlineStr">
        <is>
          <t>Completed</t>
        </is>
      </c>
      <c r="N1068" s="13" t="inlineStr">
        <is>
          <t>K. Mensah</t>
        </is>
      </c>
    </row>
    <row r="1069">
      <c r="A1069" s="13" t="inlineStr">
        <is>
          <t>HC-101067</t>
        </is>
      </c>
      <c r="B1069" s="13" t="inlineStr">
        <is>
          <t>30.06.2025</t>
        </is>
      </c>
      <c r="C1069" s="13" t="inlineStr">
        <is>
          <t>North</t>
        </is>
      </c>
      <c r="D1069" s="13" t="inlineStr">
        <is>
          <t>Wholesale</t>
        </is>
      </c>
      <c r="E1069" s="13" t="inlineStr">
        <is>
          <t>Textiles</t>
        </is>
      </c>
      <c r="F1069" s="13" t="inlineStr">
        <is>
          <t>Cotton Duvet</t>
        </is>
      </c>
      <c r="G1069" s="13" t="inlineStr">
        <is>
          <t>Consumer</t>
        </is>
      </c>
      <c r="H1069" s="13" t="inlineStr">
        <is>
          <t>13</t>
        </is>
      </c>
      <c r="I1069" s="14" t="inlineStr">
        <is>
          <t>121.70</t>
        </is>
      </c>
      <c r="J1069" s="15" t="inlineStr">
        <is>
          <t>0.20</t>
        </is>
      </c>
      <c r="K1069" s="14" t="inlineStr">
        <is>
          <t>53.55</t>
        </is>
      </c>
      <c r="L1069" s="13" t="inlineStr">
        <is>
          <t>7</t>
        </is>
      </c>
      <c r="M1069" s="13" t="inlineStr">
        <is>
          <t>Completed</t>
        </is>
      </c>
      <c r="N1069" s="13" t="inlineStr">
        <is>
          <t>K. Mensah</t>
        </is>
      </c>
    </row>
    <row r="1070">
      <c r="A1070" s="13" t="inlineStr">
        <is>
          <t>HC-101068</t>
        </is>
      </c>
      <c r="B1070" s="13" t="inlineStr">
        <is>
          <t>11/18/2024</t>
        </is>
      </c>
      <c r="C1070" s="13" t="inlineStr">
        <is>
          <t>South</t>
        </is>
      </c>
      <c r="D1070" s="13" t="inlineStr">
        <is>
          <t>Wholesale</t>
        </is>
      </c>
      <c r="E1070" s="13" t="inlineStr">
        <is>
          <t>Lighting</t>
        </is>
      </c>
      <c r="F1070" s="13" t="inlineStr">
        <is>
          <t>Arc Lamp</t>
        </is>
      </c>
      <c r="G1070" s="13" t="inlineStr">
        <is>
          <t>Corporate</t>
        </is>
      </c>
      <c r="H1070" s="13" t="inlineStr">
        <is>
          <t>27</t>
        </is>
      </c>
      <c r="I1070" s="14" t="inlineStr">
        <is>
          <t>321.75</t>
        </is>
      </c>
      <c r="J1070" s="15" t="inlineStr">
        <is>
          <t>0.15</t>
        </is>
      </c>
      <c r="K1070" s="14" t="inlineStr">
        <is>
          <t>154.44</t>
        </is>
      </c>
      <c r="L1070" s="13" t="inlineStr">
        <is>
          <t>7</t>
        </is>
      </c>
      <c r="M1070" s="13" t="inlineStr">
        <is>
          <t>Completed</t>
        </is>
      </c>
      <c r="N1070" s="13" t="inlineStr">
        <is>
          <t>J. Patel</t>
        </is>
      </c>
    </row>
    <row r="1071">
      <c r="A1071" s="13" t="inlineStr">
        <is>
          <t>HC-101069</t>
        </is>
      </c>
      <c r="B1071" s="13" t="inlineStr">
        <is>
          <t>24-Jan-25</t>
        </is>
      </c>
      <c r="C1071" s="13" t="inlineStr">
        <is>
          <t>West</t>
        </is>
      </c>
      <c r="D1071" s="13" t="inlineStr">
        <is>
          <t>Wholesale</t>
        </is>
      </c>
      <c r="E1071" s="13" t="inlineStr">
        <is>
          <t>Textiles</t>
        </is>
      </c>
      <c r="F1071" s="13" t="inlineStr">
        <is>
          <t>Linen Curtain</t>
        </is>
      </c>
      <c r="G1071" s="13" t="inlineStr">
        <is>
          <t>Consumer</t>
        </is>
      </c>
      <c r="H1071" s="13" t="inlineStr">
        <is>
          <t>15</t>
        </is>
      </c>
      <c r="I1071" s="14" t="inlineStr">
        <is>
          <t>91.44</t>
        </is>
      </c>
      <c r="J1071" s="15" t="inlineStr">
        <is>
          <t>0.13</t>
        </is>
      </c>
      <c r="K1071" s="14" t="inlineStr">
        <is>
          <t>41.15</t>
        </is>
      </c>
      <c r="L1071" s="13" t="inlineStr">
        <is>
          <t>5</t>
        </is>
      </c>
      <c r="M1071" s="13" t="inlineStr">
        <is>
          <t>Completed</t>
        </is>
      </c>
      <c r="N1071" s="13" t="inlineStr">
        <is>
          <t>R. Ibarra</t>
        </is>
      </c>
    </row>
    <row r="1072">
      <c r="A1072" s="13" t="inlineStr">
        <is>
          <t>HC-101070</t>
        </is>
      </c>
      <c r="B1072" s="13" t="inlineStr">
        <is>
          <t>2024/11/12</t>
        </is>
      </c>
      <c r="C1072" s="13" t="inlineStr">
        <is>
          <t>West</t>
        </is>
      </c>
      <c r="D1072" s="13" t="inlineStr">
        <is>
          <t>Online</t>
        </is>
      </c>
      <c r="E1072" s="13" t="inlineStr">
        <is>
          <t>Furniture</t>
        </is>
      </c>
      <c r="F1072" s="13" t="inlineStr">
        <is>
          <t>Linen Sofa</t>
        </is>
      </c>
      <c r="G1072" s="13" t="inlineStr"/>
      <c r="H1072" s="13" t="inlineStr">
        <is>
          <t>Four</t>
        </is>
      </c>
      <c r="I1072" s="14" t="inlineStr">
        <is>
          <t>1300.24</t>
        </is>
      </c>
      <c r="J1072" s="15" t="inlineStr">
        <is>
          <t>0.06</t>
        </is>
      </c>
      <c r="K1072" s="14" t="inlineStr">
        <is>
          <t>858.16</t>
        </is>
      </c>
      <c r="L1072" s="13" t="inlineStr">
        <is>
          <t>2</t>
        </is>
      </c>
      <c r="M1072" s="13" t="inlineStr">
        <is>
          <t>Completed</t>
        </is>
      </c>
      <c r="N1072" s="13" t="inlineStr">
        <is>
          <t>R. Ibarra</t>
        </is>
      </c>
    </row>
    <row r="1073">
      <c r="A1073" s="13" t="inlineStr">
        <is>
          <t>HC-101071</t>
        </is>
      </c>
      <c r="B1073" s="13" t="inlineStr">
        <is>
          <t>13.08.2025</t>
        </is>
      </c>
      <c r="C1073" s="13" t="inlineStr">
        <is>
          <t>South</t>
        </is>
      </c>
      <c r="D1073" s="13" t="inlineStr">
        <is>
          <t>Store</t>
        </is>
      </c>
      <c r="E1073" s="13" t="inlineStr">
        <is>
          <t>Textiles</t>
        </is>
      </c>
      <c r="F1073" s="13" t="inlineStr">
        <is>
          <t>Wool Throw</t>
        </is>
      </c>
      <c r="G1073" s="13" t="inlineStr">
        <is>
          <t>Consumer</t>
        </is>
      </c>
      <c r="H1073" s="13" t="inlineStr">
        <is>
          <t>2</t>
        </is>
      </c>
      <c r="I1073" s="14" t="inlineStr">
        <is>
          <t>79.04</t>
        </is>
      </c>
      <c r="J1073" s="15" t="inlineStr">
        <is>
          <t>0.03</t>
        </is>
      </c>
      <c r="K1073" s="14" t="inlineStr">
        <is>
          <t>33.20</t>
        </is>
      </c>
      <c r="L1073" s="13" t="inlineStr">
        <is>
          <t>4</t>
        </is>
      </c>
      <c r="M1073" s="13" t="inlineStr">
        <is>
          <t>Completed</t>
        </is>
      </c>
      <c r="N1073" s="13" t="inlineStr">
        <is>
          <t>L. Berger</t>
        </is>
      </c>
    </row>
    <row r="1074">
      <c r="A1074" s="13" t="inlineStr">
        <is>
          <t>HC-101072</t>
        </is>
      </c>
      <c r="B1074" s="13" t="inlineStr">
        <is>
          <t>02/07/2025</t>
        </is>
      </c>
      <c r="C1074" s="13" t="inlineStr">
        <is>
          <t>West</t>
        </is>
      </c>
      <c r="D1074" s="13" t="inlineStr">
        <is>
          <t>Wholesale</t>
        </is>
      </c>
      <c r="E1074" s="13" t="inlineStr">
        <is>
          <t>Lighting</t>
        </is>
      </c>
      <c r="F1074" s="13" t="inlineStr">
        <is>
          <t>Arc Lamp</t>
        </is>
      </c>
      <c r="G1074" s="13" t="inlineStr">
        <is>
          <t>Consumer</t>
        </is>
      </c>
      <c r="H1074" s="13" t="inlineStr">
        <is>
          <t>26</t>
        </is>
      </c>
      <c r="I1074" s="14" t="inlineStr">
        <is>
          <t>$289.54</t>
        </is>
      </c>
      <c r="J1074" s="15" t="inlineStr">
        <is>
          <t>0.18</t>
        </is>
      </c>
      <c r="K1074" s="14" t="inlineStr">
        <is>
          <t>138.98</t>
        </is>
      </c>
      <c r="L1074" s="13" t="inlineStr">
        <is>
          <t>N/A</t>
        </is>
      </c>
      <c r="M1074" s="13" t="inlineStr">
        <is>
          <t>complete</t>
        </is>
      </c>
      <c r="N1074" s="13" t="inlineStr">
        <is>
          <t>J. Patel</t>
        </is>
      </c>
    </row>
    <row r="1075">
      <c r="A1075" s="13" t="inlineStr">
        <is>
          <t>HC-101073</t>
        </is>
      </c>
      <c r="B1075" s="13" t="inlineStr">
        <is>
          <t>12-Jan-25</t>
        </is>
      </c>
      <c r="C1075" s="13" t="inlineStr">
        <is>
          <t>South</t>
        </is>
      </c>
      <c r="D1075" s="13" t="inlineStr">
        <is>
          <t>Online</t>
        </is>
      </c>
      <c r="E1075" s="13" t="inlineStr">
        <is>
          <t>Textiles</t>
        </is>
      </c>
      <c r="F1075" s="13" t="inlineStr">
        <is>
          <t>Cotton Duvet</t>
        </is>
      </c>
      <c r="G1075" s="13" t="inlineStr">
        <is>
          <t>Consumer</t>
        </is>
      </c>
      <c r="H1075" s="13" t="inlineStr">
        <is>
          <t>3</t>
        </is>
      </c>
      <c r="I1075" s="14" t="inlineStr">
        <is>
          <t>112.48</t>
        </is>
      </c>
      <c r="J1075" s="15" t="inlineStr">
        <is>
          <t>0.16</t>
        </is>
      </c>
      <c r="K1075" s="14" t="inlineStr">
        <is>
          <t>49.49</t>
        </is>
      </c>
      <c r="L1075" s="13" t="inlineStr">
        <is>
          <t>7</t>
        </is>
      </c>
      <c r="M1075" s="13" t="inlineStr">
        <is>
          <t>Completed</t>
        </is>
      </c>
      <c r="N1075" s="13" t="inlineStr">
        <is>
          <t>S. Nguyen</t>
        </is>
      </c>
    </row>
    <row r="1076">
      <c r="A1076" s="13" t="inlineStr">
        <is>
          <t>HC-101074</t>
        </is>
      </c>
      <c r="B1076" s="13" t="inlineStr">
        <is>
          <t>2025/08/09</t>
        </is>
      </c>
      <c r="C1076" s="13" t="inlineStr">
        <is>
          <t>South</t>
        </is>
      </c>
      <c r="D1076" s="13" t="inlineStr">
        <is>
          <t>Online</t>
        </is>
      </c>
      <c r="E1076" s="13" t="inlineStr">
        <is>
          <t>Kitchen</t>
        </is>
      </c>
      <c r="F1076" s="13" t="inlineStr">
        <is>
          <t>Cast Skillet</t>
        </is>
      </c>
      <c r="G1076" s="13" t="inlineStr">
        <is>
          <t>Consumer</t>
        </is>
      </c>
      <c r="H1076" s="13" t="inlineStr">
        <is>
          <t>2</t>
        </is>
      </c>
      <c r="I1076" s="14" t="inlineStr">
        <is>
          <t>55.39</t>
        </is>
      </c>
      <c r="J1076" s="15" t="inlineStr">
        <is>
          <t>0.12</t>
        </is>
      </c>
      <c r="K1076" s="14" t="inlineStr">
        <is>
          <t>22.15</t>
        </is>
      </c>
      <c r="L1076" s="13" t="inlineStr">
        <is>
          <t>5</t>
        </is>
      </c>
      <c r="M1076" s="13" t="inlineStr">
        <is>
          <t>Completed</t>
        </is>
      </c>
      <c r="N1076" s="13" t="inlineStr">
        <is>
          <t>P. Rossi</t>
        </is>
      </c>
    </row>
    <row r="1077">
      <c r="A1077" s="13" t="inlineStr">
        <is>
          <t>HC-101075</t>
        </is>
      </c>
      <c r="B1077" s="13" t="inlineStr">
        <is>
          <t>20.03.2024</t>
        </is>
      </c>
      <c r="C1077" s="13" t="inlineStr">
        <is>
          <t>NORTH</t>
        </is>
      </c>
      <c r="D1077" s="13" t="inlineStr">
        <is>
          <t>Online</t>
        </is>
      </c>
      <c r="E1077" s="13" t="inlineStr">
        <is>
          <t>Textiles</t>
        </is>
      </c>
      <c r="F1077" s="13" t="inlineStr">
        <is>
          <t>Cotton Duvet</t>
        </is>
      </c>
      <c r="G1077" s="13" t="inlineStr">
        <is>
          <t>Consumer</t>
        </is>
      </c>
      <c r="H1077" s="13" t="inlineStr">
        <is>
          <t>1</t>
        </is>
      </c>
      <c r="I1077" s="14" t="inlineStr">
        <is>
          <t>128.86</t>
        </is>
      </c>
      <c r="J1077" s="15" t="inlineStr">
        <is>
          <t>0.10</t>
        </is>
      </c>
      <c r="K1077" s="14" t="inlineStr">
        <is>
          <t>56.70</t>
        </is>
      </c>
      <c r="L1077" s="13" t="inlineStr">
        <is>
          <t>7</t>
        </is>
      </c>
      <c r="M1077" s="13" t="inlineStr">
        <is>
          <t>Completed</t>
        </is>
      </c>
      <c r="N1077" s="13" t="inlineStr">
        <is>
          <t>A. Shah</t>
        </is>
      </c>
    </row>
    <row r="1078">
      <c r="A1078" s="13" t="inlineStr">
        <is>
          <t>HC-101076</t>
        </is>
      </c>
      <c r="B1078" s="13" t="inlineStr">
        <is>
          <t>12/17/2024</t>
        </is>
      </c>
      <c r="C1078" s="13" t="inlineStr">
        <is>
          <t>South</t>
        </is>
      </c>
      <c r="D1078" s="13" t="inlineStr">
        <is>
          <t>Online</t>
        </is>
      </c>
      <c r="E1078" s="13" t="inlineStr">
        <is>
          <t>Lighting</t>
        </is>
      </c>
      <c r="F1078" s="13" t="inlineStr">
        <is>
          <t>Brass Sconce</t>
        </is>
      </c>
      <c r="G1078" s="13" t="inlineStr"/>
      <c r="H1078" s="13" t="inlineStr">
        <is>
          <t>2</t>
        </is>
      </c>
      <c r="I1078" s="14" t="inlineStr">
        <is>
          <t>137.42</t>
        </is>
      </c>
      <c r="J1078" s="15" t="inlineStr">
        <is>
          <t>0.09</t>
        </is>
      </c>
      <c r="K1078" s="14" t="inlineStr">
        <is>
          <t>63.21</t>
        </is>
      </c>
      <c r="L1078" s="13" t="inlineStr">
        <is>
          <t>7</t>
        </is>
      </c>
      <c r="M1078" s="13" t="inlineStr">
        <is>
          <t>Completed</t>
        </is>
      </c>
      <c r="N1078" s="13" t="inlineStr">
        <is>
          <t>P. Rossi</t>
        </is>
      </c>
    </row>
    <row r="1079">
      <c r="A1079" s="13" t="inlineStr">
        <is>
          <t>HC-101077</t>
        </is>
      </c>
      <c r="B1079" s="13" t="inlineStr">
        <is>
          <t>11-May-25</t>
        </is>
      </c>
      <c r="C1079" s="13" t="inlineStr">
        <is>
          <t>West</t>
        </is>
      </c>
      <c r="D1079" s="13" t="inlineStr">
        <is>
          <t>Online</t>
        </is>
      </c>
      <c r="E1079" s="13" t="inlineStr">
        <is>
          <t>Kitchen</t>
        </is>
      </c>
      <c r="F1079" s="13" t="inlineStr">
        <is>
          <t>Chef Knife</t>
        </is>
      </c>
      <c r="G1079" s="13" t="inlineStr">
        <is>
          <t>home office</t>
        </is>
      </c>
      <c r="H1079" s="13" t="inlineStr">
        <is>
          <t>3</t>
        </is>
      </c>
      <c r="I1079" s="14" t="inlineStr">
        <is>
          <t>67.21</t>
        </is>
      </c>
      <c r="J1079" s="15" t="inlineStr">
        <is>
          <t>0.07</t>
        </is>
      </c>
      <c r="K1079" s="14" t="inlineStr">
        <is>
          <t>24.20</t>
        </is>
      </c>
      <c r="L1079" s="13" t="inlineStr">
        <is>
          <t>5</t>
        </is>
      </c>
      <c r="M1079" s="13" t="inlineStr">
        <is>
          <t>Completed</t>
        </is>
      </c>
      <c r="N1079" s="13" t="inlineStr">
        <is>
          <t>R. Ibarra</t>
        </is>
      </c>
    </row>
    <row r="1080">
      <c r="A1080" s="13" t="inlineStr">
        <is>
          <t>HC-101078</t>
        </is>
      </c>
      <c r="B1080" s="13" t="inlineStr">
        <is>
          <t>2024/12/14</t>
        </is>
      </c>
      <c r="C1080" s="13" t="inlineStr">
        <is>
          <t>North</t>
        </is>
      </c>
      <c r="D1080" s="13" t="inlineStr">
        <is>
          <t>web</t>
        </is>
      </c>
      <c r="E1080" s="13" t="inlineStr">
        <is>
          <t>Textiles</t>
        </is>
      </c>
      <c r="F1080" s="13" t="inlineStr">
        <is>
          <t>Cotton Duvet</t>
        </is>
      </c>
      <c r="G1080" s="13" t="inlineStr">
        <is>
          <t>Consumer</t>
        </is>
      </c>
      <c r="H1080" s="13" t="inlineStr">
        <is>
          <t>3</t>
        </is>
      </c>
      <c r="I1080" s="14" t="inlineStr">
        <is>
          <t>116.37</t>
        </is>
      </c>
      <c r="J1080" s="15" t="inlineStr">
        <is>
          <t>0.07</t>
        </is>
      </c>
      <c r="K1080" s="14" t="inlineStr">
        <is>
          <t>51.20</t>
        </is>
      </c>
      <c r="L1080" s="13" t="inlineStr">
        <is>
          <t>8</t>
        </is>
      </c>
      <c r="M1080" s="13" t="inlineStr">
        <is>
          <t>Completed</t>
        </is>
      </c>
      <c r="N1080" s="13" t="inlineStr">
        <is>
          <t>M. Okonkwo</t>
        </is>
      </c>
    </row>
    <row r="1081">
      <c r="A1081" s="13" t="inlineStr">
        <is>
          <t>HC-101079</t>
        </is>
      </c>
      <c r="B1081" s="13" t="inlineStr">
        <is>
          <t>25.04.2024</t>
        </is>
      </c>
      <c r="C1081" s="13" t="inlineStr">
        <is>
          <t>West</t>
        </is>
      </c>
      <c r="D1081" s="13" t="inlineStr">
        <is>
          <t>Online</t>
        </is>
      </c>
      <c r="E1081" s="13" t="inlineStr">
        <is>
          <t>Furniture</t>
        </is>
      </c>
      <c r="F1081" s="13" t="inlineStr">
        <is>
          <t>Lounge Chair</t>
        </is>
      </c>
      <c r="G1081" s="13" t="inlineStr">
        <is>
          <t>Consumer</t>
        </is>
      </c>
      <c r="H1081" s="13" t="inlineStr">
        <is>
          <t>3</t>
        </is>
      </c>
      <c r="I1081" s="14" t="inlineStr">
        <is>
          <t>449.11</t>
        </is>
      </c>
      <c r="J1081" s="15" t="inlineStr">
        <is>
          <t>5%</t>
        </is>
      </c>
      <c r="K1081" s="14" t="inlineStr">
        <is>
          <t>269.46</t>
        </is>
      </c>
      <c r="L1081" s="13" t="inlineStr">
        <is>
          <t>6</t>
        </is>
      </c>
      <c r="M1081" s="13" t="inlineStr">
        <is>
          <t>Completed</t>
        </is>
      </c>
      <c r="N1081" s="13" t="inlineStr">
        <is>
          <t>A. Shah</t>
        </is>
      </c>
    </row>
    <row r="1082">
      <c r="A1082" s="13" t="inlineStr">
        <is>
          <t>HC-101080</t>
        </is>
      </c>
      <c r="B1082" s="13" t="inlineStr">
        <is>
          <t>12/25/2024</t>
        </is>
      </c>
      <c r="C1082" s="13" t="inlineStr">
        <is>
          <t>South</t>
        </is>
      </c>
      <c r="D1082" s="13" t="inlineStr">
        <is>
          <t>Store</t>
        </is>
      </c>
      <c r="E1082" s="13" t="inlineStr">
        <is>
          <t>Lighting</t>
        </is>
      </c>
      <c r="F1082" s="13" t="inlineStr">
        <is>
          <t>Pendant Light</t>
        </is>
      </c>
      <c r="G1082" s="13" t="inlineStr">
        <is>
          <t>Consumer</t>
        </is>
      </c>
      <c r="H1082" s="13" t="inlineStr">
        <is>
          <t>2</t>
        </is>
      </c>
      <c r="I1082" s="14" t="inlineStr">
        <is>
          <t>166.90</t>
        </is>
      </c>
      <c r="J1082" s="15" t="inlineStr">
        <is>
          <t>0.08</t>
        </is>
      </c>
      <c r="K1082" s="14" t="inlineStr">
        <is>
          <t>83.45</t>
        </is>
      </c>
      <c r="L1082" s="13" t="inlineStr">
        <is>
          <t>5</t>
        </is>
      </c>
      <c r="M1082" s="13" t="inlineStr">
        <is>
          <t>Completed</t>
        </is>
      </c>
      <c r="N1082" s="13" t="inlineStr">
        <is>
          <t>R. Ibarra</t>
        </is>
      </c>
    </row>
    <row r="1083">
      <c r="A1083" s="13" t="inlineStr">
        <is>
          <t>HC-101081</t>
        </is>
      </c>
      <c r="B1083" s="13" t="inlineStr">
        <is>
          <t>18-Dec-24</t>
        </is>
      </c>
      <c r="C1083" s="13" t="inlineStr">
        <is>
          <t>East</t>
        </is>
      </c>
      <c r="D1083" s="13" t="inlineStr">
        <is>
          <t>Online</t>
        </is>
      </c>
      <c r="E1083" s="13" t="inlineStr">
        <is>
          <t>Furniture</t>
        </is>
      </c>
      <c r="F1083" s="13" t="inlineStr">
        <is>
          <t>Walnut Shelf</t>
        </is>
      </c>
      <c r="G1083" s="13" t="inlineStr"/>
      <c r="H1083" s="13" t="inlineStr">
        <is>
          <t>3</t>
        </is>
      </c>
      <c r="I1083" s="14" t="inlineStr">
        <is>
          <t>$198.72</t>
        </is>
      </c>
      <c r="J1083" s="15" t="inlineStr">
        <is>
          <t>0.17</t>
        </is>
      </c>
      <c r="K1083" s="14" t="inlineStr">
        <is>
          <t>109.30</t>
        </is>
      </c>
      <c r="L1083" s="13" t="inlineStr">
        <is>
          <t>10</t>
        </is>
      </c>
      <c r="M1083" s="13" t="inlineStr">
        <is>
          <t>Completed</t>
        </is>
      </c>
      <c r="N1083" s="13" t="inlineStr">
        <is>
          <t>P. Rossi</t>
        </is>
      </c>
    </row>
    <row r="1084">
      <c r="A1084" s="13" t="inlineStr">
        <is>
          <t>HC-101082</t>
        </is>
      </c>
      <c r="B1084" s="13" t="inlineStr">
        <is>
          <t>2025/08/12</t>
        </is>
      </c>
      <c r="C1084" s="13" t="inlineStr">
        <is>
          <t>East</t>
        </is>
      </c>
      <c r="D1084" s="13" t="inlineStr">
        <is>
          <t>In-Store</t>
        </is>
      </c>
      <c r="E1084" s="13" t="inlineStr">
        <is>
          <t>Lighting</t>
        </is>
      </c>
      <c r="F1084" s="13" t="inlineStr">
        <is>
          <t>Pendant Light</t>
        </is>
      </c>
      <c r="G1084" s="13" t="inlineStr">
        <is>
          <t>Corporate</t>
        </is>
      </c>
      <c r="H1084" s="13" t="inlineStr">
        <is>
          <t>1</t>
        </is>
      </c>
      <c r="I1084" s="14" t="inlineStr">
        <is>
          <t>172.78</t>
        </is>
      </c>
      <c r="J1084" s="15" t="inlineStr">
        <is>
          <t>0%</t>
        </is>
      </c>
      <c r="K1084" s="14" t="inlineStr">
        <is>
          <t>86.39</t>
        </is>
      </c>
      <c r="L1084" s="13" t="inlineStr">
        <is>
          <t>9</t>
        </is>
      </c>
      <c r="M1084" s="13" t="inlineStr">
        <is>
          <t>Compleated</t>
        </is>
      </c>
      <c r="N1084" s="13" t="inlineStr">
        <is>
          <t>M. Okonkwo</t>
        </is>
      </c>
    </row>
    <row r="1085">
      <c r="A1085" s="13" t="inlineStr">
        <is>
          <t>HC-101083</t>
        </is>
      </c>
      <c r="B1085" s="13" t="inlineStr">
        <is>
          <t>13.01.2024</t>
        </is>
      </c>
      <c r="C1085" s="13" t="inlineStr">
        <is>
          <t>West</t>
        </is>
      </c>
      <c r="D1085" s="13" t="inlineStr">
        <is>
          <t>Store</t>
        </is>
      </c>
      <c r="E1085" s="13" t="inlineStr">
        <is>
          <t>Textiles</t>
        </is>
      </c>
      <c r="F1085" s="13" t="inlineStr">
        <is>
          <t>Linen Curtain</t>
        </is>
      </c>
      <c r="G1085" s="13" t="inlineStr">
        <is>
          <t>home office</t>
        </is>
      </c>
      <c r="H1085" s="13" t="inlineStr">
        <is>
          <t>4</t>
        </is>
      </c>
      <c r="I1085" s="14" t="inlineStr">
        <is>
          <t>91.38</t>
        </is>
      </c>
      <c r="J1085" s="15" t="inlineStr">
        <is>
          <t>0.00</t>
        </is>
      </c>
      <c r="K1085" s="14" t="inlineStr">
        <is>
          <t>41.12</t>
        </is>
      </c>
      <c r="L1085" s="13" t="inlineStr">
        <is>
          <t>3</t>
        </is>
      </c>
      <c r="M1085" s="13" t="inlineStr">
        <is>
          <t>Completed</t>
        </is>
      </c>
      <c r="N1085" s="13" t="inlineStr">
        <is>
          <t>S. Nguyen</t>
        </is>
      </c>
    </row>
    <row r="1086">
      <c r="A1086" s="13" t="inlineStr">
        <is>
          <t>HC-101084</t>
        </is>
      </c>
      <c r="B1086" s="13" t="inlineStr">
        <is>
          <t>12/25/2024</t>
        </is>
      </c>
      <c r="C1086" s="13" t="inlineStr">
        <is>
          <t>East</t>
        </is>
      </c>
      <c r="D1086" s="13" t="inlineStr">
        <is>
          <t>Store</t>
        </is>
      </c>
      <c r="E1086" s="13" t="inlineStr">
        <is>
          <t>Textiles</t>
        </is>
      </c>
      <c r="F1086" s="13" t="inlineStr">
        <is>
          <t>Wool Throw</t>
        </is>
      </c>
      <c r="G1086" s="13" t="inlineStr">
        <is>
          <t>Consumer</t>
        </is>
      </c>
      <c r="H1086" s="13" t="inlineStr">
        <is>
          <t>3</t>
        </is>
      </c>
      <c r="I1086" s="14" t="inlineStr">
        <is>
          <t>69.01</t>
        </is>
      </c>
      <c r="J1086" s="15" t="inlineStr">
        <is>
          <t>0.08</t>
        </is>
      </c>
      <c r="K1086" s="14" t="inlineStr">
        <is>
          <t>28.98</t>
        </is>
      </c>
      <c r="L1086" s="13" t="inlineStr">
        <is>
          <t>7</t>
        </is>
      </c>
      <c r="M1086" s="13" t="inlineStr">
        <is>
          <t>Completed</t>
        </is>
      </c>
      <c r="N1086" s="13" t="inlineStr">
        <is>
          <t>J. Patel</t>
        </is>
      </c>
    </row>
    <row r="1087">
      <c r="A1087" s="13" t="inlineStr">
        <is>
          <t>HC-101085</t>
        </is>
      </c>
      <c r="B1087" s="13" t="inlineStr">
        <is>
          <t>24-Mar-24</t>
        </is>
      </c>
      <c r="C1087" s="13" t="inlineStr">
        <is>
          <t>South</t>
        </is>
      </c>
      <c r="D1087" s="13" t="inlineStr">
        <is>
          <t>Store</t>
        </is>
      </c>
      <c r="E1087" s="13" t="inlineStr">
        <is>
          <t>Lighting</t>
        </is>
      </c>
      <c r="F1087" s="13" t="inlineStr">
        <is>
          <t>Brass Sconce</t>
        </is>
      </c>
      <c r="G1087" s="13" t="inlineStr">
        <is>
          <t>Consumer</t>
        </is>
      </c>
      <c r="H1087" s="13" t="inlineStr">
        <is>
          <t>1</t>
        </is>
      </c>
      <c r="I1087" s="14" t="inlineStr">
        <is>
          <t>144.95</t>
        </is>
      </c>
      <c r="J1087" s="15" t="inlineStr">
        <is>
          <t>0.10</t>
        </is>
      </c>
      <c r="K1087" s="14" t="inlineStr">
        <is>
          <t>66.68</t>
        </is>
      </c>
      <c r="L1087" s="13" t="inlineStr">
        <is>
          <t>7</t>
        </is>
      </c>
      <c r="M1087" s="13" t="inlineStr">
        <is>
          <t>Completed</t>
        </is>
      </c>
      <c r="N1087" s="13" t="inlineStr">
        <is>
          <t>R. Ibarra</t>
        </is>
      </c>
    </row>
    <row r="1088">
      <c r="A1088" s="13" t="inlineStr">
        <is>
          <t>HC-101086</t>
        </is>
      </c>
      <c r="B1088" s="13" t="inlineStr">
        <is>
          <t>2025/06/25</t>
        </is>
      </c>
      <c r="C1088" s="13" t="inlineStr">
        <is>
          <t>South</t>
        </is>
      </c>
      <c r="D1088" s="13" t="inlineStr">
        <is>
          <t>Online</t>
        </is>
      </c>
      <c r="E1088" s="13" t="inlineStr">
        <is>
          <t>Kitchen</t>
        </is>
      </c>
      <c r="F1088" s="13" t="inlineStr">
        <is>
          <t>Cast Skillet</t>
        </is>
      </c>
      <c r="G1088" s="13" t="inlineStr">
        <is>
          <t>Consumer</t>
        </is>
      </c>
      <c r="H1088" s="13" t="inlineStr">
        <is>
          <t>3</t>
        </is>
      </c>
      <c r="I1088" s="14" t="inlineStr">
        <is>
          <t>55.02</t>
        </is>
      </c>
      <c r="J1088" s="15" t="inlineStr">
        <is>
          <t>0.05</t>
        </is>
      </c>
      <c r="K1088" s="14" t="inlineStr">
        <is>
          <t>22.01</t>
        </is>
      </c>
      <c r="L1088" s="13" t="inlineStr">
        <is>
          <t>5</t>
        </is>
      </c>
      <c r="M1088" s="13" t="inlineStr">
        <is>
          <t>Completed</t>
        </is>
      </c>
      <c r="N1088" s="13" t="inlineStr">
        <is>
          <t>L. Berger</t>
        </is>
      </c>
    </row>
    <row r="1089">
      <c r="A1089" s="13" t="inlineStr">
        <is>
          <t>HC-101087</t>
        </is>
      </c>
      <c r="B1089" s="13" t="inlineStr">
        <is>
          <t>20.12.2024</t>
        </is>
      </c>
      <c r="C1089" s="13" t="inlineStr">
        <is>
          <t>South</t>
        </is>
      </c>
      <c r="D1089" s="13" t="inlineStr">
        <is>
          <t>In-Store</t>
        </is>
      </c>
      <c r="E1089" s="13" t="inlineStr">
        <is>
          <t>Furniture</t>
        </is>
      </c>
      <c r="F1089" s="13" t="inlineStr">
        <is>
          <t>Lounge Chair</t>
        </is>
      </c>
      <c r="G1089" s="13" t="inlineStr">
        <is>
          <t>Consumer</t>
        </is>
      </c>
      <c r="H1089" s="13" t="inlineStr">
        <is>
          <t>2</t>
        </is>
      </c>
      <c r="I1089" s="14" t="inlineStr">
        <is>
          <t>512.73</t>
        </is>
      </c>
      <c r="J1089" s="15" t="inlineStr">
        <is>
          <t>0.05</t>
        </is>
      </c>
      <c r="K1089" s="14" t="inlineStr">
        <is>
          <t>307.64</t>
        </is>
      </c>
      <c r="L1089" s="13" t="inlineStr">
        <is>
          <t>5</t>
        </is>
      </c>
      <c r="M1089" s="13" t="inlineStr">
        <is>
          <t>Completed</t>
        </is>
      </c>
      <c r="N1089" s="13" t="inlineStr">
        <is>
          <t>S. Nguyen</t>
        </is>
      </c>
    </row>
    <row r="1090">
      <c r="A1090" s="13" t="inlineStr">
        <is>
          <t>HC-101088</t>
        </is>
      </c>
      <c r="B1090" s="13" t="inlineStr">
        <is>
          <t>02/14/2025</t>
        </is>
      </c>
      <c r="C1090" s="13" t="inlineStr">
        <is>
          <t>West</t>
        </is>
      </c>
      <c r="D1090" s="13" t="inlineStr">
        <is>
          <t>Store</t>
        </is>
      </c>
      <c r="E1090" s="13" t="inlineStr">
        <is>
          <t>LIGHTING</t>
        </is>
      </c>
      <c r="F1090" s="13" t="inlineStr">
        <is>
          <t>Brass Sconce</t>
        </is>
      </c>
      <c r="G1090" s="13" t="inlineStr">
        <is>
          <t>Consumer</t>
        </is>
      </c>
      <c r="H1090" s="13" t="inlineStr">
        <is>
          <t>3</t>
        </is>
      </c>
      <c r="I1090" s="14" t="inlineStr">
        <is>
          <t>130.62</t>
        </is>
      </c>
      <c r="J1090" s="15" t="inlineStr">
        <is>
          <t>0.01</t>
        </is>
      </c>
      <c r="K1090" s="14" t="inlineStr">
        <is>
          <t>60.08</t>
        </is>
      </c>
      <c r="L1090" s="13" t="inlineStr">
        <is>
          <t>5</t>
        </is>
      </c>
      <c r="M1090" s="13" t="inlineStr">
        <is>
          <t>complete</t>
        </is>
      </c>
      <c r="N1090" s="13" t="inlineStr">
        <is>
          <t>A. Shah</t>
        </is>
      </c>
    </row>
    <row r="1091">
      <c r="A1091" s="13" t="inlineStr">
        <is>
          <t>HC-101089</t>
        </is>
      </c>
      <c r="B1091" s="13" t="inlineStr">
        <is>
          <t>29-Apr-25</t>
        </is>
      </c>
      <c r="C1091" s="13" t="inlineStr">
        <is>
          <t>West</t>
        </is>
      </c>
      <c r="D1091" s="13" t="inlineStr">
        <is>
          <t>Store</t>
        </is>
      </c>
      <c r="E1091" s="13" t="inlineStr">
        <is>
          <t>Furniture</t>
        </is>
      </c>
      <c r="F1091" s="13" t="inlineStr">
        <is>
          <t>Lounge Chair</t>
        </is>
      </c>
      <c r="G1091" s="13" t="inlineStr">
        <is>
          <t>Corporate</t>
        </is>
      </c>
      <c r="H1091" s="13" t="inlineStr">
        <is>
          <t>2</t>
        </is>
      </c>
      <c r="I1091" s="14" t="inlineStr">
        <is>
          <t>463.79</t>
        </is>
      </c>
      <c r="J1091" s="15" t="inlineStr">
        <is>
          <t>0.03</t>
        </is>
      </c>
      <c r="K1091" s="14" t="inlineStr">
        <is>
          <t>278.27</t>
        </is>
      </c>
      <c r="L1091" s="13" t="inlineStr">
        <is>
          <t>5</t>
        </is>
      </c>
      <c r="M1091" s="13" t="inlineStr">
        <is>
          <t>Completed</t>
        </is>
      </c>
      <c r="N1091" s="13" t="inlineStr">
        <is>
          <t>R. Ibarra</t>
        </is>
      </c>
    </row>
    <row r="1092">
      <c r="A1092" s="13" t="inlineStr">
        <is>
          <t>HC-101090</t>
        </is>
      </c>
      <c r="B1092" s="13" t="inlineStr">
        <is>
          <t>2025/06/21</t>
        </is>
      </c>
      <c r="C1092" s="13" t="inlineStr">
        <is>
          <t>North</t>
        </is>
      </c>
      <c r="D1092" s="13" t="inlineStr">
        <is>
          <t>In-Store</t>
        </is>
      </c>
      <c r="E1092" s="13" t="inlineStr">
        <is>
          <t>Textiles</t>
        </is>
      </c>
      <c r="F1092" s="13" t="inlineStr">
        <is>
          <t>Cotton Duvet</t>
        </is>
      </c>
      <c r="G1092" s="13" t="inlineStr">
        <is>
          <t>Home Office</t>
        </is>
      </c>
      <c r="H1092" s="13" t="inlineStr">
        <is>
          <t>3</t>
        </is>
      </c>
      <c r="I1092" s="14" t="inlineStr">
        <is>
          <t>114.71</t>
        </is>
      </c>
      <c r="J1092" s="15" t="inlineStr">
        <is>
          <t>0.05</t>
        </is>
      </c>
      <c r="K1092" s="14" t="inlineStr">
        <is>
          <t>50.47</t>
        </is>
      </c>
      <c r="L1092" s="13" t="inlineStr">
        <is>
          <t>6</t>
        </is>
      </c>
      <c r="M1092" s="13" t="inlineStr">
        <is>
          <t>Returned</t>
        </is>
      </c>
      <c r="N1092" s="13" t="inlineStr">
        <is>
          <t>S. Nguyen</t>
        </is>
      </c>
    </row>
    <row r="1093">
      <c r="A1093" s="13" t="inlineStr">
        <is>
          <t>HC-101091</t>
        </is>
      </c>
      <c r="B1093" s="13" t="inlineStr">
        <is>
          <t>02.07.2024</t>
        </is>
      </c>
      <c r="C1093" s="13" t="inlineStr">
        <is>
          <t>east</t>
        </is>
      </c>
      <c r="D1093" s="13" t="inlineStr">
        <is>
          <t>Store</t>
        </is>
      </c>
      <c r="E1093" s="13" t="inlineStr">
        <is>
          <t>Textiles</t>
        </is>
      </c>
      <c r="F1093" s="13" t="inlineStr">
        <is>
          <t>Cotton Duvet</t>
        </is>
      </c>
      <c r="G1093" s="13" t="inlineStr">
        <is>
          <t>Home Office</t>
        </is>
      </c>
      <c r="H1093" s="13" t="inlineStr">
        <is>
          <t>1</t>
        </is>
      </c>
      <c r="I1093" s="14" t="inlineStr">
        <is>
          <t>112.52</t>
        </is>
      </c>
      <c r="J1093" s="15" t="inlineStr">
        <is>
          <t>0.07</t>
        </is>
      </c>
      <c r="K1093" s="14" t="inlineStr">
        <is>
          <t>49.51</t>
        </is>
      </c>
      <c r="L1093" s="13" t="inlineStr">
        <is>
          <t>8</t>
        </is>
      </c>
      <c r="M1093" s="13" t="inlineStr">
        <is>
          <t>Completed</t>
        </is>
      </c>
      <c r="N1093" s="13" t="inlineStr">
        <is>
          <t>L. Berger</t>
        </is>
      </c>
    </row>
    <row r="1094">
      <c r="A1094" s="13" t="inlineStr">
        <is>
          <t>HC-101092</t>
        </is>
      </c>
      <c r="B1094" s="13" t="inlineStr">
        <is>
          <t>05/11/2025</t>
        </is>
      </c>
      <c r="C1094" s="13" t="inlineStr">
        <is>
          <t>East</t>
        </is>
      </c>
      <c r="D1094" s="13" t="inlineStr">
        <is>
          <t>Wholesale</t>
        </is>
      </c>
      <c r="E1094" s="13" t="inlineStr">
        <is>
          <t>Lighting</t>
        </is>
      </c>
      <c r="F1094" s="13" t="inlineStr">
        <is>
          <t>Brass Sconce</t>
        </is>
      </c>
      <c r="G1094" s="13" t="inlineStr">
        <is>
          <t>Consumer</t>
        </is>
      </c>
      <c r="H1094" s="13" t="inlineStr">
        <is>
          <t>17</t>
        </is>
      </c>
      <c r="I1094" s="14" t="inlineStr">
        <is>
          <t>125.63</t>
        </is>
      </c>
      <c r="J1094" s="15" t="inlineStr">
        <is>
          <t>0.18</t>
        </is>
      </c>
      <c r="K1094" s="14" t="inlineStr">
        <is>
          <t>57.79</t>
        </is>
      </c>
      <c r="L1094" s="13" t="inlineStr">
        <is>
          <t>10</t>
        </is>
      </c>
      <c r="M1094" s="13" t="inlineStr">
        <is>
          <t>Completed</t>
        </is>
      </c>
      <c r="N1094" s="13" t="inlineStr">
        <is>
          <t>A. Shah</t>
        </is>
      </c>
    </row>
    <row r="1095">
      <c r="A1095" s="13" t="inlineStr">
        <is>
          <t>HC-101093</t>
        </is>
      </c>
      <c r="B1095" s="13" t="inlineStr">
        <is>
          <t>07-Jun-25</t>
        </is>
      </c>
      <c r="C1095" s="13" t="inlineStr">
        <is>
          <t>West</t>
        </is>
      </c>
      <c r="D1095" s="13" t="inlineStr">
        <is>
          <t>Online</t>
        </is>
      </c>
      <c r="E1095" s="13" t="inlineStr">
        <is>
          <t>Lighting</t>
        </is>
      </c>
      <c r="F1095" s="13" t="inlineStr">
        <is>
          <t>Arc Lamp</t>
        </is>
      </c>
      <c r="G1095" s="13" t="inlineStr">
        <is>
          <t>Consumer</t>
        </is>
      </c>
      <c r="H1095" s="13" t="inlineStr">
        <is>
          <t>2</t>
        </is>
      </c>
      <c r="I1095" s="14" t="inlineStr">
        <is>
          <t>$300.24</t>
        </is>
      </c>
      <c r="J1095" s="15" t="inlineStr">
        <is>
          <t>0.10</t>
        </is>
      </c>
      <c r="K1095" s="14" t="inlineStr">
        <is>
          <t>144.12</t>
        </is>
      </c>
      <c r="L1095" s="13" t="inlineStr">
        <is>
          <t>4</t>
        </is>
      </c>
      <c r="M1095" s="13" t="inlineStr">
        <is>
          <t>COMPLETED</t>
        </is>
      </c>
      <c r="N1095" s="13" t="inlineStr">
        <is>
          <t>M. Okonkwo</t>
        </is>
      </c>
    </row>
    <row r="1096">
      <c r="A1096" s="13" t="inlineStr">
        <is>
          <t>HC-101094</t>
        </is>
      </c>
      <c r="B1096" s="13" t="inlineStr">
        <is>
          <t>2025/08/23</t>
        </is>
      </c>
      <c r="C1096" s="13" t="inlineStr">
        <is>
          <t>North</t>
        </is>
      </c>
      <c r="D1096" s="13" t="inlineStr">
        <is>
          <t>Online</t>
        </is>
      </c>
      <c r="E1096" s="13" t="inlineStr">
        <is>
          <t>Kitchen</t>
        </is>
      </c>
      <c r="F1096" s="13" t="inlineStr">
        <is>
          <t>Ceramic Set</t>
        </is>
      </c>
      <c r="G1096" s="13" t="inlineStr">
        <is>
          <t>Home Office</t>
        </is>
      </c>
      <c r="H1096" s="13" t="inlineStr">
        <is>
          <t>1</t>
        </is>
      </c>
      <c r="I1096" s="14" t="inlineStr">
        <is>
          <t>79.55</t>
        </is>
      </c>
      <c r="J1096" s="15" t="inlineStr">
        <is>
          <t>0.14</t>
        </is>
      </c>
      <c r="K1096" s="14" t="inlineStr">
        <is>
          <t>30.23</t>
        </is>
      </c>
      <c r="L1096" s="13" t="inlineStr">
        <is>
          <t>6</t>
        </is>
      </c>
      <c r="M1096" s="13" t="inlineStr">
        <is>
          <t>Completed</t>
        </is>
      </c>
      <c r="N1096" s="13" t="inlineStr">
        <is>
          <t>R. Ibarra</t>
        </is>
      </c>
    </row>
    <row r="1097">
      <c r="A1097" s="13" t="inlineStr">
        <is>
          <t>HC-101095</t>
        </is>
      </c>
      <c r="B1097" s="13" t="inlineStr">
        <is>
          <t>13.06.2025</t>
        </is>
      </c>
      <c r="C1097" s="13" t="inlineStr">
        <is>
          <t>West</t>
        </is>
      </c>
      <c r="D1097" s="13" t="inlineStr">
        <is>
          <t>Store</t>
        </is>
      </c>
      <c r="E1097" s="13" t="inlineStr">
        <is>
          <t>Textiles</t>
        </is>
      </c>
      <c r="F1097" s="13" t="inlineStr">
        <is>
          <t>Wool Throw</t>
        </is>
      </c>
      <c r="G1097" s="13" t="inlineStr">
        <is>
          <t>Consumer</t>
        </is>
      </c>
      <c r="H1097" s="13" t="inlineStr">
        <is>
          <t>3</t>
        </is>
      </c>
      <c r="I1097" s="14" t="inlineStr">
        <is>
          <t>73.36</t>
        </is>
      </c>
      <c r="J1097" s="15" t="inlineStr">
        <is>
          <t>0.09</t>
        </is>
      </c>
      <c r="K1097" s="14" t="inlineStr">
        <is>
          <t>30.81</t>
        </is>
      </c>
      <c r="L1097" s="13" t="inlineStr">
        <is>
          <t>9</t>
        </is>
      </c>
      <c r="M1097" s="13" t="inlineStr">
        <is>
          <t>Returned</t>
        </is>
      </c>
      <c r="N1097" s="13" t="inlineStr">
        <is>
          <t>A. Shah</t>
        </is>
      </c>
    </row>
    <row r="1098">
      <c r="A1098" s="13" t="inlineStr">
        <is>
          <t>HC-101096</t>
        </is>
      </c>
      <c r="B1098" s="13" t="inlineStr">
        <is>
          <t>01/23/2024</t>
        </is>
      </c>
      <c r="C1098" s="13" t="inlineStr">
        <is>
          <t>West</t>
        </is>
      </c>
      <c r="D1098" s="13" t="inlineStr">
        <is>
          <t>Online</t>
        </is>
      </c>
      <c r="E1098" s="13" t="inlineStr">
        <is>
          <t>Textiles</t>
        </is>
      </c>
      <c r="F1098" s="13" t="inlineStr">
        <is>
          <t>Linen Curtain</t>
        </is>
      </c>
      <c r="G1098" s="13" t="inlineStr">
        <is>
          <t>Consumer</t>
        </is>
      </c>
      <c r="H1098" s="13" t="inlineStr">
        <is>
          <t>1</t>
        </is>
      </c>
      <c r="I1098" s="14" t="inlineStr">
        <is>
          <t>98.72</t>
        </is>
      </c>
      <c r="J1098" s="15" t="inlineStr">
        <is>
          <t>0.16</t>
        </is>
      </c>
      <c r="K1098" s="14" t="inlineStr">
        <is>
          <t>44.42</t>
        </is>
      </c>
      <c r="L1098" s="13" t="inlineStr">
        <is>
          <t>9</t>
        </is>
      </c>
      <c r="M1098" s="13" t="inlineStr">
        <is>
          <t>Returned</t>
        </is>
      </c>
      <c r="N1098" s="13" t="inlineStr">
        <is>
          <t>M. Okonkwo</t>
        </is>
      </c>
    </row>
    <row r="1099">
      <c r="A1099" s="13" t="inlineStr">
        <is>
          <t>HC-101097</t>
        </is>
      </c>
      <c r="B1099" s="13" t="inlineStr">
        <is>
          <t>31-Mar-25</t>
        </is>
      </c>
      <c r="C1099" s="13" t="inlineStr">
        <is>
          <t>south</t>
        </is>
      </c>
      <c r="D1099" s="13" t="inlineStr">
        <is>
          <t>Store</t>
        </is>
      </c>
      <c r="E1099" s="13" t="inlineStr">
        <is>
          <t>Textiles</t>
        </is>
      </c>
      <c r="F1099" s="13" t="inlineStr">
        <is>
          <t>Linen Curtain</t>
        </is>
      </c>
      <c r="G1099" s="13" t="inlineStr">
        <is>
          <t>Home Office</t>
        </is>
      </c>
      <c r="H1099" s="13" t="inlineStr">
        <is>
          <t>2</t>
        </is>
      </c>
      <c r="I1099" s="14" t="inlineStr">
        <is>
          <t>94.55</t>
        </is>
      </c>
      <c r="J1099" s="15" t="inlineStr">
        <is>
          <t>0.03</t>
        </is>
      </c>
      <c r="K1099" s="14" t="inlineStr">
        <is>
          <t>42.55</t>
        </is>
      </c>
      <c r="L1099" s="13" t="inlineStr">
        <is>
          <t>9</t>
        </is>
      </c>
      <c r="M1099" s="13" t="inlineStr">
        <is>
          <t>Returned</t>
        </is>
      </c>
      <c r="N1099" s="13" t="inlineStr">
        <is>
          <t>R. Ibarra</t>
        </is>
      </c>
    </row>
    <row r="1100">
      <c r="A1100" s="13" t="inlineStr">
        <is>
          <t>HC-101098</t>
        </is>
      </c>
      <c r="B1100" s="13" t="inlineStr">
        <is>
          <t>2024/12/02</t>
        </is>
      </c>
      <c r="C1100" s="13" t="inlineStr">
        <is>
          <t>South</t>
        </is>
      </c>
      <c r="D1100" s="13" t="inlineStr">
        <is>
          <t>Store</t>
        </is>
      </c>
      <c r="E1100" s="13" t="inlineStr">
        <is>
          <t>Textiles</t>
        </is>
      </c>
      <c r="F1100" s="13" t="inlineStr">
        <is>
          <t>Linen Curtain</t>
        </is>
      </c>
      <c r="G1100" s="13" t="inlineStr">
        <is>
          <t>Consumer</t>
        </is>
      </c>
      <c r="H1100" s="13" t="inlineStr">
        <is>
          <t>2</t>
        </is>
      </c>
      <c r="I1100" s="14" t="inlineStr">
        <is>
          <t>95.06</t>
        </is>
      </c>
      <c r="J1100" s="15" t="inlineStr">
        <is>
          <t>0.04</t>
        </is>
      </c>
      <c r="K1100" s="14" t="inlineStr">
        <is>
          <t>42.78</t>
        </is>
      </c>
      <c r="L1100" s="13" t="inlineStr">
        <is>
          <t>7</t>
        </is>
      </c>
      <c r="M1100" s="13" t="inlineStr">
        <is>
          <t>Completed</t>
        </is>
      </c>
      <c r="N1100" s="13" t="inlineStr">
        <is>
          <t>M. Okonkwo</t>
        </is>
      </c>
    </row>
    <row r="1101">
      <c r="A1101" s="13" t="inlineStr">
        <is>
          <t>HC-101099</t>
        </is>
      </c>
      <c r="B1101" s="13" t="inlineStr">
        <is>
          <t>09.07.2024</t>
        </is>
      </c>
      <c r="C1101" s="13" t="inlineStr">
        <is>
          <t>West</t>
        </is>
      </c>
      <c r="D1101" s="13" t="inlineStr">
        <is>
          <t>retail</t>
        </is>
      </c>
      <c r="E1101" s="13" t="inlineStr">
        <is>
          <t>TEXTILES</t>
        </is>
      </c>
      <c r="F1101" s="13" t="inlineStr">
        <is>
          <t>Cotton Duvet</t>
        </is>
      </c>
      <c r="G1101" s="13" t="inlineStr">
        <is>
          <t>Consumer</t>
        </is>
      </c>
      <c r="H1101" s="13" t="inlineStr">
        <is>
          <t>3</t>
        </is>
      </c>
      <c r="I1101" s="14" t="inlineStr">
        <is>
          <t>111.45</t>
        </is>
      </c>
      <c r="J1101" s="15" t="inlineStr">
        <is>
          <t>8%</t>
        </is>
      </c>
      <c r="K1101" s="14" t="inlineStr">
        <is>
          <t>49.04</t>
        </is>
      </c>
      <c r="L1101" s="13" t="inlineStr">
        <is>
          <t>3</t>
        </is>
      </c>
      <c r="M1101" s="13" t="inlineStr">
        <is>
          <t>COMPLETED</t>
        </is>
      </c>
      <c r="N1101" s="13" t="inlineStr">
        <is>
          <t>K. Mensah</t>
        </is>
      </c>
    </row>
    <row r="1102">
      <c r="A1102" s="13" t="inlineStr">
        <is>
          <t>HC-101100</t>
        </is>
      </c>
      <c r="B1102" s="13" t="inlineStr">
        <is>
          <t>01/30/2025</t>
        </is>
      </c>
      <c r="C1102" s="13" t="inlineStr">
        <is>
          <t>South</t>
        </is>
      </c>
      <c r="D1102" s="13" t="inlineStr">
        <is>
          <t>Store</t>
        </is>
      </c>
      <c r="E1102" s="13" t="inlineStr">
        <is>
          <t>Furniture</t>
        </is>
      </c>
      <c r="F1102" s="13" t="inlineStr">
        <is>
          <t>Walnut Shelf</t>
        </is>
      </c>
      <c r="G1102" s="13" t="inlineStr">
        <is>
          <t>Home Office</t>
        </is>
      </c>
      <c r="H1102" s="13" t="inlineStr">
        <is>
          <t>4</t>
        </is>
      </c>
      <c r="I1102" s="14" t="inlineStr">
        <is>
          <t>234.88</t>
        </is>
      </c>
      <c r="J1102" s="15" t="inlineStr">
        <is>
          <t>0.09</t>
        </is>
      </c>
      <c r="K1102" s="14" t="inlineStr">
        <is>
          <t>129.18</t>
        </is>
      </c>
      <c r="L1102" s="13" t="inlineStr">
        <is>
          <t>7</t>
        </is>
      </c>
      <c r="M1102" s="13" t="inlineStr">
        <is>
          <t>Completed</t>
        </is>
      </c>
      <c r="N1102" s="13" t="inlineStr">
        <is>
          <t>J. Patel</t>
        </is>
      </c>
    </row>
    <row r="1103">
      <c r="A1103" s="13" t="inlineStr">
        <is>
          <t>HC-101101</t>
        </is>
      </c>
      <c r="B1103" s="13" t="inlineStr">
        <is>
          <t>04-Aug-24</t>
        </is>
      </c>
      <c r="C1103" s="13" t="inlineStr">
        <is>
          <t>West</t>
        </is>
      </c>
      <c r="D1103" s="13" t="inlineStr">
        <is>
          <t>Online</t>
        </is>
      </c>
      <c r="E1103" s="13" t="inlineStr">
        <is>
          <t>Kitchen</t>
        </is>
      </c>
      <c r="F1103" s="13" t="inlineStr">
        <is>
          <t>Chef Knife</t>
        </is>
      </c>
      <c r="G1103" s="13" t="inlineStr">
        <is>
          <t>consumer</t>
        </is>
      </c>
      <c r="H1103" s="13" t="inlineStr">
        <is>
          <t>1</t>
        </is>
      </c>
      <c r="I1103" s="14" t="inlineStr">
        <is>
          <t>68.55</t>
        </is>
      </c>
      <c r="J1103" s="15" t="inlineStr">
        <is>
          <t>0.02</t>
        </is>
      </c>
      <c r="K1103" s="14" t="inlineStr">
        <is>
          <t>24.68</t>
        </is>
      </c>
      <c r="L1103" s="13" t="inlineStr">
        <is>
          <t>7</t>
        </is>
      </c>
      <c r="M1103" s="13" t="inlineStr">
        <is>
          <t>complete</t>
        </is>
      </c>
      <c r="N1103" s="13" t="inlineStr">
        <is>
          <t>P. Rossi</t>
        </is>
      </c>
    </row>
    <row r="1104">
      <c r="A1104" s="13" t="inlineStr">
        <is>
          <t>HC-101102</t>
        </is>
      </c>
      <c r="B1104" s="13" t="inlineStr">
        <is>
          <t>2024/09/20</t>
        </is>
      </c>
      <c r="C1104" s="13" t="inlineStr">
        <is>
          <t>West</t>
        </is>
      </c>
      <c r="D1104" s="13" t="inlineStr">
        <is>
          <t>Store</t>
        </is>
      </c>
      <c r="E1104" s="13" t="inlineStr">
        <is>
          <t>Kitchen</t>
        </is>
      </c>
      <c r="F1104" s="13" t="inlineStr">
        <is>
          <t>Chef Knife</t>
        </is>
      </c>
      <c r="G1104" s="13" t="inlineStr">
        <is>
          <t>Home Office</t>
        </is>
      </c>
      <c r="H1104" s="13" t="inlineStr">
        <is>
          <t>3</t>
        </is>
      </c>
      <c r="I1104" s="14" t="inlineStr">
        <is>
          <t>$66.31</t>
        </is>
      </c>
      <c r="J1104" s="15" t="inlineStr">
        <is>
          <t>0.04</t>
        </is>
      </c>
      <c r="K1104" s="14" t="inlineStr">
        <is>
          <t>23.87</t>
        </is>
      </c>
      <c r="L1104" s="13" t="inlineStr">
        <is>
          <t>11</t>
        </is>
      </c>
      <c r="M1104" s="13" t="inlineStr">
        <is>
          <t>Completed</t>
        </is>
      </c>
      <c r="N1104" s="13" t="inlineStr">
        <is>
          <t>L. Berger</t>
        </is>
      </c>
    </row>
    <row r="1105">
      <c r="A1105" s="13" t="inlineStr">
        <is>
          <t>HC-101103</t>
        </is>
      </c>
      <c r="B1105" s="13" t="inlineStr">
        <is>
          <t>19.03.2024</t>
        </is>
      </c>
      <c r="C1105" s="13" t="inlineStr">
        <is>
          <t>EAST</t>
        </is>
      </c>
      <c r="D1105" s="13" t="inlineStr">
        <is>
          <t>Online</t>
        </is>
      </c>
      <c r="E1105" s="13" t="inlineStr">
        <is>
          <t>Kitchen</t>
        </is>
      </c>
      <c r="F1105" s="13" t="inlineStr">
        <is>
          <t>Ceramic Set</t>
        </is>
      </c>
      <c r="G1105" s="13" t="inlineStr">
        <is>
          <t>Corporate</t>
        </is>
      </c>
      <c r="H1105" s="13" t="inlineStr">
        <is>
          <t>1</t>
        </is>
      </c>
      <c r="I1105" s="14" t="inlineStr">
        <is>
          <t>71.49</t>
        </is>
      </c>
      <c r="J1105" s="15" t="inlineStr">
        <is>
          <t>0.04</t>
        </is>
      </c>
      <c r="K1105" s="14" t="inlineStr">
        <is>
          <t>27.17</t>
        </is>
      </c>
      <c r="L1105" s="13" t="inlineStr">
        <is>
          <t>4</t>
        </is>
      </c>
      <c r="M1105" s="13" t="inlineStr">
        <is>
          <t>Completed</t>
        </is>
      </c>
      <c r="N1105" s="13" t="inlineStr">
        <is>
          <t>M. Okonkwo</t>
        </is>
      </c>
    </row>
    <row r="1106">
      <c r="A1106" s="13" t="inlineStr">
        <is>
          <t>HC-101104</t>
        </is>
      </c>
      <c r="B1106" s="13" t="inlineStr">
        <is>
          <t>09/28/2025</t>
        </is>
      </c>
      <c r="C1106" s="13" t="inlineStr">
        <is>
          <t>North</t>
        </is>
      </c>
      <c r="D1106" s="13" t="inlineStr">
        <is>
          <t>Store</t>
        </is>
      </c>
      <c r="E1106" s="13" t="inlineStr">
        <is>
          <t>Lighting</t>
        </is>
      </c>
      <c r="F1106" s="13" t="inlineStr">
        <is>
          <t>Pendant Light</t>
        </is>
      </c>
      <c r="G1106" s="13" t="inlineStr">
        <is>
          <t>Consumer</t>
        </is>
      </c>
      <c r="H1106" s="13" t="inlineStr">
        <is>
          <t>2</t>
        </is>
      </c>
      <c r="I1106" s="14" t="inlineStr">
        <is>
          <t>183.56</t>
        </is>
      </c>
      <c r="J1106" s="15" t="inlineStr">
        <is>
          <t>0.05</t>
        </is>
      </c>
      <c r="K1106" s="14" t="inlineStr">
        <is>
          <t>91.78</t>
        </is>
      </c>
      <c r="L1106" s="13" t="inlineStr">
        <is>
          <t>2</t>
        </is>
      </c>
      <c r="M1106" s="13" t="inlineStr">
        <is>
          <t>Completed</t>
        </is>
      </c>
      <c r="N1106" s="13" t="inlineStr">
        <is>
          <t>K. Mensah</t>
        </is>
      </c>
    </row>
    <row r="1107">
      <c r="A1107" s="13" t="inlineStr">
        <is>
          <t>HC-101105</t>
        </is>
      </c>
      <c r="B1107" s="13" t="inlineStr">
        <is>
          <t>14-Apr-25</t>
        </is>
      </c>
      <c r="C1107" s="13" t="inlineStr">
        <is>
          <t xml:space="preserve"> west </t>
        </is>
      </c>
      <c r="D1107" s="13" t="inlineStr">
        <is>
          <t>Online</t>
        </is>
      </c>
      <c r="E1107" s="13" t="inlineStr">
        <is>
          <t>Kitchen</t>
        </is>
      </c>
      <c r="F1107" s="13" t="inlineStr">
        <is>
          <t>Chef Knife</t>
        </is>
      </c>
      <c r="G1107" s="13" t="inlineStr">
        <is>
          <t>Home Office</t>
        </is>
      </c>
      <c r="H1107" s="13" t="inlineStr">
        <is>
          <t>1</t>
        </is>
      </c>
      <c r="I1107" s="14" t="inlineStr">
        <is>
          <t>61.44</t>
        </is>
      </c>
      <c r="J1107" s="15" t="inlineStr">
        <is>
          <t>0.11</t>
        </is>
      </c>
      <c r="K1107" s="14" t="inlineStr">
        <is>
          <t>22.12</t>
        </is>
      </c>
      <c r="L1107" s="13" t="inlineStr">
        <is>
          <t>4</t>
        </is>
      </c>
      <c r="M1107" s="13" t="inlineStr">
        <is>
          <t>Completed</t>
        </is>
      </c>
      <c r="N1107" s="13" t="inlineStr">
        <is>
          <t>K. Mensah</t>
        </is>
      </c>
    </row>
    <row r="1108">
      <c r="A1108" s="13" t="inlineStr">
        <is>
          <t>HC-101106</t>
        </is>
      </c>
      <c r="B1108" s="13" t="inlineStr">
        <is>
          <t>2024/12/24</t>
        </is>
      </c>
      <c r="C1108" s="13" t="inlineStr">
        <is>
          <t xml:space="preserve"> west </t>
        </is>
      </c>
      <c r="D1108" s="13" t="inlineStr">
        <is>
          <t>Online</t>
        </is>
      </c>
      <c r="E1108" s="13" t="inlineStr">
        <is>
          <t>Furniture</t>
        </is>
      </c>
      <c r="F1108" s="13" t="inlineStr">
        <is>
          <t>Oak Desk</t>
        </is>
      </c>
      <c r="G1108" s="13" t="inlineStr">
        <is>
          <t>Consumer</t>
        </is>
      </c>
      <c r="H1108" s="13" t="inlineStr">
        <is>
          <t>Three</t>
        </is>
      </c>
      <c r="I1108" s="14" t="inlineStr">
        <is>
          <t>793.80</t>
        </is>
      </c>
      <c r="J1108" s="15" t="inlineStr">
        <is>
          <t>0.07</t>
        </is>
      </c>
      <c r="K1108" s="14" t="inlineStr">
        <is>
          <t>492.16</t>
        </is>
      </c>
      <c r="L1108" s="13" t="inlineStr">
        <is>
          <t>3</t>
        </is>
      </c>
      <c r="M1108" s="13" t="inlineStr">
        <is>
          <t>Cancelled</t>
        </is>
      </c>
      <c r="N1108" s="13" t="inlineStr">
        <is>
          <t>J. Patel</t>
        </is>
      </c>
    </row>
    <row r="1109">
      <c r="A1109" s="13" t="inlineStr">
        <is>
          <t>HC-101107</t>
        </is>
      </c>
      <c r="B1109" s="13" t="inlineStr">
        <is>
          <t>10.11.2024</t>
        </is>
      </c>
      <c r="C1109" s="13" t="inlineStr">
        <is>
          <t>West</t>
        </is>
      </c>
      <c r="D1109" s="13" t="inlineStr">
        <is>
          <t>Wholesale</t>
        </is>
      </c>
      <c r="E1109" s="13" t="inlineStr">
        <is>
          <t>Textiles</t>
        </is>
      </c>
      <c r="F1109" s="13" t="inlineStr">
        <is>
          <t>Linen Curtain</t>
        </is>
      </c>
      <c r="G1109" s="13" t="inlineStr">
        <is>
          <t>Consumer</t>
        </is>
      </c>
      <c r="H1109" s="13" t="inlineStr">
        <is>
          <t>24</t>
        </is>
      </c>
      <c r="I1109" s="14" t="inlineStr">
        <is>
          <t>89.21</t>
        </is>
      </c>
      <c r="J1109" s="15" t="inlineStr">
        <is>
          <t>0.13</t>
        </is>
      </c>
      <c r="K1109" s="14" t="inlineStr">
        <is>
          <t>40.15</t>
        </is>
      </c>
      <c r="L1109" s="13" t="inlineStr">
        <is>
          <t>8</t>
        </is>
      </c>
      <c r="M1109" s="13" t="inlineStr">
        <is>
          <t>Completed</t>
        </is>
      </c>
      <c r="N1109" s="13" t="inlineStr">
        <is>
          <t>M. Okonkwo</t>
        </is>
      </c>
    </row>
    <row r="1110">
      <c r="A1110" s="13" t="inlineStr">
        <is>
          <t>HC-101108</t>
        </is>
      </c>
      <c r="B1110" s="13" t="inlineStr">
        <is>
          <t>01/14/2025</t>
        </is>
      </c>
      <c r="C1110" s="13" t="inlineStr">
        <is>
          <t>South</t>
        </is>
      </c>
      <c r="D1110" s="13" t="inlineStr">
        <is>
          <t>Online</t>
        </is>
      </c>
      <c r="E1110" s="13" t="inlineStr">
        <is>
          <t>Kitchen</t>
        </is>
      </c>
      <c r="F1110" s="13" t="inlineStr">
        <is>
          <t>Chef Knife</t>
        </is>
      </c>
      <c r="G1110" s="13" t="inlineStr">
        <is>
          <t>Consumer</t>
        </is>
      </c>
      <c r="H1110" s="13" t="inlineStr">
        <is>
          <t>2</t>
        </is>
      </c>
      <c r="I1110" s="14" t="inlineStr">
        <is>
          <t>67.92</t>
        </is>
      </c>
      <c r="J1110" s="15" t="inlineStr">
        <is>
          <t>0.14</t>
        </is>
      </c>
      <c r="K1110" s="14" t="inlineStr">
        <is>
          <t>24.45</t>
        </is>
      </c>
      <c r="L1110" s="13" t="inlineStr">
        <is>
          <t>6</t>
        </is>
      </c>
      <c r="M1110" s="13" t="inlineStr">
        <is>
          <t>Completed</t>
        </is>
      </c>
      <c r="N1110" s="13" t="inlineStr">
        <is>
          <t>J. Patel</t>
        </is>
      </c>
    </row>
    <row r="1111">
      <c r="A1111" s="13" t="inlineStr">
        <is>
          <t>HC-101109</t>
        </is>
      </c>
      <c r="B1111" s="13" t="inlineStr">
        <is>
          <t>28-Aug-24</t>
        </is>
      </c>
      <c r="C1111" s="13" t="inlineStr">
        <is>
          <t>NORTH</t>
        </is>
      </c>
      <c r="D1111" s="13" t="inlineStr">
        <is>
          <t>Wholesale</t>
        </is>
      </c>
      <c r="E1111" s="13" t="inlineStr">
        <is>
          <t>FURNITURE</t>
        </is>
      </c>
      <c r="F1111" s="13" t="inlineStr">
        <is>
          <t>Walnut Shelf</t>
        </is>
      </c>
      <c r="G1111" s="13" t="inlineStr">
        <is>
          <t>Consumer</t>
        </is>
      </c>
      <c r="H1111" s="13" t="inlineStr">
        <is>
          <t>19</t>
        </is>
      </c>
      <c r="I1111" s="14" t="inlineStr">
        <is>
          <t>$236.61</t>
        </is>
      </c>
      <c r="J1111" s="15" t="inlineStr">
        <is>
          <t>24%</t>
        </is>
      </c>
      <c r="K1111" s="14" t="inlineStr">
        <is>
          <t>130.13</t>
        </is>
      </c>
      <c r="L1111" s="13" t="inlineStr">
        <is>
          <t>4</t>
        </is>
      </c>
      <c r="M1111" s="13" t="inlineStr">
        <is>
          <t>Completed</t>
        </is>
      </c>
      <c r="N1111" s="13" t="inlineStr">
        <is>
          <t>R. Ibarra</t>
        </is>
      </c>
    </row>
    <row r="1112">
      <c r="A1112" s="13" t="inlineStr">
        <is>
          <t>HC-101110</t>
        </is>
      </c>
      <c r="B1112" s="13" t="inlineStr">
        <is>
          <t>2024/05/15</t>
        </is>
      </c>
      <c r="C1112" s="13" t="inlineStr">
        <is>
          <t>WEST</t>
        </is>
      </c>
      <c r="D1112" s="13" t="inlineStr">
        <is>
          <t>Online</t>
        </is>
      </c>
      <c r="E1112" s="13" t="inlineStr">
        <is>
          <t>Textiles</t>
        </is>
      </c>
      <c r="F1112" s="13" t="inlineStr">
        <is>
          <t>Linen Curtain</t>
        </is>
      </c>
      <c r="G1112" s="13" t="inlineStr"/>
      <c r="H1112" s="13" t="inlineStr">
        <is>
          <t>3</t>
        </is>
      </c>
      <c r="I1112" s="14" t="inlineStr">
        <is>
          <t>94.56</t>
        </is>
      </c>
      <c r="J1112" s="15" t="inlineStr">
        <is>
          <t>0.15</t>
        </is>
      </c>
      <c r="K1112" s="14" t="inlineStr">
        <is>
          <t>42.55</t>
        </is>
      </c>
      <c r="L1112" s="13" t="inlineStr">
        <is>
          <t>7</t>
        </is>
      </c>
      <c r="M1112" s="13" t="inlineStr">
        <is>
          <t>Completed</t>
        </is>
      </c>
      <c r="N1112" s="13" t="inlineStr">
        <is>
          <t>A. Shah</t>
        </is>
      </c>
    </row>
    <row r="1113">
      <c r="A1113" s="13" t="inlineStr">
        <is>
          <t>HC-101111</t>
        </is>
      </c>
      <c r="B1113" s="13" t="inlineStr">
        <is>
          <t>08.01.2025</t>
        </is>
      </c>
      <c r="C1113" s="13" t="inlineStr">
        <is>
          <t>East</t>
        </is>
      </c>
      <c r="D1113" s="13" t="inlineStr">
        <is>
          <t>Store</t>
        </is>
      </c>
      <c r="E1113" s="13" t="inlineStr">
        <is>
          <t>Textiles</t>
        </is>
      </c>
      <c r="F1113" s="13" t="inlineStr">
        <is>
          <t>Wool Throw</t>
        </is>
      </c>
      <c r="G1113" s="13" t="inlineStr">
        <is>
          <t>Consumer</t>
        </is>
      </c>
      <c r="H1113" s="13" t="inlineStr">
        <is>
          <t>4</t>
        </is>
      </c>
      <c r="I1113" s="14" t="inlineStr">
        <is>
          <t>67.85</t>
        </is>
      </c>
      <c r="J1113" s="15" t="inlineStr">
        <is>
          <t>0.02</t>
        </is>
      </c>
      <c r="K1113" s="14" t="inlineStr">
        <is>
          <t>28.50</t>
        </is>
      </c>
      <c r="L1113" s="13" t="inlineStr">
        <is>
          <t>6</t>
        </is>
      </c>
      <c r="M1113" s="13" t="inlineStr">
        <is>
          <t>Completed</t>
        </is>
      </c>
      <c r="N1113" s="13" t="inlineStr">
        <is>
          <t>A. Shah</t>
        </is>
      </c>
    </row>
    <row r="1114">
      <c r="A1114" s="13" t="inlineStr">
        <is>
          <t>HC-101112</t>
        </is>
      </c>
      <c r="B1114" s="13" t="inlineStr">
        <is>
          <t>06/29/2024</t>
        </is>
      </c>
      <c r="C1114" s="13" t="inlineStr">
        <is>
          <t>West</t>
        </is>
      </c>
      <c r="D1114" s="13" t="inlineStr">
        <is>
          <t>Online</t>
        </is>
      </c>
      <c r="E1114" s="13" t="inlineStr">
        <is>
          <t>Kitchen</t>
        </is>
      </c>
      <c r="F1114" s="13" t="inlineStr">
        <is>
          <t>Cast Skillet</t>
        </is>
      </c>
      <c r="G1114" s="13" t="inlineStr">
        <is>
          <t>consumer</t>
        </is>
      </c>
      <c r="H1114" s="13" t="inlineStr">
        <is>
          <t>3</t>
        </is>
      </c>
      <c r="I1114" s="14" t="inlineStr">
        <is>
          <t>57.26</t>
        </is>
      </c>
      <c r="J1114" s="15" t="inlineStr">
        <is>
          <t>0.06</t>
        </is>
      </c>
      <c r="K1114" s="14" t="inlineStr">
        <is>
          <t>22.91</t>
        </is>
      </c>
      <c r="L1114" s="13" t="inlineStr">
        <is>
          <t>8</t>
        </is>
      </c>
      <c r="M1114" s="13" t="inlineStr">
        <is>
          <t>Completed</t>
        </is>
      </c>
      <c r="N1114" s="13" t="inlineStr">
        <is>
          <t>A. Shah</t>
        </is>
      </c>
    </row>
    <row r="1115">
      <c r="A1115" s="13" t="inlineStr">
        <is>
          <t>HC-101113</t>
        </is>
      </c>
      <c r="B1115" s="13" t="inlineStr">
        <is>
          <t>21-Sep-25</t>
        </is>
      </c>
      <c r="C1115" s="13" t="inlineStr">
        <is>
          <t>North</t>
        </is>
      </c>
      <c r="D1115" s="13" t="inlineStr">
        <is>
          <t>Online</t>
        </is>
      </c>
      <c r="E1115" s="13" t="inlineStr">
        <is>
          <t>Furniture</t>
        </is>
      </c>
      <c r="F1115" s="13" t="inlineStr">
        <is>
          <t>Oak Desk</t>
        </is>
      </c>
      <c r="G1115" s="13" t="inlineStr">
        <is>
          <t>Home Office</t>
        </is>
      </c>
      <c r="H1115" s="13" t="inlineStr">
        <is>
          <t>2</t>
        </is>
      </c>
      <c r="I1115" s="14" t="inlineStr">
        <is>
          <t>$887.70</t>
        </is>
      </c>
      <c r="J1115" s="15" t="inlineStr">
        <is>
          <t>0.11</t>
        </is>
      </c>
      <c r="K1115" s="14" t="inlineStr">
        <is>
          <t>550.37</t>
        </is>
      </c>
      <c r="L1115" s="13" t="inlineStr">
        <is>
          <t>9</t>
        </is>
      </c>
      <c r="M1115" s="13" t="inlineStr">
        <is>
          <t>Completed</t>
        </is>
      </c>
      <c r="N1115" s="13" t="inlineStr">
        <is>
          <t>P. Rossi</t>
        </is>
      </c>
    </row>
    <row r="1116">
      <c r="A1116" s="13" t="inlineStr">
        <is>
          <t>HC-101114</t>
        </is>
      </c>
      <c r="B1116" s="13" t="inlineStr">
        <is>
          <t>2025/02/14</t>
        </is>
      </c>
      <c r="C1116" s="13" t="inlineStr">
        <is>
          <t>North</t>
        </is>
      </c>
      <c r="D1116" s="13" t="inlineStr">
        <is>
          <t>Online</t>
        </is>
      </c>
      <c r="E1116" s="13" t="inlineStr">
        <is>
          <t>Lighting</t>
        </is>
      </c>
      <c r="F1116" s="13" t="inlineStr">
        <is>
          <t>Brass Sconce</t>
        </is>
      </c>
      <c r="G1116" s="13" t="inlineStr">
        <is>
          <t>Consumer</t>
        </is>
      </c>
      <c r="H1116" s="13" t="inlineStr">
        <is>
          <t>2</t>
        </is>
      </c>
      <c r="I1116" s="14" t="inlineStr">
        <is>
          <t>150.65</t>
        </is>
      </c>
      <c r="J1116" s="15" t="inlineStr">
        <is>
          <t>0.11</t>
        </is>
      </c>
      <c r="K1116" s="14" t="inlineStr">
        <is>
          <t>69.30</t>
        </is>
      </c>
      <c r="L1116" s="13" t="inlineStr">
        <is>
          <t>7</t>
        </is>
      </c>
      <c r="M1116" s="13" t="inlineStr">
        <is>
          <t>Completed</t>
        </is>
      </c>
      <c r="N1116" s="13" t="inlineStr">
        <is>
          <t>K. Mensah</t>
        </is>
      </c>
    </row>
    <row r="1117">
      <c r="A1117" s="13" t="inlineStr">
        <is>
          <t>HC-101115</t>
        </is>
      </c>
      <c r="B1117" s="13" t="inlineStr">
        <is>
          <t>02.03.2025</t>
        </is>
      </c>
      <c r="C1117" s="13" t="inlineStr">
        <is>
          <t>East</t>
        </is>
      </c>
      <c r="D1117" s="13" t="inlineStr">
        <is>
          <t>Store</t>
        </is>
      </c>
      <c r="E1117" s="13" t="inlineStr">
        <is>
          <t>Furniture</t>
        </is>
      </c>
      <c r="F1117" s="13" t="inlineStr">
        <is>
          <t>Oak Desk</t>
        </is>
      </c>
      <c r="G1117" s="13" t="inlineStr">
        <is>
          <t>Corporate</t>
        </is>
      </c>
      <c r="H1117" s="13" t="inlineStr">
        <is>
          <t>1</t>
        </is>
      </c>
      <c r="I1117" s="14" t="inlineStr">
        <is>
          <t>697.40</t>
        </is>
      </c>
      <c r="J1117" s="15" t="inlineStr">
        <is>
          <t>0.11</t>
        </is>
      </c>
      <c r="K1117" s="14" t="inlineStr">
        <is>
          <t>432.39</t>
        </is>
      </c>
      <c r="L1117" s="13" t="inlineStr">
        <is>
          <t>8</t>
        </is>
      </c>
      <c r="M1117" s="13" t="inlineStr">
        <is>
          <t>Completed</t>
        </is>
      </c>
      <c r="N1117" s="13" t="inlineStr">
        <is>
          <t>P. Rossi</t>
        </is>
      </c>
    </row>
    <row r="1118">
      <c r="A1118" s="13" t="inlineStr">
        <is>
          <t>HC-101116</t>
        </is>
      </c>
      <c r="B1118" s="13" t="inlineStr">
        <is>
          <t>12/07/2024</t>
        </is>
      </c>
      <c r="C1118" s="13" t="inlineStr">
        <is>
          <t>West</t>
        </is>
      </c>
      <c r="D1118" s="13" t="inlineStr">
        <is>
          <t>Online</t>
        </is>
      </c>
      <c r="E1118" s="13" t="inlineStr">
        <is>
          <t>Lighting</t>
        </is>
      </c>
      <c r="F1118" s="13" t="inlineStr">
        <is>
          <t>Brass Sconce</t>
        </is>
      </c>
      <c r="G1118" s="13" t="inlineStr">
        <is>
          <t>Corporate</t>
        </is>
      </c>
      <c r="H1118" s="13" t="inlineStr">
        <is>
          <t>2</t>
        </is>
      </c>
      <c r="I1118" s="14" t="inlineStr">
        <is>
          <t>141.68</t>
        </is>
      </c>
      <c r="J1118" s="15" t="inlineStr">
        <is>
          <t>0.06</t>
        </is>
      </c>
      <c r="K1118" s="14" t="inlineStr">
        <is>
          <t>65.17</t>
        </is>
      </c>
      <c r="L1118" s="13" t="inlineStr">
        <is>
          <t>9</t>
        </is>
      </c>
      <c r="M1118" s="13" t="inlineStr">
        <is>
          <t>Completed</t>
        </is>
      </c>
      <c r="N1118" s="13" t="inlineStr">
        <is>
          <t>P. Rossi</t>
        </is>
      </c>
    </row>
    <row r="1119">
      <c r="A1119" s="13" t="inlineStr">
        <is>
          <t>HC-101117</t>
        </is>
      </c>
      <c r="B1119" s="13" t="inlineStr">
        <is>
          <t>26-Jul-25</t>
        </is>
      </c>
      <c r="C1119" s="13" t="inlineStr">
        <is>
          <t>Sout</t>
        </is>
      </c>
      <c r="D1119" s="13" t="inlineStr">
        <is>
          <t>Online</t>
        </is>
      </c>
      <c r="E1119" s="13" t="inlineStr">
        <is>
          <t>KITCHEN</t>
        </is>
      </c>
      <c r="F1119" s="13" t="inlineStr">
        <is>
          <t>Ceramic Set</t>
        </is>
      </c>
      <c r="G1119" s="13" t="inlineStr">
        <is>
          <t>Consumer</t>
        </is>
      </c>
      <c r="H1119" s="13" t="inlineStr">
        <is>
          <t>1</t>
        </is>
      </c>
      <c r="I1119" s="14" t="inlineStr">
        <is>
          <t>92.30</t>
        </is>
      </c>
      <c r="J1119" s="15" t="inlineStr">
        <is>
          <t>0.10</t>
        </is>
      </c>
      <c r="K1119" s="14" t="inlineStr">
        <is>
          <t>35.08</t>
        </is>
      </c>
      <c r="L1119" s="13" t="inlineStr">
        <is>
          <t>10</t>
        </is>
      </c>
      <c r="M1119" s="13" t="inlineStr">
        <is>
          <t>Completed</t>
        </is>
      </c>
      <c r="N1119" s="13" t="inlineStr">
        <is>
          <t>L. Berger</t>
        </is>
      </c>
    </row>
    <row r="1120">
      <c r="A1120" s="13" t="inlineStr">
        <is>
          <t>HC-101118</t>
        </is>
      </c>
      <c r="B1120" s="13" t="inlineStr">
        <is>
          <t>2024/04/03</t>
        </is>
      </c>
      <c r="C1120" s="13" t="inlineStr">
        <is>
          <t>West</t>
        </is>
      </c>
      <c r="D1120" s="13" t="inlineStr">
        <is>
          <t>e-commerce</t>
        </is>
      </c>
      <c r="E1120" s="13" t="inlineStr">
        <is>
          <t>Lighting</t>
        </is>
      </c>
      <c r="F1120" s="13" t="inlineStr">
        <is>
          <t>Brass Sconce</t>
        </is>
      </c>
      <c r="G1120" s="13" t="inlineStr">
        <is>
          <t>Consumer</t>
        </is>
      </c>
      <c r="H1120" s="13" t="inlineStr">
        <is>
          <t>1</t>
        </is>
      </c>
      <c r="I1120" s="14" t="inlineStr">
        <is>
          <t>143.77</t>
        </is>
      </c>
      <c r="J1120" s="15" t="inlineStr">
        <is>
          <t>0.10</t>
        </is>
      </c>
      <c r="K1120" s="14" t="inlineStr">
        <is>
          <t>66.14</t>
        </is>
      </c>
      <c r="L1120" s="13" t="inlineStr">
        <is>
          <t>8</t>
        </is>
      </c>
      <c r="M1120" s="13" t="inlineStr">
        <is>
          <t>Completed</t>
        </is>
      </c>
      <c r="N1120" s="13" t="inlineStr">
        <is>
          <t>A. Shah</t>
        </is>
      </c>
    </row>
    <row r="1121">
      <c r="A1121" s="13" t="inlineStr">
        <is>
          <t>HC-101119</t>
        </is>
      </c>
      <c r="B1121" s="13" t="inlineStr">
        <is>
          <t>25.12.2024</t>
        </is>
      </c>
      <c r="C1121" s="13" t="inlineStr">
        <is>
          <t>Eas</t>
        </is>
      </c>
      <c r="D1121" s="13" t="inlineStr">
        <is>
          <t>retail</t>
        </is>
      </c>
      <c r="E1121" s="13" t="inlineStr">
        <is>
          <t>Furniture</t>
        </is>
      </c>
      <c r="F1121" s="13" t="inlineStr">
        <is>
          <t>Linen Sofa</t>
        </is>
      </c>
      <c r="G1121" s="13" t="inlineStr">
        <is>
          <t>Consumer</t>
        </is>
      </c>
      <c r="H1121" s="13" t="inlineStr">
        <is>
          <t>4</t>
        </is>
      </c>
      <c r="I1121" s="14" t="inlineStr">
        <is>
          <t>1084.32</t>
        </is>
      </c>
      <c r="J1121" s="15" t="inlineStr">
        <is>
          <t>0.05</t>
        </is>
      </c>
      <c r="K1121" s="14" t="inlineStr">
        <is>
          <t>715.65</t>
        </is>
      </c>
      <c r="L1121" s="13" t="inlineStr">
        <is>
          <t>9</t>
        </is>
      </c>
      <c r="M1121" s="13" t="inlineStr">
        <is>
          <t>Compleated</t>
        </is>
      </c>
      <c r="N1121" s="13" t="inlineStr">
        <is>
          <t>K. Mensah</t>
        </is>
      </c>
    </row>
    <row r="1122">
      <c r="A1122" s="13" t="inlineStr">
        <is>
          <t>HC-101120</t>
        </is>
      </c>
      <c r="B1122" s="13" t="inlineStr">
        <is>
          <t>09/01/2025</t>
        </is>
      </c>
      <c r="C1122" s="13" t="inlineStr">
        <is>
          <t>East</t>
        </is>
      </c>
      <c r="D1122" s="13" t="inlineStr">
        <is>
          <t>Online</t>
        </is>
      </c>
      <c r="E1122" s="13" t="inlineStr">
        <is>
          <t>Lighting</t>
        </is>
      </c>
      <c r="F1122" s="13" t="inlineStr">
        <is>
          <t>Arc Lamp</t>
        </is>
      </c>
      <c r="G1122" s="13" t="inlineStr">
        <is>
          <t>Consumer</t>
        </is>
      </c>
      <c r="H1122" s="13" t="inlineStr">
        <is>
          <t>3</t>
        </is>
      </c>
      <c r="I1122" s="14" t="inlineStr">
        <is>
          <t>259.69</t>
        </is>
      </c>
      <c r="J1122" s="15" t="inlineStr">
        <is>
          <t>4%</t>
        </is>
      </c>
      <c r="K1122" s="14" t="inlineStr">
        <is>
          <t>124.65</t>
        </is>
      </c>
      <c r="L1122" s="13" t="inlineStr">
        <is>
          <t>8</t>
        </is>
      </c>
      <c r="M1122" s="13" t="inlineStr">
        <is>
          <t>Completed</t>
        </is>
      </c>
      <c r="N1122" s="13" t="inlineStr">
        <is>
          <t>S. Nguyen</t>
        </is>
      </c>
    </row>
    <row r="1123">
      <c r="A1123" s="13" t="inlineStr">
        <is>
          <t>HC-101121</t>
        </is>
      </c>
      <c r="B1123" s="13" t="inlineStr">
        <is>
          <t>01-Aug-24</t>
        </is>
      </c>
      <c r="C1123" s="13" t="inlineStr">
        <is>
          <t>south</t>
        </is>
      </c>
      <c r="D1123" s="13" t="inlineStr">
        <is>
          <t>Online</t>
        </is>
      </c>
      <c r="E1123" s="13" t="inlineStr">
        <is>
          <t>Lighting</t>
        </is>
      </c>
      <c r="F1123" s="13" t="inlineStr">
        <is>
          <t>Arc Lamp</t>
        </is>
      </c>
      <c r="G1123" s="13" t="inlineStr">
        <is>
          <t>Consumer</t>
        </is>
      </c>
      <c r="H1123" s="13" t="inlineStr">
        <is>
          <t>1</t>
        </is>
      </c>
      <c r="I1123" s="14" t="inlineStr">
        <is>
          <t>291.67</t>
        </is>
      </c>
      <c r="J1123" s="15" t="inlineStr">
        <is>
          <t>0.17</t>
        </is>
      </c>
      <c r="K1123" s="14" t="inlineStr">
        <is>
          <t>140.00</t>
        </is>
      </c>
      <c r="L1123" s="13" t="inlineStr">
        <is>
          <t>6</t>
        </is>
      </c>
      <c r="M1123" s="13" t="inlineStr">
        <is>
          <t>Completed</t>
        </is>
      </c>
      <c r="N1123" s="13" t="inlineStr">
        <is>
          <t>R. Ibarra</t>
        </is>
      </c>
    </row>
    <row r="1124">
      <c r="A1124" s="13" t="inlineStr">
        <is>
          <t>HC-101122</t>
        </is>
      </c>
      <c r="B1124" s="13" t="inlineStr">
        <is>
          <t>2024/12/06</t>
        </is>
      </c>
      <c r="C1124" s="13" t="inlineStr">
        <is>
          <t>South</t>
        </is>
      </c>
      <c r="D1124" s="13" t="inlineStr">
        <is>
          <t>Store</t>
        </is>
      </c>
      <c r="E1124" s="13" t="inlineStr">
        <is>
          <t>Furniture</t>
        </is>
      </c>
      <c r="F1124" s="13" t="inlineStr">
        <is>
          <t>Walnut Shelf</t>
        </is>
      </c>
      <c r="G1124" s="13" t="inlineStr"/>
      <c r="H1124" s="13" t="inlineStr">
        <is>
          <t>2</t>
        </is>
      </c>
      <c r="I1124" s="14" t="inlineStr">
        <is>
          <t>210.91</t>
        </is>
      </c>
      <c r="J1124" s="15" t="inlineStr">
        <is>
          <t>0.05</t>
        </is>
      </c>
      <c r="K1124" s="14" t="inlineStr">
        <is>
          <t>116.00</t>
        </is>
      </c>
      <c r="L1124" s="13" t="inlineStr">
        <is>
          <t>7</t>
        </is>
      </c>
      <c r="M1124" s="13" t="inlineStr">
        <is>
          <t>Completed</t>
        </is>
      </c>
      <c r="N1124" s="13" t="inlineStr">
        <is>
          <t>M. Okonkwo</t>
        </is>
      </c>
    </row>
    <row r="1125">
      <c r="A1125" s="13" t="inlineStr">
        <is>
          <t>HC-101123</t>
        </is>
      </c>
      <c r="B1125" s="13" t="inlineStr">
        <is>
          <t>25.12.2024</t>
        </is>
      </c>
      <c r="C1125" s="13" t="inlineStr">
        <is>
          <t>North</t>
        </is>
      </c>
      <c r="D1125" s="13" t="inlineStr">
        <is>
          <t>Store</t>
        </is>
      </c>
      <c r="E1125" s="13" t="inlineStr">
        <is>
          <t>Furniture</t>
        </is>
      </c>
      <c r="F1125" s="13" t="inlineStr">
        <is>
          <t>Linen Sofa</t>
        </is>
      </c>
      <c r="G1125" s="13" t="inlineStr">
        <is>
          <t>consumer</t>
        </is>
      </c>
      <c r="H1125" s="13" t="inlineStr">
        <is>
          <t>5</t>
        </is>
      </c>
      <c r="I1125" s="14" t="inlineStr">
        <is>
          <t>1212.22</t>
        </is>
      </c>
      <c r="J1125" s="15" t="inlineStr">
        <is>
          <t>0.06</t>
        </is>
      </c>
      <c r="K1125" s="14" t="inlineStr">
        <is>
          <t>800.07</t>
        </is>
      </c>
      <c r="L1125" s="13" t="inlineStr">
        <is>
          <t>5</t>
        </is>
      </c>
      <c r="M1125" s="13" t="inlineStr">
        <is>
          <t>Completed</t>
        </is>
      </c>
      <c r="N1125" s="13" t="inlineStr">
        <is>
          <t>A. Shah</t>
        </is>
      </c>
    </row>
    <row r="1126">
      <c r="A1126" s="13" t="inlineStr">
        <is>
          <t>HC-101124</t>
        </is>
      </c>
      <c r="B1126" s="13" t="inlineStr">
        <is>
          <t>04/22/2025</t>
        </is>
      </c>
      <c r="C1126" s="13" t="inlineStr">
        <is>
          <t>North</t>
        </is>
      </c>
      <c r="D1126" s="13" t="inlineStr">
        <is>
          <t>Online</t>
        </is>
      </c>
      <c r="E1126" s="13" t="inlineStr">
        <is>
          <t>Textiles</t>
        </is>
      </c>
      <c r="F1126" s="13" t="inlineStr">
        <is>
          <t>Wool Throw</t>
        </is>
      </c>
      <c r="G1126" s="13" t="inlineStr">
        <is>
          <t>Corporate</t>
        </is>
      </c>
      <c r="H1126" s="13" t="inlineStr">
        <is>
          <t>3</t>
        </is>
      </c>
      <c r="I1126" s="14" t="inlineStr">
        <is>
          <t>71.48</t>
        </is>
      </c>
      <c r="J1126" s="15" t="inlineStr">
        <is>
          <t>0.18</t>
        </is>
      </c>
      <c r="K1126" s="14" t="inlineStr">
        <is>
          <t>30.02</t>
        </is>
      </c>
      <c r="L1126" s="13" t="inlineStr">
        <is>
          <t>7</t>
        </is>
      </c>
      <c r="M1126" s="13" t="inlineStr">
        <is>
          <t>Completed</t>
        </is>
      </c>
      <c r="N1126" s="13" t="inlineStr">
        <is>
          <t>K. Mensah</t>
        </is>
      </c>
    </row>
    <row r="1127">
      <c r="A1127" s="13" t="inlineStr">
        <is>
          <t>HC-101125</t>
        </is>
      </c>
      <c r="B1127" s="13" t="inlineStr">
        <is>
          <t>04-Sep-24</t>
        </is>
      </c>
      <c r="C1127" s="13" t="inlineStr">
        <is>
          <t>north</t>
        </is>
      </c>
      <c r="D1127" s="13" t="inlineStr">
        <is>
          <t>Online</t>
        </is>
      </c>
      <c r="E1127" s="13" t="inlineStr">
        <is>
          <t>Furniture</t>
        </is>
      </c>
      <c r="F1127" s="13" t="inlineStr">
        <is>
          <t>Walnut Shelf</t>
        </is>
      </c>
      <c r="G1127" s="13" t="inlineStr">
        <is>
          <t>Home Office</t>
        </is>
      </c>
      <c r="H1127" s="13" t="inlineStr">
        <is>
          <t>1</t>
        </is>
      </c>
      <c r="I1127" s="14" t="inlineStr">
        <is>
          <t>223.68</t>
        </is>
      </c>
      <c r="J1127" s="15" t="inlineStr">
        <is>
          <t>0.09</t>
        </is>
      </c>
      <c r="K1127" s="14" t="inlineStr">
        <is>
          <t>123.02</t>
        </is>
      </c>
      <c r="L1127" s="13" t="inlineStr">
        <is>
          <t>7</t>
        </is>
      </c>
      <c r="M1127" s="13" t="inlineStr">
        <is>
          <t>Completed</t>
        </is>
      </c>
      <c r="N1127" s="13" t="inlineStr">
        <is>
          <t>R. Ibarra</t>
        </is>
      </c>
    </row>
    <row r="1128">
      <c r="A1128" s="13" t="inlineStr">
        <is>
          <t>HC-101126</t>
        </is>
      </c>
      <c r="B1128" s="13" t="inlineStr">
        <is>
          <t>2025/09/07</t>
        </is>
      </c>
      <c r="C1128" s="13" t="inlineStr">
        <is>
          <t>West</t>
        </is>
      </c>
      <c r="D1128" s="13" t="inlineStr">
        <is>
          <t>Online</t>
        </is>
      </c>
      <c r="E1128" s="13" t="inlineStr">
        <is>
          <t>Lighting</t>
        </is>
      </c>
      <c r="F1128" s="13" t="inlineStr">
        <is>
          <t>Pendant Light</t>
        </is>
      </c>
      <c r="G1128" s="13" t="inlineStr">
        <is>
          <t>Consumer</t>
        </is>
      </c>
      <c r="H1128" s="13" t="inlineStr">
        <is>
          <t>1</t>
        </is>
      </c>
      <c r="I1128" s="14" t="inlineStr">
        <is>
          <t>173.55</t>
        </is>
      </c>
      <c r="J1128" s="15" t="inlineStr">
        <is>
          <t>0.18</t>
        </is>
      </c>
      <c r="K1128" s="14" t="inlineStr">
        <is>
          <t>86.78</t>
        </is>
      </c>
      <c r="L1128" s="13" t="inlineStr">
        <is>
          <t>6</t>
        </is>
      </c>
      <c r="M1128" s="13" t="inlineStr">
        <is>
          <t>Completed</t>
        </is>
      </c>
      <c r="N1128" s="13" t="inlineStr">
        <is>
          <t>J. Patel</t>
        </is>
      </c>
    </row>
    <row r="1129">
      <c r="A1129" s="13" t="inlineStr">
        <is>
          <t>HC-101127</t>
        </is>
      </c>
      <c r="B1129" s="13" t="inlineStr">
        <is>
          <t>04.12.2024</t>
        </is>
      </c>
      <c r="C1129" s="13" t="inlineStr">
        <is>
          <t>Eas</t>
        </is>
      </c>
      <c r="D1129" s="13" t="inlineStr">
        <is>
          <t>Online</t>
        </is>
      </c>
      <c r="E1129" s="13" t="inlineStr">
        <is>
          <t>Lighting</t>
        </is>
      </c>
      <c r="F1129" s="13" t="inlineStr">
        <is>
          <t>Arc Lamp</t>
        </is>
      </c>
      <c r="G1129" s="13" t="inlineStr">
        <is>
          <t>Consumer</t>
        </is>
      </c>
      <c r="H1129" s="13" t="inlineStr">
        <is>
          <t>3</t>
        </is>
      </c>
      <c r="I1129" s="14" t="inlineStr">
        <is>
          <t>$270.43</t>
        </is>
      </c>
      <c r="J1129" s="15" t="inlineStr">
        <is>
          <t>0.13</t>
        </is>
      </c>
      <c r="K1129" s="14" t="inlineStr">
        <is>
          <t>129.80</t>
        </is>
      </c>
      <c r="L1129" s="13" t="inlineStr">
        <is>
          <t>11</t>
        </is>
      </c>
      <c r="M1129" s="13" t="inlineStr">
        <is>
          <t>Completed</t>
        </is>
      </c>
      <c r="N1129" s="13" t="inlineStr">
        <is>
          <t>K. Mensah</t>
        </is>
      </c>
    </row>
    <row r="1130">
      <c r="A1130" s="13" t="inlineStr">
        <is>
          <t>HC-101128</t>
        </is>
      </c>
      <c r="B1130" s="13" t="inlineStr">
        <is>
          <t>09/06/2024</t>
        </is>
      </c>
      <c r="C1130" s="13" t="inlineStr">
        <is>
          <t>East</t>
        </is>
      </c>
      <c r="D1130" s="13" t="inlineStr">
        <is>
          <t>Store</t>
        </is>
      </c>
      <c r="E1130" s="13" t="inlineStr">
        <is>
          <t>Lighting</t>
        </is>
      </c>
      <c r="F1130" s="13" t="inlineStr">
        <is>
          <t>Brass Sconce</t>
        </is>
      </c>
      <c r="G1130" s="13" t="inlineStr">
        <is>
          <t>Corporate</t>
        </is>
      </c>
      <c r="H1130" s="13" t="inlineStr">
        <is>
          <t>2</t>
        </is>
      </c>
      <c r="I1130" s="14" t="inlineStr">
        <is>
          <t>121.32</t>
        </is>
      </c>
      <c r="J1130" s="15" t="inlineStr">
        <is>
          <t>0.07</t>
        </is>
      </c>
      <c r="K1130" s="14" t="inlineStr">
        <is>
          <t>55.81</t>
        </is>
      </c>
      <c r="L1130" s="13" t="inlineStr">
        <is>
          <t>5</t>
        </is>
      </c>
      <c r="M1130" s="13" t="inlineStr">
        <is>
          <t>Completed</t>
        </is>
      </c>
      <c r="N1130" s="13" t="inlineStr">
        <is>
          <t>S. Nguyen</t>
        </is>
      </c>
    </row>
    <row r="1131">
      <c r="A1131" s="13" t="inlineStr">
        <is>
          <t>HC-101129</t>
        </is>
      </c>
      <c r="B1131" s="13" t="inlineStr">
        <is>
          <t>02-Dec-24</t>
        </is>
      </c>
      <c r="C1131" s="13" t="inlineStr">
        <is>
          <t>North</t>
        </is>
      </c>
      <c r="D1131" s="13" t="inlineStr">
        <is>
          <t>Wholesale</t>
        </is>
      </c>
      <c r="E1131" s="13" t="inlineStr">
        <is>
          <t>Furniture</t>
        </is>
      </c>
      <c r="F1131" s="13" t="inlineStr">
        <is>
          <t>Lounge Chair</t>
        </is>
      </c>
      <c r="G1131" s="13" t="inlineStr">
        <is>
          <t>Home Office</t>
        </is>
      </c>
      <c r="H1131" s="13" t="inlineStr">
        <is>
          <t>19</t>
        </is>
      </c>
      <c r="I1131" s="14" t="inlineStr">
        <is>
          <t>461.35</t>
        </is>
      </c>
      <c r="J1131" s="15" t="inlineStr">
        <is>
          <t>0.29</t>
        </is>
      </c>
      <c r="K1131" s="14" t="inlineStr">
        <is>
          <t>276.81</t>
        </is>
      </c>
      <c r="L1131" s="13" t="inlineStr">
        <is>
          <t>8</t>
        </is>
      </c>
      <c r="M1131" s="13" t="inlineStr">
        <is>
          <t>Completed</t>
        </is>
      </c>
      <c r="N1131" s="13" t="inlineStr">
        <is>
          <t>M. Okonkwo</t>
        </is>
      </c>
    </row>
    <row r="1132">
      <c r="A1132" s="13" t="inlineStr">
        <is>
          <t>HC-101130</t>
        </is>
      </c>
      <c r="B1132" s="13" t="inlineStr">
        <is>
          <t>2024/12/20</t>
        </is>
      </c>
      <c r="C1132" s="13" t="inlineStr">
        <is>
          <t>North</t>
        </is>
      </c>
      <c r="D1132" s="13" t="inlineStr">
        <is>
          <t>Store</t>
        </is>
      </c>
      <c r="E1132" s="13" t="inlineStr">
        <is>
          <t>Textiles</t>
        </is>
      </c>
      <c r="F1132" s="13" t="inlineStr">
        <is>
          <t>Linen Curtain</t>
        </is>
      </c>
      <c r="G1132" s="13" t="inlineStr">
        <is>
          <t>Consumer</t>
        </is>
      </c>
      <c r="H1132" s="13" t="inlineStr">
        <is>
          <t>4</t>
        </is>
      </c>
      <c r="I1132" s="14" t="inlineStr">
        <is>
          <t>99.15</t>
        </is>
      </c>
      <c r="J1132" s="15" t="inlineStr">
        <is>
          <t>0.05</t>
        </is>
      </c>
      <c r="K1132" s="14" t="inlineStr">
        <is>
          <t>44.62</t>
        </is>
      </c>
      <c r="L1132" s="13" t="inlineStr">
        <is>
          <t>4</t>
        </is>
      </c>
      <c r="M1132" s="13" t="inlineStr">
        <is>
          <t>complete</t>
        </is>
      </c>
      <c r="N1132" s="13" t="inlineStr">
        <is>
          <t>L. Berger</t>
        </is>
      </c>
    </row>
    <row r="1133">
      <c r="A1133" s="13" t="inlineStr">
        <is>
          <t>HC-101131</t>
        </is>
      </c>
      <c r="B1133" s="13" t="inlineStr">
        <is>
          <t>26.09.2025</t>
        </is>
      </c>
      <c r="C1133" s="13" t="inlineStr">
        <is>
          <t>West</t>
        </is>
      </c>
      <c r="D1133" s="13" t="inlineStr">
        <is>
          <t>Store</t>
        </is>
      </c>
      <c r="E1133" s="13" t="inlineStr">
        <is>
          <t>Furniture</t>
        </is>
      </c>
      <c r="F1133" s="13" t="inlineStr">
        <is>
          <t>Oak Desk</t>
        </is>
      </c>
      <c r="G1133" s="13" t="inlineStr">
        <is>
          <t>Consumer</t>
        </is>
      </c>
      <c r="H1133" s="13" t="inlineStr">
        <is>
          <t>2</t>
        </is>
      </c>
      <c r="I1133" s="14" t="inlineStr">
        <is>
          <t>805.78</t>
        </is>
      </c>
      <c r="J1133" s="15" t="inlineStr">
        <is>
          <t>0.11</t>
        </is>
      </c>
      <c r="K1133" s="14" t="inlineStr">
        <is>
          <t>499.59</t>
        </is>
      </c>
      <c r="L1133" s="13" t="inlineStr">
        <is>
          <t>3</t>
        </is>
      </c>
      <c r="M1133" s="13" t="inlineStr">
        <is>
          <t>Completed</t>
        </is>
      </c>
      <c r="N1133" s="13" t="inlineStr">
        <is>
          <t>J. Patel</t>
        </is>
      </c>
    </row>
    <row r="1134">
      <c r="A1134" s="13" t="inlineStr">
        <is>
          <t>HC-101132</t>
        </is>
      </c>
      <c r="B1134" s="13" t="inlineStr">
        <is>
          <t>01/13/2024</t>
        </is>
      </c>
      <c r="C1134" s="13" t="inlineStr">
        <is>
          <t xml:space="preserve"> west </t>
        </is>
      </c>
      <c r="D1134" s="13" t="inlineStr">
        <is>
          <t>Wholesale</t>
        </is>
      </c>
      <c r="E1134" s="13" t="inlineStr">
        <is>
          <t>Furniture</t>
        </is>
      </c>
      <c r="F1134" s="13" t="inlineStr">
        <is>
          <t>Linen Sofa</t>
        </is>
      </c>
      <c r="G1134" s="13" t="inlineStr">
        <is>
          <t>Consumer</t>
        </is>
      </c>
      <c r="H1134" s="13" t="inlineStr">
        <is>
          <t>18</t>
        </is>
      </c>
      <c r="I1134" s="14" t="inlineStr">
        <is>
          <t>1286.84</t>
        </is>
      </c>
      <c r="J1134" s="15" t="inlineStr">
        <is>
          <t>0.19</t>
        </is>
      </c>
      <c r="K1134" s="14" t="inlineStr">
        <is>
          <t>849.32</t>
        </is>
      </c>
      <c r="L1134" s="13" t="inlineStr">
        <is>
          <t>8</t>
        </is>
      </c>
      <c r="M1134" s="13" t="inlineStr">
        <is>
          <t>Completed</t>
        </is>
      </c>
      <c r="N1134" s="13" t="inlineStr">
        <is>
          <t>S. Nguyen</t>
        </is>
      </c>
    </row>
    <row r="1135">
      <c r="A1135" s="13" t="inlineStr">
        <is>
          <t>HC-101133</t>
        </is>
      </c>
      <c r="B1135" s="13" t="inlineStr">
        <is>
          <t>05-Mar-24</t>
        </is>
      </c>
      <c r="C1135" s="13" t="inlineStr">
        <is>
          <t>south</t>
        </is>
      </c>
      <c r="D1135" s="13" t="inlineStr">
        <is>
          <t>Wholesale</t>
        </is>
      </c>
      <c r="E1135" s="13" t="inlineStr">
        <is>
          <t>Furniture</t>
        </is>
      </c>
      <c r="F1135" s="13" t="inlineStr">
        <is>
          <t>Oak Desk</t>
        </is>
      </c>
      <c r="G1135" s="13" t="inlineStr">
        <is>
          <t>Consumer</t>
        </is>
      </c>
      <c r="H1135" s="13" t="inlineStr">
        <is>
          <t>10</t>
        </is>
      </c>
      <c r="I1135" s="14" t="inlineStr">
        <is>
          <t>$802.24</t>
        </is>
      </c>
      <c r="J1135" s="15" t="inlineStr">
        <is>
          <t>0.17</t>
        </is>
      </c>
      <c r="K1135" s="14" t="inlineStr">
        <is>
          <t>497.39</t>
        </is>
      </c>
      <c r="L1135" s="13" t="inlineStr">
        <is>
          <t>3</t>
        </is>
      </c>
      <c r="M1135" s="13" t="inlineStr">
        <is>
          <t>Completed</t>
        </is>
      </c>
      <c r="N1135" s="13" t="inlineStr">
        <is>
          <t>P. Rossi</t>
        </is>
      </c>
    </row>
    <row r="1136">
      <c r="A1136" s="13" t="inlineStr">
        <is>
          <t>HC-101134</t>
        </is>
      </c>
      <c r="B1136" s="13" t="inlineStr">
        <is>
          <t>2024/11/01</t>
        </is>
      </c>
      <c r="C1136" s="13" t="inlineStr">
        <is>
          <t>South</t>
        </is>
      </c>
      <c r="D1136" s="13" t="inlineStr">
        <is>
          <t>Online</t>
        </is>
      </c>
      <c r="E1136" s="13" t="inlineStr">
        <is>
          <t>Kitchen</t>
        </is>
      </c>
      <c r="F1136" s="13" t="inlineStr">
        <is>
          <t>Chef Knife</t>
        </is>
      </c>
      <c r="G1136" s="13" t="inlineStr">
        <is>
          <t>Corporate</t>
        </is>
      </c>
      <c r="H1136" s="13" t="inlineStr">
        <is>
          <t>3</t>
        </is>
      </c>
      <c r="I1136" s="14" t="inlineStr">
        <is>
          <t>62.41</t>
        </is>
      </c>
      <c r="J1136" s="15" t="inlineStr">
        <is>
          <t>0.03</t>
        </is>
      </c>
      <c r="K1136" s="14" t="inlineStr">
        <is>
          <t>22.47</t>
        </is>
      </c>
      <c r="L1136" s="13" t="inlineStr">
        <is>
          <t>4</t>
        </is>
      </c>
      <c r="M1136" s="13" t="inlineStr">
        <is>
          <t>Completed</t>
        </is>
      </c>
      <c r="N1136" s="13" t="inlineStr">
        <is>
          <t>S. Nguyen</t>
        </is>
      </c>
    </row>
    <row r="1137">
      <c r="A1137" s="13" t="inlineStr">
        <is>
          <t>HC-101135</t>
        </is>
      </c>
      <c r="B1137" s="13" t="inlineStr">
        <is>
          <t>16.08.2025</t>
        </is>
      </c>
      <c r="C1137" s="13" t="inlineStr">
        <is>
          <t>South</t>
        </is>
      </c>
      <c r="D1137" s="13" t="inlineStr">
        <is>
          <t>e-commerce</t>
        </is>
      </c>
      <c r="E1137" s="13" t="inlineStr">
        <is>
          <t>Lighting</t>
        </is>
      </c>
      <c r="F1137" s="13" t="inlineStr">
        <is>
          <t>Arc Lamp</t>
        </is>
      </c>
      <c r="G1137" s="13" t="inlineStr">
        <is>
          <t>Consumer</t>
        </is>
      </c>
      <c r="H1137" s="13" t="inlineStr">
        <is>
          <t>1</t>
        </is>
      </c>
      <c r="I1137" s="14" t="inlineStr">
        <is>
          <t>295.71</t>
        </is>
      </c>
      <c r="J1137" s="15" t="inlineStr">
        <is>
          <t>0.11</t>
        </is>
      </c>
      <c r="K1137" s="14" t="inlineStr">
        <is>
          <t>141.94</t>
        </is>
      </c>
      <c r="L1137" s="13" t="inlineStr">
        <is>
          <t>4</t>
        </is>
      </c>
      <c r="M1137" s="13" t="inlineStr">
        <is>
          <t>COMPLETED</t>
        </is>
      </c>
      <c r="N1137" s="13" t="inlineStr">
        <is>
          <t>K. Mensah</t>
        </is>
      </c>
    </row>
    <row r="1138">
      <c r="A1138" s="13" t="inlineStr">
        <is>
          <t>HC-101136</t>
        </is>
      </c>
      <c r="B1138" s="13" t="inlineStr">
        <is>
          <t>03/18/2024</t>
        </is>
      </c>
      <c r="C1138" s="13" t="inlineStr">
        <is>
          <t>West</t>
        </is>
      </c>
      <c r="D1138" s="13" t="inlineStr">
        <is>
          <t>Online</t>
        </is>
      </c>
      <c r="E1138" s="13" t="inlineStr">
        <is>
          <t>Furniture</t>
        </is>
      </c>
      <c r="F1138" s="13" t="inlineStr">
        <is>
          <t>Oak Desk</t>
        </is>
      </c>
      <c r="G1138" s="13" t="inlineStr">
        <is>
          <t>Consumer</t>
        </is>
      </c>
      <c r="H1138" s="13" t="inlineStr">
        <is>
          <t>2</t>
        </is>
      </c>
      <c r="I1138" s="14" t="inlineStr">
        <is>
          <t>802.53</t>
        </is>
      </c>
      <c r="J1138" s="15" t="inlineStr">
        <is>
          <t>0.05</t>
        </is>
      </c>
      <c r="K1138" s="14" t="inlineStr">
        <is>
          <t>497.57</t>
        </is>
      </c>
      <c r="L1138" s="13" t="inlineStr">
        <is>
          <t>6</t>
        </is>
      </c>
      <c r="M1138" s="13" t="inlineStr">
        <is>
          <t>Completed</t>
        </is>
      </c>
      <c r="N1138" s="13" t="inlineStr">
        <is>
          <t>M. Okonkwo</t>
        </is>
      </c>
    </row>
    <row r="1139">
      <c r="A1139" s="13" t="inlineStr">
        <is>
          <t>HC-101137</t>
        </is>
      </c>
      <c r="B1139" s="13" t="inlineStr">
        <is>
          <t>25-Jun-24</t>
        </is>
      </c>
      <c r="C1139" s="13" t="inlineStr">
        <is>
          <t>South</t>
        </is>
      </c>
      <c r="D1139" s="13" t="inlineStr">
        <is>
          <t>e-commerce</t>
        </is>
      </c>
      <c r="E1139" s="13" t="inlineStr">
        <is>
          <t>Furniture</t>
        </is>
      </c>
      <c r="F1139" s="13" t="inlineStr">
        <is>
          <t>Oak Desk</t>
        </is>
      </c>
      <c r="G1139" s="13" t="inlineStr">
        <is>
          <t>Home Office</t>
        </is>
      </c>
      <c r="H1139" s="13" t="inlineStr">
        <is>
          <t>2</t>
        </is>
      </c>
      <c r="I1139" s="14" t="inlineStr">
        <is>
          <t>861.90</t>
        </is>
      </c>
      <c r="J1139" s="15" t="inlineStr">
        <is>
          <t>0.06</t>
        </is>
      </c>
      <c r="K1139" s="14" t="inlineStr">
        <is>
          <t>534.38</t>
        </is>
      </c>
      <c r="L1139" s="13" t="inlineStr">
        <is>
          <t>4</t>
        </is>
      </c>
      <c r="M1139" s="13" t="inlineStr">
        <is>
          <t>Completed</t>
        </is>
      </c>
      <c r="N1139" s="13" t="inlineStr">
        <is>
          <t>L. Berger</t>
        </is>
      </c>
    </row>
    <row r="1140">
      <c r="A1140" s="13" t="inlineStr">
        <is>
          <t>HC-101138</t>
        </is>
      </c>
      <c r="B1140" s="13" t="inlineStr">
        <is>
          <t>2024/12/25</t>
        </is>
      </c>
      <c r="C1140" s="13" t="inlineStr">
        <is>
          <t xml:space="preserve"> west </t>
        </is>
      </c>
      <c r="D1140" s="13" t="inlineStr">
        <is>
          <t>Online</t>
        </is>
      </c>
      <c r="E1140" s="13" t="inlineStr">
        <is>
          <t>Furniture</t>
        </is>
      </c>
      <c r="F1140" s="13" t="inlineStr">
        <is>
          <t>Oak Desk</t>
        </is>
      </c>
      <c r="G1140" s="13" t="inlineStr">
        <is>
          <t>Consumer</t>
        </is>
      </c>
      <c r="H1140" s="13" t="inlineStr">
        <is>
          <t>4</t>
        </is>
      </c>
      <c r="I1140" s="14" t="inlineStr">
        <is>
          <t>824.19</t>
        </is>
      </c>
      <c r="J1140" s="15" t="inlineStr">
        <is>
          <t>0.08</t>
        </is>
      </c>
      <c r="K1140" s="14" t="inlineStr">
        <is>
          <t>511.00</t>
        </is>
      </c>
      <c r="L1140" s="13" t="inlineStr">
        <is>
          <t>10</t>
        </is>
      </c>
      <c r="M1140" s="13" t="inlineStr">
        <is>
          <t>Completed</t>
        </is>
      </c>
      <c r="N1140" s="13" t="inlineStr">
        <is>
          <t>S. Nguyen</t>
        </is>
      </c>
    </row>
    <row r="1141">
      <c r="A1141" s="13" t="inlineStr">
        <is>
          <t>HC-101139</t>
        </is>
      </c>
      <c r="B1141" s="13" t="inlineStr">
        <is>
          <t>06.08.2025</t>
        </is>
      </c>
      <c r="C1141" s="13" t="inlineStr">
        <is>
          <t>East</t>
        </is>
      </c>
      <c r="D1141" s="13" t="inlineStr">
        <is>
          <t>B2B</t>
        </is>
      </c>
      <c r="E1141" s="13" t="inlineStr">
        <is>
          <t>Furniture</t>
        </is>
      </c>
      <c r="F1141" s="13" t="inlineStr">
        <is>
          <t>Linen Sofa</t>
        </is>
      </c>
      <c r="G1141" s="13" t="inlineStr">
        <is>
          <t>Corporate</t>
        </is>
      </c>
      <c r="H1141" s="13" t="inlineStr">
        <is>
          <t>29</t>
        </is>
      </c>
      <c r="I1141" s="14" t="inlineStr">
        <is>
          <t>$1,096.80</t>
        </is>
      </c>
      <c r="J1141" s="15" t="inlineStr">
        <is>
          <t>17%</t>
        </is>
      </c>
      <c r="K1141" s="14" t="inlineStr">
        <is>
          <t>723.89</t>
        </is>
      </c>
      <c r="L1141" s="13" t="inlineStr">
        <is>
          <t>9</t>
        </is>
      </c>
      <c r="M1141" s="13" t="inlineStr">
        <is>
          <t>complete</t>
        </is>
      </c>
      <c r="N1141" s="13" t="inlineStr">
        <is>
          <t>R. Ibarra</t>
        </is>
      </c>
    </row>
    <row r="1142">
      <c r="A1142" s="13" t="inlineStr">
        <is>
          <t>HC-101140</t>
        </is>
      </c>
      <c r="B1142" s="13" t="inlineStr">
        <is>
          <t>05/29/2025</t>
        </is>
      </c>
      <c r="C1142" s="13" t="inlineStr">
        <is>
          <t>north</t>
        </is>
      </c>
      <c r="D1142" s="13" t="inlineStr">
        <is>
          <t>Store</t>
        </is>
      </c>
      <c r="E1142" s="13" t="inlineStr">
        <is>
          <t>TEXTILES</t>
        </is>
      </c>
      <c r="F1142" s="13" t="inlineStr">
        <is>
          <t>Wool Throw</t>
        </is>
      </c>
      <c r="G1142" s="13" t="inlineStr">
        <is>
          <t>Consumer</t>
        </is>
      </c>
      <c r="H1142" s="13" t="inlineStr">
        <is>
          <t>4</t>
        </is>
      </c>
      <c r="I1142" s="14" t="inlineStr">
        <is>
          <t>72.95</t>
        </is>
      </c>
      <c r="J1142" s="15" t="inlineStr">
        <is>
          <t>0.03</t>
        </is>
      </c>
      <c r="K1142" s="14" t="inlineStr">
        <is>
          <t>30.64</t>
        </is>
      </c>
      <c r="L1142" s="13" t="inlineStr">
        <is>
          <t>6</t>
        </is>
      </c>
      <c r="M1142" s="13" t="inlineStr">
        <is>
          <t>Compleated</t>
        </is>
      </c>
      <c r="N1142" s="13" t="inlineStr">
        <is>
          <t>L. Berger</t>
        </is>
      </c>
    </row>
    <row r="1143">
      <c r="A1143" s="13" t="inlineStr">
        <is>
          <t>HC-101141</t>
        </is>
      </c>
      <c r="B1143" s="13" t="inlineStr">
        <is>
          <t>23-Mar-25</t>
        </is>
      </c>
      <c r="C1143" s="13" t="inlineStr">
        <is>
          <t>North</t>
        </is>
      </c>
      <c r="D1143" s="13" t="inlineStr">
        <is>
          <t>Store</t>
        </is>
      </c>
      <c r="E1143" s="13" t="inlineStr">
        <is>
          <t>Lighting</t>
        </is>
      </c>
      <c r="F1143" s="13" t="inlineStr">
        <is>
          <t>Arc Lamp</t>
        </is>
      </c>
      <c r="G1143" s="13" t="inlineStr">
        <is>
          <t>Corporate</t>
        </is>
      </c>
      <c r="H1143" s="13" t="inlineStr">
        <is>
          <t>3</t>
        </is>
      </c>
      <c r="I1143" s="14" t="inlineStr">
        <is>
          <t>307.16</t>
        </is>
      </c>
      <c r="J1143" s="15" t="inlineStr">
        <is>
          <t>0.04</t>
        </is>
      </c>
      <c r="K1143" s="14" t="inlineStr">
        <is>
          <t>147.44</t>
        </is>
      </c>
      <c r="L1143" s="13" t="inlineStr">
        <is>
          <t>7</t>
        </is>
      </c>
      <c r="M1143" s="13" t="inlineStr">
        <is>
          <t>Completed</t>
        </is>
      </c>
      <c r="N1143" s="13" t="inlineStr">
        <is>
          <t>A. Shah</t>
        </is>
      </c>
    </row>
    <row r="1144">
      <c r="A1144" s="13" t="inlineStr">
        <is>
          <t>HC-101142</t>
        </is>
      </c>
      <c r="B1144" s="13" t="inlineStr">
        <is>
          <t>2024/12/17</t>
        </is>
      </c>
      <c r="C1144" s="13" t="inlineStr">
        <is>
          <t>South</t>
        </is>
      </c>
      <c r="D1144" s="13" t="inlineStr">
        <is>
          <t>Store</t>
        </is>
      </c>
      <c r="E1144" s="13" t="inlineStr">
        <is>
          <t>Textiles</t>
        </is>
      </c>
      <c r="F1144" s="13" t="inlineStr">
        <is>
          <t>Linen Curtain</t>
        </is>
      </c>
      <c r="G1144" s="13" t="inlineStr">
        <is>
          <t>Corporate</t>
        </is>
      </c>
      <c r="H1144" s="13" t="inlineStr">
        <is>
          <t>4</t>
        </is>
      </c>
      <c r="I1144" s="14" t="inlineStr">
        <is>
          <t>100.38</t>
        </is>
      </c>
      <c r="J1144" s="15" t="inlineStr">
        <is>
          <t>0.04</t>
        </is>
      </c>
      <c r="K1144" s="14" t="inlineStr">
        <is>
          <t>45.17</t>
        </is>
      </c>
      <c r="L1144" s="13" t="inlineStr">
        <is>
          <t>6</t>
        </is>
      </c>
      <c r="M1144" s="13" t="inlineStr">
        <is>
          <t>Completed</t>
        </is>
      </c>
      <c r="N1144" s="13" t="inlineStr">
        <is>
          <t>S. Nguyen</t>
        </is>
      </c>
    </row>
    <row r="1145">
      <c r="A1145" s="13" t="inlineStr">
        <is>
          <t>HC-101143</t>
        </is>
      </c>
      <c r="B1145" s="13" t="inlineStr">
        <is>
          <t>21.06.2024</t>
        </is>
      </c>
      <c r="C1145" s="13" t="inlineStr">
        <is>
          <t>South</t>
        </is>
      </c>
      <c r="D1145" s="13" t="inlineStr">
        <is>
          <t>Online</t>
        </is>
      </c>
      <c r="E1145" s="13" t="inlineStr">
        <is>
          <t>Textiles</t>
        </is>
      </c>
      <c r="F1145" s="13" t="inlineStr">
        <is>
          <t>Wool Throw</t>
        </is>
      </c>
      <c r="G1145" s="13" t="inlineStr">
        <is>
          <t>Consumer</t>
        </is>
      </c>
      <c r="H1145" s="13" t="inlineStr">
        <is>
          <t>3</t>
        </is>
      </c>
      <c r="I1145" s="14" t="inlineStr">
        <is>
          <t>80.85</t>
        </is>
      </c>
      <c r="J1145" s="15" t="inlineStr">
        <is>
          <t>0.13</t>
        </is>
      </c>
      <c r="K1145" s="14" t="inlineStr">
        <is>
          <t>33.96</t>
        </is>
      </c>
      <c r="L1145" s="13" t="inlineStr">
        <is>
          <t>8</t>
        </is>
      </c>
      <c r="M1145" s="13" t="inlineStr">
        <is>
          <t>Completed</t>
        </is>
      </c>
      <c r="N1145" s="13" t="inlineStr">
        <is>
          <t>J. Patel</t>
        </is>
      </c>
    </row>
    <row r="1146">
      <c r="A1146" s="13" t="inlineStr">
        <is>
          <t>HC-101144</t>
        </is>
      </c>
      <c r="B1146" s="13" t="inlineStr">
        <is>
          <t>08/07/2024</t>
        </is>
      </c>
      <c r="C1146" s="13" t="inlineStr">
        <is>
          <t>East</t>
        </is>
      </c>
      <c r="D1146" s="13" t="inlineStr">
        <is>
          <t>Online</t>
        </is>
      </c>
      <c r="E1146" s="13" t="inlineStr">
        <is>
          <t>Textiles</t>
        </is>
      </c>
      <c r="F1146" s="13" t="inlineStr">
        <is>
          <t>Cotton Duvet</t>
        </is>
      </c>
      <c r="G1146" s="13" t="inlineStr">
        <is>
          <t>Consumer</t>
        </is>
      </c>
      <c r="H1146" s="13" t="inlineStr">
        <is>
          <t>3</t>
        </is>
      </c>
      <c r="I1146" s="14" t="inlineStr">
        <is>
          <t>112.21</t>
        </is>
      </c>
      <c r="J1146" s="15" t="inlineStr">
        <is>
          <t>0.05</t>
        </is>
      </c>
      <c r="K1146" s="14" t="inlineStr">
        <is>
          <t>49.37</t>
        </is>
      </c>
      <c r="L1146" s="13" t="inlineStr">
        <is>
          <t>7</t>
        </is>
      </c>
      <c r="M1146" s="13" t="inlineStr">
        <is>
          <t>Completed</t>
        </is>
      </c>
      <c r="N1146" s="13" t="inlineStr">
        <is>
          <t>S. Nguyen</t>
        </is>
      </c>
    </row>
    <row r="1147">
      <c r="A1147" s="13" t="inlineStr">
        <is>
          <t>HC-101145</t>
        </is>
      </c>
      <c r="B1147" s="13" t="inlineStr">
        <is>
          <t>12-Feb-25</t>
        </is>
      </c>
      <c r="C1147" s="13" t="inlineStr">
        <is>
          <t>West</t>
        </is>
      </c>
      <c r="D1147" s="13" t="inlineStr">
        <is>
          <t>Store</t>
        </is>
      </c>
      <c r="E1147" s="13" t="inlineStr">
        <is>
          <t>Textiles</t>
        </is>
      </c>
      <c r="F1147" s="13" t="inlineStr">
        <is>
          <t>Linen Curtain</t>
        </is>
      </c>
      <c r="G1147" s="13" t="inlineStr">
        <is>
          <t>Consumer</t>
        </is>
      </c>
      <c r="H1147" s="13" t="inlineStr">
        <is>
          <t>1</t>
        </is>
      </c>
      <c r="I1147" s="14" t="inlineStr">
        <is>
          <t>95.72</t>
        </is>
      </c>
      <c r="J1147" s="15" t="inlineStr">
        <is>
          <t>0.03</t>
        </is>
      </c>
      <c r="K1147" s="14" t="inlineStr">
        <is>
          <t>43.07</t>
        </is>
      </c>
      <c r="L1147" s="13" t="inlineStr">
        <is>
          <t>5</t>
        </is>
      </c>
      <c r="M1147" s="13" t="inlineStr">
        <is>
          <t>Completed</t>
        </is>
      </c>
      <c r="N1147" s="13" t="inlineStr">
        <is>
          <t>L. Berger</t>
        </is>
      </c>
    </row>
    <row r="1148">
      <c r="A1148" s="13" t="inlineStr">
        <is>
          <t>HC-101146</t>
        </is>
      </c>
      <c r="B1148" s="13" t="inlineStr">
        <is>
          <t>2024/04/26</t>
        </is>
      </c>
      <c r="C1148" s="13" t="inlineStr">
        <is>
          <t>East</t>
        </is>
      </c>
      <c r="D1148" s="13" t="inlineStr">
        <is>
          <t>B2B</t>
        </is>
      </c>
      <c r="E1148" s="13" t="inlineStr">
        <is>
          <t>Lighting</t>
        </is>
      </c>
      <c r="F1148" s="13" t="inlineStr">
        <is>
          <t>Pendant Light</t>
        </is>
      </c>
      <c r="G1148" s="13" t="inlineStr">
        <is>
          <t>Consumer</t>
        </is>
      </c>
      <c r="H1148" s="13" t="inlineStr">
        <is>
          <t>33</t>
        </is>
      </c>
      <c r="I1148" s="14" t="inlineStr">
        <is>
          <t>172.87</t>
        </is>
      </c>
      <c r="J1148" s="15" t="inlineStr">
        <is>
          <t>0.13</t>
        </is>
      </c>
      <c r="K1148" s="14" t="inlineStr">
        <is>
          <t>86.43</t>
        </is>
      </c>
      <c r="L1148" s="13" t="inlineStr">
        <is>
          <t>9</t>
        </is>
      </c>
      <c r="M1148" s="13" t="inlineStr">
        <is>
          <t>Cancelled</t>
        </is>
      </c>
      <c r="N1148" s="13" t="inlineStr">
        <is>
          <t>L. Berger</t>
        </is>
      </c>
    </row>
    <row r="1149">
      <c r="A1149" s="13" t="inlineStr">
        <is>
          <t>HC-101147</t>
        </is>
      </c>
      <c r="B1149" s="13" t="inlineStr">
        <is>
          <t>28.08.2025</t>
        </is>
      </c>
      <c r="C1149" s="13" t="inlineStr">
        <is>
          <t>West</t>
        </is>
      </c>
      <c r="D1149" s="13" t="inlineStr">
        <is>
          <t>Store</t>
        </is>
      </c>
      <c r="E1149" s="13" t="inlineStr">
        <is>
          <t>Textiles</t>
        </is>
      </c>
      <c r="F1149" s="13" t="inlineStr">
        <is>
          <t>Cotton Duvet</t>
        </is>
      </c>
      <c r="G1149" s="13" t="inlineStr">
        <is>
          <t>Consumer</t>
        </is>
      </c>
      <c r="H1149" s="13" t="inlineStr">
        <is>
          <t>1</t>
        </is>
      </c>
      <c r="I1149" s="14" t="inlineStr">
        <is>
          <t>110.59</t>
        </is>
      </c>
      <c r="J1149" s="15" t="inlineStr">
        <is>
          <t>0.09</t>
        </is>
      </c>
      <c r="K1149" s="14" t="inlineStr">
        <is>
          <t>48.66</t>
        </is>
      </c>
      <c r="L1149" s="13" t="inlineStr">
        <is>
          <t>8</t>
        </is>
      </c>
      <c r="M1149" s="13" t="inlineStr">
        <is>
          <t>Completed</t>
        </is>
      </c>
      <c r="N1149" s="13" t="inlineStr">
        <is>
          <t>K. Mensah</t>
        </is>
      </c>
    </row>
    <row r="1150">
      <c r="A1150" s="13" t="inlineStr">
        <is>
          <t>HC-101148</t>
        </is>
      </c>
      <c r="B1150" s="13" t="inlineStr">
        <is>
          <t>04/23/2025</t>
        </is>
      </c>
      <c r="C1150" s="13" t="inlineStr">
        <is>
          <t>SOUTH</t>
        </is>
      </c>
      <c r="D1150" s="13" t="inlineStr">
        <is>
          <t>Online</t>
        </is>
      </c>
      <c r="E1150" s="13" t="inlineStr">
        <is>
          <t>FURNITURE</t>
        </is>
      </c>
      <c r="F1150" s="13" t="inlineStr">
        <is>
          <t>Oak Desk</t>
        </is>
      </c>
      <c r="G1150" s="13" t="inlineStr"/>
      <c r="H1150" s="13" t="inlineStr">
        <is>
          <t>3</t>
        </is>
      </c>
      <c r="I1150" s="14" t="inlineStr">
        <is>
          <t>862.64</t>
        </is>
      </c>
      <c r="J1150" s="15" t="inlineStr">
        <is>
          <t>0.10</t>
        </is>
      </c>
      <c r="K1150" s="14" t="inlineStr">
        <is>
          <t>534.83</t>
        </is>
      </c>
      <c r="L1150" s="13" t="inlineStr">
        <is>
          <t>3</t>
        </is>
      </c>
      <c r="M1150" s="13" t="inlineStr">
        <is>
          <t>Completed</t>
        </is>
      </c>
      <c r="N1150" s="13" t="inlineStr">
        <is>
          <t>S. Nguyen</t>
        </is>
      </c>
    </row>
    <row r="1151">
      <c r="A1151" s="13" t="inlineStr">
        <is>
          <t>HC-101149</t>
        </is>
      </c>
      <c r="B1151" s="13" t="inlineStr">
        <is>
          <t>02-Apr-25</t>
        </is>
      </c>
      <c r="C1151" s="13" t="inlineStr">
        <is>
          <t>West</t>
        </is>
      </c>
      <c r="D1151" s="13" t="inlineStr">
        <is>
          <t>Store</t>
        </is>
      </c>
      <c r="E1151" s="13" t="inlineStr">
        <is>
          <t>Furniture</t>
        </is>
      </c>
      <c r="F1151" s="13" t="inlineStr">
        <is>
          <t>Walnut Shelf</t>
        </is>
      </c>
      <c r="G1151" s="13" t="inlineStr">
        <is>
          <t>Corporate</t>
        </is>
      </c>
      <c r="H1151" s="13" t="inlineStr">
        <is>
          <t>3</t>
        </is>
      </c>
      <c r="I1151" s="14" t="inlineStr">
        <is>
          <t>204.64</t>
        </is>
      </c>
      <c r="J1151" s="15" t="inlineStr">
        <is>
          <t>0.04</t>
        </is>
      </c>
      <c r="K1151" s="14" t="inlineStr">
        <is>
          <t>112.55</t>
        </is>
      </c>
      <c r="L1151" s="13" t="inlineStr">
        <is>
          <t>8</t>
        </is>
      </c>
      <c r="M1151" s="13" t="inlineStr">
        <is>
          <t>Completed</t>
        </is>
      </c>
      <c r="N1151" s="13" t="inlineStr">
        <is>
          <t>P. Rossi</t>
        </is>
      </c>
    </row>
    <row r="1152">
      <c r="A1152" s="13" t="inlineStr">
        <is>
          <t>HC-101150</t>
        </is>
      </c>
      <c r="B1152" s="13" t="inlineStr">
        <is>
          <t>2025/06/27</t>
        </is>
      </c>
      <c r="C1152" s="13" t="inlineStr">
        <is>
          <t>West</t>
        </is>
      </c>
      <c r="D1152" s="13" t="inlineStr">
        <is>
          <t>In-Store</t>
        </is>
      </c>
      <c r="E1152" s="13" t="inlineStr">
        <is>
          <t>Textiles</t>
        </is>
      </c>
      <c r="F1152" s="13" t="inlineStr">
        <is>
          <t>Linen Curtain</t>
        </is>
      </c>
      <c r="G1152" s="13" t="inlineStr">
        <is>
          <t>Corporate</t>
        </is>
      </c>
      <c r="H1152" s="13" t="inlineStr">
        <is>
          <t>2</t>
        </is>
      </c>
      <c r="I1152" s="14" t="inlineStr">
        <is>
          <t>90.20</t>
        </is>
      </c>
      <c r="J1152" s="15" t="inlineStr">
        <is>
          <t>0.08</t>
        </is>
      </c>
      <c r="K1152" s="14" t="inlineStr">
        <is>
          <t>40.59</t>
        </is>
      </c>
      <c r="L1152" s="13" t="inlineStr">
        <is>
          <t>4</t>
        </is>
      </c>
      <c r="M1152" s="13" t="inlineStr">
        <is>
          <t>complete</t>
        </is>
      </c>
      <c r="N1152" s="13" t="inlineStr">
        <is>
          <t>L. Berger</t>
        </is>
      </c>
    </row>
    <row r="1153">
      <c r="A1153" s="13" t="inlineStr">
        <is>
          <t>HC-101151</t>
        </is>
      </c>
      <c r="B1153" s="13" t="inlineStr">
        <is>
          <t>09.06.2024</t>
        </is>
      </c>
      <c r="C1153" s="13" t="inlineStr">
        <is>
          <t>south</t>
        </is>
      </c>
      <c r="D1153" s="13" t="inlineStr">
        <is>
          <t>Online</t>
        </is>
      </c>
      <c r="E1153" s="13" t="inlineStr">
        <is>
          <t>Lighting</t>
        </is>
      </c>
      <c r="F1153" s="13" t="inlineStr">
        <is>
          <t>Arc Lamp</t>
        </is>
      </c>
      <c r="G1153" s="13" t="inlineStr">
        <is>
          <t>Corporate</t>
        </is>
      </c>
      <c r="H1153" s="13" t="inlineStr">
        <is>
          <t>1</t>
        </is>
      </c>
      <c r="I1153" s="14" t="inlineStr">
        <is>
          <t>325.24</t>
        </is>
      </c>
      <c r="J1153" s="15" t="inlineStr">
        <is>
          <t>0.17</t>
        </is>
      </c>
      <c r="K1153" s="14" t="inlineStr">
        <is>
          <t>156.11</t>
        </is>
      </c>
      <c r="L1153" s="13" t="inlineStr">
        <is>
          <t>7</t>
        </is>
      </c>
      <c r="M1153" s="13" t="inlineStr">
        <is>
          <t>Returned</t>
        </is>
      </c>
      <c r="N1153" s="13" t="inlineStr">
        <is>
          <t>K. Mensah</t>
        </is>
      </c>
    </row>
    <row r="1154">
      <c r="A1154" s="13" t="inlineStr">
        <is>
          <t>HC-101152</t>
        </is>
      </c>
      <c r="B1154" s="13" t="inlineStr">
        <is>
          <t>02/06/2024</t>
        </is>
      </c>
      <c r="C1154" s="13" t="inlineStr">
        <is>
          <t>North</t>
        </is>
      </c>
      <c r="D1154" s="13" t="inlineStr">
        <is>
          <t>Online</t>
        </is>
      </c>
      <c r="E1154" s="13" t="inlineStr">
        <is>
          <t>Furniture</t>
        </is>
      </c>
      <c r="F1154" s="13" t="inlineStr">
        <is>
          <t>Lounge Chair</t>
        </is>
      </c>
      <c r="G1154" s="13" t="inlineStr">
        <is>
          <t>Consumer</t>
        </is>
      </c>
      <c r="H1154" s="13" t="inlineStr">
        <is>
          <t>3</t>
        </is>
      </c>
      <c r="I1154" s="14" t="inlineStr">
        <is>
          <t>495.36</t>
        </is>
      </c>
      <c r="J1154" s="15" t="inlineStr">
        <is>
          <t>0.09</t>
        </is>
      </c>
      <c r="K1154" s="14" t="inlineStr">
        <is>
          <t>297.21</t>
        </is>
      </c>
      <c r="L1154" s="13" t="inlineStr">
        <is>
          <t>8</t>
        </is>
      </c>
      <c r="M1154" s="13" t="inlineStr">
        <is>
          <t>Completed</t>
        </is>
      </c>
      <c r="N1154" s="13" t="inlineStr">
        <is>
          <t>S. Nguyen</t>
        </is>
      </c>
    </row>
    <row r="1155">
      <c r="A1155" s="13" t="inlineStr">
        <is>
          <t>HC-101153</t>
        </is>
      </c>
      <c r="B1155" s="13" t="inlineStr">
        <is>
          <t>17-Sep-24</t>
        </is>
      </c>
      <c r="C1155" s="13" t="inlineStr">
        <is>
          <t>South</t>
        </is>
      </c>
      <c r="D1155" s="13" t="inlineStr">
        <is>
          <t>Online</t>
        </is>
      </c>
      <c r="E1155" s="13" t="inlineStr">
        <is>
          <t>Textiles</t>
        </is>
      </c>
      <c r="F1155" s="13" t="inlineStr">
        <is>
          <t>Cotton Duvet</t>
        </is>
      </c>
      <c r="G1155" s="13" t="inlineStr">
        <is>
          <t>Consumer</t>
        </is>
      </c>
      <c r="H1155" s="13" t="inlineStr">
        <is>
          <t>3</t>
        </is>
      </c>
      <c r="I1155" s="14" t="inlineStr">
        <is>
          <t>122.19</t>
        </is>
      </c>
      <c r="J1155" s="15" t="inlineStr">
        <is>
          <t>0.03</t>
        </is>
      </c>
      <c r="K1155" s="14" t="inlineStr">
        <is>
          <t>53.76</t>
        </is>
      </c>
      <c r="L1155" s="13" t="inlineStr">
        <is>
          <t>2</t>
        </is>
      </c>
      <c r="M1155" s="13" t="inlineStr">
        <is>
          <t>Compleated</t>
        </is>
      </c>
      <c r="N1155" s="13" t="inlineStr">
        <is>
          <t>L. Berger</t>
        </is>
      </c>
    </row>
    <row r="1156">
      <c r="A1156" s="13" t="inlineStr">
        <is>
          <t>HC-101154</t>
        </is>
      </c>
      <c r="B1156" s="13" t="inlineStr">
        <is>
          <t>2025/08/30</t>
        </is>
      </c>
      <c r="C1156" s="13" t="inlineStr">
        <is>
          <t>North</t>
        </is>
      </c>
      <c r="D1156" s="13" t="inlineStr">
        <is>
          <t>Online</t>
        </is>
      </c>
      <c r="E1156" s="13" t="inlineStr">
        <is>
          <t>Lighting</t>
        </is>
      </c>
      <c r="F1156" s="13" t="inlineStr">
        <is>
          <t>Brass Sconce</t>
        </is>
      </c>
      <c r="G1156" s="13" t="inlineStr">
        <is>
          <t>Consumer</t>
        </is>
      </c>
      <c r="H1156" s="13" t="inlineStr">
        <is>
          <t>2</t>
        </is>
      </c>
      <c r="I1156" s="14" t="inlineStr">
        <is>
          <t>148.65</t>
        </is>
      </c>
      <c r="J1156" s="15" t="inlineStr">
        <is>
          <t>0.13</t>
        </is>
      </c>
      <c r="K1156" s="14" t="inlineStr">
        <is>
          <t>68.38</t>
        </is>
      </c>
      <c r="L1156" s="13" t="inlineStr">
        <is>
          <t>7</t>
        </is>
      </c>
      <c r="M1156" s="13" t="inlineStr">
        <is>
          <t>Completed</t>
        </is>
      </c>
      <c r="N1156" s="13" t="inlineStr">
        <is>
          <t>P. Rossi</t>
        </is>
      </c>
    </row>
    <row r="1157">
      <c r="A1157" s="13" t="inlineStr">
        <is>
          <t>HC-101155</t>
        </is>
      </c>
      <c r="B1157" s="13" t="inlineStr">
        <is>
          <t>23.06.2024</t>
        </is>
      </c>
      <c r="C1157" s="13" t="inlineStr">
        <is>
          <t>South</t>
        </is>
      </c>
      <c r="D1157" s="13" t="inlineStr">
        <is>
          <t>Wholesale</t>
        </is>
      </c>
      <c r="E1157" s="13" t="inlineStr">
        <is>
          <t>Textiles</t>
        </is>
      </c>
      <c r="F1157" s="13" t="inlineStr">
        <is>
          <t>Cotton Duvet</t>
        </is>
      </c>
      <c r="G1157" s="13" t="inlineStr">
        <is>
          <t>Consumer</t>
        </is>
      </c>
      <c r="H1157" s="13" t="inlineStr">
        <is>
          <t>10</t>
        </is>
      </c>
      <c r="I1157" s="14" t="inlineStr">
        <is>
          <t>128.32</t>
        </is>
      </c>
      <c r="J1157" s="15" t="inlineStr">
        <is>
          <t>0.22</t>
        </is>
      </c>
      <c r="K1157" s="14" t="inlineStr">
        <is>
          <t>56.46</t>
        </is>
      </c>
      <c r="L1157" s="13" t="inlineStr">
        <is>
          <t>7</t>
        </is>
      </c>
      <c r="M1157" s="13" t="inlineStr">
        <is>
          <t>Completed</t>
        </is>
      </c>
      <c r="N1157" s="13" t="inlineStr">
        <is>
          <t>R. Ibarra</t>
        </is>
      </c>
    </row>
    <row r="1158">
      <c r="A1158" s="13" t="inlineStr">
        <is>
          <t>HC-101156</t>
        </is>
      </c>
      <c r="B1158" s="13" t="inlineStr">
        <is>
          <t>07/13/2024</t>
        </is>
      </c>
      <c r="C1158" s="13" t="inlineStr">
        <is>
          <t>West</t>
        </is>
      </c>
      <c r="D1158" s="13" t="inlineStr">
        <is>
          <t>Store</t>
        </is>
      </c>
      <c r="E1158" s="13" t="inlineStr">
        <is>
          <t>Furniture</t>
        </is>
      </c>
      <c r="F1158" s="13" t="inlineStr">
        <is>
          <t>Lounge Chair</t>
        </is>
      </c>
      <c r="G1158" s="13" t="inlineStr">
        <is>
          <t>Consumer</t>
        </is>
      </c>
      <c r="H1158" s="13" t="inlineStr">
        <is>
          <t>2</t>
        </is>
      </c>
      <c r="I1158" s="14" t="inlineStr">
        <is>
          <t>516.81</t>
        </is>
      </c>
      <c r="J1158" s="15" t="inlineStr">
        <is>
          <t>2%</t>
        </is>
      </c>
      <c r="K1158" s="14" t="inlineStr">
        <is>
          <t>310.09</t>
        </is>
      </c>
      <c r="L1158" s="13" t="inlineStr">
        <is>
          <t>7</t>
        </is>
      </c>
      <c r="M1158" s="13" t="inlineStr">
        <is>
          <t>Completed</t>
        </is>
      </c>
      <c r="N1158" s="13" t="inlineStr">
        <is>
          <t>J. Patel</t>
        </is>
      </c>
    </row>
    <row r="1159">
      <c r="A1159" s="13" t="inlineStr">
        <is>
          <t>HC-101157</t>
        </is>
      </c>
      <c r="B1159" s="13" t="inlineStr">
        <is>
          <t>12-Jun-24</t>
        </is>
      </c>
      <c r="C1159" s="13" t="inlineStr">
        <is>
          <t>East</t>
        </is>
      </c>
      <c r="D1159" s="13" t="inlineStr">
        <is>
          <t>Store</t>
        </is>
      </c>
      <c r="E1159" s="13" t="inlineStr">
        <is>
          <t>Kitchen</t>
        </is>
      </c>
      <c r="F1159" s="13" t="inlineStr">
        <is>
          <t>Cast Skillet</t>
        </is>
      </c>
      <c r="G1159" s="13" t="inlineStr">
        <is>
          <t>Consumer</t>
        </is>
      </c>
      <c r="H1159" s="13" t="inlineStr">
        <is>
          <t>2</t>
        </is>
      </c>
      <c r="I1159" s="14" t="inlineStr">
        <is>
          <t>45.38</t>
        </is>
      </c>
      <c r="J1159" s="15" t="inlineStr">
        <is>
          <t>3%</t>
        </is>
      </c>
      <c r="K1159" s="14" t="inlineStr">
        <is>
          <t>18.15</t>
        </is>
      </c>
      <c r="L1159" s="13" t="inlineStr">
        <is>
          <t>N/A</t>
        </is>
      </c>
      <c r="M1159" s="13" t="inlineStr">
        <is>
          <t>Compleated</t>
        </is>
      </c>
      <c r="N1159" s="13" t="inlineStr">
        <is>
          <t>R. Ibarra</t>
        </is>
      </c>
    </row>
    <row r="1160">
      <c r="A1160" s="13" t="inlineStr">
        <is>
          <t>HC-101158</t>
        </is>
      </c>
      <c r="B1160" s="13" t="inlineStr">
        <is>
          <t>2024/11/22</t>
        </is>
      </c>
      <c r="C1160" s="13" t="inlineStr">
        <is>
          <t>NORTH</t>
        </is>
      </c>
      <c r="D1160" s="13" t="inlineStr">
        <is>
          <t>Online</t>
        </is>
      </c>
      <c r="E1160" s="13" t="inlineStr">
        <is>
          <t>Kitchen</t>
        </is>
      </c>
      <c r="F1160" s="13" t="inlineStr">
        <is>
          <t>Cast Skillet</t>
        </is>
      </c>
      <c r="G1160" s="13" t="inlineStr">
        <is>
          <t>Consumer</t>
        </is>
      </c>
      <c r="H1160" s="13" t="inlineStr">
        <is>
          <t>4</t>
        </is>
      </c>
      <c r="I1160" s="14" t="inlineStr">
        <is>
          <t>55.40</t>
        </is>
      </c>
      <c r="J1160" s="15" t="inlineStr">
        <is>
          <t>0.13</t>
        </is>
      </c>
      <c r="K1160" s="14" t="inlineStr">
        <is>
          <t>22.16</t>
        </is>
      </c>
      <c r="L1160" s="13" t="inlineStr">
        <is>
          <t>8</t>
        </is>
      </c>
      <c r="M1160" s="13" t="inlineStr">
        <is>
          <t>Completed</t>
        </is>
      </c>
      <c r="N1160" s="13" t="inlineStr">
        <is>
          <t>A. Shah</t>
        </is>
      </c>
    </row>
    <row r="1161">
      <c r="A1161" s="13" t="inlineStr">
        <is>
          <t>HC-101159</t>
        </is>
      </c>
      <c r="B1161" s="13" t="inlineStr">
        <is>
          <t>13.04.2025</t>
        </is>
      </c>
      <c r="C1161" s="13" t="inlineStr">
        <is>
          <t>south</t>
        </is>
      </c>
      <c r="D1161" s="13" t="inlineStr">
        <is>
          <t>B2B</t>
        </is>
      </c>
      <c r="E1161" s="13" t="inlineStr">
        <is>
          <t>Lighting</t>
        </is>
      </c>
      <c r="F1161" s="13" t="inlineStr">
        <is>
          <t>Arc Lamp</t>
        </is>
      </c>
      <c r="G1161" s="13" t="inlineStr">
        <is>
          <t>Consumer</t>
        </is>
      </c>
      <c r="H1161" s="13" t="inlineStr">
        <is>
          <t>20</t>
        </is>
      </c>
      <c r="I1161" s="14" t="inlineStr">
        <is>
          <t>$294.93</t>
        </is>
      </c>
      <c r="J1161" s="15" t="inlineStr">
        <is>
          <t>0.25</t>
        </is>
      </c>
      <c r="K1161" s="14" t="inlineStr">
        <is>
          <t>141.57</t>
        </is>
      </c>
      <c r="L1161" s="13" t="inlineStr">
        <is>
          <t>5</t>
        </is>
      </c>
      <c r="M1161" s="13" t="inlineStr">
        <is>
          <t>Compleated</t>
        </is>
      </c>
      <c r="N1161" s="13" t="inlineStr">
        <is>
          <t>S. Nguyen</t>
        </is>
      </c>
    </row>
    <row r="1162">
      <c r="A1162" s="13" t="inlineStr">
        <is>
          <t>HC-101160</t>
        </is>
      </c>
      <c r="B1162" s="13" t="inlineStr">
        <is>
          <t>06/18/2025</t>
        </is>
      </c>
      <c r="C1162" s="13" t="inlineStr">
        <is>
          <t>South</t>
        </is>
      </c>
      <c r="D1162" s="13" t="inlineStr">
        <is>
          <t>Store</t>
        </is>
      </c>
      <c r="E1162" s="13" t="inlineStr">
        <is>
          <t>Lighting</t>
        </is>
      </c>
      <c r="F1162" s="13" t="inlineStr">
        <is>
          <t>Brass Sconce</t>
        </is>
      </c>
      <c r="G1162" s="13" t="inlineStr">
        <is>
          <t>Consumer</t>
        </is>
      </c>
      <c r="H1162" s="13" t="inlineStr">
        <is>
          <t>2</t>
        </is>
      </c>
      <c r="I1162" s="14" t="inlineStr">
        <is>
          <t>136.30</t>
        </is>
      </c>
      <c r="J1162" s="15" t="inlineStr">
        <is>
          <t>0.10</t>
        </is>
      </c>
      <c r="K1162" s="14" t="inlineStr">
        <is>
          <t>62.70</t>
        </is>
      </c>
      <c r="L1162" s="13" t="inlineStr">
        <is>
          <t>5</t>
        </is>
      </c>
      <c r="M1162" s="13" t="inlineStr">
        <is>
          <t>Compleated</t>
        </is>
      </c>
      <c r="N1162" s="13" t="inlineStr">
        <is>
          <t>K. Mensah</t>
        </is>
      </c>
    </row>
    <row r="1163">
      <c r="A1163" s="13" t="inlineStr">
        <is>
          <t>HC-101161</t>
        </is>
      </c>
      <c r="B1163" s="13" t="inlineStr">
        <is>
          <t>09-Jun-25</t>
        </is>
      </c>
      <c r="C1163" s="13" t="inlineStr">
        <is>
          <t xml:space="preserve"> west </t>
        </is>
      </c>
      <c r="D1163" s="13" t="inlineStr">
        <is>
          <t>Online</t>
        </is>
      </c>
      <c r="E1163" s="13" t="inlineStr">
        <is>
          <t>Furniture</t>
        </is>
      </c>
      <c r="F1163" s="13" t="inlineStr">
        <is>
          <t>Walnut Shelf</t>
        </is>
      </c>
      <c r="G1163" s="13" t="inlineStr">
        <is>
          <t>Corporate</t>
        </is>
      </c>
      <c r="H1163" s="13" t="inlineStr">
        <is>
          <t>3</t>
        </is>
      </c>
      <c r="I1163" s="14" t="inlineStr">
        <is>
          <t>226.90</t>
        </is>
      </c>
      <c r="J1163" s="15" t="inlineStr">
        <is>
          <t>0.07</t>
        </is>
      </c>
      <c r="K1163" s="14" t="inlineStr">
        <is>
          <t>124.79</t>
        </is>
      </c>
      <c r="L1163" s="13" t="inlineStr">
        <is>
          <t>4</t>
        </is>
      </c>
      <c r="M1163" s="13" t="inlineStr">
        <is>
          <t>Completed</t>
        </is>
      </c>
      <c r="N1163" s="13" t="inlineStr">
        <is>
          <t>M. Okonkwo</t>
        </is>
      </c>
    </row>
    <row r="1164">
      <c r="A1164" s="13" t="inlineStr">
        <is>
          <t>HC-101162</t>
        </is>
      </c>
      <c r="B1164" s="13" t="inlineStr">
        <is>
          <t>2024/03/13</t>
        </is>
      </c>
      <c r="C1164" s="13" t="inlineStr">
        <is>
          <t xml:space="preserve"> west </t>
        </is>
      </c>
      <c r="D1164" s="13" t="inlineStr">
        <is>
          <t>Store</t>
        </is>
      </c>
      <c r="E1164" s="13" t="inlineStr">
        <is>
          <t>Kitchen</t>
        </is>
      </c>
      <c r="F1164" s="13" t="inlineStr">
        <is>
          <t>Ceramic Set</t>
        </is>
      </c>
      <c r="G1164" s="13" t="inlineStr">
        <is>
          <t>Consumer</t>
        </is>
      </c>
      <c r="H1164" s="13" t="inlineStr">
        <is>
          <t>3</t>
        </is>
      </c>
      <c r="I1164" s="14" t="inlineStr">
        <is>
          <t>$85.10</t>
        </is>
      </c>
      <c r="J1164" s="15" t="inlineStr">
        <is>
          <t>0.10</t>
        </is>
      </c>
      <c r="K1164" s="14" t="inlineStr">
        <is>
          <t>32.34</t>
        </is>
      </c>
      <c r="L1164" s="13" t="inlineStr">
        <is>
          <t>6</t>
        </is>
      </c>
      <c r="M1164" s="13" t="inlineStr">
        <is>
          <t>Completed</t>
        </is>
      </c>
      <c r="N1164" s="13" t="inlineStr">
        <is>
          <t>A. Shah</t>
        </is>
      </c>
    </row>
    <row r="1165">
      <c r="A1165" s="13" t="inlineStr">
        <is>
          <t>HC-101163</t>
        </is>
      </c>
      <c r="B1165" s="13" t="inlineStr">
        <is>
          <t>28.09.2025</t>
        </is>
      </c>
      <c r="C1165" s="13" t="inlineStr">
        <is>
          <t>West</t>
        </is>
      </c>
      <c r="D1165" s="13" t="inlineStr">
        <is>
          <t>retail</t>
        </is>
      </c>
      <c r="E1165" s="13" t="inlineStr">
        <is>
          <t>Lighting</t>
        </is>
      </c>
      <c r="F1165" s="13" t="inlineStr">
        <is>
          <t>Arc Lamp</t>
        </is>
      </c>
      <c r="G1165" s="13" t="inlineStr">
        <is>
          <t>Consumer</t>
        </is>
      </c>
      <c r="H1165" s="13" t="inlineStr">
        <is>
          <t>4</t>
        </is>
      </c>
      <c r="I1165" s="14" t="inlineStr">
        <is>
          <t>329.53</t>
        </is>
      </c>
      <c r="J1165" s="15" t="inlineStr">
        <is>
          <t>0.10</t>
        </is>
      </c>
      <c r="K1165" s="14" t="inlineStr">
        <is>
          <t>158.17</t>
        </is>
      </c>
      <c r="L1165" s="13" t="inlineStr">
        <is>
          <t>6</t>
        </is>
      </c>
      <c r="M1165" s="13" t="inlineStr">
        <is>
          <t>Completed</t>
        </is>
      </c>
      <c r="N1165" s="13" t="inlineStr">
        <is>
          <t>M. Okonkwo</t>
        </is>
      </c>
    </row>
    <row r="1166">
      <c r="A1166" s="13" t="inlineStr">
        <is>
          <t>HC-101164</t>
        </is>
      </c>
      <c r="B1166" s="13" t="inlineStr">
        <is>
          <t>07/26/2024</t>
        </is>
      </c>
      <c r="C1166" s="13" t="inlineStr">
        <is>
          <t>West</t>
        </is>
      </c>
      <c r="D1166" s="13" t="inlineStr">
        <is>
          <t>Store</t>
        </is>
      </c>
      <c r="E1166" s="13" t="inlineStr">
        <is>
          <t>Furniture</t>
        </is>
      </c>
      <c r="F1166" s="13" t="inlineStr">
        <is>
          <t>Oak Desk</t>
        </is>
      </c>
      <c r="G1166" s="13" t="inlineStr">
        <is>
          <t>Consumer</t>
        </is>
      </c>
      <c r="H1166" s="13" t="inlineStr">
        <is>
          <t>2</t>
        </is>
      </c>
      <c r="I1166" s="14" t="inlineStr">
        <is>
          <t>805.00</t>
        </is>
      </c>
      <c r="J1166" s="15" t="inlineStr">
        <is>
          <t>5%</t>
        </is>
      </c>
      <c r="K1166" s="14" t="inlineStr">
        <is>
          <t>499.10</t>
        </is>
      </c>
      <c r="L1166" s="13" t="inlineStr">
        <is>
          <t>8</t>
        </is>
      </c>
      <c r="M1166" s="13" t="inlineStr">
        <is>
          <t>complete</t>
        </is>
      </c>
      <c r="N1166" s="13" t="inlineStr">
        <is>
          <t>M. Okonkwo</t>
        </is>
      </c>
    </row>
    <row r="1167">
      <c r="A1167" s="13" t="inlineStr">
        <is>
          <t>HC-101165</t>
        </is>
      </c>
      <c r="B1167" s="13" t="inlineStr">
        <is>
          <t>17-Dec-24</t>
        </is>
      </c>
      <c r="C1167" s="13" t="inlineStr">
        <is>
          <t>West</t>
        </is>
      </c>
      <c r="D1167" s="13" t="inlineStr">
        <is>
          <t>Online</t>
        </is>
      </c>
      <c r="E1167" s="13" t="inlineStr">
        <is>
          <t>Furniture</t>
        </is>
      </c>
      <c r="F1167" s="13" t="inlineStr">
        <is>
          <t>Oak Desk</t>
        </is>
      </c>
      <c r="G1167" s="13" t="inlineStr">
        <is>
          <t>Consumer</t>
        </is>
      </c>
      <c r="H1167" s="13" t="inlineStr">
        <is>
          <t>2</t>
        </is>
      </c>
      <c r="I1167" s="14" t="inlineStr">
        <is>
          <t>852.48</t>
        </is>
      </c>
      <c r="J1167" s="15" t="inlineStr">
        <is>
          <t>0.03</t>
        </is>
      </c>
      <c r="K1167" s="14" t="inlineStr">
        <is>
          <t>528.53</t>
        </is>
      </c>
      <c r="L1167" s="13" t="inlineStr">
        <is>
          <t>6</t>
        </is>
      </c>
      <c r="M1167" s="13" t="inlineStr">
        <is>
          <t>Compleated</t>
        </is>
      </c>
      <c r="N1167" s="13" t="inlineStr">
        <is>
          <t>K. Mensah</t>
        </is>
      </c>
    </row>
    <row r="1168">
      <c r="A1168" s="13" t="inlineStr">
        <is>
          <t>HC-101166</t>
        </is>
      </c>
      <c r="B1168" s="13" t="inlineStr">
        <is>
          <t>2024/01/17</t>
        </is>
      </c>
      <c r="C1168" s="13" t="inlineStr">
        <is>
          <t>SOUTH</t>
        </is>
      </c>
      <c r="D1168" s="13" t="inlineStr">
        <is>
          <t>In-Store</t>
        </is>
      </c>
      <c r="E1168" s="13" t="inlineStr">
        <is>
          <t>Lighting</t>
        </is>
      </c>
      <c r="F1168" s="13" t="inlineStr">
        <is>
          <t>Brass Sconce</t>
        </is>
      </c>
      <c r="G1168" s="13" t="inlineStr">
        <is>
          <t>Consumer</t>
        </is>
      </c>
      <c r="H1168" s="13" t="inlineStr">
        <is>
          <t>1</t>
        </is>
      </c>
      <c r="I1168" s="14" t="inlineStr">
        <is>
          <t>130.13</t>
        </is>
      </c>
      <c r="J1168" s="15" t="inlineStr">
        <is>
          <t>0.06</t>
        </is>
      </c>
      <c r="K1168" s="14" t="inlineStr">
        <is>
          <t>59.86</t>
        </is>
      </c>
      <c r="L1168" s="13" t="inlineStr">
        <is>
          <t>5</t>
        </is>
      </c>
      <c r="M1168" s="13" t="inlineStr">
        <is>
          <t>Returned</t>
        </is>
      </c>
      <c r="N1168" s="13" t="inlineStr">
        <is>
          <t>J. Patel</t>
        </is>
      </c>
    </row>
    <row r="1169">
      <c r="A1169" s="13" t="inlineStr">
        <is>
          <t>HC-101167</t>
        </is>
      </c>
      <c r="B1169" s="13" t="inlineStr">
        <is>
          <t>29.04.2025</t>
        </is>
      </c>
      <c r="C1169" s="13" t="inlineStr">
        <is>
          <t>south</t>
        </is>
      </c>
      <c r="D1169" s="13" t="inlineStr">
        <is>
          <t>Store</t>
        </is>
      </c>
      <c r="E1169" s="13" t="inlineStr">
        <is>
          <t>Lighting</t>
        </is>
      </c>
      <c r="F1169" s="13" t="inlineStr">
        <is>
          <t>Arc Lamp</t>
        </is>
      </c>
      <c r="G1169" s="13" t="inlineStr">
        <is>
          <t>Home Office</t>
        </is>
      </c>
      <c r="H1169" s="13" t="inlineStr">
        <is>
          <t>4</t>
        </is>
      </c>
      <c r="I1169" s="14" t="inlineStr">
        <is>
          <t>324.16</t>
        </is>
      </c>
      <c r="J1169" s="15" t="inlineStr">
        <is>
          <t>9%</t>
        </is>
      </c>
      <c r="K1169" s="14" t="inlineStr">
        <is>
          <t>155.60</t>
        </is>
      </c>
      <c r="L1169" s="13" t="inlineStr">
        <is>
          <t>4</t>
        </is>
      </c>
      <c r="M1169" s="13" t="inlineStr">
        <is>
          <t>Canceled</t>
        </is>
      </c>
      <c r="N1169" s="13" t="inlineStr">
        <is>
          <t>L. Berger</t>
        </is>
      </c>
    </row>
    <row r="1170">
      <c r="A1170" s="13" t="inlineStr">
        <is>
          <t>HC-101168</t>
        </is>
      </c>
      <c r="B1170" s="13" t="inlineStr">
        <is>
          <t>06/03/2024</t>
        </is>
      </c>
      <c r="C1170" s="13" t="inlineStr">
        <is>
          <t>North</t>
        </is>
      </c>
      <c r="D1170" s="13" t="inlineStr">
        <is>
          <t>Store</t>
        </is>
      </c>
      <c r="E1170" s="13" t="inlineStr">
        <is>
          <t>Kitchen</t>
        </is>
      </c>
      <c r="F1170" s="13" t="inlineStr">
        <is>
          <t>Cast Skillet</t>
        </is>
      </c>
      <c r="G1170" s="13" t="inlineStr">
        <is>
          <t>Consumer</t>
        </is>
      </c>
      <c r="H1170" s="13" t="inlineStr">
        <is>
          <t>1</t>
        </is>
      </c>
      <c r="I1170" s="14" t="inlineStr">
        <is>
          <t>51.96</t>
        </is>
      </c>
      <c r="J1170" s="15" t="inlineStr">
        <is>
          <t>0.11</t>
        </is>
      </c>
      <c r="K1170" s="14" t="inlineStr">
        <is>
          <t>20.79</t>
        </is>
      </c>
      <c r="L1170" s="13" t="inlineStr">
        <is>
          <t>5</t>
        </is>
      </c>
      <c r="M1170" s="13" t="inlineStr">
        <is>
          <t>Completed</t>
        </is>
      </c>
      <c r="N1170" s="13" t="inlineStr">
        <is>
          <t>R. Ibarra</t>
        </is>
      </c>
    </row>
    <row r="1171">
      <c r="A1171" s="13" t="inlineStr">
        <is>
          <t>HC-101169</t>
        </is>
      </c>
      <c r="B1171" s="13" t="inlineStr">
        <is>
          <t>12-May-24</t>
        </is>
      </c>
      <c r="C1171" s="13" t="inlineStr">
        <is>
          <t>WEST</t>
        </is>
      </c>
      <c r="D1171" s="13" t="inlineStr">
        <is>
          <t>Store</t>
        </is>
      </c>
      <c r="E1171" s="13" t="inlineStr">
        <is>
          <t>Furniture</t>
        </is>
      </c>
      <c r="F1171" s="13" t="inlineStr">
        <is>
          <t>Lounge Chair</t>
        </is>
      </c>
      <c r="G1171" s="13" t="inlineStr">
        <is>
          <t>Corporate</t>
        </is>
      </c>
      <c r="H1171" s="13" t="inlineStr">
        <is>
          <t>4</t>
        </is>
      </c>
      <c r="I1171" s="14" t="inlineStr">
        <is>
          <t>448.83</t>
        </is>
      </c>
      <c r="J1171" s="15" t="inlineStr">
        <is>
          <t>0.03</t>
        </is>
      </c>
      <c r="K1171" s="14" t="inlineStr">
        <is>
          <t>269.30</t>
        </is>
      </c>
      <c r="L1171" s="13" t="inlineStr">
        <is>
          <t>6</t>
        </is>
      </c>
      <c r="M1171" s="13" t="inlineStr">
        <is>
          <t>Completed</t>
        </is>
      </c>
      <c r="N1171" s="13" t="inlineStr">
        <is>
          <t>K. Mensah</t>
        </is>
      </c>
    </row>
    <row r="1172">
      <c r="A1172" s="13" t="inlineStr">
        <is>
          <t>HC-101170</t>
        </is>
      </c>
      <c r="B1172" s="13" t="inlineStr">
        <is>
          <t>2024/05/06</t>
        </is>
      </c>
      <c r="C1172" s="13" t="inlineStr">
        <is>
          <t>South</t>
        </is>
      </c>
      <c r="D1172" s="13" t="inlineStr">
        <is>
          <t>Store</t>
        </is>
      </c>
      <c r="E1172" s="13" t="inlineStr">
        <is>
          <t>Lighting</t>
        </is>
      </c>
      <c r="F1172" s="13" t="inlineStr">
        <is>
          <t>Brass Sconce</t>
        </is>
      </c>
      <c r="G1172" s="13" t="inlineStr">
        <is>
          <t>Consumer</t>
        </is>
      </c>
      <c r="H1172" s="13" t="inlineStr">
        <is>
          <t>1</t>
        </is>
      </c>
      <c r="I1172" s="14" t="inlineStr">
        <is>
          <t>144.98</t>
        </is>
      </c>
      <c r="J1172" s="15" t="inlineStr">
        <is>
          <t>0.10</t>
        </is>
      </c>
      <c r="K1172" s="14" t="inlineStr">
        <is>
          <t>66.69</t>
        </is>
      </c>
      <c r="L1172" s="13" t="inlineStr">
        <is>
          <t>8</t>
        </is>
      </c>
      <c r="M1172" s="13" t="inlineStr">
        <is>
          <t>Completed</t>
        </is>
      </c>
      <c r="N1172" s="13" t="inlineStr">
        <is>
          <t>J. Patel</t>
        </is>
      </c>
    </row>
    <row r="1173">
      <c r="A1173" s="13" t="inlineStr">
        <is>
          <t>HC-101171</t>
        </is>
      </c>
      <c r="B1173" s="13" t="inlineStr">
        <is>
          <t>14.06.2024</t>
        </is>
      </c>
      <c r="C1173" s="13" t="inlineStr">
        <is>
          <t>West</t>
        </is>
      </c>
      <c r="D1173" s="13" t="inlineStr">
        <is>
          <t>Store</t>
        </is>
      </c>
      <c r="E1173" s="13" t="inlineStr">
        <is>
          <t>Kitchen</t>
        </is>
      </c>
      <c r="F1173" s="13" t="inlineStr">
        <is>
          <t>Cast Skillet</t>
        </is>
      </c>
      <c r="G1173" s="13" t="inlineStr">
        <is>
          <t>Consumer</t>
        </is>
      </c>
      <c r="H1173" s="13" t="inlineStr">
        <is>
          <t>3</t>
        </is>
      </c>
      <c r="I1173" s="14" t="inlineStr">
        <is>
          <t>53.66</t>
        </is>
      </c>
      <c r="J1173" s="15" t="inlineStr">
        <is>
          <t>0.01</t>
        </is>
      </c>
      <c r="K1173" s="14" t="inlineStr">
        <is>
          <t>21.46</t>
        </is>
      </c>
      <c r="L1173" s="13" t="inlineStr">
        <is>
          <t>8</t>
        </is>
      </c>
      <c r="M1173" s="13" t="inlineStr">
        <is>
          <t>Completed</t>
        </is>
      </c>
      <c r="N1173" s="13" t="inlineStr">
        <is>
          <t>J. Patel</t>
        </is>
      </c>
    </row>
    <row r="1174">
      <c r="A1174" s="13" t="inlineStr">
        <is>
          <t>HC-101172</t>
        </is>
      </c>
      <c r="B1174" s="13" t="inlineStr">
        <is>
          <t>04/05/2025</t>
        </is>
      </c>
      <c r="C1174" s="13" t="inlineStr">
        <is>
          <t>WEST</t>
        </is>
      </c>
      <c r="D1174" s="13" t="inlineStr">
        <is>
          <t>In-Store</t>
        </is>
      </c>
      <c r="E1174" s="13" t="inlineStr">
        <is>
          <t>Textiles</t>
        </is>
      </c>
      <c r="F1174" s="13" t="inlineStr">
        <is>
          <t>Linen Curtain</t>
        </is>
      </c>
      <c r="G1174" s="13" t="inlineStr">
        <is>
          <t>Consumer</t>
        </is>
      </c>
      <c r="H1174" s="13" t="inlineStr">
        <is>
          <t>3</t>
        </is>
      </c>
      <c r="I1174" s="14" t="inlineStr">
        <is>
          <t>$95.83</t>
        </is>
      </c>
      <c r="J1174" s="15" t="inlineStr">
        <is>
          <t>0.11</t>
        </is>
      </c>
      <c r="K1174" s="14" t="inlineStr">
        <is>
          <t>43.12</t>
        </is>
      </c>
      <c r="L1174" s="13" t="inlineStr">
        <is>
          <t>6</t>
        </is>
      </c>
      <c r="M1174" s="13" t="inlineStr">
        <is>
          <t>Completed</t>
        </is>
      </c>
      <c r="N1174" s="13" t="inlineStr">
        <is>
          <t>A. Shah</t>
        </is>
      </c>
    </row>
    <row r="1175">
      <c r="A1175" s="13" t="inlineStr">
        <is>
          <t>HC-101173</t>
        </is>
      </c>
      <c r="B1175" s="13" t="inlineStr">
        <is>
          <t>06-Dec-24</t>
        </is>
      </c>
      <c r="C1175" s="13" t="inlineStr">
        <is>
          <t>East</t>
        </is>
      </c>
      <c r="D1175" s="13" t="inlineStr">
        <is>
          <t>Online</t>
        </is>
      </c>
      <c r="E1175" s="13" t="inlineStr">
        <is>
          <t>Furniture</t>
        </is>
      </c>
      <c r="F1175" s="13" t="inlineStr">
        <is>
          <t>Linen Sofa</t>
        </is>
      </c>
      <c r="G1175" s="13" t="inlineStr"/>
      <c r="H1175" s="13" t="inlineStr">
        <is>
          <t>3</t>
        </is>
      </c>
      <c r="I1175" s="14" t="inlineStr">
        <is>
          <t>1036.25</t>
        </is>
      </c>
      <c r="J1175" s="15" t="inlineStr">
        <is>
          <t>0.03</t>
        </is>
      </c>
      <c r="K1175" s="14" t="inlineStr">
        <is>
          <t>683.92</t>
        </is>
      </c>
      <c r="L1175" s="13" t="inlineStr">
        <is>
          <t>N/A</t>
        </is>
      </c>
      <c r="M1175" s="13" t="inlineStr">
        <is>
          <t>complete</t>
        </is>
      </c>
      <c r="N1175" s="13" t="inlineStr">
        <is>
          <t>L. Berger</t>
        </is>
      </c>
    </row>
    <row r="1176">
      <c r="A1176" s="13" t="inlineStr">
        <is>
          <t>HC-101174</t>
        </is>
      </c>
      <c r="B1176" s="13" t="inlineStr">
        <is>
          <t>2025/08/18</t>
        </is>
      </c>
      <c r="C1176" s="13" t="inlineStr">
        <is>
          <t>east</t>
        </is>
      </c>
      <c r="D1176" s="13" t="inlineStr">
        <is>
          <t>e-commerce</t>
        </is>
      </c>
      <c r="E1176" s="13" t="inlineStr">
        <is>
          <t>Textiles</t>
        </is>
      </c>
      <c r="F1176" s="13" t="inlineStr">
        <is>
          <t>Wool Throw</t>
        </is>
      </c>
      <c r="G1176" s="13" t="inlineStr">
        <is>
          <t>Consumer</t>
        </is>
      </c>
      <c r="H1176" s="13" t="inlineStr">
        <is>
          <t>3</t>
        </is>
      </c>
      <c r="I1176" s="14" t="inlineStr">
        <is>
          <t>71.09</t>
        </is>
      </c>
      <c r="J1176" s="15" t="inlineStr">
        <is>
          <t>0.10</t>
        </is>
      </c>
      <c r="K1176" s="14" t="inlineStr">
        <is>
          <t>29.86</t>
        </is>
      </c>
      <c r="L1176" s="13" t="inlineStr">
        <is>
          <t>9</t>
        </is>
      </c>
      <c r="M1176" s="13" t="inlineStr">
        <is>
          <t>Completed</t>
        </is>
      </c>
      <c r="N1176" s="13" t="inlineStr">
        <is>
          <t>L. Berger</t>
        </is>
      </c>
    </row>
    <row r="1177">
      <c r="A1177" s="13" t="inlineStr">
        <is>
          <t>HC-101175</t>
        </is>
      </c>
      <c r="B1177" s="13" t="inlineStr">
        <is>
          <t>15.05.2024</t>
        </is>
      </c>
      <c r="C1177" s="13" t="inlineStr">
        <is>
          <t>South</t>
        </is>
      </c>
      <c r="D1177" s="13" t="inlineStr">
        <is>
          <t>Online</t>
        </is>
      </c>
      <c r="E1177" s="13" t="inlineStr">
        <is>
          <t>Furniture</t>
        </is>
      </c>
      <c r="F1177" s="13" t="inlineStr">
        <is>
          <t>Lounge Chair</t>
        </is>
      </c>
      <c r="G1177" s="13" t="inlineStr">
        <is>
          <t>Corporate</t>
        </is>
      </c>
      <c r="H1177" s="13" t="inlineStr">
        <is>
          <t>1</t>
        </is>
      </c>
      <c r="I1177" s="14" t="inlineStr">
        <is>
          <t>493.41</t>
        </is>
      </c>
      <c r="J1177" s="15" t="inlineStr">
        <is>
          <t>0.08</t>
        </is>
      </c>
      <c r="K1177" s="14" t="inlineStr">
        <is>
          <t>296.05</t>
        </is>
      </c>
      <c r="L1177" s="13" t="inlineStr">
        <is>
          <t>7</t>
        </is>
      </c>
      <c r="M1177" s="13" t="inlineStr">
        <is>
          <t>Completed</t>
        </is>
      </c>
      <c r="N1177" s="13" t="inlineStr">
        <is>
          <t>K. Mensah</t>
        </is>
      </c>
    </row>
    <row r="1178">
      <c r="A1178" s="13" t="inlineStr">
        <is>
          <t>HC-101176</t>
        </is>
      </c>
      <c r="B1178" s="13" t="inlineStr">
        <is>
          <t>04/01/2024</t>
        </is>
      </c>
      <c r="C1178" s="13" t="inlineStr">
        <is>
          <t>Eas</t>
        </is>
      </c>
      <c r="D1178" s="13" t="inlineStr">
        <is>
          <t>e-commerce</t>
        </is>
      </c>
      <c r="E1178" s="13" t="inlineStr">
        <is>
          <t>Furniture</t>
        </is>
      </c>
      <c r="F1178" s="13" t="inlineStr">
        <is>
          <t>Lounge Chair</t>
        </is>
      </c>
      <c r="G1178" s="13" t="inlineStr">
        <is>
          <t>corporate</t>
        </is>
      </c>
      <c r="H1178" s="13" t="inlineStr">
        <is>
          <t>2</t>
        </is>
      </c>
      <c r="I1178" s="14" t="inlineStr">
        <is>
          <t>$432.72</t>
        </is>
      </c>
      <c r="J1178" s="15" t="inlineStr">
        <is>
          <t>0.12</t>
        </is>
      </c>
      <c r="K1178" s="14" t="inlineStr">
        <is>
          <t>259.63</t>
        </is>
      </c>
      <c r="L1178" s="13" t="inlineStr">
        <is>
          <t>8</t>
        </is>
      </c>
      <c r="M1178" s="13" t="inlineStr">
        <is>
          <t>Cancelled</t>
        </is>
      </c>
      <c r="N1178" s="13" t="inlineStr">
        <is>
          <t>R. Ibarra</t>
        </is>
      </c>
    </row>
    <row r="1179">
      <c r="A1179" s="13" t="inlineStr">
        <is>
          <t>HC-101177</t>
        </is>
      </c>
      <c r="B1179" s="13" t="inlineStr">
        <is>
          <t>28-Feb-25</t>
        </is>
      </c>
      <c r="C1179" s="13" t="inlineStr">
        <is>
          <t>WEST</t>
        </is>
      </c>
      <c r="D1179" s="13" t="inlineStr">
        <is>
          <t>Wholesale</t>
        </is>
      </c>
      <c r="E1179" s="13" t="inlineStr">
        <is>
          <t>Kitchen</t>
        </is>
      </c>
      <c r="F1179" s="13" t="inlineStr">
        <is>
          <t>Ceramic Set</t>
        </is>
      </c>
      <c r="G1179" s="13" t="inlineStr">
        <is>
          <t>Corporate</t>
        </is>
      </c>
      <c r="H1179" s="13" t="inlineStr">
        <is>
          <t>20</t>
        </is>
      </c>
      <c r="I1179" s="14" t="inlineStr">
        <is>
          <t>86.05</t>
        </is>
      </c>
      <c r="J1179" s="15" t="inlineStr">
        <is>
          <t>0.23</t>
        </is>
      </c>
      <c r="K1179" s="14" t="inlineStr">
        <is>
          <t>32.70</t>
        </is>
      </c>
      <c r="L1179" s="13" t="inlineStr">
        <is>
          <t>4</t>
        </is>
      </c>
      <c r="M1179" s="13" t="inlineStr">
        <is>
          <t>COMPLETED</t>
        </is>
      </c>
      <c r="N1179" s="13" t="inlineStr">
        <is>
          <t>R. Ibarra</t>
        </is>
      </c>
    </row>
    <row r="1180">
      <c r="A1180" s="13" t="inlineStr">
        <is>
          <t>HC-101178</t>
        </is>
      </c>
      <c r="B1180" s="13" t="inlineStr">
        <is>
          <t>2025/08/19</t>
        </is>
      </c>
      <c r="C1180" s="13" t="inlineStr">
        <is>
          <t>West</t>
        </is>
      </c>
      <c r="D1180" s="13" t="inlineStr">
        <is>
          <t>Store</t>
        </is>
      </c>
      <c r="E1180" s="13" t="inlineStr">
        <is>
          <t>Textiles</t>
        </is>
      </c>
      <c r="F1180" s="13" t="inlineStr">
        <is>
          <t>Cotton Duvet</t>
        </is>
      </c>
      <c r="G1180" s="13" t="inlineStr">
        <is>
          <t>Corporate</t>
        </is>
      </c>
      <c r="H1180" s="13" t="inlineStr">
        <is>
          <t>4</t>
        </is>
      </c>
      <c r="I1180" s="14" t="inlineStr">
        <is>
          <t>125.30</t>
        </is>
      </c>
      <c r="J1180" s="15" t="inlineStr">
        <is>
          <t>10%</t>
        </is>
      </c>
      <c r="K1180" s="14" t="inlineStr">
        <is>
          <t>55.13</t>
        </is>
      </c>
      <c r="L1180" s="13" t="inlineStr">
        <is>
          <t>6</t>
        </is>
      </c>
      <c r="M1180" s="13" t="inlineStr">
        <is>
          <t>Compleated</t>
        </is>
      </c>
      <c r="N1180" s="13" t="inlineStr">
        <is>
          <t>S. Nguyen</t>
        </is>
      </c>
    </row>
    <row r="1181">
      <c r="A1181" s="13" t="inlineStr">
        <is>
          <t>HC-101179</t>
        </is>
      </c>
      <c r="B1181" s="13" t="inlineStr">
        <is>
          <t>09.02.2025</t>
        </is>
      </c>
      <c r="C1181" s="13" t="inlineStr">
        <is>
          <t>NORTH</t>
        </is>
      </c>
      <c r="D1181" s="13" t="inlineStr">
        <is>
          <t>Wholesale</t>
        </is>
      </c>
      <c r="E1181" s="13" t="inlineStr">
        <is>
          <t>FURNITURE</t>
        </is>
      </c>
      <c r="F1181" s="13" t="inlineStr">
        <is>
          <t>Linen Sofa</t>
        </is>
      </c>
      <c r="G1181" s="13" t="inlineStr">
        <is>
          <t>consumer</t>
        </is>
      </c>
      <c r="H1181" s="13" t="inlineStr">
        <is>
          <t>21</t>
        </is>
      </c>
      <c r="I1181" s="14" t="inlineStr">
        <is>
          <t>1280.52</t>
        </is>
      </c>
      <c r="J1181" s="15" t="inlineStr">
        <is>
          <t>0.30</t>
        </is>
      </c>
      <c r="K1181" s="14" t="inlineStr">
        <is>
          <t>845.15</t>
        </is>
      </c>
      <c r="L1181" s="13" t="inlineStr">
        <is>
          <t>2</t>
        </is>
      </c>
      <c r="M1181" s="13" t="inlineStr">
        <is>
          <t>Completed</t>
        </is>
      </c>
      <c r="N1181" s="13" t="inlineStr">
        <is>
          <t>L. Berger</t>
        </is>
      </c>
    </row>
    <row r="1182">
      <c r="A1182" s="13" t="inlineStr">
        <is>
          <t>HC-101180</t>
        </is>
      </c>
      <c r="B1182" s="13" t="inlineStr">
        <is>
          <t>05/01/2024</t>
        </is>
      </c>
      <c r="C1182" s="13" t="inlineStr">
        <is>
          <t>West</t>
        </is>
      </c>
      <c r="D1182" s="13" t="inlineStr">
        <is>
          <t>Online</t>
        </is>
      </c>
      <c r="E1182" s="13" t="inlineStr">
        <is>
          <t>Lighting</t>
        </is>
      </c>
      <c r="F1182" s="13" t="inlineStr">
        <is>
          <t>Pendant Light</t>
        </is>
      </c>
      <c r="G1182" s="13" t="inlineStr">
        <is>
          <t>Consumer</t>
        </is>
      </c>
      <c r="H1182" s="13" t="inlineStr">
        <is>
          <t>1</t>
        </is>
      </c>
      <c r="I1182" s="14" t="inlineStr">
        <is>
          <t>170.56</t>
        </is>
      </c>
      <c r="J1182" s="15" t="inlineStr">
        <is>
          <t>17%</t>
        </is>
      </c>
      <c r="K1182" s="14" t="inlineStr">
        <is>
          <t>85.28</t>
        </is>
      </c>
      <c r="L1182" s="13" t="inlineStr">
        <is>
          <t>7</t>
        </is>
      </c>
      <c r="M1182" s="13" t="inlineStr">
        <is>
          <t>Completed</t>
        </is>
      </c>
      <c r="N1182" s="13" t="inlineStr">
        <is>
          <t>S. Nguyen</t>
        </is>
      </c>
    </row>
    <row r="1183">
      <c r="A1183" s="13" t="inlineStr">
        <is>
          <t>HC-101181</t>
        </is>
      </c>
      <c r="B1183" s="13" t="inlineStr">
        <is>
          <t>16-Feb-25</t>
        </is>
      </c>
      <c r="C1183" s="13" t="inlineStr">
        <is>
          <t>West</t>
        </is>
      </c>
      <c r="D1183" s="13" t="inlineStr">
        <is>
          <t>Store</t>
        </is>
      </c>
      <c r="E1183" s="13" t="inlineStr">
        <is>
          <t>Kitchen</t>
        </is>
      </c>
      <c r="F1183" s="13" t="inlineStr">
        <is>
          <t>Cast Skillet</t>
        </is>
      </c>
      <c r="G1183" s="13" t="inlineStr">
        <is>
          <t>Consumer</t>
        </is>
      </c>
      <c r="H1183" s="13" t="inlineStr">
        <is>
          <t>1</t>
        </is>
      </c>
      <c r="I1183" s="14" t="inlineStr">
        <is>
          <t>54.11</t>
        </is>
      </c>
      <c r="J1183" s="15" t="inlineStr">
        <is>
          <t>0.03</t>
        </is>
      </c>
      <c r="K1183" s="14" t="inlineStr">
        <is>
          <t>21.64</t>
        </is>
      </c>
      <c r="L1183" s="13" t="inlineStr">
        <is>
          <t>5</t>
        </is>
      </c>
      <c r="M1183" s="13" t="inlineStr">
        <is>
          <t>Completed</t>
        </is>
      </c>
      <c r="N1183" s="13" t="inlineStr">
        <is>
          <t>P. Rossi</t>
        </is>
      </c>
    </row>
    <row r="1184">
      <c r="A1184" s="13" t="inlineStr">
        <is>
          <t>HC-101182</t>
        </is>
      </c>
      <c r="B1184" s="13" t="inlineStr">
        <is>
          <t>2025/03/24</t>
        </is>
      </c>
      <c r="C1184" s="13" t="inlineStr">
        <is>
          <t>West</t>
        </is>
      </c>
      <c r="D1184" s="13" t="inlineStr">
        <is>
          <t>Wholesale</t>
        </is>
      </c>
      <c r="E1184" s="13" t="inlineStr">
        <is>
          <t>Lighting</t>
        </is>
      </c>
      <c r="F1184" s="13" t="inlineStr">
        <is>
          <t>Brass Sconce</t>
        </is>
      </c>
      <c r="G1184" s="13" t="inlineStr">
        <is>
          <t>Consumer</t>
        </is>
      </c>
      <c r="H1184" s="13" t="inlineStr">
        <is>
          <t>20</t>
        </is>
      </c>
      <c r="I1184" s="14" t="inlineStr">
        <is>
          <t>136.00</t>
        </is>
      </c>
      <c r="J1184" s="15" t="inlineStr">
        <is>
          <t>0.27</t>
        </is>
      </c>
      <c r="K1184" s="14" t="inlineStr">
        <is>
          <t>62.56</t>
        </is>
      </c>
      <c r="L1184" s="13" t="inlineStr">
        <is>
          <t>3</t>
        </is>
      </c>
      <c r="M1184" s="13" t="inlineStr">
        <is>
          <t>Completed</t>
        </is>
      </c>
      <c r="N1184" s="13" t="inlineStr">
        <is>
          <t>J. Patel</t>
        </is>
      </c>
    </row>
    <row r="1185">
      <c r="A1185" s="13" t="inlineStr">
        <is>
          <t>HC-101183</t>
        </is>
      </c>
      <c r="B1185" s="13" t="inlineStr">
        <is>
          <t>09.04.2024</t>
        </is>
      </c>
      <c r="C1185" s="13" t="inlineStr">
        <is>
          <t>North</t>
        </is>
      </c>
      <c r="D1185" s="13" t="inlineStr">
        <is>
          <t>Online</t>
        </is>
      </c>
      <c r="E1185" s="13" t="inlineStr">
        <is>
          <t>Textiles</t>
        </is>
      </c>
      <c r="F1185" s="13" t="inlineStr">
        <is>
          <t>Cotton Duvet</t>
        </is>
      </c>
      <c r="G1185" s="13" t="inlineStr">
        <is>
          <t>Home Office</t>
        </is>
      </c>
      <c r="H1185" s="13" t="inlineStr">
        <is>
          <t>3</t>
        </is>
      </c>
      <c r="I1185" s="14" t="inlineStr">
        <is>
          <t>128.27</t>
        </is>
      </c>
      <c r="J1185" s="15" t="inlineStr">
        <is>
          <t>0.06</t>
        </is>
      </c>
      <c r="K1185" s="14" t="inlineStr">
        <is>
          <t>56.44</t>
        </is>
      </c>
      <c r="L1185" s="13" t="inlineStr">
        <is>
          <t>7</t>
        </is>
      </c>
      <c r="M1185" s="13" t="inlineStr">
        <is>
          <t>Completed</t>
        </is>
      </c>
      <c r="N1185" s="13" t="inlineStr">
        <is>
          <t>A. Shah</t>
        </is>
      </c>
    </row>
    <row r="1186">
      <c r="A1186" s="13" t="inlineStr">
        <is>
          <t>HC-101184</t>
        </is>
      </c>
      <c r="B1186" s="13" t="inlineStr">
        <is>
          <t>06/16/2024</t>
        </is>
      </c>
      <c r="C1186" s="13" t="inlineStr">
        <is>
          <t>South</t>
        </is>
      </c>
      <c r="D1186" s="13" t="inlineStr">
        <is>
          <t>B2B</t>
        </is>
      </c>
      <c r="E1186" s="13" t="inlineStr">
        <is>
          <t>Furniture</t>
        </is>
      </c>
      <c r="F1186" s="13" t="inlineStr">
        <is>
          <t>Lounge Chair</t>
        </is>
      </c>
      <c r="G1186" s="13" t="inlineStr">
        <is>
          <t>Consumer</t>
        </is>
      </c>
      <c r="H1186" s="13" t="inlineStr">
        <is>
          <t>15</t>
        </is>
      </c>
      <c r="I1186" s="14" t="inlineStr">
        <is>
          <t>478.55</t>
        </is>
      </c>
      <c r="J1186" s="15" t="inlineStr">
        <is>
          <t>0.15</t>
        </is>
      </c>
      <c r="K1186" s="14" t="inlineStr">
        <is>
          <t>287.13</t>
        </is>
      </c>
      <c r="L1186" s="13" t="inlineStr">
        <is>
          <t>5</t>
        </is>
      </c>
      <c r="M1186" s="13" t="inlineStr">
        <is>
          <t>Completed</t>
        </is>
      </c>
      <c r="N1186" s="13" t="inlineStr">
        <is>
          <t>A. Shah</t>
        </is>
      </c>
    </row>
    <row r="1187">
      <c r="A1187" s="13" t="inlineStr">
        <is>
          <t>HC-101185</t>
        </is>
      </c>
      <c r="B1187" s="13" t="inlineStr">
        <is>
          <t>26-Jan-25</t>
        </is>
      </c>
      <c r="C1187" s="13" t="inlineStr">
        <is>
          <t>South</t>
        </is>
      </c>
      <c r="D1187" s="13" t="inlineStr">
        <is>
          <t>Store</t>
        </is>
      </c>
      <c r="E1187" s="13" t="inlineStr">
        <is>
          <t>Furniture</t>
        </is>
      </c>
      <c r="F1187" s="13" t="inlineStr">
        <is>
          <t>Walnut Shelf</t>
        </is>
      </c>
      <c r="G1187" s="13" t="inlineStr">
        <is>
          <t>consumer</t>
        </is>
      </c>
      <c r="H1187" s="13" t="inlineStr">
        <is>
          <t>2</t>
        </is>
      </c>
      <c r="I1187" s="14" t="inlineStr">
        <is>
          <t>237.01</t>
        </is>
      </c>
      <c r="J1187" s="15" t="inlineStr">
        <is>
          <t>0.06</t>
        </is>
      </c>
      <c r="K1187" s="14" t="inlineStr">
        <is>
          <t>130.35</t>
        </is>
      </c>
      <c r="L1187" s="13" t="inlineStr">
        <is>
          <t>8</t>
        </is>
      </c>
      <c r="M1187" s="13" t="inlineStr">
        <is>
          <t>Completed</t>
        </is>
      </c>
      <c r="N1187" s="13" t="inlineStr">
        <is>
          <t>S. Nguyen</t>
        </is>
      </c>
    </row>
    <row r="1188">
      <c r="A1188" s="13" t="inlineStr">
        <is>
          <t>HC-101186</t>
        </is>
      </c>
      <c r="B1188" s="13" t="inlineStr">
        <is>
          <t>2025/08/01</t>
        </is>
      </c>
      <c r="C1188" s="13" t="inlineStr">
        <is>
          <t>North</t>
        </is>
      </c>
      <c r="D1188" s="13" t="inlineStr">
        <is>
          <t>retail</t>
        </is>
      </c>
      <c r="E1188" s="13" t="inlineStr">
        <is>
          <t>Furniture</t>
        </is>
      </c>
      <c r="F1188" s="13" t="inlineStr">
        <is>
          <t>Linen Sofa</t>
        </is>
      </c>
      <c r="G1188" s="13" t="inlineStr">
        <is>
          <t>Corporate</t>
        </is>
      </c>
      <c r="H1188" s="13" t="inlineStr">
        <is>
          <t>1</t>
        </is>
      </c>
      <c r="I1188" s="14" t="inlineStr">
        <is>
          <t>1312.80</t>
        </is>
      </c>
      <c r="J1188" s="15" t="inlineStr">
        <is>
          <t>0.10</t>
        </is>
      </c>
      <c r="K1188" s="14" t="inlineStr">
        <is>
          <t>866.45</t>
        </is>
      </c>
      <c r="L1188" s="13" t="inlineStr">
        <is>
          <t>8</t>
        </is>
      </c>
      <c r="M1188" s="13" t="inlineStr">
        <is>
          <t>Completed</t>
        </is>
      </c>
      <c r="N1188" s="13" t="inlineStr">
        <is>
          <t>K. Mensah</t>
        </is>
      </c>
    </row>
    <row r="1189">
      <c r="A1189" s="13" t="inlineStr">
        <is>
          <t>HC-101187</t>
        </is>
      </c>
      <c r="B1189" s="13" t="inlineStr">
        <is>
          <t>26.04.2024</t>
        </is>
      </c>
      <c r="C1189" s="13" t="inlineStr">
        <is>
          <t>West</t>
        </is>
      </c>
      <c r="D1189" s="13" t="inlineStr">
        <is>
          <t>Store</t>
        </is>
      </c>
      <c r="E1189" s="13" t="inlineStr">
        <is>
          <t>Furniture</t>
        </is>
      </c>
      <c r="F1189" s="13" t="inlineStr">
        <is>
          <t>Lounge Chair</t>
        </is>
      </c>
      <c r="G1189" s="13" t="inlineStr">
        <is>
          <t>Consumer</t>
        </is>
      </c>
      <c r="H1189" s="13" t="inlineStr">
        <is>
          <t>1</t>
        </is>
      </c>
      <c r="I1189" s="14" t="inlineStr">
        <is>
          <t>487.96</t>
        </is>
      </c>
      <c r="J1189" s="15" t="inlineStr">
        <is>
          <t>0.00</t>
        </is>
      </c>
      <c r="K1189" s="14" t="inlineStr">
        <is>
          <t>292.78</t>
        </is>
      </c>
      <c r="L1189" s="13" t="inlineStr">
        <is>
          <t>N/A</t>
        </is>
      </c>
      <c r="M1189" s="13" t="inlineStr">
        <is>
          <t>Completed</t>
        </is>
      </c>
      <c r="N1189" s="13" t="inlineStr">
        <is>
          <t>M. Okonkwo</t>
        </is>
      </c>
    </row>
    <row r="1190">
      <c r="A1190" s="13" t="inlineStr">
        <is>
          <t>HC-101188</t>
        </is>
      </c>
      <c r="B1190" s="13" t="inlineStr">
        <is>
          <t>11/16/2024</t>
        </is>
      </c>
      <c r="C1190" s="13" t="inlineStr">
        <is>
          <t>EAST</t>
        </is>
      </c>
      <c r="D1190" s="13" t="inlineStr">
        <is>
          <t>Online</t>
        </is>
      </c>
      <c r="E1190" s="13" t="inlineStr">
        <is>
          <t>Furniture</t>
        </is>
      </c>
      <c r="F1190" s="13" t="inlineStr">
        <is>
          <t>Walnut Shelf</t>
        </is>
      </c>
      <c r="G1190" s="13" t="inlineStr">
        <is>
          <t>Home Office</t>
        </is>
      </c>
      <c r="H1190" s="13" t="inlineStr">
        <is>
          <t>4</t>
        </is>
      </c>
      <c r="I1190" s="14" t="inlineStr">
        <is>
          <t>185.19</t>
        </is>
      </c>
      <c r="J1190" s="15" t="inlineStr">
        <is>
          <t>0.14</t>
        </is>
      </c>
      <c r="K1190" s="14" t="inlineStr">
        <is>
          <t>101.86</t>
        </is>
      </c>
      <c r="L1190" s="13" t="inlineStr">
        <is>
          <t>6</t>
        </is>
      </c>
      <c r="M1190" s="13" t="inlineStr">
        <is>
          <t>COMPLETED</t>
        </is>
      </c>
      <c r="N1190" s="13" t="inlineStr">
        <is>
          <t>L. Berger</t>
        </is>
      </c>
    </row>
    <row r="1191">
      <c r="A1191" s="13" t="inlineStr">
        <is>
          <t>HC-101189</t>
        </is>
      </c>
      <c r="B1191" s="13" t="inlineStr">
        <is>
          <t>26-Oct-24</t>
        </is>
      </c>
      <c r="C1191" s="13" t="inlineStr">
        <is>
          <t>South</t>
        </is>
      </c>
      <c r="D1191" s="13" t="inlineStr">
        <is>
          <t>Store</t>
        </is>
      </c>
      <c r="E1191" s="13" t="inlineStr">
        <is>
          <t>Furniture</t>
        </is>
      </c>
      <c r="F1191" s="13" t="inlineStr">
        <is>
          <t>Linen Sofa</t>
        </is>
      </c>
      <c r="G1191" s="13" t="inlineStr">
        <is>
          <t>Corporate</t>
        </is>
      </c>
      <c r="H1191" s="13" t="inlineStr">
        <is>
          <t>1</t>
        </is>
      </c>
      <c r="I1191" s="14" t="inlineStr">
        <is>
          <t>1217.31</t>
        </is>
      </c>
      <c r="J1191" s="15" t="inlineStr">
        <is>
          <t>0.08</t>
        </is>
      </c>
      <c r="K1191" s="14" t="inlineStr">
        <is>
          <t>803.43</t>
        </is>
      </c>
      <c r="L1191" s="13" t="inlineStr">
        <is>
          <t>3</t>
        </is>
      </c>
      <c r="M1191" s="13" t="inlineStr">
        <is>
          <t>Completed</t>
        </is>
      </c>
      <c r="N1191" s="13" t="inlineStr">
        <is>
          <t>A. Shah</t>
        </is>
      </c>
    </row>
    <row r="1192">
      <c r="A1192" s="13" t="inlineStr">
        <is>
          <t>HC-101190</t>
        </is>
      </c>
      <c r="B1192" s="13" t="inlineStr">
        <is>
          <t>2024/05/30</t>
        </is>
      </c>
      <c r="C1192" s="13" t="inlineStr">
        <is>
          <t>West</t>
        </is>
      </c>
      <c r="D1192" s="13" t="inlineStr">
        <is>
          <t>Online</t>
        </is>
      </c>
      <c r="E1192" s="13" t="inlineStr">
        <is>
          <t>Kitchen</t>
        </is>
      </c>
      <c r="F1192" s="13" t="inlineStr">
        <is>
          <t>Cast Skillet</t>
        </is>
      </c>
      <c r="G1192" s="13" t="inlineStr"/>
      <c r="H1192" s="13" t="inlineStr">
        <is>
          <t>3</t>
        </is>
      </c>
      <c r="I1192" s="14" t="inlineStr">
        <is>
          <t>54.24</t>
        </is>
      </c>
      <c r="J1192" s="15" t="inlineStr">
        <is>
          <t>0.14</t>
        </is>
      </c>
      <c r="K1192" s="14" t="inlineStr">
        <is>
          <t>21.70</t>
        </is>
      </c>
      <c r="L1192" s="13" t="inlineStr">
        <is>
          <t>8</t>
        </is>
      </c>
      <c r="M1192" s="13" t="inlineStr">
        <is>
          <t>Returned</t>
        </is>
      </c>
      <c r="N1192" s="13" t="inlineStr">
        <is>
          <t>M. Okonkwo</t>
        </is>
      </c>
    </row>
    <row r="1193">
      <c r="A1193" s="13" t="inlineStr">
        <is>
          <t>HC-101191</t>
        </is>
      </c>
      <c r="B1193" s="13" t="inlineStr">
        <is>
          <t>14.05.2025</t>
        </is>
      </c>
      <c r="C1193" s="13" t="inlineStr">
        <is>
          <t>South</t>
        </is>
      </c>
      <c r="D1193" s="13" t="inlineStr">
        <is>
          <t>Store</t>
        </is>
      </c>
      <c r="E1193" s="13" t="inlineStr">
        <is>
          <t>Furniture</t>
        </is>
      </c>
      <c r="F1193" s="13" t="inlineStr">
        <is>
          <t>Oak Desk</t>
        </is>
      </c>
      <c r="G1193" s="13" t="inlineStr">
        <is>
          <t>Consumer</t>
        </is>
      </c>
      <c r="H1193" s="13" t="inlineStr">
        <is>
          <t>1</t>
        </is>
      </c>
      <c r="I1193" s="14" t="inlineStr">
        <is>
          <t>858.76</t>
        </is>
      </c>
      <c r="J1193" s="15" t="inlineStr">
        <is>
          <t>0.06</t>
        </is>
      </c>
      <c r="K1193" s="14" t="inlineStr">
        <is>
          <t>532.43</t>
        </is>
      </c>
      <c r="L1193" s="13" t="inlineStr">
        <is>
          <t>N/A</t>
        </is>
      </c>
      <c r="M1193" s="13" t="inlineStr">
        <is>
          <t>Completed</t>
        </is>
      </c>
      <c r="N1193" s="13" t="inlineStr">
        <is>
          <t>A. Shah</t>
        </is>
      </c>
    </row>
    <row r="1194">
      <c r="A1194" s="13" t="inlineStr">
        <is>
          <t>HC-101192</t>
        </is>
      </c>
      <c r="B1194" s="13" t="inlineStr">
        <is>
          <t>10/05/2024</t>
        </is>
      </c>
      <c r="C1194" s="13" t="inlineStr">
        <is>
          <t>Nort</t>
        </is>
      </c>
      <c r="D1194" s="13" t="inlineStr">
        <is>
          <t>Store</t>
        </is>
      </c>
      <c r="E1194" s="13" t="inlineStr">
        <is>
          <t>KITCHEN</t>
        </is>
      </c>
      <c r="F1194" s="13" t="inlineStr">
        <is>
          <t>Chef Knife</t>
        </is>
      </c>
      <c r="G1194" s="13" t="inlineStr">
        <is>
          <t>Corporate</t>
        </is>
      </c>
      <c r="H1194" s="13" t="inlineStr">
        <is>
          <t>1</t>
        </is>
      </c>
      <c r="I1194" s="14" t="inlineStr">
        <is>
          <t>68.12</t>
        </is>
      </c>
      <c r="J1194" s="15" t="inlineStr">
        <is>
          <t>0.09</t>
        </is>
      </c>
      <c r="K1194" s="14" t="inlineStr">
        <is>
          <t>24.52</t>
        </is>
      </c>
      <c r="L1194" s="13" t="inlineStr">
        <is>
          <t>8</t>
        </is>
      </c>
      <c r="M1194" s="13" t="inlineStr">
        <is>
          <t>Completed</t>
        </is>
      </c>
      <c r="N1194" s="13" t="inlineStr">
        <is>
          <t>P. Rossi</t>
        </is>
      </c>
    </row>
    <row r="1195">
      <c r="A1195" s="13" t="inlineStr">
        <is>
          <t>HC-101193</t>
        </is>
      </c>
      <c r="B1195" s="13" t="inlineStr">
        <is>
          <t>22-Aug-25</t>
        </is>
      </c>
      <c r="C1195" s="13" t="inlineStr">
        <is>
          <t>West</t>
        </is>
      </c>
      <c r="D1195" s="13" t="inlineStr">
        <is>
          <t>Store</t>
        </is>
      </c>
      <c r="E1195" s="13" t="inlineStr">
        <is>
          <t>Kitchen</t>
        </is>
      </c>
      <c r="F1195" s="13" t="inlineStr">
        <is>
          <t>Cast Skillet</t>
        </is>
      </c>
      <c r="G1195" s="13" t="inlineStr">
        <is>
          <t>Consumer</t>
        </is>
      </c>
      <c r="H1195" s="13" t="inlineStr">
        <is>
          <t>1</t>
        </is>
      </c>
      <c r="I1195" s="14" t="inlineStr">
        <is>
          <t>51.48</t>
        </is>
      </c>
      <c r="J1195" s="15" t="inlineStr">
        <is>
          <t>0.00</t>
        </is>
      </c>
      <c r="K1195" s="14" t="inlineStr">
        <is>
          <t>20.59</t>
        </is>
      </c>
      <c r="L1195" s="13" t="inlineStr">
        <is>
          <t>7</t>
        </is>
      </c>
      <c r="M1195" s="13" t="inlineStr">
        <is>
          <t>Completed</t>
        </is>
      </c>
      <c r="N1195" s="13" t="inlineStr">
        <is>
          <t>R. Ibarra</t>
        </is>
      </c>
    </row>
    <row r="1196">
      <c r="A1196" s="13" t="inlineStr">
        <is>
          <t>HC-101194</t>
        </is>
      </c>
      <c r="B1196" s="13" t="inlineStr">
        <is>
          <t>2025/01/30</t>
        </is>
      </c>
      <c r="C1196" s="13" t="inlineStr">
        <is>
          <t>North</t>
        </is>
      </c>
      <c r="D1196" s="13" t="inlineStr">
        <is>
          <t>Online</t>
        </is>
      </c>
      <c r="E1196" s="13" t="inlineStr">
        <is>
          <t>Lighting</t>
        </is>
      </c>
      <c r="F1196" s="13" t="inlineStr">
        <is>
          <t>Pendant Light</t>
        </is>
      </c>
      <c r="G1196" s="13" t="inlineStr">
        <is>
          <t>Corporate</t>
        </is>
      </c>
      <c r="H1196" s="13" t="inlineStr">
        <is>
          <t>1</t>
        </is>
      </c>
      <c r="I1196" s="14" t="inlineStr">
        <is>
          <t>178.87</t>
        </is>
      </c>
      <c r="J1196" s="15" t="inlineStr">
        <is>
          <t>0.09</t>
        </is>
      </c>
      <c r="K1196" s="14" t="inlineStr">
        <is>
          <t>89.43</t>
        </is>
      </c>
      <c r="L1196" s="13" t="inlineStr">
        <is>
          <t>4</t>
        </is>
      </c>
      <c r="M1196" s="13" t="inlineStr">
        <is>
          <t>complete</t>
        </is>
      </c>
      <c r="N1196" s="13" t="inlineStr">
        <is>
          <t>J. Patel</t>
        </is>
      </c>
    </row>
    <row r="1197">
      <c r="A1197" s="13" t="inlineStr">
        <is>
          <t>HC-101195</t>
        </is>
      </c>
      <c r="B1197" s="13" t="inlineStr">
        <is>
          <t>08.06.2024</t>
        </is>
      </c>
      <c r="C1197" s="13" t="inlineStr">
        <is>
          <t>South</t>
        </is>
      </c>
      <c r="D1197" s="13" t="inlineStr">
        <is>
          <t>Store</t>
        </is>
      </c>
      <c r="E1197" s="13" t="inlineStr">
        <is>
          <t>Furniture</t>
        </is>
      </c>
      <c r="F1197" s="13" t="inlineStr">
        <is>
          <t>Lounge Chair</t>
        </is>
      </c>
      <c r="G1197" s="13" t="inlineStr">
        <is>
          <t>Home Office</t>
        </is>
      </c>
      <c r="H1197" s="13" t="inlineStr">
        <is>
          <t>1</t>
        </is>
      </c>
      <c r="I1197" s="14" t="inlineStr">
        <is>
          <t>489.54</t>
        </is>
      </c>
      <c r="J1197" s="15" t="inlineStr">
        <is>
          <t>0.06</t>
        </is>
      </c>
      <c r="K1197" s="14" t="inlineStr">
        <is>
          <t>293.72</t>
        </is>
      </c>
      <c r="L1197" s="13" t="inlineStr">
        <is>
          <t>7</t>
        </is>
      </c>
      <c r="M1197" s="13" t="inlineStr">
        <is>
          <t>COMPLETED</t>
        </is>
      </c>
      <c r="N1197" s="13" t="inlineStr">
        <is>
          <t>P. Rossi</t>
        </is>
      </c>
    </row>
    <row r="1198">
      <c r="A1198" s="13" t="inlineStr">
        <is>
          <t>HC-101196</t>
        </is>
      </c>
      <c r="B1198" s="13" t="inlineStr">
        <is>
          <t>07/15/2025</t>
        </is>
      </c>
      <c r="C1198" s="13" t="inlineStr">
        <is>
          <t>South</t>
        </is>
      </c>
      <c r="D1198" s="13" t="inlineStr">
        <is>
          <t>Online</t>
        </is>
      </c>
      <c r="E1198" s="13" t="inlineStr">
        <is>
          <t>Textiles</t>
        </is>
      </c>
      <c r="F1198" s="13" t="inlineStr">
        <is>
          <t>Cotton Duvet</t>
        </is>
      </c>
      <c r="G1198" s="13" t="inlineStr">
        <is>
          <t>Consumer</t>
        </is>
      </c>
      <c r="H1198" s="13" t="inlineStr">
        <is>
          <t>2</t>
        </is>
      </c>
      <c r="I1198" s="14" t="inlineStr">
        <is>
          <t>128.21</t>
        </is>
      </c>
      <c r="J1198" s="15" t="inlineStr">
        <is>
          <t>0.15</t>
        </is>
      </c>
      <c r="K1198" s="14" t="inlineStr">
        <is>
          <t>56.41</t>
        </is>
      </c>
      <c r="L1198" s="13" t="inlineStr">
        <is>
          <t>3</t>
        </is>
      </c>
      <c r="M1198" s="13" t="inlineStr">
        <is>
          <t>Completed</t>
        </is>
      </c>
      <c r="N1198" s="13" t="inlineStr">
        <is>
          <t>L. Berger</t>
        </is>
      </c>
    </row>
    <row r="1199">
      <c r="A1199" s="13" t="inlineStr">
        <is>
          <t>HC-101197</t>
        </is>
      </c>
      <c r="B1199" s="13" t="inlineStr">
        <is>
          <t>28-Nov-24</t>
        </is>
      </c>
      <c r="C1199" s="13" t="inlineStr">
        <is>
          <t>South</t>
        </is>
      </c>
      <c r="D1199" s="13" t="inlineStr">
        <is>
          <t>Store</t>
        </is>
      </c>
      <c r="E1199" s="13" t="inlineStr">
        <is>
          <t>Furniture</t>
        </is>
      </c>
      <c r="F1199" s="13" t="inlineStr">
        <is>
          <t>Walnut Shelf</t>
        </is>
      </c>
      <c r="G1199" s="13" t="inlineStr">
        <is>
          <t>Consumer</t>
        </is>
      </c>
      <c r="H1199" s="13" t="inlineStr">
        <is>
          <t>4</t>
        </is>
      </c>
      <c r="I1199" s="14" t="inlineStr">
        <is>
          <t>203.57</t>
        </is>
      </c>
      <c r="J1199" s="15" t="inlineStr">
        <is>
          <t>4%</t>
        </is>
      </c>
      <c r="K1199" s="14" t="inlineStr">
        <is>
          <t>111.96</t>
        </is>
      </c>
      <c r="L1199" s="13" t="inlineStr">
        <is>
          <t>5</t>
        </is>
      </c>
      <c r="M1199" s="13" t="inlineStr">
        <is>
          <t>Completed</t>
        </is>
      </c>
      <c r="N1199" s="13" t="inlineStr">
        <is>
          <t>K. Mensah</t>
        </is>
      </c>
    </row>
    <row r="1200">
      <c r="A1200" s="13" t="inlineStr">
        <is>
          <t>HC-101198</t>
        </is>
      </c>
      <c r="B1200" s="13" t="inlineStr">
        <is>
          <t>2024/09/09</t>
        </is>
      </c>
      <c r="C1200" s="13" t="inlineStr">
        <is>
          <t>East</t>
        </is>
      </c>
      <c r="D1200" s="13" t="inlineStr">
        <is>
          <t>Online</t>
        </is>
      </c>
      <c r="E1200" s="13" t="inlineStr">
        <is>
          <t>Kitchen</t>
        </is>
      </c>
      <c r="F1200" s="13" t="inlineStr">
        <is>
          <t>Cast Skillet</t>
        </is>
      </c>
      <c r="G1200" s="13" t="inlineStr">
        <is>
          <t>Consumer</t>
        </is>
      </c>
      <c r="H1200" s="13" t="inlineStr">
        <is>
          <t>2</t>
        </is>
      </c>
      <c r="I1200" s="14" t="inlineStr">
        <is>
          <t>48.90</t>
        </is>
      </c>
      <c r="J1200" s="15" t="inlineStr">
        <is>
          <t>0.06</t>
        </is>
      </c>
      <c r="K1200" s="14" t="inlineStr">
        <is>
          <t>19.56</t>
        </is>
      </c>
      <c r="L1200" s="13" t="inlineStr">
        <is>
          <t>7</t>
        </is>
      </c>
      <c r="M1200" s="13" t="inlineStr">
        <is>
          <t>Completed</t>
        </is>
      </c>
      <c r="N1200" s="13" t="inlineStr">
        <is>
          <t>L. Berger</t>
        </is>
      </c>
    </row>
    <row r="1201">
      <c r="A1201" s="13" t="inlineStr">
        <is>
          <t>HC-101199</t>
        </is>
      </c>
      <c r="B1201" s="13" t="inlineStr">
        <is>
          <t>08.01.2024</t>
        </is>
      </c>
      <c r="C1201" s="13" t="inlineStr">
        <is>
          <t>West</t>
        </is>
      </c>
      <c r="D1201" s="13" t="inlineStr">
        <is>
          <t>Online</t>
        </is>
      </c>
      <c r="E1201" s="13" t="inlineStr">
        <is>
          <t>Furniture</t>
        </is>
      </c>
      <c r="F1201" s="13" t="inlineStr">
        <is>
          <t>Linen Sofa</t>
        </is>
      </c>
      <c r="G1201" s="13" t="inlineStr">
        <is>
          <t>home office</t>
        </is>
      </c>
      <c r="H1201" s="13" t="inlineStr">
        <is>
          <t>1</t>
        </is>
      </c>
      <c r="I1201" s="14" t="inlineStr">
        <is>
          <t>$1,247.45</t>
        </is>
      </c>
      <c r="J1201" s="15" t="inlineStr">
        <is>
          <t>16%</t>
        </is>
      </c>
      <c r="K1201" s="14" t="inlineStr">
        <is>
          <t>823.32</t>
        </is>
      </c>
      <c r="L1201" s="13" t="inlineStr">
        <is>
          <t>5</t>
        </is>
      </c>
      <c r="M1201" s="13" t="inlineStr">
        <is>
          <t>complete</t>
        </is>
      </c>
      <c r="N1201" s="13" t="inlineStr">
        <is>
          <t>K. Mensah</t>
        </is>
      </c>
    </row>
    <row r="1202">
      <c r="A1202" s="13" t="inlineStr">
        <is>
          <t>HC-101200</t>
        </is>
      </c>
      <c r="B1202" s="13" t="inlineStr">
        <is>
          <t>01/17/2024</t>
        </is>
      </c>
      <c r="C1202" s="13" t="inlineStr">
        <is>
          <t>South</t>
        </is>
      </c>
      <c r="D1202" s="13" t="inlineStr">
        <is>
          <t>Online</t>
        </is>
      </c>
      <c r="E1202" s="13" t="inlineStr">
        <is>
          <t>Textiles</t>
        </is>
      </c>
      <c r="F1202" s="13" t="inlineStr">
        <is>
          <t>Wool Throw</t>
        </is>
      </c>
      <c r="G1202" s="13" t="inlineStr">
        <is>
          <t>Consumer</t>
        </is>
      </c>
      <c r="H1202" s="13" t="inlineStr">
        <is>
          <t>3</t>
        </is>
      </c>
      <c r="I1202" s="14" t="inlineStr">
        <is>
          <t>72.31</t>
        </is>
      </c>
      <c r="J1202" s="15" t="inlineStr">
        <is>
          <t>0.18</t>
        </is>
      </c>
      <c r="K1202" s="14" t="inlineStr">
        <is>
          <t>30.37</t>
        </is>
      </c>
      <c r="L1202" s="13" t="inlineStr">
        <is>
          <t>6</t>
        </is>
      </c>
      <c r="M1202" s="13" t="inlineStr">
        <is>
          <t>Completed</t>
        </is>
      </c>
      <c r="N1202" s="13" t="inlineStr">
        <is>
          <t>L. Berger</t>
        </is>
      </c>
    </row>
    <row r="1203">
      <c r="A1203" s="13" t="inlineStr">
        <is>
          <t>HC-101201</t>
        </is>
      </c>
      <c r="B1203" s="13" t="inlineStr">
        <is>
          <t>31-May-25</t>
        </is>
      </c>
      <c r="C1203" s="13" t="inlineStr">
        <is>
          <t>SOUTH</t>
        </is>
      </c>
      <c r="D1203" s="13" t="inlineStr">
        <is>
          <t>Wholesale</t>
        </is>
      </c>
      <c r="E1203" s="13" t="inlineStr">
        <is>
          <t>Lighting</t>
        </is>
      </c>
      <c r="F1203" s="13" t="inlineStr">
        <is>
          <t>Brass Sconce</t>
        </is>
      </c>
      <c r="G1203" s="13" t="inlineStr">
        <is>
          <t>home office</t>
        </is>
      </c>
      <c r="H1203" s="13" t="inlineStr">
        <is>
          <t>27</t>
        </is>
      </c>
      <c r="I1203" s="14" t="inlineStr">
        <is>
          <t>133.16</t>
        </is>
      </c>
      <c r="J1203" s="15" t="inlineStr">
        <is>
          <t>0.19</t>
        </is>
      </c>
      <c r="K1203" s="14" t="inlineStr">
        <is>
          <t>61.25</t>
        </is>
      </c>
      <c r="L1203" s="13" t="inlineStr">
        <is>
          <t>6</t>
        </is>
      </c>
      <c r="M1203" s="13" t="inlineStr">
        <is>
          <t>Completed</t>
        </is>
      </c>
      <c r="N1203" s="13" t="inlineStr">
        <is>
          <t>P. Rossi</t>
        </is>
      </c>
    </row>
    <row r="1204">
      <c r="A1204" s="13" t="inlineStr">
        <is>
          <t>HC-101202</t>
        </is>
      </c>
      <c r="B1204" s="13" t="inlineStr">
        <is>
          <t>2024/06/23</t>
        </is>
      </c>
      <c r="C1204" s="13" t="inlineStr">
        <is>
          <t xml:space="preserve"> North </t>
        </is>
      </c>
      <c r="D1204" s="13" t="inlineStr">
        <is>
          <t>Store</t>
        </is>
      </c>
      <c r="E1204" s="13" t="inlineStr">
        <is>
          <t>Furniture</t>
        </is>
      </c>
      <c r="F1204" s="13" t="inlineStr">
        <is>
          <t>Oak Desk</t>
        </is>
      </c>
      <c r="G1204" s="13" t="inlineStr">
        <is>
          <t>consumer</t>
        </is>
      </c>
      <c r="H1204" s="13" t="inlineStr">
        <is>
          <t>3</t>
        </is>
      </c>
      <c r="I1204" s="14" t="inlineStr">
        <is>
          <t>824.47</t>
        </is>
      </c>
      <c r="J1204" s="15" t="inlineStr">
        <is>
          <t>0.03</t>
        </is>
      </c>
      <c r="K1204" s="14" t="inlineStr">
        <is>
          <t>511.17</t>
        </is>
      </c>
      <c r="L1204" s="13" t="inlineStr">
        <is>
          <t>6</t>
        </is>
      </c>
      <c r="M1204" s="13" t="inlineStr">
        <is>
          <t>Completed</t>
        </is>
      </c>
      <c r="N1204" s="13" t="inlineStr">
        <is>
          <t>R. Ibarra</t>
        </is>
      </c>
    </row>
    <row r="1205">
      <c r="A1205" s="13" t="inlineStr">
        <is>
          <t>HC-101203</t>
        </is>
      </c>
      <c r="B1205" s="13" t="inlineStr">
        <is>
          <t>01.01.2024</t>
        </is>
      </c>
      <c r="C1205" s="13" t="inlineStr">
        <is>
          <t>east</t>
        </is>
      </c>
      <c r="D1205" s="13" t="inlineStr">
        <is>
          <t>Store</t>
        </is>
      </c>
      <c r="E1205" s="13" t="inlineStr">
        <is>
          <t>Lighting</t>
        </is>
      </c>
      <c r="F1205" s="13" t="inlineStr">
        <is>
          <t>Arc Lamp</t>
        </is>
      </c>
      <c r="G1205" s="13" t="inlineStr">
        <is>
          <t>consumer</t>
        </is>
      </c>
      <c r="H1205" s="13" t="inlineStr">
        <is>
          <t>2</t>
        </is>
      </c>
      <c r="I1205" s="14" t="inlineStr">
        <is>
          <t>288.18</t>
        </is>
      </c>
      <c r="J1205" s="15" t="inlineStr">
        <is>
          <t>0.09</t>
        </is>
      </c>
      <c r="K1205" s="14" t="inlineStr">
        <is>
          <t>138.33</t>
        </is>
      </c>
      <c r="L1205" s="13" t="inlineStr">
        <is>
          <t>5</t>
        </is>
      </c>
      <c r="M1205" s="13" t="inlineStr">
        <is>
          <t>Completed</t>
        </is>
      </c>
      <c r="N1205" s="13" t="inlineStr">
        <is>
          <t>S. Nguyen</t>
        </is>
      </c>
    </row>
    <row r="1206">
      <c r="A1206" s="13" t="inlineStr">
        <is>
          <t>HC-101204</t>
        </is>
      </c>
      <c r="B1206" s="13" t="inlineStr">
        <is>
          <t>04/10/2024</t>
        </is>
      </c>
      <c r="C1206" s="13" t="inlineStr">
        <is>
          <t>west</t>
        </is>
      </c>
      <c r="D1206" s="13" t="inlineStr">
        <is>
          <t>Store</t>
        </is>
      </c>
      <c r="E1206" s="13" t="inlineStr">
        <is>
          <t>Furniture</t>
        </is>
      </c>
      <c r="F1206" s="13" t="inlineStr">
        <is>
          <t>Walnut Shelf</t>
        </is>
      </c>
      <c r="G1206" s="13" t="inlineStr"/>
      <c r="H1206" s="13" t="inlineStr">
        <is>
          <t>4</t>
        </is>
      </c>
      <c r="I1206" s="14" t="inlineStr">
        <is>
          <t>235.67</t>
        </is>
      </c>
      <c r="J1206" s="15" t="inlineStr">
        <is>
          <t>0.08</t>
        </is>
      </c>
      <c r="K1206" s="14" t="inlineStr">
        <is>
          <t>129.62</t>
        </is>
      </c>
      <c r="L1206" s="13" t="inlineStr">
        <is>
          <t>3</t>
        </is>
      </c>
      <c r="M1206" s="13" t="inlineStr">
        <is>
          <t>Completed</t>
        </is>
      </c>
      <c r="N1206" s="13" t="inlineStr">
        <is>
          <t>M. Okonkwo</t>
        </is>
      </c>
    </row>
    <row r="1207">
      <c r="A1207" s="13" t="inlineStr">
        <is>
          <t>HC-101205</t>
        </is>
      </c>
      <c r="B1207" s="13" t="inlineStr">
        <is>
          <t>27-Nov-24</t>
        </is>
      </c>
      <c r="C1207" s="13" t="inlineStr">
        <is>
          <t>North</t>
        </is>
      </c>
      <c r="D1207" s="13" t="inlineStr">
        <is>
          <t>Store</t>
        </is>
      </c>
      <c r="E1207" s="13" t="inlineStr">
        <is>
          <t>Textiles</t>
        </is>
      </c>
      <c r="F1207" s="13" t="inlineStr">
        <is>
          <t>Cotton Duvet</t>
        </is>
      </c>
      <c r="G1207" s="13" t="inlineStr">
        <is>
          <t>Corporate</t>
        </is>
      </c>
      <c r="H1207" s="13" t="inlineStr">
        <is>
          <t>4</t>
        </is>
      </c>
      <c r="I1207" s="14" t="inlineStr">
        <is>
          <t>126.54</t>
        </is>
      </c>
      <c r="J1207" s="15" t="inlineStr">
        <is>
          <t>0.08</t>
        </is>
      </c>
      <c r="K1207" s="14" t="inlineStr">
        <is>
          <t>55.68</t>
        </is>
      </c>
      <c r="L1207" s="13" t="inlineStr">
        <is>
          <t>5</t>
        </is>
      </c>
      <c r="M1207" s="13" t="inlineStr">
        <is>
          <t>Returned</t>
        </is>
      </c>
      <c r="N1207" s="13" t="inlineStr">
        <is>
          <t>J. Patel</t>
        </is>
      </c>
    </row>
    <row r="1208">
      <c r="A1208" s="13" t="inlineStr">
        <is>
          <t>HC-101206</t>
        </is>
      </c>
      <c r="B1208" s="13" t="inlineStr">
        <is>
          <t>2025/02/04</t>
        </is>
      </c>
      <c r="C1208" s="13" t="inlineStr">
        <is>
          <t>West</t>
        </is>
      </c>
      <c r="D1208" s="13" t="inlineStr">
        <is>
          <t>Store</t>
        </is>
      </c>
      <c r="E1208" s="13" t="inlineStr">
        <is>
          <t>Kitchen</t>
        </is>
      </c>
      <c r="F1208" s="13" t="inlineStr">
        <is>
          <t>Cast Skillet</t>
        </is>
      </c>
      <c r="G1208" s="13" t="inlineStr"/>
      <c r="H1208" s="13" t="inlineStr">
        <is>
          <t>3</t>
        </is>
      </c>
      <c r="I1208" s="14" t="inlineStr">
        <is>
          <t>49.71</t>
        </is>
      </c>
      <c r="J1208" s="15" t="inlineStr">
        <is>
          <t>0.03</t>
        </is>
      </c>
      <c r="K1208" s="14" t="inlineStr">
        <is>
          <t>19.88</t>
        </is>
      </c>
      <c r="L1208" s="13" t="inlineStr">
        <is>
          <t>2</t>
        </is>
      </c>
      <c r="M1208" s="13" t="inlineStr">
        <is>
          <t>Completed</t>
        </is>
      </c>
      <c r="N1208" s="13" t="inlineStr">
        <is>
          <t>P. Rossi</t>
        </is>
      </c>
    </row>
    <row r="1209">
      <c r="A1209" s="13" t="inlineStr">
        <is>
          <t>HC-101207</t>
        </is>
      </c>
      <c r="B1209" s="13" t="inlineStr">
        <is>
          <t>13.04.2025</t>
        </is>
      </c>
      <c r="C1209" s="13" t="inlineStr">
        <is>
          <t>West</t>
        </is>
      </c>
      <c r="D1209" s="13" t="inlineStr">
        <is>
          <t>Online</t>
        </is>
      </c>
      <c r="E1209" s="13" t="inlineStr">
        <is>
          <t>Lighting</t>
        </is>
      </c>
      <c r="F1209" s="13" t="inlineStr">
        <is>
          <t>Pendant Light</t>
        </is>
      </c>
      <c r="G1209" s="13" t="inlineStr">
        <is>
          <t>Consumer</t>
        </is>
      </c>
      <c r="H1209" s="13" t="inlineStr">
        <is>
          <t>1</t>
        </is>
      </c>
      <c r="I1209" s="14" t="inlineStr">
        <is>
          <t>180.63</t>
        </is>
      </c>
      <c r="J1209" s="15" t="inlineStr">
        <is>
          <t>0.11</t>
        </is>
      </c>
      <c r="K1209" s="14" t="inlineStr">
        <is>
          <t>90.32</t>
        </is>
      </c>
      <c r="L1209" s="13" t="inlineStr">
        <is>
          <t>5</t>
        </is>
      </c>
      <c r="M1209" s="13" t="inlineStr">
        <is>
          <t>Completed</t>
        </is>
      </c>
      <c r="N1209" s="13" t="inlineStr">
        <is>
          <t>M. Okonkwo</t>
        </is>
      </c>
    </row>
    <row r="1210">
      <c r="A1210" s="13" t="inlineStr">
        <is>
          <t>HC-101208</t>
        </is>
      </c>
      <c r="B1210" s="13" t="inlineStr">
        <is>
          <t>05/15/2025</t>
        </is>
      </c>
      <c r="C1210" s="13" t="inlineStr">
        <is>
          <t>North</t>
        </is>
      </c>
      <c r="D1210" s="13" t="inlineStr">
        <is>
          <t>Store</t>
        </is>
      </c>
      <c r="E1210" s="13" t="inlineStr">
        <is>
          <t>Furniture</t>
        </is>
      </c>
      <c r="F1210" s="13" t="inlineStr">
        <is>
          <t>Linen Sofa</t>
        </is>
      </c>
      <c r="G1210" s="13" t="inlineStr">
        <is>
          <t>Home Office</t>
        </is>
      </c>
      <c r="H1210" s="13" t="inlineStr">
        <is>
          <t>4</t>
        </is>
      </c>
      <c r="I1210" s="14" t="inlineStr">
        <is>
          <t>$1,305.65</t>
        </is>
      </c>
      <c r="J1210" s="15" t="inlineStr">
        <is>
          <t>0.02</t>
        </is>
      </c>
      <c r="K1210" s="14" t="inlineStr">
        <is>
          <t>861.73</t>
        </is>
      </c>
      <c r="L1210" s="13" t="inlineStr">
        <is>
          <t>7</t>
        </is>
      </c>
      <c r="M1210" s="13" t="inlineStr">
        <is>
          <t>Completed</t>
        </is>
      </c>
      <c r="N1210" s="13" t="inlineStr">
        <is>
          <t>L. Berger</t>
        </is>
      </c>
    </row>
    <row r="1211">
      <c r="A1211" s="13" t="inlineStr">
        <is>
          <t>HC-101209</t>
        </is>
      </c>
      <c r="B1211" s="13" t="inlineStr">
        <is>
          <t>15-Aug-25</t>
        </is>
      </c>
      <c r="C1211" s="13" t="inlineStr">
        <is>
          <t>East</t>
        </is>
      </c>
      <c r="D1211" s="13" t="inlineStr">
        <is>
          <t>Online</t>
        </is>
      </c>
      <c r="E1211" s="13" t="inlineStr">
        <is>
          <t>Furniture</t>
        </is>
      </c>
      <c r="F1211" s="13" t="inlineStr">
        <is>
          <t>Lounge Chair</t>
        </is>
      </c>
      <c r="G1211" s="13" t="inlineStr">
        <is>
          <t>Consumer</t>
        </is>
      </c>
      <c r="H1211" s="13" t="inlineStr">
        <is>
          <t>1</t>
        </is>
      </c>
      <c r="I1211" s="14" t="inlineStr">
        <is>
          <t>437.97</t>
        </is>
      </c>
      <c r="J1211" s="15" t="inlineStr">
        <is>
          <t>0.03</t>
        </is>
      </c>
      <c r="K1211" s="14" t="inlineStr">
        <is>
          <t>262.78</t>
        </is>
      </c>
      <c r="L1211" s="13" t="inlineStr">
        <is>
          <t>12</t>
        </is>
      </c>
      <c r="M1211" s="13" t="inlineStr">
        <is>
          <t>Completed</t>
        </is>
      </c>
      <c r="N1211" s="13" t="inlineStr">
        <is>
          <t>L. Berger</t>
        </is>
      </c>
    </row>
    <row r="1212">
      <c r="A1212" s="13" t="inlineStr">
        <is>
          <t>HC-101210</t>
        </is>
      </c>
      <c r="B1212" s="13" t="inlineStr">
        <is>
          <t>2025/04/29</t>
        </is>
      </c>
      <c r="C1212" s="13" t="inlineStr">
        <is>
          <t>West</t>
        </is>
      </c>
      <c r="D1212" s="13" t="inlineStr">
        <is>
          <t>Online</t>
        </is>
      </c>
      <c r="E1212" s="13" t="inlineStr">
        <is>
          <t>Textiles</t>
        </is>
      </c>
      <c r="F1212" s="13" t="inlineStr">
        <is>
          <t>Cotton Duvet</t>
        </is>
      </c>
      <c r="G1212" s="13" t="inlineStr">
        <is>
          <t>Consumer</t>
        </is>
      </c>
      <c r="H1212" s="13" t="inlineStr">
        <is>
          <t>1</t>
        </is>
      </c>
      <c r="I1212" s="14" t="inlineStr">
        <is>
          <t>115.18</t>
        </is>
      </c>
      <c r="J1212" s="15" t="inlineStr">
        <is>
          <t>0.14</t>
        </is>
      </c>
      <c r="K1212" s="14" t="inlineStr">
        <is>
          <t>50.68</t>
        </is>
      </c>
      <c r="L1212" s="13" t="inlineStr">
        <is>
          <t>8</t>
        </is>
      </c>
      <c r="M1212" s="13" t="inlineStr">
        <is>
          <t>Completed</t>
        </is>
      </c>
      <c r="N1212" s="13" t="inlineStr">
        <is>
          <t>L. Berger</t>
        </is>
      </c>
    </row>
    <row r="1213">
      <c r="A1213" s="13" t="inlineStr">
        <is>
          <t>HC-101211</t>
        </is>
      </c>
      <c r="B1213" s="13" t="inlineStr">
        <is>
          <t>01.02.2024</t>
        </is>
      </c>
      <c r="C1213" s="13" t="inlineStr">
        <is>
          <t>West</t>
        </is>
      </c>
      <c r="D1213" s="13" t="inlineStr">
        <is>
          <t>Store</t>
        </is>
      </c>
      <c r="E1213" s="13" t="inlineStr">
        <is>
          <t>Kitchen</t>
        </is>
      </c>
      <c r="F1213" s="13" t="inlineStr">
        <is>
          <t>Cast Skillet</t>
        </is>
      </c>
      <c r="G1213" s="13" t="inlineStr">
        <is>
          <t>Consumer</t>
        </is>
      </c>
      <c r="H1213" s="13" t="inlineStr">
        <is>
          <t>3</t>
        </is>
      </c>
      <c r="I1213" s="14" t="inlineStr">
        <is>
          <t>56.31</t>
        </is>
      </c>
      <c r="J1213" s="15" t="inlineStr">
        <is>
          <t>0.08</t>
        </is>
      </c>
      <c r="K1213" s="14" t="inlineStr">
        <is>
          <t>22.52</t>
        </is>
      </c>
      <c r="L1213" s="13" t="inlineStr">
        <is>
          <t>5</t>
        </is>
      </c>
      <c r="M1213" s="13" t="inlineStr">
        <is>
          <t>Completed</t>
        </is>
      </c>
      <c r="N1213" s="13" t="inlineStr">
        <is>
          <t>J. Patel</t>
        </is>
      </c>
    </row>
    <row r="1214">
      <c r="A1214" s="13" t="inlineStr">
        <is>
          <t>HC-101212</t>
        </is>
      </c>
      <c r="B1214" s="13" t="inlineStr">
        <is>
          <t>01/25/2024</t>
        </is>
      </c>
      <c r="C1214" s="13" t="inlineStr">
        <is>
          <t>north</t>
        </is>
      </c>
      <c r="D1214" s="13" t="inlineStr">
        <is>
          <t>Store</t>
        </is>
      </c>
      <c r="E1214" s="13" t="inlineStr">
        <is>
          <t>Furniture</t>
        </is>
      </c>
      <c r="F1214" s="13" t="inlineStr">
        <is>
          <t>Walnut Shelf</t>
        </is>
      </c>
      <c r="G1214" s="13" t="inlineStr">
        <is>
          <t>Consumer</t>
        </is>
      </c>
      <c r="H1214" s="13" t="inlineStr">
        <is>
          <t>2</t>
        </is>
      </c>
      <c r="I1214" s="14" t="inlineStr">
        <is>
          <t>$230.06</t>
        </is>
      </c>
      <c r="J1214" s="15" t="inlineStr">
        <is>
          <t>0.03</t>
        </is>
      </c>
      <c r="K1214" s="14" t="inlineStr">
        <is>
          <t>126.53</t>
        </is>
      </c>
      <c r="L1214" s="13" t="inlineStr">
        <is>
          <t>6</t>
        </is>
      </c>
      <c r="M1214" s="13" t="inlineStr">
        <is>
          <t>Completed</t>
        </is>
      </c>
      <c r="N1214" s="13" t="inlineStr">
        <is>
          <t>M. Okonkwo</t>
        </is>
      </c>
    </row>
    <row r="1215">
      <c r="A1215" s="13" t="inlineStr">
        <is>
          <t>HC-101213</t>
        </is>
      </c>
      <c r="B1215" s="13" t="inlineStr">
        <is>
          <t>24-Jan-25</t>
        </is>
      </c>
      <c r="C1215" s="13" t="inlineStr">
        <is>
          <t>South</t>
        </is>
      </c>
      <c r="D1215" s="13" t="inlineStr">
        <is>
          <t>Store</t>
        </is>
      </c>
      <c r="E1215" s="13" t="inlineStr">
        <is>
          <t>KITCHEN</t>
        </is>
      </c>
      <c r="F1215" s="13" t="inlineStr">
        <is>
          <t>Ceramic Set</t>
        </is>
      </c>
      <c r="G1215" s="13" t="inlineStr">
        <is>
          <t>Corporate</t>
        </is>
      </c>
      <c r="H1215" s="13" t="inlineStr">
        <is>
          <t>4</t>
        </is>
      </c>
      <c r="I1215" s="14" t="inlineStr">
        <is>
          <t>83.42</t>
        </is>
      </c>
      <c r="J1215" s="15" t="inlineStr">
        <is>
          <t>0.10</t>
        </is>
      </c>
      <c r="K1215" s="14" t="inlineStr">
        <is>
          <t>31.70</t>
        </is>
      </c>
      <c r="L1215" s="13" t="inlineStr">
        <is>
          <t>5</t>
        </is>
      </c>
      <c r="M1215" s="13" t="inlineStr">
        <is>
          <t>Cancelled</t>
        </is>
      </c>
      <c r="N1215" s="13" t="inlineStr">
        <is>
          <t>M. Okonkwo</t>
        </is>
      </c>
    </row>
    <row r="1216">
      <c r="A1216" s="13" t="inlineStr">
        <is>
          <t>HC-101214</t>
        </is>
      </c>
      <c r="B1216" s="13" t="inlineStr">
        <is>
          <t>2024/03/03</t>
        </is>
      </c>
      <c r="C1216" s="13" t="inlineStr">
        <is>
          <t>west</t>
        </is>
      </c>
      <c r="D1216" s="13" t="inlineStr">
        <is>
          <t>Online</t>
        </is>
      </c>
      <c r="E1216" s="13" t="inlineStr">
        <is>
          <t>Textiles</t>
        </is>
      </c>
      <c r="F1216" s="13" t="inlineStr">
        <is>
          <t>Linen Curtain</t>
        </is>
      </c>
      <c r="G1216" s="13" t="inlineStr">
        <is>
          <t>Corporate</t>
        </is>
      </c>
      <c r="H1216" s="13" t="inlineStr">
        <is>
          <t>3</t>
        </is>
      </c>
      <c r="I1216" s="14" t="inlineStr">
        <is>
          <t>98.91</t>
        </is>
      </c>
      <c r="J1216" s="15" t="inlineStr">
        <is>
          <t>0.03</t>
        </is>
      </c>
      <c r="K1216" s="14" t="inlineStr">
        <is>
          <t>44.51</t>
        </is>
      </c>
      <c r="L1216" s="13" t="inlineStr">
        <is>
          <t>7</t>
        </is>
      </c>
      <c r="M1216" s="13" t="inlineStr">
        <is>
          <t>Completed</t>
        </is>
      </c>
      <c r="N1216" s="13" t="inlineStr">
        <is>
          <t>A. Shah</t>
        </is>
      </c>
    </row>
    <row r="1217">
      <c r="A1217" s="13" t="inlineStr">
        <is>
          <t>HC-101215</t>
        </is>
      </c>
      <c r="B1217" s="13" t="inlineStr">
        <is>
          <t>24.07.2025</t>
        </is>
      </c>
      <c r="C1217" s="13" t="inlineStr">
        <is>
          <t>North</t>
        </is>
      </c>
      <c r="D1217" s="13" t="inlineStr">
        <is>
          <t>Online</t>
        </is>
      </c>
      <c r="E1217" s="13" t="inlineStr">
        <is>
          <t>Lighting</t>
        </is>
      </c>
      <c r="F1217" s="13" t="inlineStr">
        <is>
          <t>Pendant Light</t>
        </is>
      </c>
      <c r="G1217" s="13" t="inlineStr">
        <is>
          <t>Corporate</t>
        </is>
      </c>
      <c r="H1217" s="13" t="inlineStr">
        <is>
          <t>1</t>
        </is>
      </c>
      <c r="I1217" s="14" t="inlineStr">
        <is>
          <t>165.88</t>
        </is>
      </c>
      <c r="J1217" s="15" t="inlineStr">
        <is>
          <t>0.11</t>
        </is>
      </c>
      <c r="K1217" s="14" t="inlineStr">
        <is>
          <t>82.94</t>
        </is>
      </c>
      <c r="L1217" s="13" t="inlineStr">
        <is>
          <t>11</t>
        </is>
      </c>
      <c r="M1217" s="13" t="inlineStr">
        <is>
          <t>Completed</t>
        </is>
      </c>
      <c r="N1217" s="13" t="inlineStr">
        <is>
          <t>S. Nguyen</t>
        </is>
      </c>
    </row>
    <row r="1218">
      <c r="A1218" s="13" t="inlineStr">
        <is>
          <t>HC-101216</t>
        </is>
      </c>
      <c r="B1218" s="13" t="inlineStr">
        <is>
          <t>04/13/2024</t>
        </is>
      </c>
      <c r="C1218" s="13" t="inlineStr">
        <is>
          <t>North</t>
        </is>
      </c>
      <c r="D1218" s="13" t="inlineStr">
        <is>
          <t>Online</t>
        </is>
      </c>
      <c r="E1218" s="13" t="inlineStr">
        <is>
          <t>Kitchen</t>
        </is>
      </c>
      <c r="F1218" s="13" t="inlineStr">
        <is>
          <t>Chef Knife</t>
        </is>
      </c>
      <c r="G1218" s="13" t="inlineStr">
        <is>
          <t>Corporate</t>
        </is>
      </c>
      <c r="H1218" s="13" t="inlineStr">
        <is>
          <t>3</t>
        </is>
      </c>
      <c r="I1218" s="14" t="inlineStr">
        <is>
          <t>66.13</t>
        </is>
      </c>
      <c r="J1218" s="15" t="inlineStr">
        <is>
          <t>0.18</t>
        </is>
      </c>
      <c r="K1218" s="14" t="inlineStr">
        <is>
          <t>23.81</t>
        </is>
      </c>
      <c r="L1218" s="13" t="inlineStr">
        <is>
          <t>6</t>
        </is>
      </c>
      <c r="M1218" s="13" t="inlineStr">
        <is>
          <t>Completed</t>
        </is>
      </c>
      <c r="N1218" s="13" t="inlineStr">
        <is>
          <t>P. Rossi</t>
        </is>
      </c>
    </row>
    <row r="1219">
      <c r="A1219" s="13" t="inlineStr">
        <is>
          <t>HC-101217</t>
        </is>
      </c>
      <c r="B1219" s="13" t="inlineStr">
        <is>
          <t>21-Jul-24</t>
        </is>
      </c>
      <c r="C1219" s="13" t="inlineStr">
        <is>
          <t>WEST</t>
        </is>
      </c>
      <c r="D1219" s="13" t="inlineStr">
        <is>
          <t>Wholesale</t>
        </is>
      </c>
      <c r="E1219" s="13" t="inlineStr">
        <is>
          <t>Kitchen</t>
        </is>
      </c>
      <c r="F1219" s="13" t="inlineStr">
        <is>
          <t>Ceramic Set</t>
        </is>
      </c>
      <c r="G1219" s="13" t="inlineStr">
        <is>
          <t>Consumer</t>
        </is>
      </c>
      <c r="H1219" s="13" t="inlineStr">
        <is>
          <t>11</t>
        </is>
      </c>
      <c r="I1219" s="14" t="inlineStr">
        <is>
          <t>89.58</t>
        </is>
      </c>
      <c r="J1219" s="15" t="inlineStr">
        <is>
          <t>0.18</t>
        </is>
      </c>
      <c r="K1219" s="14" t="inlineStr">
        <is>
          <t>34.04</t>
        </is>
      </c>
      <c r="L1219" s="13" t="inlineStr">
        <is>
          <t>6</t>
        </is>
      </c>
      <c r="M1219" s="13" t="inlineStr">
        <is>
          <t>Completed</t>
        </is>
      </c>
      <c r="N1219" s="13" t="inlineStr">
        <is>
          <t>J. Patel</t>
        </is>
      </c>
    </row>
    <row r="1220">
      <c r="A1220" s="13" t="inlineStr">
        <is>
          <t>HC-101218</t>
        </is>
      </c>
      <c r="B1220" s="13" t="inlineStr">
        <is>
          <t>2025/07/28</t>
        </is>
      </c>
      <c r="C1220" s="13" t="inlineStr">
        <is>
          <t>East</t>
        </is>
      </c>
      <c r="D1220" s="13" t="inlineStr">
        <is>
          <t>Wholesale</t>
        </is>
      </c>
      <c r="E1220" s="13" t="inlineStr">
        <is>
          <t>Furniture</t>
        </is>
      </c>
      <c r="F1220" s="13" t="inlineStr">
        <is>
          <t>Linen Sofa</t>
        </is>
      </c>
      <c r="G1220" s="13" t="inlineStr">
        <is>
          <t>consumer</t>
        </is>
      </c>
      <c r="H1220" s="13" t="inlineStr">
        <is>
          <t>15</t>
        </is>
      </c>
      <c r="I1220" s="14" t="inlineStr">
        <is>
          <t>1110.96</t>
        </is>
      </c>
      <c r="J1220" s="15" t="inlineStr">
        <is>
          <t>0.30</t>
        </is>
      </c>
      <c r="K1220" s="14" t="inlineStr">
        <is>
          <t>733.23</t>
        </is>
      </c>
      <c r="L1220" s="13" t="inlineStr">
        <is>
          <t>7</t>
        </is>
      </c>
      <c r="M1220" s="13" t="inlineStr">
        <is>
          <t>Completed</t>
        </is>
      </c>
      <c r="N1220" s="13" t="inlineStr">
        <is>
          <t>L. Berger</t>
        </is>
      </c>
    </row>
    <row r="1221">
      <c r="A1221" s="13" t="inlineStr">
        <is>
          <t>HC-101219</t>
        </is>
      </c>
      <c r="B1221" s="13" t="inlineStr">
        <is>
          <t>14.11.2024</t>
        </is>
      </c>
      <c r="C1221" s="13" t="inlineStr">
        <is>
          <t>WEST</t>
        </is>
      </c>
      <c r="D1221" s="13" t="inlineStr">
        <is>
          <t>Wholesale</t>
        </is>
      </c>
      <c r="E1221" s="13" t="inlineStr">
        <is>
          <t>Furniture</t>
        </is>
      </c>
      <c r="F1221" s="13" t="inlineStr">
        <is>
          <t>Oak Desk</t>
        </is>
      </c>
      <c r="G1221" s="13" t="inlineStr">
        <is>
          <t>Home Office</t>
        </is>
      </c>
      <c r="H1221" s="13" t="inlineStr">
        <is>
          <t>16</t>
        </is>
      </c>
      <c r="I1221" s="14" t="inlineStr">
        <is>
          <t>870.62</t>
        </is>
      </c>
      <c r="J1221" s="15" t="inlineStr">
        <is>
          <t>0.28</t>
        </is>
      </c>
      <c r="K1221" s="14" t="inlineStr">
        <is>
          <t>539.78</t>
        </is>
      </c>
      <c r="L1221" s="13" t="inlineStr">
        <is>
          <t>8</t>
        </is>
      </c>
      <c r="M1221" s="13" t="inlineStr">
        <is>
          <t>RETURNED</t>
        </is>
      </c>
      <c r="N1221" s="13" t="inlineStr">
        <is>
          <t>J. Patel</t>
        </is>
      </c>
    </row>
    <row r="1222">
      <c r="A1222" s="13" t="inlineStr">
        <is>
          <t>HC-101220</t>
        </is>
      </c>
      <c r="B1222" s="13" t="inlineStr">
        <is>
          <t>05/03/2024</t>
        </is>
      </c>
      <c r="C1222" s="13" t="inlineStr">
        <is>
          <t>West</t>
        </is>
      </c>
      <c r="D1222" s="13" t="inlineStr">
        <is>
          <t>Online</t>
        </is>
      </c>
      <c r="E1222" s="13" t="inlineStr">
        <is>
          <t>Textiles</t>
        </is>
      </c>
      <c r="F1222" s="13" t="inlineStr">
        <is>
          <t>Linen Curtain</t>
        </is>
      </c>
      <c r="G1222" s="13" t="inlineStr">
        <is>
          <t>Home Office</t>
        </is>
      </c>
      <c r="H1222" s="13" t="inlineStr">
        <is>
          <t>3</t>
        </is>
      </c>
      <c r="I1222" s="14" t="inlineStr">
        <is>
          <t>88.72</t>
        </is>
      </c>
      <c r="J1222" s="15" t="inlineStr">
        <is>
          <t>0.06</t>
        </is>
      </c>
      <c r="K1222" s="14" t="inlineStr">
        <is>
          <t>39.92</t>
        </is>
      </c>
      <c r="L1222" s="13" t="inlineStr">
        <is>
          <t>5</t>
        </is>
      </c>
      <c r="M1222" s="13" t="inlineStr">
        <is>
          <t>Completed</t>
        </is>
      </c>
      <c r="N1222" s="13" t="inlineStr">
        <is>
          <t>P. Rossi</t>
        </is>
      </c>
    </row>
    <row r="1223">
      <c r="A1223" s="13" t="inlineStr">
        <is>
          <t>HC-101221</t>
        </is>
      </c>
      <c r="B1223" s="13" t="inlineStr">
        <is>
          <t>18-Mar-24</t>
        </is>
      </c>
      <c r="C1223" s="13" t="inlineStr">
        <is>
          <t>North</t>
        </is>
      </c>
      <c r="D1223" s="13" t="inlineStr">
        <is>
          <t>Store</t>
        </is>
      </c>
      <c r="E1223" s="13" t="inlineStr">
        <is>
          <t>Lighting</t>
        </is>
      </c>
      <c r="F1223" s="13" t="inlineStr">
        <is>
          <t>Brass Sconce</t>
        </is>
      </c>
      <c r="G1223" s="13" t="inlineStr">
        <is>
          <t>Consumer</t>
        </is>
      </c>
      <c r="H1223" s="13" t="inlineStr">
        <is>
          <t>4</t>
        </is>
      </c>
      <c r="I1223" s="14" t="inlineStr">
        <is>
          <t>137.78</t>
        </is>
      </c>
      <c r="J1223" s="15" t="inlineStr">
        <is>
          <t>0.03</t>
        </is>
      </c>
      <c r="K1223" s="14" t="inlineStr">
        <is>
          <t>63.38</t>
        </is>
      </c>
      <c r="L1223" s="13" t="inlineStr">
        <is>
          <t>8</t>
        </is>
      </c>
      <c r="M1223" s="13" t="inlineStr">
        <is>
          <t>Compleated</t>
        </is>
      </c>
      <c r="N1223" s="13" t="inlineStr">
        <is>
          <t>M. Okonkwo</t>
        </is>
      </c>
    </row>
    <row r="1224">
      <c r="A1224" s="13" t="inlineStr">
        <is>
          <t>HC-101222</t>
        </is>
      </c>
      <c r="B1224" s="13" t="inlineStr">
        <is>
          <t>2025/07/18</t>
        </is>
      </c>
      <c r="C1224" s="13" t="inlineStr">
        <is>
          <t>South</t>
        </is>
      </c>
      <c r="D1224" s="13" t="inlineStr">
        <is>
          <t>Store</t>
        </is>
      </c>
      <c r="E1224" s="13" t="inlineStr">
        <is>
          <t>Kitchen</t>
        </is>
      </c>
      <c r="F1224" s="13" t="inlineStr">
        <is>
          <t>Cast Skillet</t>
        </is>
      </c>
      <c r="G1224" s="13" t="inlineStr">
        <is>
          <t>Corporate</t>
        </is>
      </c>
      <c r="H1224" s="13" t="inlineStr">
        <is>
          <t>4</t>
        </is>
      </c>
      <c r="I1224" s="14" t="inlineStr">
        <is>
          <t>50.16</t>
        </is>
      </c>
      <c r="J1224" s="15" t="inlineStr">
        <is>
          <t>0.08</t>
        </is>
      </c>
      <c r="K1224" s="14" t="inlineStr">
        <is>
          <t>20.06</t>
        </is>
      </c>
      <c r="L1224" s="13" t="inlineStr">
        <is>
          <t>7</t>
        </is>
      </c>
      <c r="M1224" s="13" t="inlineStr">
        <is>
          <t>Completed</t>
        </is>
      </c>
      <c r="N1224" s="13" t="inlineStr">
        <is>
          <t>P. Rossi</t>
        </is>
      </c>
    </row>
    <row r="1225">
      <c r="A1225" s="13" t="inlineStr">
        <is>
          <t>HC-101223</t>
        </is>
      </c>
      <c r="B1225" s="13" t="inlineStr">
        <is>
          <t>23.12.2024</t>
        </is>
      </c>
      <c r="C1225" s="13" t="inlineStr">
        <is>
          <t>north</t>
        </is>
      </c>
      <c r="D1225" s="13" t="inlineStr">
        <is>
          <t>Online</t>
        </is>
      </c>
      <c r="E1225" s="13" t="inlineStr">
        <is>
          <t>Kitchen</t>
        </is>
      </c>
      <c r="F1225" s="13" t="inlineStr">
        <is>
          <t>Cast Skillet</t>
        </is>
      </c>
      <c r="G1225" s="13" t="inlineStr">
        <is>
          <t>Home Office</t>
        </is>
      </c>
      <c r="H1225" s="13" t="inlineStr">
        <is>
          <t>3</t>
        </is>
      </c>
      <c r="I1225" s="14" t="inlineStr">
        <is>
          <t>57.51</t>
        </is>
      </c>
      <c r="J1225" s="15" t="inlineStr">
        <is>
          <t>0.17</t>
        </is>
      </c>
      <c r="K1225" s="14" t="inlineStr">
        <is>
          <t>23.00</t>
        </is>
      </c>
      <c r="L1225" s="13" t="inlineStr">
        <is>
          <t>2</t>
        </is>
      </c>
      <c r="M1225" s="13" t="inlineStr">
        <is>
          <t>Completed</t>
        </is>
      </c>
      <c r="N1225" s="13" t="inlineStr">
        <is>
          <t>M. Okonkwo</t>
        </is>
      </c>
    </row>
    <row r="1226">
      <c r="A1226" s="13" t="inlineStr">
        <is>
          <t>HC-101224</t>
        </is>
      </c>
      <c r="B1226" s="13" t="inlineStr">
        <is>
          <t>11/01/2024</t>
        </is>
      </c>
      <c r="C1226" s="13" t="inlineStr">
        <is>
          <t>Eas</t>
        </is>
      </c>
      <c r="D1226" s="13" t="inlineStr">
        <is>
          <t>In-Store</t>
        </is>
      </c>
      <c r="E1226" s="13" t="inlineStr">
        <is>
          <t>Lighting</t>
        </is>
      </c>
      <c r="F1226" s="13" t="inlineStr">
        <is>
          <t>Arc Lamp</t>
        </is>
      </c>
      <c r="G1226" s="13" t="inlineStr">
        <is>
          <t>Corporate</t>
        </is>
      </c>
      <c r="H1226" s="13" t="inlineStr">
        <is>
          <t>4</t>
        </is>
      </c>
      <c r="I1226" s="14" t="inlineStr">
        <is>
          <t>300.42</t>
        </is>
      </c>
      <c r="J1226" s="15" t="inlineStr">
        <is>
          <t>0.03</t>
        </is>
      </c>
      <c r="K1226" s="14" t="inlineStr">
        <is>
          <t>144.20</t>
        </is>
      </c>
      <c r="L1226" s="13" t="inlineStr">
        <is>
          <t>8</t>
        </is>
      </c>
      <c r="M1226" s="13" t="inlineStr">
        <is>
          <t>Completed</t>
        </is>
      </c>
      <c r="N1226" s="13" t="inlineStr">
        <is>
          <t>M. Okonkwo</t>
        </is>
      </c>
    </row>
    <row r="1227">
      <c r="A1227" s="13" t="inlineStr">
        <is>
          <t>HC-101225</t>
        </is>
      </c>
      <c r="B1227" s="13" t="inlineStr">
        <is>
          <t>12-Sep-24</t>
        </is>
      </c>
      <c r="C1227" s="13" t="inlineStr">
        <is>
          <t>Sout</t>
        </is>
      </c>
      <c r="D1227" s="13" t="inlineStr">
        <is>
          <t>Store</t>
        </is>
      </c>
      <c r="E1227" s="13" t="inlineStr">
        <is>
          <t>Textiles</t>
        </is>
      </c>
      <c r="F1227" s="13" t="inlineStr">
        <is>
          <t>Cotton Duvet</t>
        </is>
      </c>
      <c r="G1227" s="13" t="inlineStr">
        <is>
          <t>Consumer</t>
        </is>
      </c>
      <c r="H1227" s="13" t="inlineStr">
        <is>
          <t>1</t>
        </is>
      </c>
      <c r="I1227" s="14" t="inlineStr">
        <is>
          <t>118.84</t>
        </is>
      </c>
      <c r="J1227" s="15" t="inlineStr">
        <is>
          <t>0%</t>
        </is>
      </c>
      <c r="K1227" s="14" t="inlineStr">
        <is>
          <t>52.29</t>
        </is>
      </c>
      <c r="L1227" s="13" t="inlineStr">
        <is>
          <t>7</t>
        </is>
      </c>
      <c r="M1227" s="13" t="inlineStr">
        <is>
          <t>Completed</t>
        </is>
      </c>
      <c r="N1227" s="13" t="inlineStr">
        <is>
          <t>M. Okonkwo</t>
        </is>
      </c>
    </row>
    <row r="1228">
      <c r="A1228" s="13" t="inlineStr">
        <is>
          <t>HC-101226</t>
        </is>
      </c>
      <c r="B1228" s="13" t="inlineStr">
        <is>
          <t>2024/08/19</t>
        </is>
      </c>
      <c r="C1228" s="13" t="inlineStr">
        <is>
          <t>North</t>
        </is>
      </c>
      <c r="D1228" s="13" t="inlineStr">
        <is>
          <t>Store</t>
        </is>
      </c>
      <c r="E1228" s="13" t="inlineStr">
        <is>
          <t>Kitchen</t>
        </is>
      </c>
      <c r="F1228" s="13" t="inlineStr">
        <is>
          <t>Cast Skillet</t>
        </is>
      </c>
      <c r="G1228" s="13" t="inlineStr">
        <is>
          <t>Consumer</t>
        </is>
      </c>
      <c r="H1228" s="13" t="inlineStr">
        <is>
          <t>4</t>
        </is>
      </c>
      <c r="I1228" s="14" t="inlineStr">
        <is>
          <t>$54.35</t>
        </is>
      </c>
      <c r="J1228" s="15" t="inlineStr">
        <is>
          <t>0.06</t>
        </is>
      </c>
      <c r="K1228" s="14" t="inlineStr">
        <is>
          <t>21.74</t>
        </is>
      </c>
      <c r="L1228" s="13" t="inlineStr">
        <is>
          <t>4</t>
        </is>
      </c>
      <c r="M1228" s="13" t="inlineStr">
        <is>
          <t>Completed</t>
        </is>
      </c>
      <c r="N1228" s="13" t="inlineStr">
        <is>
          <t>J. Patel</t>
        </is>
      </c>
    </row>
    <row r="1229">
      <c r="A1229" s="13" t="inlineStr">
        <is>
          <t>HC-101227</t>
        </is>
      </c>
      <c r="B1229" s="13" t="inlineStr">
        <is>
          <t>21.11.2024</t>
        </is>
      </c>
      <c r="C1229" s="13" t="inlineStr">
        <is>
          <t>South</t>
        </is>
      </c>
      <c r="D1229" s="13" t="inlineStr">
        <is>
          <t>Online</t>
        </is>
      </c>
      <c r="E1229" s="13" t="inlineStr">
        <is>
          <t>Furniture</t>
        </is>
      </c>
      <c r="F1229" s="13" t="inlineStr">
        <is>
          <t>Linen Sofa</t>
        </is>
      </c>
      <c r="G1229" s="13" t="inlineStr">
        <is>
          <t>Corporate</t>
        </is>
      </c>
      <c r="H1229" s="13" t="inlineStr">
        <is>
          <t>2</t>
        </is>
      </c>
      <c r="I1229" s="14" t="inlineStr">
        <is>
          <t>1219.04</t>
        </is>
      </c>
      <c r="J1229" s="15" t="inlineStr">
        <is>
          <t>0.05</t>
        </is>
      </c>
      <c r="K1229" s="14" t="inlineStr">
        <is>
          <t>804.57</t>
        </is>
      </c>
      <c r="L1229" s="13" t="inlineStr">
        <is>
          <t>11</t>
        </is>
      </c>
      <c r="M1229" s="13" t="inlineStr">
        <is>
          <t>COMPLETED</t>
        </is>
      </c>
      <c r="N1229" s="13" t="inlineStr">
        <is>
          <t>L. Berger</t>
        </is>
      </c>
    </row>
    <row r="1230">
      <c r="A1230" s="13" t="inlineStr">
        <is>
          <t>HC-101228</t>
        </is>
      </c>
      <c r="B1230" s="13" t="inlineStr">
        <is>
          <t>02/16/2025</t>
        </is>
      </c>
      <c r="C1230" s="13" t="inlineStr">
        <is>
          <t>South</t>
        </is>
      </c>
      <c r="D1230" s="13" t="inlineStr">
        <is>
          <t>Store</t>
        </is>
      </c>
      <c r="E1230" s="13" t="inlineStr">
        <is>
          <t>Kitchen</t>
        </is>
      </c>
      <c r="F1230" s="13" t="inlineStr">
        <is>
          <t>Chef Knife</t>
        </is>
      </c>
      <c r="G1230" s="13" t="inlineStr">
        <is>
          <t>Consumer</t>
        </is>
      </c>
      <c r="H1230" s="13" t="inlineStr">
        <is>
          <t>2</t>
        </is>
      </c>
      <c r="I1230" s="14" t="inlineStr">
        <is>
          <t>60.92</t>
        </is>
      </c>
      <c r="J1230" s="15" t="inlineStr">
        <is>
          <t>0.02</t>
        </is>
      </c>
      <c r="K1230" s="14" t="inlineStr">
        <is>
          <t>21.93</t>
        </is>
      </c>
      <c r="L1230" s="13" t="inlineStr">
        <is>
          <t>N/A</t>
        </is>
      </c>
      <c r="M1230" s="13" t="inlineStr">
        <is>
          <t>Completed</t>
        </is>
      </c>
      <c r="N1230" s="13" t="inlineStr">
        <is>
          <t>L. Berger</t>
        </is>
      </c>
    </row>
    <row r="1231">
      <c r="A1231" s="13" t="inlineStr">
        <is>
          <t>HC-101229</t>
        </is>
      </c>
      <c r="B1231" s="13" t="inlineStr">
        <is>
          <t>27-Jul-24</t>
        </is>
      </c>
      <c r="C1231" s="13" t="inlineStr">
        <is>
          <t>South</t>
        </is>
      </c>
      <c r="D1231" s="13" t="inlineStr">
        <is>
          <t>In-Store</t>
        </is>
      </c>
      <c r="E1231" s="13" t="inlineStr">
        <is>
          <t>Kitchen</t>
        </is>
      </c>
      <c r="F1231" s="13" t="inlineStr">
        <is>
          <t>Ceramic Set</t>
        </is>
      </c>
      <c r="G1231" s="13" t="inlineStr">
        <is>
          <t>Corporate</t>
        </is>
      </c>
      <c r="H1231" s="13" t="inlineStr">
        <is>
          <t>2</t>
        </is>
      </c>
      <c r="I1231" s="14" t="inlineStr">
        <is>
          <t>87.49</t>
        </is>
      </c>
      <c r="J1231" s="15" t="inlineStr">
        <is>
          <t>0.02</t>
        </is>
      </c>
      <c r="K1231" s="14" t="inlineStr">
        <is>
          <t>33.24</t>
        </is>
      </c>
      <c r="L1231" s="13" t="inlineStr">
        <is>
          <t>6</t>
        </is>
      </c>
      <c r="M1231" s="13" t="inlineStr">
        <is>
          <t>Completed</t>
        </is>
      </c>
      <c r="N1231" s="13" t="inlineStr">
        <is>
          <t>P. Rossi</t>
        </is>
      </c>
    </row>
    <row r="1232">
      <c r="A1232" s="13" t="inlineStr">
        <is>
          <t>HC-101230</t>
        </is>
      </c>
      <c r="B1232" s="13" t="inlineStr">
        <is>
          <t>2024/10/28</t>
        </is>
      </c>
      <c r="C1232" s="13" t="inlineStr">
        <is>
          <t>North</t>
        </is>
      </c>
      <c r="D1232" s="13" t="inlineStr">
        <is>
          <t>Online</t>
        </is>
      </c>
      <c r="E1232" s="13" t="inlineStr">
        <is>
          <t>Furniture</t>
        </is>
      </c>
      <c r="F1232" s="13" t="inlineStr">
        <is>
          <t>Walnut Shelf</t>
        </is>
      </c>
      <c r="G1232" s="13" t="inlineStr">
        <is>
          <t>Corporate</t>
        </is>
      </c>
      <c r="H1232" s="13" t="inlineStr">
        <is>
          <t>3</t>
        </is>
      </c>
      <c r="I1232" s="14" t="inlineStr">
        <is>
          <t>208.47</t>
        </is>
      </c>
      <c r="J1232" s="15" t="inlineStr">
        <is>
          <t>9%</t>
        </is>
      </c>
      <c r="K1232" s="14" t="inlineStr">
        <is>
          <t>114.66</t>
        </is>
      </c>
      <c r="L1232" s="13" t="inlineStr">
        <is>
          <t>7</t>
        </is>
      </c>
      <c r="M1232" s="13" t="inlineStr">
        <is>
          <t>Returned</t>
        </is>
      </c>
      <c r="N1232" s="13" t="inlineStr">
        <is>
          <t>A. Shah</t>
        </is>
      </c>
    </row>
    <row r="1233">
      <c r="A1233" s="13" t="inlineStr">
        <is>
          <t>HC-101231</t>
        </is>
      </c>
      <c r="B1233" s="13" t="inlineStr">
        <is>
          <t>19.01.2024</t>
        </is>
      </c>
      <c r="C1233" s="13" t="inlineStr">
        <is>
          <t>North</t>
        </is>
      </c>
      <c r="D1233" s="13" t="inlineStr">
        <is>
          <t>Store</t>
        </is>
      </c>
      <c r="E1233" s="13" t="inlineStr">
        <is>
          <t>Textiles</t>
        </is>
      </c>
      <c r="F1233" s="13" t="inlineStr">
        <is>
          <t>Cotton Duvet</t>
        </is>
      </c>
      <c r="G1233" s="13" t="inlineStr"/>
      <c r="H1233" s="13" t="inlineStr">
        <is>
          <t>3</t>
        </is>
      </c>
      <c r="I1233" s="14" t="inlineStr">
        <is>
          <t>114.81</t>
        </is>
      </c>
      <c r="J1233" s="15" t="inlineStr">
        <is>
          <t>0.02</t>
        </is>
      </c>
      <c r="K1233" s="14" t="inlineStr">
        <is>
          <t>50.52</t>
        </is>
      </c>
      <c r="L1233" s="13" t="inlineStr">
        <is>
          <t>5</t>
        </is>
      </c>
      <c r="M1233" s="13" t="inlineStr">
        <is>
          <t>Completed</t>
        </is>
      </c>
      <c r="N1233" s="13" t="inlineStr">
        <is>
          <t>J. Patel</t>
        </is>
      </c>
    </row>
    <row r="1234">
      <c r="A1234" s="13" t="inlineStr">
        <is>
          <t>HC-101232</t>
        </is>
      </c>
      <c r="B1234" s="13" t="inlineStr">
        <is>
          <t>03/29/2025</t>
        </is>
      </c>
      <c r="C1234" s="13" t="inlineStr">
        <is>
          <t>West</t>
        </is>
      </c>
      <c r="D1234" s="13" t="inlineStr">
        <is>
          <t>Online</t>
        </is>
      </c>
      <c r="E1234" s="13" t="inlineStr">
        <is>
          <t>Kitchen</t>
        </is>
      </c>
      <c r="F1234" s="13" t="inlineStr">
        <is>
          <t>Cast Skillet</t>
        </is>
      </c>
      <c r="G1234" s="13" t="inlineStr">
        <is>
          <t>Corporate</t>
        </is>
      </c>
      <c r="H1234" s="13" t="inlineStr">
        <is>
          <t>1</t>
        </is>
      </c>
      <c r="I1234" s="14" t="inlineStr">
        <is>
          <t>55.36</t>
        </is>
      </c>
      <c r="J1234" s="15" t="inlineStr">
        <is>
          <t>0.08</t>
        </is>
      </c>
      <c r="K1234" s="14" t="inlineStr">
        <is>
          <t>22.14</t>
        </is>
      </c>
      <c r="L1234" s="13" t="inlineStr">
        <is>
          <t>5</t>
        </is>
      </c>
      <c r="M1234" s="13" t="inlineStr">
        <is>
          <t>Returned</t>
        </is>
      </c>
      <c r="N1234" s="13" t="inlineStr">
        <is>
          <t>P. Rossi</t>
        </is>
      </c>
    </row>
    <row r="1235">
      <c r="A1235" s="13" t="inlineStr">
        <is>
          <t>HC-101233</t>
        </is>
      </c>
      <c r="B1235" s="13" t="inlineStr">
        <is>
          <t>26-Jan-25</t>
        </is>
      </c>
      <c r="C1235" s="13" t="inlineStr">
        <is>
          <t xml:space="preserve"> North </t>
        </is>
      </c>
      <c r="D1235" s="13" t="inlineStr">
        <is>
          <t>Store</t>
        </is>
      </c>
      <c r="E1235" s="13" t="inlineStr">
        <is>
          <t>Kitchen</t>
        </is>
      </c>
      <c r="F1235" s="13" t="inlineStr">
        <is>
          <t>Chef Knife</t>
        </is>
      </c>
      <c r="G1235" s="13" t="inlineStr">
        <is>
          <t>Consumer</t>
        </is>
      </c>
      <c r="H1235" s="13" t="inlineStr">
        <is>
          <t>2</t>
        </is>
      </c>
      <c r="I1235" s="14" t="inlineStr">
        <is>
          <t>63.93</t>
        </is>
      </c>
      <c r="J1235" s="15" t="inlineStr">
        <is>
          <t>0.11</t>
        </is>
      </c>
      <c r="K1235" s="14" t="inlineStr">
        <is>
          <t>23.01</t>
        </is>
      </c>
      <c r="L1235" s="13" t="inlineStr">
        <is>
          <t>6</t>
        </is>
      </c>
      <c r="M1235" s="13" t="inlineStr">
        <is>
          <t>Completed</t>
        </is>
      </c>
      <c r="N1235" s="13" t="inlineStr">
        <is>
          <t>J. Patel</t>
        </is>
      </c>
    </row>
    <row r="1236">
      <c r="A1236" s="13" t="inlineStr">
        <is>
          <t>HC-101234</t>
        </is>
      </c>
      <c r="B1236" s="13" t="inlineStr">
        <is>
          <t>2025/02/22</t>
        </is>
      </c>
      <c r="C1236" s="13" t="inlineStr">
        <is>
          <t>West</t>
        </is>
      </c>
      <c r="D1236" s="13" t="inlineStr">
        <is>
          <t>Online</t>
        </is>
      </c>
      <c r="E1236" s="13" t="inlineStr">
        <is>
          <t>Furniture</t>
        </is>
      </c>
      <c r="F1236" s="13" t="inlineStr">
        <is>
          <t>Linen Sofa</t>
        </is>
      </c>
      <c r="G1236" s="13" t="inlineStr">
        <is>
          <t>Corporate</t>
        </is>
      </c>
      <c r="H1236" s="13" t="inlineStr">
        <is>
          <t>3</t>
        </is>
      </c>
      <c r="I1236" s="14" t="inlineStr">
        <is>
          <t>1269.55</t>
        </is>
      </c>
      <c r="J1236" s="15" t="inlineStr">
        <is>
          <t>0.09</t>
        </is>
      </c>
      <c r="K1236" s="14" t="inlineStr">
        <is>
          <t>837.90</t>
        </is>
      </c>
      <c r="L1236" s="13" t="inlineStr">
        <is>
          <t>7</t>
        </is>
      </c>
      <c r="M1236" s="13" t="inlineStr">
        <is>
          <t>Completed</t>
        </is>
      </c>
      <c r="N1236" s="13" t="inlineStr">
        <is>
          <t>K. Mensah</t>
        </is>
      </c>
    </row>
    <row r="1237">
      <c r="A1237" s="13" t="inlineStr">
        <is>
          <t>HC-101235</t>
        </is>
      </c>
      <c r="B1237" s="13" t="inlineStr">
        <is>
          <t>01.02.2024</t>
        </is>
      </c>
      <c r="C1237" s="13" t="inlineStr">
        <is>
          <t>North</t>
        </is>
      </c>
      <c r="D1237" s="13" t="inlineStr">
        <is>
          <t>Store</t>
        </is>
      </c>
      <c r="E1237" s="13" t="inlineStr">
        <is>
          <t>Textiles</t>
        </is>
      </c>
      <c r="F1237" s="13" t="inlineStr">
        <is>
          <t>Linen Curtain</t>
        </is>
      </c>
      <c r="G1237" s="13" t="inlineStr">
        <is>
          <t>Consumer</t>
        </is>
      </c>
      <c r="H1237" s="13" t="inlineStr">
        <is>
          <t>2</t>
        </is>
      </c>
      <c r="I1237" s="14" t="inlineStr">
        <is>
          <t>93.61</t>
        </is>
      </c>
      <c r="J1237" s="15" t="inlineStr">
        <is>
          <t>0.03</t>
        </is>
      </c>
      <c r="K1237" s="14" t="inlineStr">
        <is>
          <t>42.13</t>
        </is>
      </c>
      <c r="L1237" s="13" t="inlineStr">
        <is>
          <t>5</t>
        </is>
      </c>
      <c r="M1237" s="13" t="inlineStr">
        <is>
          <t>Completed</t>
        </is>
      </c>
      <c r="N1237" s="13" t="inlineStr">
        <is>
          <t>J. Patel</t>
        </is>
      </c>
    </row>
    <row r="1238">
      <c r="A1238" s="13" t="inlineStr">
        <is>
          <t>HC-101236</t>
        </is>
      </c>
      <c r="B1238" s="13" t="inlineStr">
        <is>
          <t>04/17/2024</t>
        </is>
      </c>
      <c r="C1238" s="13" t="inlineStr">
        <is>
          <t>North</t>
        </is>
      </c>
      <c r="D1238" s="13" t="inlineStr">
        <is>
          <t>Store</t>
        </is>
      </c>
      <c r="E1238" s="13" t="inlineStr">
        <is>
          <t>Textiles</t>
        </is>
      </c>
      <c r="F1238" s="13" t="inlineStr">
        <is>
          <t>Cotton Duvet</t>
        </is>
      </c>
      <c r="G1238" s="13" t="inlineStr">
        <is>
          <t>Consumer</t>
        </is>
      </c>
      <c r="H1238" s="13" t="inlineStr">
        <is>
          <t>1</t>
        </is>
      </c>
      <c r="I1238" s="14" t="inlineStr">
        <is>
          <t>125.60</t>
        </is>
      </c>
      <c r="J1238" s="15" t="inlineStr">
        <is>
          <t>0.03</t>
        </is>
      </c>
      <c r="K1238" s="14" t="inlineStr">
        <is>
          <t>55.26</t>
        </is>
      </c>
      <c r="L1238" s="13" t="inlineStr">
        <is>
          <t>3</t>
        </is>
      </c>
      <c r="M1238" s="13" t="inlineStr">
        <is>
          <t>Completed</t>
        </is>
      </c>
      <c r="N1238" s="13" t="inlineStr">
        <is>
          <t>K. Mensah</t>
        </is>
      </c>
    </row>
    <row r="1239">
      <c r="A1239" s="13" t="inlineStr">
        <is>
          <t>HC-101237</t>
        </is>
      </c>
      <c r="B1239" s="13" t="inlineStr">
        <is>
          <t>25-Dec-24</t>
        </is>
      </c>
      <c r="C1239" s="13" t="inlineStr">
        <is>
          <t>South</t>
        </is>
      </c>
      <c r="D1239" s="13" t="inlineStr">
        <is>
          <t>Wholesale</t>
        </is>
      </c>
      <c r="E1239" s="13" t="inlineStr">
        <is>
          <t>Kitchen</t>
        </is>
      </c>
      <c r="F1239" s="13" t="inlineStr">
        <is>
          <t>Chef Knife</t>
        </is>
      </c>
      <c r="G1239" s="13" t="inlineStr">
        <is>
          <t>Corporate</t>
        </is>
      </c>
      <c r="H1239" s="13" t="inlineStr">
        <is>
          <t>16</t>
        </is>
      </c>
      <c r="I1239" s="14" t="inlineStr">
        <is>
          <t>62.73</t>
        </is>
      </c>
      <c r="J1239" s="15" t="inlineStr">
        <is>
          <t>0.25</t>
        </is>
      </c>
      <c r="K1239" s="14" t="inlineStr">
        <is>
          <t>22.58</t>
        </is>
      </c>
      <c r="L1239" s="13" t="inlineStr">
        <is>
          <t>8</t>
        </is>
      </c>
      <c r="M1239" s="13" t="inlineStr">
        <is>
          <t>COMPLETED</t>
        </is>
      </c>
      <c r="N1239" s="13" t="inlineStr">
        <is>
          <t>J. Patel</t>
        </is>
      </c>
    </row>
    <row r="1240">
      <c r="A1240" s="13" t="inlineStr">
        <is>
          <t>HC-101238</t>
        </is>
      </c>
      <c r="B1240" s="13" t="inlineStr">
        <is>
          <t>2024/07/24</t>
        </is>
      </c>
      <c r="C1240" s="13" t="inlineStr">
        <is>
          <t>NORTH</t>
        </is>
      </c>
      <c r="D1240" s="13" t="inlineStr">
        <is>
          <t>B2B</t>
        </is>
      </c>
      <c r="E1240" s="13" t="inlineStr">
        <is>
          <t>Textiles</t>
        </is>
      </c>
      <c r="F1240" s="13" t="inlineStr">
        <is>
          <t>Wool Throw</t>
        </is>
      </c>
      <c r="G1240" s="13" t="inlineStr">
        <is>
          <t>Consumer</t>
        </is>
      </c>
      <c r="H1240" s="13" t="inlineStr">
        <is>
          <t>10</t>
        </is>
      </c>
      <c r="I1240" s="14" t="inlineStr">
        <is>
          <t>71.88</t>
        </is>
      </c>
      <c r="J1240" s="15" t="inlineStr">
        <is>
          <t>0.20</t>
        </is>
      </c>
      <c r="K1240" s="14" t="inlineStr">
        <is>
          <t>30.19</t>
        </is>
      </c>
      <c r="L1240" s="13" t="inlineStr">
        <is>
          <t>2</t>
        </is>
      </c>
      <c r="M1240" s="13" t="inlineStr">
        <is>
          <t>Completed</t>
        </is>
      </c>
      <c r="N1240" s="13" t="inlineStr">
        <is>
          <t>J. Patel</t>
        </is>
      </c>
    </row>
    <row r="1241">
      <c r="A1241" s="13" t="inlineStr">
        <is>
          <t>HC-101239</t>
        </is>
      </c>
      <c r="B1241" s="13" t="inlineStr">
        <is>
          <t>11.01.2024</t>
        </is>
      </c>
      <c r="C1241" s="13" t="inlineStr">
        <is>
          <t>West</t>
        </is>
      </c>
      <c r="D1241" s="13" t="inlineStr">
        <is>
          <t>Online</t>
        </is>
      </c>
      <c r="E1241" s="13" t="inlineStr">
        <is>
          <t>Furniture</t>
        </is>
      </c>
      <c r="F1241" s="13" t="inlineStr">
        <is>
          <t>Linen Sofa</t>
        </is>
      </c>
      <c r="G1241" s="13" t="inlineStr">
        <is>
          <t>Consumer</t>
        </is>
      </c>
      <c r="H1241" s="13" t="inlineStr">
        <is>
          <t>2</t>
        </is>
      </c>
      <c r="I1241" s="14" t="inlineStr">
        <is>
          <t>1346.74</t>
        </is>
      </c>
      <c r="J1241" s="15" t="inlineStr">
        <is>
          <t>0.05</t>
        </is>
      </c>
      <c r="K1241" s="14" t="inlineStr">
        <is>
          <t>888.85</t>
        </is>
      </c>
      <c r="L1241" s="13" t="inlineStr">
        <is>
          <t>6</t>
        </is>
      </c>
      <c r="M1241" s="13" t="inlineStr">
        <is>
          <t>COMPLETED</t>
        </is>
      </c>
      <c r="N1241" s="13" t="inlineStr">
        <is>
          <t>A. Shah</t>
        </is>
      </c>
    </row>
    <row r="1242">
      <c r="A1242" s="13" t="inlineStr">
        <is>
          <t>HC-101240</t>
        </is>
      </c>
      <c r="B1242" s="13" t="inlineStr">
        <is>
          <t>09/15/2024</t>
        </is>
      </c>
      <c r="C1242" s="13" t="inlineStr">
        <is>
          <t>West</t>
        </is>
      </c>
      <c r="D1242" s="13" t="inlineStr">
        <is>
          <t>e-commerce</t>
        </is>
      </c>
      <c r="E1242" s="13" t="inlineStr">
        <is>
          <t>Textiles</t>
        </is>
      </c>
      <c r="F1242" s="13" t="inlineStr">
        <is>
          <t>Cotton Duvet</t>
        </is>
      </c>
      <c r="G1242" s="13" t="inlineStr">
        <is>
          <t>Corporate</t>
        </is>
      </c>
      <c r="H1242" s="13" t="inlineStr">
        <is>
          <t>2</t>
        </is>
      </c>
      <c r="I1242" s="14" t="inlineStr">
        <is>
          <t>128.04</t>
        </is>
      </c>
      <c r="J1242" s="15" t="inlineStr">
        <is>
          <t>0.15</t>
        </is>
      </c>
      <c r="K1242" s="14" t="inlineStr">
        <is>
          <t>56.34</t>
        </is>
      </c>
      <c r="L1242" s="13" t="inlineStr">
        <is>
          <t>6</t>
        </is>
      </c>
      <c r="M1242" s="13" t="inlineStr">
        <is>
          <t>Completed</t>
        </is>
      </c>
      <c r="N1242" s="13" t="inlineStr">
        <is>
          <t>R. Ibarra</t>
        </is>
      </c>
    </row>
    <row r="1243">
      <c r="A1243" s="13" t="inlineStr">
        <is>
          <t>HC-101241</t>
        </is>
      </c>
      <c r="B1243" s="13" t="inlineStr">
        <is>
          <t>05-Apr-25</t>
        </is>
      </c>
      <c r="C1243" s="13" t="inlineStr">
        <is>
          <t>West</t>
        </is>
      </c>
      <c r="D1243" s="13" t="inlineStr">
        <is>
          <t>web</t>
        </is>
      </c>
      <c r="E1243" s="13" t="inlineStr">
        <is>
          <t>Lighting</t>
        </is>
      </c>
      <c r="F1243" s="13" t="inlineStr">
        <is>
          <t>Arc Lamp</t>
        </is>
      </c>
      <c r="G1243" s="13" t="inlineStr"/>
      <c r="H1243" s="13" t="inlineStr">
        <is>
          <t>2</t>
        </is>
      </c>
      <c r="I1243" s="14" t="inlineStr">
        <is>
          <t>306.19</t>
        </is>
      </c>
      <c r="J1243" s="15" t="inlineStr">
        <is>
          <t>0.07</t>
        </is>
      </c>
      <c r="K1243" s="14" t="inlineStr">
        <is>
          <t>146.97</t>
        </is>
      </c>
      <c r="L1243" s="13" t="inlineStr">
        <is>
          <t>3</t>
        </is>
      </c>
      <c r="M1243" s="13" t="inlineStr">
        <is>
          <t>Completed</t>
        </is>
      </c>
      <c r="N1243" s="13" t="inlineStr">
        <is>
          <t>R. Ibarra</t>
        </is>
      </c>
    </row>
    <row r="1244">
      <c r="A1244" s="13" t="inlineStr">
        <is>
          <t>HC-101242</t>
        </is>
      </c>
      <c r="B1244" s="13" t="inlineStr">
        <is>
          <t>2025/02/05</t>
        </is>
      </c>
      <c r="C1244" s="13" t="inlineStr">
        <is>
          <t>East</t>
        </is>
      </c>
      <c r="D1244" s="13" t="inlineStr">
        <is>
          <t>Wholesale</t>
        </is>
      </c>
      <c r="E1244" s="13" t="inlineStr">
        <is>
          <t>Lighting</t>
        </is>
      </c>
      <c r="F1244" s="13" t="inlineStr">
        <is>
          <t>Pendant Light</t>
        </is>
      </c>
      <c r="G1244" s="13" t="inlineStr">
        <is>
          <t>Corporate</t>
        </is>
      </c>
      <c r="H1244" s="13" t="inlineStr">
        <is>
          <t>14</t>
        </is>
      </c>
      <c r="I1244" s="14" t="inlineStr">
        <is>
          <t>172.95</t>
        </is>
      </c>
      <c r="J1244" s="15" t="inlineStr">
        <is>
          <t>0.19</t>
        </is>
      </c>
      <c r="K1244" s="14" t="inlineStr">
        <is>
          <t>86.47</t>
        </is>
      </c>
      <c r="L1244" s="13" t="inlineStr">
        <is>
          <t>10</t>
        </is>
      </c>
      <c r="M1244" s="13" t="inlineStr">
        <is>
          <t>Completed</t>
        </is>
      </c>
      <c r="N1244" s="13" t="inlineStr">
        <is>
          <t>J. Patel</t>
        </is>
      </c>
    </row>
    <row r="1245">
      <c r="A1245" s="13" t="inlineStr">
        <is>
          <t>HC-101243</t>
        </is>
      </c>
      <c r="B1245" s="13" t="inlineStr">
        <is>
          <t>30.05.2025</t>
        </is>
      </c>
      <c r="C1245" s="13" t="inlineStr">
        <is>
          <t>West</t>
        </is>
      </c>
      <c r="D1245" s="13" t="inlineStr">
        <is>
          <t>Store</t>
        </is>
      </c>
      <c r="E1245" s="13" t="inlineStr">
        <is>
          <t>Kitchen</t>
        </is>
      </c>
      <c r="F1245" s="13" t="inlineStr">
        <is>
          <t>Cast Skillet</t>
        </is>
      </c>
      <c r="G1245" s="13" t="inlineStr">
        <is>
          <t>Consumer</t>
        </is>
      </c>
      <c r="H1245" s="13" t="inlineStr">
        <is>
          <t>4</t>
        </is>
      </c>
      <c r="I1245" s="14" t="inlineStr">
        <is>
          <t>53.61</t>
        </is>
      </c>
      <c r="J1245" s="15" t="inlineStr">
        <is>
          <t>0.08</t>
        </is>
      </c>
      <c r="K1245" s="14" t="inlineStr">
        <is>
          <t>21.44</t>
        </is>
      </c>
      <c r="L1245" s="13" t="inlineStr">
        <is>
          <t>5</t>
        </is>
      </c>
      <c r="M1245" s="13" t="inlineStr">
        <is>
          <t>Completed</t>
        </is>
      </c>
      <c r="N1245" s="13" t="inlineStr">
        <is>
          <t>P. Rossi</t>
        </is>
      </c>
    </row>
    <row r="1246">
      <c r="A1246" s="13" t="inlineStr">
        <is>
          <t>HC-101244</t>
        </is>
      </c>
      <c r="B1246" s="13" t="inlineStr">
        <is>
          <t>04/18/2025</t>
        </is>
      </c>
      <c r="C1246" s="13" t="inlineStr">
        <is>
          <t>North</t>
        </is>
      </c>
      <c r="D1246" s="13" t="inlineStr">
        <is>
          <t>Store</t>
        </is>
      </c>
      <c r="E1246" s="13" t="inlineStr">
        <is>
          <t>Kitchen</t>
        </is>
      </c>
      <c r="F1246" s="13" t="inlineStr">
        <is>
          <t>Ceramic Set</t>
        </is>
      </c>
      <c r="G1246" s="13" t="inlineStr">
        <is>
          <t>Consumer</t>
        </is>
      </c>
      <c r="H1246" s="13" t="inlineStr">
        <is>
          <t>3</t>
        </is>
      </c>
      <c r="I1246" s="14" t="inlineStr">
        <is>
          <t>85.73</t>
        </is>
      </c>
      <c r="J1246" s="15" t="inlineStr">
        <is>
          <t>3%</t>
        </is>
      </c>
      <c r="K1246" s="14" t="inlineStr">
        <is>
          <t>32.58</t>
        </is>
      </c>
      <c r="L1246" s="13" t="inlineStr">
        <is>
          <t>6</t>
        </is>
      </c>
      <c r="M1246" s="13" t="inlineStr">
        <is>
          <t>Completed</t>
        </is>
      </c>
      <c r="N1246" s="13" t="inlineStr">
        <is>
          <t>J. Patel</t>
        </is>
      </c>
    </row>
    <row r="1247">
      <c r="A1247" s="13" t="inlineStr">
        <is>
          <t>HC-101245</t>
        </is>
      </c>
      <c r="B1247" s="13" t="inlineStr">
        <is>
          <t>12-Feb-24</t>
        </is>
      </c>
      <c r="C1247" s="13" t="inlineStr">
        <is>
          <t>North</t>
        </is>
      </c>
      <c r="D1247" s="13" t="inlineStr">
        <is>
          <t>Online</t>
        </is>
      </c>
      <c r="E1247" s="13" t="inlineStr">
        <is>
          <t>Kitchen</t>
        </is>
      </c>
      <c r="F1247" s="13" t="inlineStr">
        <is>
          <t>Cast Skillet</t>
        </is>
      </c>
      <c r="G1247" s="13" t="inlineStr"/>
      <c r="H1247" s="13" t="inlineStr">
        <is>
          <t>1</t>
        </is>
      </c>
      <c r="I1247" s="14" t="inlineStr">
        <is>
          <t>51.74</t>
        </is>
      </c>
      <c r="J1247" s="15" t="inlineStr">
        <is>
          <t>0.08</t>
        </is>
      </c>
      <c r="K1247" s="14" t="inlineStr">
        <is>
          <t>20.70</t>
        </is>
      </c>
      <c r="L1247" s="13" t="inlineStr">
        <is>
          <t>6</t>
        </is>
      </c>
      <c r="M1247" s="13" t="inlineStr">
        <is>
          <t>Returned</t>
        </is>
      </c>
      <c r="N1247" s="13" t="inlineStr">
        <is>
          <t>P. Rossi</t>
        </is>
      </c>
    </row>
    <row r="1248">
      <c r="A1248" s="13" t="inlineStr">
        <is>
          <t>HC-101246</t>
        </is>
      </c>
      <c r="B1248" s="13" t="inlineStr">
        <is>
          <t>2025/05/27</t>
        </is>
      </c>
      <c r="C1248" s="13" t="inlineStr">
        <is>
          <t>south</t>
        </is>
      </c>
      <c r="D1248" s="13" t="inlineStr">
        <is>
          <t>Online</t>
        </is>
      </c>
      <c r="E1248" s="13" t="inlineStr">
        <is>
          <t>Furniture</t>
        </is>
      </c>
      <c r="F1248" s="13" t="inlineStr">
        <is>
          <t>Lounge Chair</t>
        </is>
      </c>
      <c r="G1248" s="13" t="inlineStr">
        <is>
          <t>Consumer</t>
        </is>
      </c>
      <c r="H1248" s="13" t="inlineStr">
        <is>
          <t>3</t>
        </is>
      </c>
      <c r="I1248" s="14" t="inlineStr">
        <is>
          <t>507.25</t>
        </is>
      </c>
      <c r="J1248" s="15" t="inlineStr">
        <is>
          <t>0.13</t>
        </is>
      </c>
      <c r="K1248" s="14" t="inlineStr">
        <is>
          <t>304.35</t>
        </is>
      </c>
      <c r="L1248" s="13" t="inlineStr">
        <is>
          <t>6</t>
        </is>
      </c>
      <c r="M1248" s="13" t="inlineStr">
        <is>
          <t>Completed</t>
        </is>
      </c>
      <c r="N1248" s="13" t="inlineStr">
        <is>
          <t>J. Patel</t>
        </is>
      </c>
    </row>
    <row r="1249">
      <c r="A1249" s="13" t="inlineStr">
        <is>
          <t>HC-101247</t>
        </is>
      </c>
      <c r="B1249" s="13" t="inlineStr">
        <is>
          <t>12.11.2024</t>
        </is>
      </c>
      <c r="C1249" s="13" t="inlineStr">
        <is>
          <t>West</t>
        </is>
      </c>
      <c r="D1249" s="13" t="inlineStr">
        <is>
          <t>retail</t>
        </is>
      </c>
      <c r="E1249" s="13" t="inlineStr">
        <is>
          <t>Furniture</t>
        </is>
      </c>
      <c r="F1249" s="13" t="inlineStr">
        <is>
          <t>Walnut Shelf</t>
        </is>
      </c>
      <c r="G1249" s="13" t="inlineStr">
        <is>
          <t>Consumer</t>
        </is>
      </c>
      <c r="H1249" s="13" t="inlineStr">
        <is>
          <t>2</t>
        </is>
      </c>
      <c r="I1249" s="14" t="inlineStr">
        <is>
          <t>226.60</t>
        </is>
      </c>
      <c r="J1249" s="15" t="inlineStr">
        <is>
          <t>0.09</t>
        </is>
      </c>
      <c r="K1249" s="14" t="inlineStr">
        <is>
          <t>124.63</t>
        </is>
      </c>
      <c r="L1249" s="13" t="inlineStr">
        <is>
          <t>5</t>
        </is>
      </c>
      <c r="M1249" s="13" t="inlineStr">
        <is>
          <t>Completed</t>
        </is>
      </c>
      <c r="N1249" s="13" t="inlineStr">
        <is>
          <t>A. Shah</t>
        </is>
      </c>
    </row>
    <row r="1250">
      <c r="A1250" s="13" t="inlineStr">
        <is>
          <t>HC-101248</t>
        </is>
      </c>
      <c r="B1250" s="13" t="inlineStr">
        <is>
          <t>10/25/2024</t>
        </is>
      </c>
      <c r="C1250" s="13" t="inlineStr">
        <is>
          <t>North</t>
        </is>
      </c>
      <c r="D1250" s="13" t="inlineStr">
        <is>
          <t>Online</t>
        </is>
      </c>
      <c r="E1250" s="13" t="inlineStr">
        <is>
          <t>Kitchen</t>
        </is>
      </c>
      <c r="F1250" s="13" t="inlineStr">
        <is>
          <t>Cast Skillet</t>
        </is>
      </c>
      <c r="G1250" s="13" t="inlineStr">
        <is>
          <t>Consumer</t>
        </is>
      </c>
      <c r="H1250" s="13" t="inlineStr">
        <is>
          <t>3</t>
        </is>
      </c>
      <c r="I1250" s="14" t="inlineStr">
        <is>
          <t>55.01</t>
        </is>
      </c>
      <c r="J1250" s="15" t="inlineStr">
        <is>
          <t>0.08</t>
        </is>
      </c>
      <c r="K1250" s="14" t="inlineStr">
        <is>
          <t>22.00</t>
        </is>
      </c>
      <c r="L1250" s="13" t="inlineStr">
        <is>
          <t>5</t>
        </is>
      </c>
      <c r="M1250" s="13" t="inlineStr">
        <is>
          <t>complete</t>
        </is>
      </c>
      <c r="N1250" s="13" t="inlineStr">
        <is>
          <t>L. Berger</t>
        </is>
      </c>
    </row>
    <row r="1251">
      <c r="A1251" s="13" t="inlineStr">
        <is>
          <t>HC-101249</t>
        </is>
      </c>
      <c r="B1251" s="13" t="inlineStr">
        <is>
          <t>27-May-25</t>
        </is>
      </c>
      <c r="C1251" s="13" t="inlineStr">
        <is>
          <t>North</t>
        </is>
      </c>
      <c r="D1251" s="13" t="inlineStr">
        <is>
          <t>Store</t>
        </is>
      </c>
      <c r="E1251" s="13" t="inlineStr">
        <is>
          <t>Textiles</t>
        </is>
      </c>
      <c r="F1251" s="13" t="inlineStr">
        <is>
          <t>Wool Throw</t>
        </is>
      </c>
      <c r="G1251" s="13" t="inlineStr">
        <is>
          <t>Consumer</t>
        </is>
      </c>
      <c r="H1251" s="13" t="inlineStr">
        <is>
          <t>1</t>
        </is>
      </c>
      <c r="I1251" s="14" t="inlineStr">
        <is>
          <t>78.52</t>
        </is>
      </c>
      <c r="J1251" s="15" t="inlineStr">
        <is>
          <t>0.04</t>
        </is>
      </c>
      <c r="K1251" s="14" t="inlineStr">
        <is>
          <t>32.98</t>
        </is>
      </c>
      <c r="L1251" s="13" t="inlineStr">
        <is>
          <t>1</t>
        </is>
      </c>
      <c r="M1251" s="13" t="inlineStr">
        <is>
          <t>Completed</t>
        </is>
      </c>
      <c r="N1251" s="13" t="inlineStr">
        <is>
          <t>P. Rossi</t>
        </is>
      </c>
    </row>
    <row r="1252">
      <c r="A1252" s="13" t="inlineStr">
        <is>
          <t>HC-101250</t>
        </is>
      </c>
      <c r="B1252" s="13" t="inlineStr">
        <is>
          <t>2024/10/29</t>
        </is>
      </c>
      <c r="C1252" s="13" t="inlineStr">
        <is>
          <t>South</t>
        </is>
      </c>
      <c r="D1252" s="13" t="inlineStr">
        <is>
          <t>Online</t>
        </is>
      </c>
      <c r="E1252" s="13" t="inlineStr">
        <is>
          <t>Lighting</t>
        </is>
      </c>
      <c r="F1252" s="13" t="inlineStr">
        <is>
          <t>Arc Lamp</t>
        </is>
      </c>
      <c r="G1252" s="13" t="inlineStr">
        <is>
          <t>Consumer</t>
        </is>
      </c>
      <c r="H1252" s="13" t="inlineStr">
        <is>
          <t>3</t>
        </is>
      </c>
      <c r="I1252" s="14" t="inlineStr">
        <is>
          <t>316.40</t>
        </is>
      </c>
      <c r="J1252" s="15" t="inlineStr">
        <is>
          <t>0.09</t>
        </is>
      </c>
      <c r="K1252" s="14" t="inlineStr">
        <is>
          <t>151.87</t>
        </is>
      </c>
      <c r="L1252" s="13" t="inlineStr">
        <is>
          <t>9</t>
        </is>
      </c>
      <c r="M1252" s="13" t="inlineStr">
        <is>
          <t>Returned</t>
        </is>
      </c>
      <c r="N1252" s="13" t="inlineStr">
        <is>
          <t>L. Berger</t>
        </is>
      </c>
    </row>
    <row r="1253">
      <c r="A1253" s="13" t="inlineStr">
        <is>
          <t>HC-101251</t>
        </is>
      </c>
      <c r="B1253" s="13" t="inlineStr">
        <is>
          <t>18.03.2024</t>
        </is>
      </c>
      <c r="C1253" s="13" t="inlineStr">
        <is>
          <t>West</t>
        </is>
      </c>
      <c r="D1253" s="13" t="inlineStr">
        <is>
          <t>Store</t>
        </is>
      </c>
      <c r="E1253" s="13" t="inlineStr">
        <is>
          <t>Furniture</t>
        </is>
      </c>
      <c r="F1253" s="13" t="inlineStr">
        <is>
          <t>Oak Desk</t>
        </is>
      </c>
      <c r="G1253" s="13" t="inlineStr">
        <is>
          <t>Corporate</t>
        </is>
      </c>
      <c r="H1253" s="13" t="inlineStr">
        <is>
          <t>2</t>
        </is>
      </c>
      <c r="I1253" s="14" t="inlineStr">
        <is>
          <t>$777.61</t>
        </is>
      </c>
      <c r="J1253" s="15" t="inlineStr">
        <is>
          <t>0.02</t>
        </is>
      </c>
      <c r="K1253" s="14" t="inlineStr">
        <is>
          <t>482.12</t>
        </is>
      </c>
      <c r="L1253" s="13" t="inlineStr">
        <is>
          <t>8</t>
        </is>
      </c>
      <c r="M1253" s="13" t="inlineStr">
        <is>
          <t>Completed</t>
        </is>
      </c>
      <c r="N1253" s="13" t="inlineStr">
        <is>
          <t>M. Okonkwo</t>
        </is>
      </c>
    </row>
    <row r="1254">
      <c r="A1254" s="13" t="inlineStr">
        <is>
          <t>HC-101252</t>
        </is>
      </c>
      <c r="B1254" s="13" t="inlineStr">
        <is>
          <t>04/14/2024</t>
        </is>
      </c>
      <c r="C1254" s="13" t="inlineStr">
        <is>
          <t>North</t>
        </is>
      </c>
      <c r="D1254" s="13" t="inlineStr">
        <is>
          <t>Wholesale</t>
        </is>
      </c>
      <c r="E1254" s="13" t="inlineStr">
        <is>
          <t>Textiles</t>
        </is>
      </c>
      <c r="F1254" s="13" t="inlineStr">
        <is>
          <t>Wool Throw</t>
        </is>
      </c>
      <c r="G1254" s="13" t="inlineStr">
        <is>
          <t>Corporate</t>
        </is>
      </c>
      <c r="H1254" s="13" t="inlineStr">
        <is>
          <t>Twelve</t>
        </is>
      </c>
      <c r="I1254" s="14" t="inlineStr">
        <is>
          <t>77.65</t>
        </is>
      </c>
      <c r="J1254" s="15" t="inlineStr">
        <is>
          <t>0.30</t>
        </is>
      </c>
      <c r="K1254" s="14" t="inlineStr">
        <is>
          <t>32.61</t>
        </is>
      </c>
      <c r="L1254" s="13" t="inlineStr">
        <is>
          <t>7</t>
        </is>
      </c>
      <c r="M1254" s="13" t="inlineStr">
        <is>
          <t>Completed</t>
        </is>
      </c>
      <c r="N1254" s="13" t="inlineStr">
        <is>
          <t>L. Berger</t>
        </is>
      </c>
    </row>
    <row r="1255">
      <c r="A1255" s="13" t="inlineStr">
        <is>
          <t>HC-101253</t>
        </is>
      </c>
      <c r="B1255" s="13" t="inlineStr">
        <is>
          <t>11-Aug-24</t>
        </is>
      </c>
      <c r="C1255" s="13" t="inlineStr">
        <is>
          <t>North</t>
        </is>
      </c>
      <c r="D1255" s="13" t="inlineStr">
        <is>
          <t>Online</t>
        </is>
      </c>
      <c r="E1255" s="13" t="inlineStr">
        <is>
          <t>Furniture</t>
        </is>
      </c>
      <c r="F1255" s="13" t="inlineStr">
        <is>
          <t>Walnut Shelf</t>
        </is>
      </c>
      <c r="G1255" s="13" t="inlineStr">
        <is>
          <t>Corporate</t>
        </is>
      </c>
      <c r="H1255" s="13" t="inlineStr">
        <is>
          <t>1</t>
        </is>
      </c>
      <c r="I1255" s="14" t="inlineStr">
        <is>
          <t>206.60</t>
        </is>
      </c>
      <c r="J1255" s="15" t="inlineStr">
        <is>
          <t>0.09</t>
        </is>
      </c>
      <c r="K1255" s="14" t="inlineStr">
        <is>
          <t>113.63</t>
        </is>
      </c>
      <c r="L1255" s="13" t="inlineStr">
        <is>
          <t>8</t>
        </is>
      </c>
      <c r="M1255" s="13" t="inlineStr">
        <is>
          <t>Completed</t>
        </is>
      </c>
      <c r="N1255" s="13" t="inlineStr">
        <is>
          <t>A. Shah</t>
        </is>
      </c>
    </row>
    <row r="1256">
      <c r="A1256" s="13" t="inlineStr">
        <is>
          <t>HC-101254</t>
        </is>
      </c>
      <c r="B1256" s="13" t="inlineStr">
        <is>
          <t>2024/05/19</t>
        </is>
      </c>
      <c r="C1256" s="13" t="inlineStr">
        <is>
          <t>North</t>
        </is>
      </c>
      <c r="D1256" s="13" t="inlineStr">
        <is>
          <t>B2B</t>
        </is>
      </c>
      <c r="E1256" s="13" t="inlineStr">
        <is>
          <t>Kitchen</t>
        </is>
      </c>
      <c r="F1256" s="13" t="inlineStr">
        <is>
          <t>Cast Skillet</t>
        </is>
      </c>
      <c r="G1256" s="13" t="inlineStr">
        <is>
          <t>Consumer</t>
        </is>
      </c>
      <c r="H1256" s="13" t="inlineStr">
        <is>
          <t>14</t>
        </is>
      </c>
      <c r="I1256" s="14" t="inlineStr">
        <is>
          <t>56.59</t>
        </is>
      </c>
      <c r="J1256" s="15" t="inlineStr">
        <is>
          <t>0.18</t>
        </is>
      </c>
      <c r="K1256" s="14" t="inlineStr">
        <is>
          <t>22.64</t>
        </is>
      </c>
      <c r="L1256" s="13" t="inlineStr">
        <is>
          <t>6</t>
        </is>
      </c>
      <c r="M1256" s="13" t="inlineStr">
        <is>
          <t>Cancelled</t>
        </is>
      </c>
      <c r="N1256" s="13" t="inlineStr">
        <is>
          <t>R. Ibarra</t>
        </is>
      </c>
    </row>
    <row r="1257">
      <c r="A1257" s="13" t="inlineStr">
        <is>
          <t>HC-101255</t>
        </is>
      </c>
      <c r="B1257" s="13" t="inlineStr">
        <is>
          <t>11.08.2024</t>
        </is>
      </c>
      <c r="C1257" s="13" t="inlineStr">
        <is>
          <t xml:space="preserve"> west </t>
        </is>
      </c>
      <c r="D1257" s="13" t="inlineStr">
        <is>
          <t>Store</t>
        </is>
      </c>
      <c r="E1257" s="13" t="inlineStr">
        <is>
          <t>Kitchen</t>
        </is>
      </c>
      <c r="F1257" s="13" t="inlineStr">
        <is>
          <t>Ceramic Set</t>
        </is>
      </c>
      <c r="G1257" s="13" t="inlineStr">
        <is>
          <t>consumer</t>
        </is>
      </c>
      <c r="H1257" s="13" t="inlineStr">
        <is>
          <t>3</t>
        </is>
      </c>
      <c r="I1257" s="14" t="inlineStr">
        <is>
          <t>92.63</t>
        </is>
      </c>
      <c r="J1257" s="15" t="inlineStr">
        <is>
          <t>0.11</t>
        </is>
      </c>
      <c r="K1257" s="14" t="inlineStr">
        <is>
          <t>35.20</t>
        </is>
      </c>
      <c r="L1257" s="13" t="inlineStr">
        <is>
          <t>7</t>
        </is>
      </c>
      <c r="M1257" s="13" t="inlineStr">
        <is>
          <t>Returned</t>
        </is>
      </c>
      <c r="N1257" s="13" t="inlineStr">
        <is>
          <t>S. Nguyen</t>
        </is>
      </c>
    </row>
    <row r="1258">
      <c r="A1258" s="13" t="inlineStr">
        <is>
          <t>HC-101256</t>
        </is>
      </c>
      <c r="B1258" s="13" t="inlineStr">
        <is>
          <t>07/10/2025</t>
        </is>
      </c>
      <c r="C1258" s="13" t="inlineStr">
        <is>
          <t>East</t>
        </is>
      </c>
      <c r="D1258" s="13" t="inlineStr">
        <is>
          <t>Online</t>
        </is>
      </c>
      <c r="E1258" s="13" t="inlineStr">
        <is>
          <t>Furniture</t>
        </is>
      </c>
      <c r="F1258" s="13" t="inlineStr">
        <is>
          <t>Oak Desk</t>
        </is>
      </c>
      <c r="G1258" s="13" t="inlineStr">
        <is>
          <t>Consumer</t>
        </is>
      </c>
      <c r="H1258" s="13" t="inlineStr">
        <is>
          <t>1</t>
        </is>
      </c>
      <c r="I1258" s="14" t="inlineStr">
        <is>
          <t>714.10</t>
        </is>
      </c>
      <c r="J1258" s="15" t="inlineStr">
        <is>
          <t>0.14</t>
        </is>
      </c>
      <c r="K1258" s="14" t="inlineStr">
        <is>
          <t>442.74</t>
        </is>
      </c>
      <c r="L1258" s="13" t="inlineStr">
        <is>
          <t>12</t>
        </is>
      </c>
      <c r="M1258" s="13" t="inlineStr">
        <is>
          <t>Completed</t>
        </is>
      </c>
      <c r="N1258" s="13" t="inlineStr">
        <is>
          <t>A. Shah</t>
        </is>
      </c>
    </row>
    <row r="1259">
      <c r="A1259" s="13" t="inlineStr">
        <is>
          <t>HC-101257</t>
        </is>
      </c>
      <c r="B1259" s="13" t="inlineStr">
        <is>
          <t>24-May-25</t>
        </is>
      </c>
      <c r="C1259" s="13" t="inlineStr">
        <is>
          <t>West</t>
        </is>
      </c>
      <c r="D1259" s="13" t="inlineStr">
        <is>
          <t>Wholesale</t>
        </is>
      </c>
      <c r="E1259" s="13" t="inlineStr">
        <is>
          <t>Furniture</t>
        </is>
      </c>
      <c r="F1259" s="13" t="inlineStr">
        <is>
          <t>Linen Sofa</t>
        </is>
      </c>
      <c r="G1259" s="13" t="inlineStr">
        <is>
          <t>Corporate</t>
        </is>
      </c>
      <c r="H1259" s="13" t="inlineStr">
        <is>
          <t>23</t>
        </is>
      </c>
      <c r="I1259" s="14" t="inlineStr">
        <is>
          <t>1313.39</t>
        </is>
      </c>
      <c r="J1259" s="15" t="inlineStr">
        <is>
          <t>0.18</t>
        </is>
      </c>
      <c r="K1259" s="14" t="inlineStr">
        <is>
          <t>866.84</t>
        </is>
      </c>
      <c r="L1259" s="13" t="inlineStr">
        <is>
          <t>4</t>
        </is>
      </c>
      <c r="M1259" s="13" t="inlineStr">
        <is>
          <t>Completed</t>
        </is>
      </c>
      <c r="N1259" s="13" t="inlineStr">
        <is>
          <t>M. Okonkwo</t>
        </is>
      </c>
    </row>
    <row r="1260">
      <c r="A1260" s="13" t="inlineStr">
        <is>
          <t>HC-101258</t>
        </is>
      </c>
      <c r="B1260" s="13" t="inlineStr">
        <is>
          <t>2025/05/11</t>
        </is>
      </c>
      <c r="C1260" s="13" t="inlineStr">
        <is>
          <t>East</t>
        </is>
      </c>
      <c r="D1260" s="13" t="inlineStr">
        <is>
          <t>Store</t>
        </is>
      </c>
      <c r="E1260" s="13" t="inlineStr">
        <is>
          <t>Kitchen</t>
        </is>
      </c>
      <c r="F1260" s="13" t="inlineStr">
        <is>
          <t>Ceramic Set</t>
        </is>
      </c>
      <c r="G1260" s="13" t="inlineStr">
        <is>
          <t>Consumer</t>
        </is>
      </c>
      <c r="H1260" s="13" t="inlineStr">
        <is>
          <t>1</t>
        </is>
      </c>
      <c r="I1260" s="14" t="inlineStr">
        <is>
          <t>81.35</t>
        </is>
      </c>
      <c r="J1260" s="15" t="inlineStr">
        <is>
          <t>0.11</t>
        </is>
      </c>
      <c r="K1260" s="14" t="inlineStr">
        <is>
          <t>30.91</t>
        </is>
      </c>
      <c r="L1260" s="13" t="inlineStr">
        <is>
          <t>8</t>
        </is>
      </c>
      <c r="M1260" s="13" t="inlineStr">
        <is>
          <t>Cancelled</t>
        </is>
      </c>
      <c r="N1260" s="13" t="inlineStr">
        <is>
          <t>L. Berger</t>
        </is>
      </c>
    </row>
    <row r="1261">
      <c r="A1261" s="13" t="inlineStr">
        <is>
          <t>HC-101259</t>
        </is>
      </c>
      <c r="B1261" s="13" t="inlineStr">
        <is>
          <t>06.03.2025</t>
        </is>
      </c>
      <c r="C1261" s="13" t="inlineStr">
        <is>
          <t>WEST</t>
        </is>
      </c>
      <c r="D1261" s="13" t="inlineStr">
        <is>
          <t>Online</t>
        </is>
      </c>
      <c r="E1261" s="13" t="inlineStr">
        <is>
          <t>Kitchen</t>
        </is>
      </c>
      <c r="F1261" s="13" t="inlineStr">
        <is>
          <t>Chef Knife</t>
        </is>
      </c>
      <c r="G1261" s="13" t="inlineStr">
        <is>
          <t>Consumer</t>
        </is>
      </c>
      <c r="H1261" s="13" t="inlineStr">
        <is>
          <t>3</t>
        </is>
      </c>
      <c r="I1261" s="14" t="inlineStr">
        <is>
          <t>63.97</t>
        </is>
      </c>
      <c r="J1261" s="15" t="inlineStr">
        <is>
          <t>0.03</t>
        </is>
      </c>
      <c r="K1261" s="14" t="inlineStr">
        <is>
          <t>23.03</t>
        </is>
      </c>
      <c r="L1261" s="13" t="inlineStr">
        <is>
          <t>5</t>
        </is>
      </c>
      <c r="M1261" s="13" t="inlineStr">
        <is>
          <t>Completed</t>
        </is>
      </c>
      <c r="N1261" s="13" t="inlineStr">
        <is>
          <t>J. Patel</t>
        </is>
      </c>
    </row>
    <row r="1262">
      <c r="A1262" s="13" t="inlineStr">
        <is>
          <t>HC-101260</t>
        </is>
      </c>
      <c r="B1262" s="13" t="inlineStr">
        <is>
          <t>06/02/2025</t>
        </is>
      </c>
      <c r="C1262" s="13" t="inlineStr">
        <is>
          <t>West</t>
        </is>
      </c>
      <c r="D1262" s="13" t="inlineStr">
        <is>
          <t>Online</t>
        </is>
      </c>
      <c r="E1262" s="13" t="inlineStr">
        <is>
          <t>Furniture</t>
        </is>
      </c>
      <c r="F1262" s="13" t="inlineStr">
        <is>
          <t>Oak Desk</t>
        </is>
      </c>
      <c r="G1262" s="13" t="inlineStr">
        <is>
          <t>Corporate</t>
        </is>
      </c>
      <c r="H1262" s="13" t="inlineStr">
        <is>
          <t>3</t>
        </is>
      </c>
      <c r="I1262" s="14" t="inlineStr">
        <is>
          <t>890.96</t>
        </is>
      </c>
      <c r="J1262" s="15" t="inlineStr">
        <is>
          <t>0.17</t>
        </is>
      </c>
      <c r="K1262" s="14" t="inlineStr">
        <is>
          <t>552.40</t>
        </is>
      </c>
      <c r="L1262" s="13" t="inlineStr">
        <is>
          <t>7</t>
        </is>
      </c>
      <c r="M1262" s="13" t="inlineStr">
        <is>
          <t>Completed</t>
        </is>
      </c>
      <c r="N1262" s="13" t="inlineStr">
        <is>
          <t>P. Rossi</t>
        </is>
      </c>
    </row>
    <row r="1263">
      <c r="A1263" s="13" t="inlineStr">
        <is>
          <t>HC-101261</t>
        </is>
      </c>
      <c r="B1263" s="13" t="inlineStr">
        <is>
          <t>06-Nov-24</t>
        </is>
      </c>
      <c r="C1263" s="13" t="inlineStr">
        <is>
          <t>North</t>
        </is>
      </c>
      <c r="D1263" s="13" t="inlineStr">
        <is>
          <t>Store</t>
        </is>
      </c>
      <c r="E1263" s="13" t="inlineStr">
        <is>
          <t>LIGHTING</t>
        </is>
      </c>
      <c r="F1263" s="13" t="inlineStr">
        <is>
          <t>Arc Lamp</t>
        </is>
      </c>
      <c r="G1263" s="13" t="inlineStr">
        <is>
          <t>Consumer</t>
        </is>
      </c>
      <c r="H1263" s="13" t="inlineStr">
        <is>
          <t>4</t>
        </is>
      </c>
      <c r="I1263" s="14" t="inlineStr">
        <is>
          <t>321.15</t>
        </is>
      </c>
      <c r="J1263" s="15" t="inlineStr">
        <is>
          <t>0.05</t>
        </is>
      </c>
      <c r="K1263" s="14" t="inlineStr">
        <is>
          <t>154.15</t>
        </is>
      </c>
      <c r="L1263" s="13" t="inlineStr">
        <is>
          <t>6</t>
        </is>
      </c>
      <c r="M1263" s="13" t="inlineStr">
        <is>
          <t>Completed</t>
        </is>
      </c>
      <c r="N1263" s="13" t="inlineStr">
        <is>
          <t>R. Ibarra</t>
        </is>
      </c>
    </row>
    <row r="1264">
      <c r="A1264" s="13" t="inlineStr">
        <is>
          <t>HC-101262</t>
        </is>
      </c>
      <c r="B1264" s="13" t="inlineStr">
        <is>
          <t>2024/04/14</t>
        </is>
      </c>
      <c r="C1264" s="13" t="inlineStr">
        <is>
          <t>West</t>
        </is>
      </c>
      <c r="D1264" s="13" t="inlineStr">
        <is>
          <t>Wholesale</t>
        </is>
      </c>
      <c r="E1264" s="13" t="inlineStr">
        <is>
          <t>Furniture</t>
        </is>
      </c>
      <c r="F1264" s="13" t="inlineStr">
        <is>
          <t>Lounge Chair</t>
        </is>
      </c>
      <c r="G1264" s="13" t="inlineStr"/>
      <c r="H1264" s="13" t="inlineStr">
        <is>
          <t>eight</t>
        </is>
      </c>
      <c r="I1264" s="14" t="inlineStr">
        <is>
          <t>464.68</t>
        </is>
      </c>
      <c r="J1264" s="15" t="inlineStr">
        <is>
          <t>0.27</t>
        </is>
      </c>
      <c r="K1264" s="14" t="inlineStr">
        <is>
          <t>278.81</t>
        </is>
      </c>
      <c r="L1264" s="13" t="inlineStr">
        <is>
          <t>7</t>
        </is>
      </c>
      <c r="M1264" s="13" t="inlineStr">
        <is>
          <t>Completed</t>
        </is>
      </c>
      <c r="N1264" s="13" t="inlineStr">
        <is>
          <t>P. Rossi</t>
        </is>
      </c>
    </row>
    <row r="1265">
      <c r="A1265" s="13" t="inlineStr">
        <is>
          <t>HC-101263</t>
        </is>
      </c>
      <c r="B1265" s="13" t="inlineStr">
        <is>
          <t>11.11.2024</t>
        </is>
      </c>
      <c r="C1265" s="13" t="inlineStr">
        <is>
          <t>North</t>
        </is>
      </c>
      <c r="D1265" s="13" t="inlineStr">
        <is>
          <t>Online</t>
        </is>
      </c>
      <c r="E1265" s="13" t="inlineStr">
        <is>
          <t>Lighting</t>
        </is>
      </c>
      <c r="F1265" s="13" t="inlineStr">
        <is>
          <t>Arc Lamp</t>
        </is>
      </c>
      <c r="G1265" s="13" t="inlineStr"/>
      <c r="H1265" s="13" t="inlineStr">
        <is>
          <t>4</t>
        </is>
      </c>
      <c r="I1265" s="14" t="inlineStr">
        <is>
          <t>297.80</t>
        </is>
      </c>
      <c r="J1265" s="15" t="inlineStr">
        <is>
          <t>0.12</t>
        </is>
      </c>
      <c r="K1265" s="14" t="inlineStr">
        <is>
          <t>142.94</t>
        </is>
      </c>
      <c r="L1265" s="13" t="inlineStr">
        <is>
          <t>5</t>
        </is>
      </c>
      <c r="M1265" s="13" t="inlineStr">
        <is>
          <t>Compleated</t>
        </is>
      </c>
      <c r="N1265" s="13" t="inlineStr">
        <is>
          <t>P. Rossi</t>
        </is>
      </c>
    </row>
    <row r="1266">
      <c r="A1266" s="13" t="inlineStr">
        <is>
          <t>HC-101264</t>
        </is>
      </c>
      <c r="B1266" s="13" t="inlineStr">
        <is>
          <t>09/29/2024</t>
        </is>
      </c>
      <c r="C1266" s="13" t="inlineStr">
        <is>
          <t>South</t>
        </is>
      </c>
      <c r="D1266" s="13" t="inlineStr">
        <is>
          <t>e-commerce</t>
        </is>
      </c>
      <c r="E1266" s="13" t="inlineStr">
        <is>
          <t>Kitchen</t>
        </is>
      </c>
      <c r="F1266" s="13" t="inlineStr">
        <is>
          <t>Ceramic Set</t>
        </is>
      </c>
      <c r="G1266" s="13" t="inlineStr">
        <is>
          <t>Consumer</t>
        </is>
      </c>
      <c r="H1266" s="13" t="inlineStr">
        <is>
          <t>3</t>
        </is>
      </c>
      <c r="I1266" s="14" t="inlineStr">
        <is>
          <t>81.80</t>
        </is>
      </c>
      <c r="J1266" s="15" t="inlineStr">
        <is>
          <t>0.08</t>
        </is>
      </c>
      <c r="K1266" s="14" t="inlineStr">
        <is>
          <t>31.09</t>
        </is>
      </c>
      <c r="L1266" s="13" t="inlineStr">
        <is>
          <t>5</t>
        </is>
      </c>
      <c r="M1266" s="13" t="inlineStr">
        <is>
          <t>Cancelled</t>
        </is>
      </c>
      <c r="N1266" s="13" t="inlineStr">
        <is>
          <t>R. Ibarra</t>
        </is>
      </c>
    </row>
    <row r="1267">
      <c r="A1267" s="13" t="inlineStr">
        <is>
          <t>HC-101265</t>
        </is>
      </c>
      <c r="B1267" s="13" t="inlineStr">
        <is>
          <t>11-Jul-25</t>
        </is>
      </c>
      <c r="C1267" s="13" t="inlineStr">
        <is>
          <t>East</t>
        </is>
      </c>
      <c r="D1267" s="13" t="inlineStr">
        <is>
          <t>Online</t>
        </is>
      </c>
      <c r="E1267" s="13" t="inlineStr">
        <is>
          <t>Lighting</t>
        </is>
      </c>
      <c r="F1267" s="13" t="inlineStr">
        <is>
          <t>Arc Lamp</t>
        </is>
      </c>
      <c r="G1267" s="13" t="inlineStr">
        <is>
          <t>Consumer</t>
        </is>
      </c>
      <c r="H1267" s="13" t="inlineStr">
        <is>
          <t>3</t>
        </is>
      </c>
      <c r="I1267" s="14" t="inlineStr">
        <is>
          <t>283.44</t>
        </is>
      </c>
      <c r="J1267" s="15" t="inlineStr">
        <is>
          <t>13%</t>
        </is>
      </c>
      <c r="K1267" s="14" t="inlineStr">
        <is>
          <t>136.05</t>
        </is>
      </c>
      <c r="L1267" s="13" t="inlineStr">
        <is>
          <t>7</t>
        </is>
      </c>
      <c r="M1267" s="13" t="inlineStr">
        <is>
          <t>Completed</t>
        </is>
      </c>
      <c r="N1267" s="13" t="inlineStr">
        <is>
          <t>K. Mensah</t>
        </is>
      </c>
    </row>
    <row r="1268">
      <c r="A1268" s="13" t="inlineStr">
        <is>
          <t>HC-101266</t>
        </is>
      </c>
      <c r="B1268" s="13" t="inlineStr">
        <is>
          <t>2025/05/18</t>
        </is>
      </c>
      <c r="C1268" s="13" t="inlineStr">
        <is>
          <t>West</t>
        </is>
      </c>
      <c r="D1268" s="13" t="inlineStr">
        <is>
          <t>Store</t>
        </is>
      </c>
      <c r="E1268" s="13" t="inlineStr">
        <is>
          <t>KITCHEN</t>
        </is>
      </c>
      <c r="F1268" s="13" t="inlineStr">
        <is>
          <t>Ceramic Set</t>
        </is>
      </c>
      <c r="G1268" s="13" t="inlineStr">
        <is>
          <t>consumer</t>
        </is>
      </c>
      <c r="H1268" s="13" t="inlineStr">
        <is>
          <t>2</t>
        </is>
      </c>
      <c r="I1268" s="14" t="inlineStr">
        <is>
          <t>85.54</t>
        </is>
      </c>
      <c r="J1268" s="15" t="inlineStr">
        <is>
          <t>0.10</t>
        </is>
      </c>
      <c r="K1268" s="14" t="inlineStr">
        <is>
          <t>32.51</t>
        </is>
      </c>
      <c r="L1268" s="13" t="inlineStr">
        <is>
          <t>2</t>
        </is>
      </c>
      <c r="M1268" s="13" t="inlineStr">
        <is>
          <t>Completed</t>
        </is>
      </c>
      <c r="N1268" s="13" t="inlineStr">
        <is>
          <t>P. Rossi</t>
        </is>
      </c>
    </row>
    <row r="1269">
      <c r="A1269" s="13" t="inlineStr">
        <is>
          <t>HC-101267</t>
        </is>
      </c>
      <c r="B1269" s="13" t="inlineStr">
        <is>
          <t>08.05.2024</t>
        </is>
      </c>
      <c r="C1269" s="13" t="inlineStr">
        <is>
          <t>North</t>
        </is>
      </c>
      <c r="D1269" s="13" t="inlineStr">
        <is>
          <t>Online</t>
        </is>
      </c>
      <c r="E1269" s="13" t="inlineStr">
        <is>
          <t>Kitchen</t>
        </is>
      </c>
      <c r="F1269" s="13" t="inlineStr">
        <is>
          <t>Ceramic Set</t>
        </is>
      </c>
      <c r="G1269" s="13" t="inlineStr">
        <is>
          <t>Home Office</t>
        </is>
      </c>
      <c r="H1269" s="13" t="inlineStr">
        <is>
          <t>1</t>
        </is>
      </c>
      <c r="I1269" s="14" t="inlineStr">
        <is>
          <t>90.67</t>
        </is>
      </c>
      <c r="J1269" s="15" t="inlineStr">
        <is>
          <t>0.17</t>
        </is>
      </c>
      <c r="K1269" s="14" t="inlineStr">
        <is>
          <t>34.46</t>
        </is>
      </c>
      <c r="L1269" s="13" t="inlineStr">
        <is>
          <t>3</t>
        </is>
      </c>
      <c r="M1269" s="13" t="inlineStr">
        <is>
          <t>Completed</t>
        </is>
      </c>
      <c r="N1269" s="13" t="inlineStr">
        <is>
          <t>M. Okonkwo</t>
        </is>
      </c>
    </row>
    <row r="1270">
      <c r="A1270" s="13" t="inlineStr">
        <is>
          <t>HC-101268</t>
        </is>
      </c>
      <c r="B1270" s="13" t="inlineStr">
        <is>
          <t>04/26/2024</t>
        </is>
      </c>
      <c r="C1270" s="13" t="inlineStr">
        <is>
          <t>East</t>
        </is>
      </c>
      <c r="D1270" s="13" t="inlineStr">
        <is>
          <t>Store</t>
        </is>
      </c>
      <c r="E1270" s="13" t="inlineStr">
        <is>
          <t>Kitchen</t>
        </is>
      </c>
      <c r="F1270" s="13" t="inlineStr">
        <is>
          <t>Chef Knife</t>
        </is>
      </c>
      <c r="G1270" s="13" t="inlineStr">
        <is>
          <t>Consumer</t>
        </is>
      </c>
      <c r="H1270" s="13" t="inlineStr">
        <is>
          <t>2</t>
        </is>
      </c>
      <c r="I1270" s="14" t="inlineStr">
        <is>
          <t>59.68</t>
        </is>
      </c>
      <c r="J1270" s="15" t="inlineStr">
        <is>
          <t>0.06</t>
        </is>
      </c>
      <c r="K1270" s="14" t="inlineStr">
        <is>
          <t>21.48</t>
        </is>
      </c>
      <c r="L1270" s="13" t="inlineStr">
        <is>
          <t>7</t>
        </is>
      </c>
      <c r="M1270" s="13" t="inlineStr">
        <is>
          <t>Completed</t>
        </is>
      </c>
      <c r="N1270" s="13" t="inlineStr">
        <is>
          <t>J. Patel</t>
        </is>
      </c>
    </row>
    <row r="1271">
      <c r="A1271" s="13" t="inlineStr">
        <is>
          <t>HC-101269</t>
        </is>
      </c>
      <c r="B1271" s="13" t="inlineStr">
        <is>
          <t>25-Jun-25</t>
        </is>
      </c>
      <c r="C1271" s="13" t="inlineStr">
        <is>
          <t>East</t>
        </is>
      </c>
      <c r="D1271" s="13" t="inlineStr">
        <is>
          <t>Store</t>
        </is>
      </c>
      <c r="E1271" s="13" t="inlineStr">
        <is>
          <t>Lighting</t>
        </is>
      </c>
      <c r="F1271" s="13" t="inlineStr">
        <is>
          <t>Pendant Light</t>
        </is>
      </c>
      <c r="G1271" s="13" t="inlineStr">
        <is>
          <t>Corporate</t>
        </is>
      </c>
      <c r="H1271" s="13" t="inlineStr">
        <is>
          <t>2</t>
        </is>
      </c>
      <c r="I1271" s="14" t="inlineStr">
        <is>
          <t>169.46</t>
        </is>
      </c>
      <c r="J1271" s="15" t="inlineStr">
        <is>
          <t>0.03</t>
        </is>
      </c>
      <c r="K1271" s="14" t="inlineStr">
        <is>
          <t>84.73</t>
        </is>
      </c>
      <c r="L1271" s="13" t="inlineStr">
        <is>
          <t>9</t>
        </is>
      </c>
      <c r="M1271" s="13" t="inlineStr">
        <is>
          <t>Completed</t>
        </is>
      </c>
      <c r="N1271" s="13" t="inlineStr">
        <is>
          <t>J. Patel</t>
        </is>
      </c>
    </row>
    <row r="1272">
      <c r="A1272" s="13" t="inlineStr">
        <is>
          <t>HC-101270</t>
        </is>
      </c>
      <c r="B1272" s="13" t="inlineStr">
        <is>
          <t>2024/10/12</t>
        </is>
      </c>
      <c r="C1272" s="13" t="inlineStr">
        <is>
          <t>North</t>
        </is>
      </c>
      <c r="D1272" s="13" t="inlineStr">
        <is>
          <t>Online</t>
        </is>
      </c>
      <c r="E1272" s="13" t="inlineStr">
        <is>
          <t>Kitchen</t>
        </is>
      </c>
      <c r="F1272" s="13" t="inlineStr">
        <is>
          <t>Ceramic Set</t>
        </is>
      </c>
      <c r="G1272" s="13" t="inlineStr"/>
      <c r="H1272" s="13" t="inlineStr">
        <is>
          <t>2</t>
        </is>
      </c>
      <c r="I1272" s="14" t="inlineStr">
        <is>
          <t>88.33</t>
        </is>
      </c>
      <c r="J1272" s="15" t="inlineStr">
        <is>
          <t>0.18</t>
        </is>
      </c>
      <c r="K1272" s="14" t="inlineStr">
        <is>
          <t>33.57</t>
        </is>
      </c>
      <c r="L1272" s="13" t="inlineStr">
        <is>
          <t>7</t>
        </is>
      </c>
      <c r="M1272" s="13" t="inlineStr">
        <is>
          <t>Completed</t>
        </is>
      </c>
      <c r="N1272" s="13" t="inlineStr">
        <is>
          <t>K. Mensah</t>
        </is>
      </c>
    </row>
    <row r="1273">
      <c r="A1273" s="13" t="inlineStr">
        <is>
          <t>HC-101271</t>
        </is>
      </c>
      <c r="B1273" s="13" t="inlineStr">
        <is>
          <t>22.03.2024</t>
        </is>
      </c>
      <c r="C1273" s="13" t="inlineStr">
        <is>
          <t>West</t>
        </is>
      </c>
      <c r="D1273" s="13" t="inlineStr">
        <is>
          <t>Online</t>
        </is>
      </c>
      <c r="E1273" s="13" t="inlineStr">
        <is>
          <t>Lighting</t>
        </is>
      </c>
      <c r="F1273" s="13" t="inlineStr">
        <is>
          <t>Brass Sconce</t>
        </is>
      </c>
      <c r="G1273" s="13" t="inlineStr">
        <is>
          <t>Corporate</t>
        </is>
      </c>
      <c r="H1273" s="13" t="inlineStr">
        <is>
          <t>3</t>
        </is>
      </c>
      <c r="I1273" s="14" t="inlineStr">
        <is>
          <t>147.42</t>
        </is>
      </c>
      <c r="J1273" s="15" t="inlineStr">
        <is>
          <t>13%</t>
        </is>
      </c>
      <c r="K1273" s="14" t="inlineStr">
        <is>
          <t>67.81</t>
        </is>
      </c>
      <c r="L1273" s="13" t="inlineStr">
        <is>
          <t>6</t>
        </is>
      </c>
      <c r="M1273" s="13" t="inlineStr">
        <is>
          <t>Completed</t>
        </is>
      </c>
      <c r="N1273" s="13" t="inlineStr">
        <is>
          <t>R. Ibarra</t>
        </is>
      </c>
    </row>
    <row r="1274">
      <c r="A1274" s="13" t="inlineStr">
        <is>
          <t>HC-101272</t>
        </is>
      </c>
      <c r="B1274" s="13" t="inlineStr">
        <is>
          <t>02/26/2025</t>
        </is>
      </c>
      <c r="C1274" s="13" t="inlineStr">
        <is>
          <t>West</t>
        </is>
      </c>
      <c r="D1274" s="13" t="inlineStr">
        <is>
          <t>Online</t>
        </is>
      </c>
      <c r="E1274" s="13" t="inlineStr">
        <is>
          <t>Furniture</t>
        </is>
      </c>
      <c r="F1274" s="13" t="inlineStr">
        <is>
          <t>Walnut Shelf</t>
        </is>
      </c>
      <c r="G1274" s="13" t="inlineStr">
        <is>
          <t>Corporate</t>
        </is>
      </c>
      <c r="H1274" s="13" t="inlineStr">
        <is>
          <t>2</t>
        </is>
      </c>
      <c r="I1274" s="14" t="inlineStr">
        <is>
          <t>228.56</t>
        </is>
      </c>
      <c r="J1274" s="15" t="inlineStr">
        <is>
          <t>0.13</t>
        </is>
      </c>
      <c r="K1274" s="14" t="inlineStr">
        <is>
          <t>125.71</t>
        </is>
      </c>
      <c r="L1274" s="13" t="inlineStr">
        <is>
          <t>2</t>
        </is>
      </c>
      <c r="M1274" s="13" t="inlineStr">
        <is>
          <t>Completed</t>
        </is>
      </c>
      <c r="N1274" s="13" t="inlineStr">
        <is>
          <t>J. Patel</t>
        </is>
      </c>
    </row>
    <row r="1275">
      <c r="A1275" s="13" t="inlineStr">
        <is>
          <t>HC-101273</t>
        </is>
      </c>
      <c r="B1275" s="13" t="inlineStr">
        <is>
          <t>27-Jan-25</t>
        </is>
      </c>
      <c r="C1275" s="13" t="inlineStr">
        <is>
          <t>West</t>
        </is>
      </c>
      <c r="D1275" s="13" t="inlineStr">
        <is>
          <t>Online</t>
        </is>
      </c>
      <c r="E1275" s="13" t="inlineStr">
        <is>
          <t>Lighting</t>
        </is>
      </c>
      <c r="F1275" s="13" t="inlineStr">
        <is>
          <t>Pendant Light</t>
        </is>
      </c>
      <c r="G1275" s="13" t="inlineStr">
        <is>
          <t>Consumer</t>
        </is>
      </c>
      <c r="H1275" s="13" t="inlineStr">
        <is>
          <t>3</t>
        </is>
      </c>
      <c r="I1275" s="14" t="inlineStr">
        <is>
          <t>169.34</t>
        </is>
      </c>
      <c r="J1275" s="15" t="inlineStr">
        <is>
          <t>0.09</t>
        </is>
      </c>
      <c r="K1275" s="14" t="inlineStr">
        <is>
          <t>84.67</t>
        </is>
      </c>
      <c r="L1275" s="13" t="inlineStr">
        <is>
          <t>3</t>
        </is>
      </c>
      <c r="M1275" s="13" t="inlineStr">
        <is>
          <t>Completed</t>
        </is>
      </c>
      <c r="N1275" s="13" t="inlineStr">
        <is>
          <t>J. Patel</t>
        </is>
      </c>
    </row>
    <row r="1276">
      <c r="A1276" s="13" t="inlineStr">
        <is>
          <t>HC-101274</t>
        </is>
      </c>
      <c r="B1276" s="13" t="inlineStr">
        <is>
          <t>2024/12/20</t>
        </is>
      </c>
      <c r="C1276" s="13" t="inlineStr">
        <is>
          <t>West</t>
        </is>
      </c>
      <c r="D1276" s="13" t="inlineStr">
        <is>
          <t>Store</t>
        </is>
      </c>
      <c r="E1276" s="13" t="inlineStr">
        <is>
          <t>Kitchen</t>
        </is>
      </c>
      <c r="F1276" s="13" t="inlineStr">
        <is>
          <t>Cast Skillet</t>
        </is>
      </c>
      <c r="G1276" s="13" t="inlineStr">
        <is>
          <t>Corporate</t>
        </is>
      </c>
      <c r="H1276" s="13" t="inlineStr">
        <is>
          <t>3</t>
        </is>
      </c>
      <c r="I1276" s="14" t="inlineStr">
        <is>
          <t>49.90</t>
        </is>
      </c>
      <c r="J1276" s="15" t="inlineStr">
        <is>
          <t>0.01</t>
        </is>
      </c>
      <c r="K1276" s="14" t="inlineStr">
        <is>
          <t>19.96</t>
        </is>
      </c>
      <c r="L1276" s="13" t="inlineStr">
        <is>
          <t>4</t>
        </is>
      </c>
      <c r="M1276" s="13" t="inlineStr">
        <is>
          <t>Completed</t>
        </is>
      </c>
      <c r="N1276" s="13" t="inlineStr">
        <is>
          <t>L. Berger</t>
        </is>
      </c>
    </row>
    <row r="1277">
      <c r="A1277" s="13" t="inlineStr">
        <is>
          <t>HC-101275</t>
        </is>
      </c>
      <c r="B1277" s="13" t="inlineStr">
        <is>
          <t>24.09.2025</t>
        </is>
      </c>
      <c r="C1277" s="13" t="inlineStr">
        <is>
          <t>West</t>
        </is>
      </c>
      <c r="D1277" s="13" t="inlineStr">
        <is>
          <t>web</t>
        </is>
      </c>
      <c r="E1277" s="13" t="inlineStr">
        <is>
          <t>Kitchen</t>
        </is>
      </c>
      <c r="F1277" s="13" t="inlineStr">
        <is>
          <t>Cast Skillet</t>
        </is>
      </c>
      <c r="G1277" s="13" t="inlineStr">
        <is>
          <t>Consumer</t>
        </is>
      </c>
      <c r="H1277" s="13" t="inlineStr">
        <is>
          <t>1</t>
        </is>
      </c>
      <c r="I1277" s="14" t="inlineStr">
        <is>
          <t>$54.16</t>
        </is>
      </c>
      <c r="J1277" s="15" t="inlineStr">
        <is>
          <t>0.17</t>
        </is>
      </c>
      <c r="K1277" s="14" t="inlineStr">
        <is>
          <t>21.66</t>
        </is>
      </c>
      <c r="L1277" s="13" t="inlineStr">
        <is>
          <t>7</t>
        </is>
      </c>
      <c r="M1277" s="13" t="inlineStr">
        <is>
          <t>Completed</t>
        </is>
      </c>
      <c r="N1277" s="13" t="inlineStr">
        <is>
          <t>P. Rossi</t>
        </is>
      </c>
    </row>
    <row r="1278">
      <c r="A1278" s="13" t="inlineStr">
        <is>
          <t>HC-101276</t>
        </is>
      </c>
      <c r="B1278" s="13" t="inlineStr">
        <is>
          <t>09/20/2025</t>
        </is>
      </c>
      <c r="C1278" s="13" t="inlineStr">
        <is>
          <t>South</t>
        </is>
      </c>
      <c r="D1278" s="13" t="inlineStr">
        <is>
          <t>Wholesale</t>
        </is>
      </c>
      <c r="E1278" s="13" t="inlineStr">
        <is>
          <t>Textiles</t>
        </is>
      </c>
      <c r="F1278" s="13" t="inlineStr">
        <is>
          <t>Wool Throw</t>
        </is>
      </c>
      <c r="G1278" s="13" t="inlineStr">
        <is>
          <t>Corporate</t>
        </is>
      </c>
      <c r="H1278" s="13" t="inlineStr">
        <is>
          <t>26</t>
        </is>
      </c>
      <c r="I1278" s="14" t="inlineStr">
        <is>
          <t>73.07</t>
        </is>
      </c>
      <c r="J1278" s="15" t="inlineStr">
        <is>
          <t>0.31</t>
        </is>
      </c>
      <c r="K1278" s="14" t="inlineStr">
        <is>
          <t>30.69</t>
        </is>
      </c>
      <c r="L1278" s="13" t="inlineStr">
        <is>
          <t>6</t>
        </is>
      </c>
      <c r="M1278" s="13" t="inlineStr">
        <is>
          <t>Completed</t>
        </is>
      </c>
      <c r="N1278" s="13" t="inlineStr">
        <is>
          <t>S. Nguyen</t>
        </is>
      </c>
    </row>
    <row r="1279">
      <c r="A1279" s="13" t="inlineStr">
        <is>
          <t>HC-101277</t>
        </is>
      </c>
      <c r="B1279" s="13" t="inlineStr">
        <is>
          <t>09-Jul-24</t>
        </is>
      </c>
      <c r="C1279" s="13" t="inlineStr">
        <is>
          <t>West</t>
        </is>
      </c>
      <c r="D1279" s="13" t="inlineStr">
        <is>
          <t>Store</t>
        </is>
      </c>
      <c r="E1279" s="13" t="inlineStr">
        <is>
          <t>Furniture</t>
        </is>
      </c>
      <c r="F1279" s="13" t="inlineStr">
        <is>
          <t>Walnut Shelf</t>
        </is>
      </c>
      <c r="G1279" s="13" t="inlineStr">
        <is>
          <t>Corporate</t>
        </is>
      </c>
      <c r="H1279" s="13" t="inlineStr">
        <is>
          <t>1</t>
        </is>
      </c>
      <c r="I1279" s="14" t="inlineStr">
        <is>
          <t>228.43</t>
        </is>
      </c>
      <c r="J1279" s="15" t="inlineStr">
        <is>
          <t>0.08</t>
        </is>
      </c>
      <c r="K1279" s="14" t="inlineStr">
        <is>
          <t>125.64</t>
        </is>
      </c>
      <c r="L1279" s="13" t="inlineStr">
        <is>
          <t>1</t>
        </is>
      </c>
      <c r="M1279" s="13" t="inlineStr">
        <is>
          <t>Completed</t>
        </is>
      </c>
      <c r="N1279" s="13" t="inlineStr">
        <is>
          <t>K. Mensah</t>
        </is>
      </c>
    </row>
    <row r="1280">
      <c r="A1280" s="13" t="inlineStr">
        <is>
          <t>HC-101278</t>
        </is>
      </c>
      <c r="B1280" s="13" t="inlineStr">
        <is>
          <t>2024/12/17</t>
        </is>
      </c>
      <c r="C1280" s="13" t="inlineStr">
        <is>
          <t>West</t>
        </is>
      </c>
      <c r="D1280" s="13" t="inlineStr">
        <is>
          <t>Store</t>
        </is>
      </c>
      <c r="E1280" s="13" t="inlineStr">
        <is>
          <t>Furniture</t>
        </is>
      </c>
      <c r="F1280" s="13" t="inlineStr">
        <is>
          <t>Walnut Shelf</t>
        </is>
      </c>
      <c r="G1280" s="13" t="inlineStr">
        <is>
          <t>Consumer</t>
        </is>
      </c>
      <c r="H1280" s="13" t="inlineStr">
        <is>
          <t>3</t>
        </is>
      </c>
      <c r="I1280" s="14" t="inlineStr">
        <is>
          <t>230.66</t>
        </is>
      </c>
      <c r="J1280" s="15" t="inlineStr">
        <is>
          <t>0.06</t>
        </is>
      </c>
      <c r="K1280" s="14" t="inlineStr">
        <is>
          <t>126.86</t>
        </is>
      </c>
      <c r="L1280" s="13" t="inlineStr">
        <is>
          <t>5</t>
        </is>
      </c>
      <c r="M1280" s="13" t="inlineStr">
        <is>
          <t>Completed</t>
        </is>
      </c>
      <c r="N1280" s="13" t="inlineStr">
        <is>
          <t>A. Shah</t>
        </is>
      </c>
    </row>
    <row r="1281">
      <c r="A1281" s="13" t="inlineStr">
        <is>
          <t>HC-101279</t>
        </is>
      </c>
      <c r="B1281" s="13" t="inlineStr">
        <is>
          <t>21.11.2024</t>
        </is>
      </c>
      <c r="C1281" s="13" t="inlineStr">
        <is>
          <t>west</t>
        </is>
      </c>
      <c r="D1281" s="13" t="inlineStr">
        <is>
          <t>Store</t>
        </is>
      </c>
      <c r="E1281" s="13" t="inlineStr">
        <is>
          <t>Kitchen</t>
        </is>
      </c>
      <c r="F1281" s="13" t="inlineStr">
        <is>
          <t>Cast Skillet</t>
        </is>
      </c>
      <c r="G1281" s="13" t="inlineStr">
        <is>
          <t>Consumer</t>
        </is>
      </c>
      <c r="H1281" s="13" t="inlineStr">
        <is>
          <t>4</t>
        </is>
      </c>
      <c r="I1281" s="14" t="inlineStr">
        <is>
          <t>50.95</t>
        </is>
      </c>
      <c r="J1281" s="15" t="inlineStr">
        <is>
          <t>0.01</t>
        </is>
      </c>
      <c r="K1281" s="14" t="inlineStr">
        <is>
          <t>20.38</t>
        </is>
      </c>
      <c r="L1281" s="13" t="inlineStr">
        <is>
          <t>N/A</t>
        </is>
      </c>
      <c r="M1281" s="13" t="inlineStr">
        <is>
          <t>Completed</t>
        </is>
      </c>
      <c r="N1281" s="13" t="inlineStr">
        <is>
          <t>R. Ibarra</t>
        </is>
      </c>
    </row>
    <row r="1282">
      <c r="A1282" s="13" t="inlineStr">
        <is>
          <t>HC-101280</t>
        </is>
      </c>
      <c r="B1282" s="13" t="inlineStr">
        <is>
          <t>02/11/2024</t>
        </is>
      </c>
      <c r="C1282" s="13" t="inlineStr">
        <is>
          <t>North</t>
        </is>
      </c>
      <c r="D1282" s="13" t="inlineStr">
        <is>
          <t>Online</t>
        </is>
      </c>
      <c r="E1282" s="13" t="inlineStr">
        <is>
          <t>Lighting</t>
        </is>
      </c>
      <c r="F1282" s="13" t="inlineStr">
        <is>
          <t>Brass Sconce</t>
        </is>
      </c>
      <c r="G1282" s="13" t="inlineStr">
        <is>
          <t>Corporate</t>
        </is>
      </c>
      <c r="H1282" s="13" t="inlineStr">
        <is>
          <t>1</t>
        </is>
      </c>
      <c r="I1282" s="14" t="inlineStr">
        <is>
          <t>144.64</t>
        </is>
      </c>
      <c r="J1282" s="15" t="inlineStr">
        <is>
          <t>0.12</t>
        </is>
      </c>
      <c r="K1282" s="14" t="inlineStr">
        <is>
          <t>66.53</t>
        </is>
      </c>
      <c r="L1282" s="13" t="inlineStr">
        <is>
          <t>4</t>
        </is>
      </c>
      <c r="M1282" s="13" t="inlineStr">
        <is>
          <t>Completed</t>
        </is>
      </c>
      <c r="N1282" s="13" t="inlineStr">
        <is>
          <t>A. Shah</t>
        </is>
      </c>
    </row>
    <row r="1283">
      <c r="A1283" s="13" t="inlineStr">
        <is>
          <t>HC-101281</t>
        </is>
      </c>
      <c r="B1283" s="13" t="inlineStr">
        <is>
          <t>22-Dec-24</t>
        </is>
      </c>
      <c r="C1283" s="13" t="inlineStr">
        <is>
          <t>West</t>
        </is>
      </c>
      <c r="D1283" s="13" t="inlineStr">
        <is>
          <t>Store</t>
        </is>
      </c>
      <c r="E1283" s="13" t="inlineStr">
        <is>
          <t>Textiles</t>
        </is>
      </c>
      <c r="F1283" s="13" t="inlineStr">
        <is>
          <t>Cotton Duvet</t>
        </is>
      </c>
      <c r="G1283" s="13" t="inlineStr">
        <is>
          <t>Consumer</t>
        </is>
      </c>
      <c r="H1283" s="13" t="inlineStr">
        <is>
          <t>5</t>
        </is>
      </c>
      <c r="I1283" s="14" t="inlineStr">
        <is>
          <t>116.33</t>
        </is>
      </c>
      <c r="J1283" s="15" t="inlineStr">
        <is>
          <t>0.04</t>
        </is>
      </c>
      <c r="K1283" s="14" t="inlineStr">
        <is>
          <t>51.18</t>
        </is>
      </c>
      <c r="L1283" s="13" t="inlineStr">
        <is>
          <t>4</t>
        </is>
      </c>
      <c r="M1283" s="13" t="inlineStr">
        <is>
          <t>Returned</t>
        </is>
      </c>
      <c r="N1283" s="13" t="inlineStr">
        <is>
          <t>A. Shah</t>
        </is>
      </c>
    </row>
    <row r="1284">
      <c r="A1284" s="13" t="inlineStr">
        <is>
          <t>HC-101282</t>
        </is>
      </c>
      <c r="B1284" s="13" t="inlineStr">
        <is>
          <t>2025/05/13</t>
        </is>
      </c>
      <c r="C1284" s="13" t="inlineStr">
        <is>
          <t>East</t>
        </is>
      </c>
      <c r="D1284" s="13" t="inlineStr">
        <is>
          <t>retail</t>
        </is>
      </c>
      <c r="E1284" s="13" t="inlineStr">
        <is>
          <t>Textiles</t>
        </is>
      </c>
      <c r="F1284" s="13" t="inlineStr">
        <is>
          <t>Cotton Duvet</t>
        </is>
      </c>
      <c r="G1284" s="13" t="inlineStr">
        <is>
          <t>Consumer</t>
        </is>
      </c>
      <c r="H1284" s="13" t="inlineStr">
        <is>
          <t>3</t>
        </is>
      </c>
      <c r="I1284" s="14" t="inlineStr">
        <is>
          <t>104.22</t>
        </is>
      </c>
      <c r="J1284" s="15" t="inlineStr">
        <is>
          <t>7%</t>
        </is>
      </c>
      <c r="K1284" s="14" t="inlineStr">
        <is>
          <t>45.86</t>
        </is>
      </c>
      <c r="L1284" s="13" t="inlineStr">
        <is>
          <t>8</t>
        </is>
      </c>
      <c r="M1284" s="13" t="inlineStr">
        <is>
          <t>Completed</t>
        </is>
      </c>
      <c r="N1284" s="13" t="inlineStr">
        <is>
          <t>L. Berger</t>
        </is>
      </c>
    </row>
    <row r="1285">
      <c r="A1285" s="13" t="inlineStr">
        <is>
          <t>HC-101283</t>
        </is>
      </c>
      <c r="B1285" s="13" t="inlineStr">
        <is>
          <t>09.12.2024</t>
        </is>
      </c>
      <c r="C1285" s="13" t="inlineStr">
        <is>
          <t>North</t>
        </is>
      </c>
      <c r="D1285" s="13" t="inlineStr">
        <is>
          <t>Online</t>
        </is>
      </c>
      <c r="E1285" s="13" t="inlineStr">
        <is>
          <t>Furniture</t>
        </is>
      </c>
      <c r="F1285" s="13" t="inlineStr">
        <is>
          <t>Walnut Shelf</t>
        </is>
      </c>
      <c r="G1285" s="13" t="inlineStr">
        <is>
          <t>Corporate</t>
        </is>
      </c>
      <c r="H1285" s="13" t="inlineStr">
        <is>
          <t>2</t>
        </is>
      </c>
      <c r="I1285" s="14" t="inlineStr">
        <is>
          <t>210.41</t>
        </is>
      </c>
      <c r="J1285" s="15" t="inlineStr">
        <is>
          <t>0.13</t>
        </is>
      </c>
      <c r="K1285" s="14" t="inlineStr">
        <is>
          <t>115.73</t>
        </is>
      </c>
      <c r="L1285" s="13" t="inlineStr">
        <is>
          <t>8</t>
        </is>
      </c>
      <c r="M1285" s="13" t="inlineStr">
        <is>
          <t>Completed</t>
        </is>
      </c>
      <c r="N1285" s="13" t="inlineStr">
        <is>
          <t>K. Mensah</t>
        </is>
      </c>
    </row>
    <row r="1286">
      <c r="A1286" s="13" t="inlineStr">
        <is>
          <t>HC-101284</t>
        </is>
      </c>
      <c r="B1286" s="13" t="inlineStr">
        <is>
          <t>08/17/2024</t>
        </is>
      </c>
      <c r="C1286" s="13" t="inlineStr">
        <is>
          <t>South</t>
        </is>
      </c>
      <c r="D1286" s="13" t="inlineStr">
        <is>
          <t>Store</t>
        </is>
      </c>
      <c r="E1286" s="13" t="inlineStr">
        <is>
          <t>Textiles</t>
        </is>
      </c>
      <c r="F1286" s="13" t="inlineStr">
        <is>
          <t>Cotton Duvet</t>
        </is>
      </c>
      <c r="G1286" s="13" t="inlineStr">
        <is>
          <t>Consumer</t>
        </is>
      </c>
      <c r="H1286" s="13" t="inlineStr">
        <is>
          <t>2</t>
        </is>
      </c>
      <c r="I1286" s="14" t="inlineStr">
        <is>
          <t>110.80</t>
        </is>
      </c>
      <c r="J1286" s="15" t="inlineStr">
        <is>
          <t>0.03</t>
        </is>
      </c>
      <c r="K1286" s="14" t="inlineStr">
        <is>
          <t>48.75</t>
        </is>
      </c>
      <c r="L1286" s="13" t="inlineStr">
        <is>
          <t>7</t>
        </is>
      </c>
      <c r="M1286" s="13" t="inlineStr">
        <is>
          <t>Returned</t>
        </is>
      </c>
      <c r="N1286" s="13" t="inlineStr">
        <is>
          <t>S. Nguyen</t>
        </is>
      </c>
    </row>
    <row r="1287">
      <c r="A1287" s="13" t="inlineStr">
        <is>
          <t>HC-101285</t>
        </is>
      </c>
      <c r="B1287" s="13" t="inlineStr">
        <is>
          <t>27-Oct-24</t>
        </is>
      </c>
      <c r="C1287" s="13" t="inlineStr">
        <is>
          <t>North</t>
        </is>
      </c>
      <c r="D1287" s="13" t="inlineStr">
        <is>
          <t>Online</t>
        </is>
      </c>
      <c r="E1287" s="13" t="inlineStr">
        <is>
          <t>Lighting</t>
        </is>
      </c>
      <c r="F1287" s="13" t="inlineStr">
        <is>
          <t>Arc Lamp</t>
        </is>
      </c>
      <c r="G1287" s="13" t="inlineStr">
        <is>
          <t>consumer</t>
        </is>
      </c>
      <c r="H1287" s="13" t="inlineStr">
        <is>
          <t>1</t>
        </is>
      </c>
      <c r="I1287" s="14" t="inlineStr">
        <is>
          <t>287.47</t>
        </is>
      </c>
      <c r="J1287" s="15" t="inlineStr">
        <is>
          <t>0.15</t>
        </is>
      </c>
      <c r="K1287" s="14" t="inlineStr">
        <is>
          <t>137.99</t>
        </is>
      </c>
      <c r="L1287" s="13" t="inlineStr">
        <is>
          <t>7</t>
        </is>
      </c>
      <c r="M1287" s="13" t="inlineStr">
        <is>
          <t>Completed</t>
        </is>
      </c>
      <c r="N1287" s="13" t="inlineStr">
        <is>
          <t>S. Nguyen</t>
        </is>
      </c>
    </row>
    <row r="1288">
      <c r="A1288" s="13" t="inlineStr">
        <is>
          <t>HC-101286</t>
        </is>
      </c>
      <c r="B1288" s="13" t="inlineStr">
        <is>
          <t>2024/11/17</t>
        </is>
      </c>
      <c r="C1288" s="13" t="inlineStr">
        <is>
          <t>East</t>
        </is>
      </c>
      <c r="D1288" s="13" t="inlineStr">
        <is>
          <t>Online</t>
        </is>
      </c>
      <c r="E1288" s="13" t="inlineStr">
        <is>
          <t>Furniture</t>
        </is>
      </c>
      <c r="F1288" s="13" t="inlineStr">
        <is>
          <t>Oak Desk</t>
        </is>
      </c>
      <c r="G1288" s="13" t="inlineStr">
        <is>
          <t>Home Office</t>
        </is>
      </c>
      <c r="H1288" s="13" t="inlineStr">
        <is>
          <t>4</t>
        </is>
      </c>
      <c r="I1288" s="14" t="inlineStr">
        <is>
          <t>764.50</t>
        </is>
      </c>
      <c r="J1288" s="15" t="inlineStr">
        <is>
          <t>0.03</t>
        </is>
      </c>
      <c r="K1288" s="14" t="inlineStr">
        <is>
          <t>473.99</t>
        </is>
      </c>
      <c r="L1288" s="13" t="inlineStr">
        <is>
          <t>7</t>
        </is>
      </c>
      <c r="M1288" s="13" t="inlineStr">
        <is>
          <t>Completed</t>
        </is>
      </c>
      <c r="N1288" s="13" t="inlineStr">
        <is>
          <t>M. Okonkwo</t>
        </is>
      </c>
    </row>
    <row r="1289">
      <c r="A1289" s="13" t="inlineStr">
        <is>
          <t>HC-101287</t>
        </is>
      </c>
      <c r="B1289" s="13" t="inlineStr">
        <is>
          <t>24.09.2025</t>
        </is>
      </c>
      <c r="C1289" s="13" t="inlineStr">
        <is>
          <t>North</t>
        </is>
      </c>
      <c r="D1289" s="13" t="inlineStr">
        <is>
          <t>Online</t>
        </is>
      </c>
      <c r="E1289" s="13" t="inlineStr">
        <is>
          <t>Textiles</t>
        </is>
      </c>
      <c r="F1289" s="13" t="inlineStr">
        <is>
          <t>Cotton Duvet</t>
        </is>
      </c>
      <c r="G1289" s="13" t="inlineStr">
        <is>
          <t>corporate</t>
        </is>
      </c>
      <c r="H1289" s="13" t="inlineStr">
        <is>
          <t>3</t>
        </is>
      </c>
      <c r="I1289" s="14" t="inlineStr">
        <is>
          <t>121.57</t>
        </is>
      </c>
      <c r="J1289" s="15" t="inlineStr">
        <is>
          <t>0.09</t>
        </is>
      </c>
      <c r="K1289" s="14" t="inlineStr">
        <is>
          <t>53.49</t>
        </is>
      </c>
      <c r="L1289" s="13" t="inlineStr">
        <is>
          <t>4</t>
        </is>
      </c>
      <c r="M1289" s="13" t="inlineStr">
        <is>
          <t>Completed</t>
        </is>
      </c>
      <c r="N1289" s="13" t="inlineStr">
        <is>
          <t>S. Nguyen</t>
        </is>
      </c>
    </row>
    <row r="1290">
      <c r="A1290" s="13" t="inlineStr">
        <is>
          <t>HC-101288</t>
        </is>
      </c>
      <c r="B1290" s="13" t="inlineStr">
        <is>
          <t>06/27/2025</t>
        </is>
      </c>
      <c r="C1290" s="13" t="inlineStr">
        <is>
          <t>South</t>
        </is>
      </c>
      <c r="D1290" s="13" t="inlineStr">
        <is>
          <t>Wholesale</t>
        </is>
      </c>
      <c r="E1290" s="13" t="inlineStr">
        <is>
          <t>Kitchen</t>
        </is>
      </c>
      <c r="F1290" s="13" t="inlineStr">
        <is>
          <t>Cast Skillet</t>
        </is>
      </c>
      <c r="G1290" s="13" t="inlineStr">
        <is>
          <t>Consumer</t>
        </is>
      </c>
      <c r="H1290" s="13" t="inlineStr">
        <is>
          <t>35</t>
        </is>
      </c>
      <c r="I1290" s="14" t="inlineStr">
        <is>
          <t>51.00</t>
        </is>
      </c>
      <c r="J1290" s="15" t="inlineStr">
        <is>
          <t>0.15</t>
        </is>
      </c>
      <c r="K1290" s="14" t="inlineStr">
        <is>
          <t>20.40</t>
        </is>
      </c>
      <c r="L1290" s="13" t="inlineStr">
        <is>
          <t>3</t>
        </is>
      </c>
      <c r="M1290" s="13" t="inlineStr">
        <is>
          <t>Completed</t>
        </is>
      </c>
      <c r="N1290" s="13" t="inlineStr">
        <is>
          <t>S. Nguyen</t>
        </is>
      </c>
    </row>
    <row r="1291">
      <c r="A1291" s="13" t="inlineStr">
        <is>
          <t>HC-101289</t>
        </is>
      </c>
      <c r="B1291" s="13" t="inlineStr">
        <is>
          <t>01-Dec-24</t>
        </is>
      </c>
      <c r="C1291" s="13" t="inlineStr">
        <is>
          <t>West</t>
        </is>
      </c>
      <c r="D1291" s="13" t="inlineStr">
        <is>
          <t>Online</t>
        </is>
      </c>
      <c r="E1291" s="13" t="inlineStr">
        <is>
          <t>Kitchen</t>
        </is>
      </c>
      <c r="F1291" s="13" t="inlineStr">
        <is>
          <t>Cast Skillet</t>
        </is>
      </c>
      <c r="G1291" s="13" t="inlineStr">
        <is>
          <t>Consumer</t>
        </is>
      </c>
      <c r="H1291" s="13" t="inlineStr">
        <is>
          <t>3</t>
        </is>
      </c>
      <c r="I1291" s="14" t="inlineStr">
        <is>
          <t>54.54</t>
        </is>
      </c>
      <c r="J1291" s="15" t="inlineStr">
        <is>
          <t>0.03</t>
        </is>
      </c>
      <c r="K1291" s="14" t="inlineStr">
        <is>
          <t>21.82</t>
        </is>
      </c>
      <c r="L1291" s="13" t="inlineStr">
        <is>
          <t>1</t>
        </is>
      </c>
      <c r="M1291" s="13" t="inlineStr">
        <is>
          <t>Completed</t>
        </is>
      </c>
      <c r="N1291" s="13" t="inlineStr">
        <is>
          <t>S. Nguyen</t>
        </is>
      </c>
    </row>
    <row r="1292">
      <c r="A1292" s="13" t="inlineStr">
        <is>
          <t>HC-101290</t>
        </is>
      </c>
      <c r="B1292" s="13" t="inlineStr">
        <is>
          <t>2025/09/02</t>
        </is>
      </c>
      <c r="C1292" s="13" t="inlineStr">
        <is>
          <t>West</t>
        </is>
      </c>
      <c r="D1292" s="13" t="inlineStr">
        <is>
          <t>Store</t>
        </is>
      </c>
      <c r="E1292" s="13" t="inlineStr">
        <is>
          <t>Kitchen</t>
        </is>
      </c>
      <c r="F1292" s="13" t="inlineStr">
        <is>
          <t>Chef Knife</t>
        </is>
      </c>
      <c r="G1292" s="13" t="inlineStr">
        <is>
          <t>home office</t>
        </is>
      </c>
      <c r="H1292" s="13" t="inlineStr">
        <is>
          <t>1</t>
        </is>
      </c>
      <c r="I1292" s="14" t="inlineStr">
        <is>
          <t>69.06</t>
        </is>
      </c>
      <c r="J1292" s="15" t="inlineStr">
        <is>
          <t>0.01</t>
        </is>
      </c>
      <c r="K1292" s="14" t="inlineStr">
        <is>
          <t>24.86</t>
        </is>
      </c>
      <c r="L1292" s="13" t="inlineStr">
        <is>
          <t>5</t>
        </is>
      </c>
      <c r="M1292" s="13" t="inlineStr">
        <is>
          <t>Completed</t>
        </is>
      </c>
      <c r="N1292" s="13" t="inlineStr">
        <is>
          <t>L. Berger</t>
        </is>
      </c>
    </row>
    <row r="1293">
      <c r="A1293" s="13" t="inlineStr">
        <is>
          <t>HC-101291</t>
        </is>
      </c>
      <c r="B1293" s="13" t="inlineStr">
        <is>
          <t>13.02.2024</t>
        </is>
      </c>
      <c r="C1293" s="13" t="inlineStr">
        <is>
          <t xml:space="preserve"> west </t>
        </is>
      </c>
      <c r="D1293" s="13" t="inlineStr">
        <is>
          <t>Store</t>
        </is>
      </c>
      <c r="E1293" s="13" t="inlineStr">
        <is>
          <t>Furniture</t>
        </is>
      </c>
      <c r="F1293" s="13" t="inlineStr">
        <is>
          <t>Linen Sofa</t>
        </is>
      </c>
      <c r="G1293" s="13" t="inlineStr">
        <is>
          <t>Consumer</t>
        </is>
      </c>
      <c r="H1293" s="13" t="inlineStr">
        <is>
          <t>2</t>
        </is>
      </c>
      <c r="I1293" s="14" t="inlineStr">
        <is>
          <t>1338.11</t>
        </is>
      </c>
      <c r="J1293" s="15" t="inlineStr">
        <is>
          <t>0.05</t>
        </is>
      </c>
      <c r="K1293" s="14" t="inlineStr">
        <is>
          <t>883.15</t>
        </is>
      </c>
      <c r="L1293" s="13" t="inlineStr">
        <is>
          <t>3</t>
        </is>
      </c>
      <c r="M1293" s="13" t="inlineStr">
        <is>
          <t>Completed</t>
        </is>
      </c>
      <c r="N1293" s="13" t="inlineStr">
        <is>
          <t>J. Patel</t>
        </is>
      </c>
    </row>
    <row r="1294">
      <c r="A1294" s="13" t="inlineStr">
        <is>
          <t>HC-101292</t>
        </is>
      </c>
      <c r="B1294" s="13" t="inlineStr">
        <is>
          <t>03/06/2025</t>
        </is>
      </c>
      <c r="C1294" s="13" t="inlineStr">
        <is>
          <t>South</t>
        </is>
      </c>
      <c r="D1294" s="13" t="inlineStr">
        <is>
          <t>Online</t>
        </is>
      </c>
      <c r="E1294" s="13" t="inlineStr">
        <is>
          <t>Lighting</t>
        </is>
      </c>
      <c r="F1294" s="13" t="inlineStr">
        <is>
          <t>Pendant Light</t>
        </is>
      </c>
      <c r="G1294" s="13" t="inlineStr">
        <is>
          <t>Consumer</t>
        </is>
      </c>
      <c r="H1294" s="13" t="inlineStr">
        <is>
          <t>3</t>
        </is>
      </c>
      <c r="I1294" s="14" t="inlineStr">
        <is>
          <t>186.40</t>
        </is>
      </c>
      <c r="J1294" s="15" t="inlineStr">
        <is>
          <t>0.08</t>
        </is>
      </c>
      <c r="K1294" s="14" t="inlineStr">
        <is>
          <t>93.20</t>
        </is>
      </c>
      <c r="L1294" s="13" t="inlineStr">
        <is>
          <t>6</t>
        </is>
      </c>
      <c r="M1294" s="13" t="inlineStr">
        <is>
          <t>Completed</t>
        </is>
      </c>
      <c r="N1294" s="13" t="inlineStr">
        <is>
          <t>J. Patel</t>
        </is>
      </c>
    </row>
    <row r="1295">
      <c r="A1295" s="13" t="inlineStr">
        <is>
          <t>HC-101293</t>
        </is>
      </c>
      <c r="B1295" s="13" t="inlineStr">
        <is>
          <t>20-Apr-25</t>
        </is>
      </c>
      <c r="C1295" s="13" t="inlineStr">
        <is>
          <t>South</t>
        </is>
      </c>
      <c r="D1295" s="13" t="inlineStr">
        <is>
          <t>Store</t>
        </is>
      </c>
      <c r="E1295" s="13" t="inlineStr">
        <is>
          <t>TEXTILES</t>
        </is>
      </c>
      <c r="F1295" s="13" t="inlineStr">
        <is>
          <t>Linen Curtain</t>
        </is>
      </c>
      <c r="G1295" s="13" t="inlineStr">
        <is>
          <t>consumer</t>
        </is>
      </c>
      <c r="H1295" s="13" t="inlineStr">
        <is>
          <t>2</t>
        </is>
      </c>
      <c r="I1295" s="14" t="inlineStr">
        <is>
          <t>100.19</t>
        </is>
      </c>
      <c r="J1295" s="15" t="inlineStr">
        <is>
          <t>0.05</t>
        </is>
      </c>
      <c r="K1295" s="14" t="inlineStr">
        <is>
          <t>45.08</t>
        </is>
      </c>
      <c r="L1295" s="13" t="inlineStr">
        <is>
          <t>5</t>
        </is>
      </c>
      <c r="M1295" s="13" t="inlineStr">
        <is>
          <t>Completed</t>
        </is>
      </c>
      <c r="N1295" s="13" t="inlineStr">
        <is>
          <t>K. Mensah</t>
        </is>
      </c>
    </row>
    <row r="1296">
      <c r="A1296" s="13" t="inlineStr">
        <is>
          <t>HC-101294</t>
        </is>
      </c>
      <c r="B1296" s="13" t="inlineStr">
        <is>
          <t>2025/04/04</t>
        </is>
      </c>
      <c r="C1296" s="13" t="inlineStr">
        <is>
          <t>North</t>
        </is>
      </c>
      <c r="D1296" s="13" t="inlineStr">
        <is>
          <t>Store</t>
        </is>
      </c>
      <c r="E1296" s="13" t="inlineStr">
        <is>
          <t>Textiles</t>
        </is>
      </c>
      <c r="F1296" s="13" t="inlineStr">
        <is>
          <t>Cotton Duvet</t>
        </is>
      </c>
      <c r="G1296" s="13" t="inlineStr">
        <is>
          <t>Corporate</t>
        </is>
      </c>
      <c r="H1296" s="13" t="inlineStr">
        <is>
          <t>1</t>
        </is>
      </c>
      <c r="I1296" s="14" t="inlineStr">
        <is>
          <t>112.54</t>
        </is>
      </c>
      <c r="J1296" s="15" t="inlineStr">
        <is>
          <t>0.05</t>
        </is>
      </c>
      <c r="K1296" s="14" t="inlineStr">
        <is>
          <t>49.52</t>
        </is>
      </c>
      <c r="L1296" s="13" t="inlineStr">
        <is>
          <t>4</t>
        </is>
      </c>
      <c r="M1296" s="13" t="inlineStr">
        <is>
          <t>Completed</t>
        </is>
      </c>
      <c r="N1296" s="13" t="inlineStr">
        <is>
          <t>K. Mensah</t>
        </is>
      </c>
    </row>
    <row r="1297">
      <c r="A1297" s="13" t="inlineStr">
        <is>
          <t>HC-101295</t>
        </is>
      </c>
      <c r="B1297" s="13" t="inlineStr">
        <is>
          <t>20.10.2024</t>
        </is>
      </c>
      <c r="C1297" s="13" t="inlineStr">
        <is>
          <t>South</t>
        </is>
      </c>
      <c r="D1297" s="13" t="inlineStr">
        <is>
          <t>Store</t>
        </is>
      </c>
      <c r="E1297" s="13" t="inlineStr">
        <is>
          <t>Textiles</t>
        </is>
      </c>
      <c r="F1297" s="13" t="inlineStr">
        <is>
          <t>Cotton Duvet</t>
        </is>
      </c>
      <c r="G1297" s="13" t="inlineStr">
        <is>
          <t>Corporate</t>
        </is>
      </c>
      <c r="H1297" s="13" t="inlineStr">
        <is>
          <t>1</t>
        </is>
      </c>
      <c r="I1297" s="14" t="inlineStr">
        <is>
          <t>119.74</t>
        </is>
      </c>
      <c r="J1297" s="15" t="inlineStr">
        <is>
          <t>0.05</t>
        </is>
      </c>
      <c r="K1297" s="14" t="inlineStr">
        <is>
          <t>52.69</t>
        </is>
      </c>
      <c r="L1297" s="13" t="inlineStr">
        <is>
          <t>9</t>
        </is>
      </c>
      <c r="M1297" s="13" t="inlineStr">
        <is>
          <t>Completed</t>
        </is>
      </c>
      <c r="N1297" s="13" t="inlineStr">
        <is>
          <t>P. Rossi</t>
        </is>
      </c>
    </row>
    <row r="1298">
      <c r="A1298" s="13" t="inlineStr">
        <is>
          <t>HC-101296</t>
        </is>
      </c>
      <c r="B1298" s="13" t="inlineStr">
        <is>
          <t>11/03/2024</t>
        </is>
      </c>
      <c r="C1298" s="13" t="inlineStr">
        <is>
          <t>South</t>
        </is>
      </c>
      <c r="D1298" s="13" t="inlineStr">
        <is>
          <t>Online</t>
        </is>
      </c>
      <c r="E1298" s="13" t="inlineStr">
        <is>
          <t>KITCHEN</t>
        </is>
      </c>
      <c r="F1298" s="13" t="inlineStr">
        <is>
          <t>Ceramic Set</t>
        </is>
      </c>
      <c r="G1298" s="13" t="inlineStr"/>
      <c r="H1298" s="13" t="inlineStr">
        <is>
          <t>3</t>
        </is>
      </c>
      <c r="I1298" s="14" t="inlineStr">
        <is>
          <t>85.28</t>
        </is>
      </c>
      <c r="J1298" s="15" t="inlineStr">
        <is>
          <t>10%</t>
        </is>
      </c>
      <c r="K1298" s="14" t="inlineStr">
        <is>
          <t>32.41</t>
        </is>
      </c>
      <c r="L1298" s="13" t="inlineStr">
        <is>
          <t>4</t>
        </is>
      </c>
      <c r="M1298" s="13" t="inlineStr">
        <is>
          <t>Completed</t>
        </is>
      </c>
      <c r="N1298" s="13" t="inlineStr">
        <is>
          <t>K. Mensah</t>
        </is>
      </c>
    </row>
    <row r="1299">
      <c r="A1299" s="13" t="inlineStr">
        <is>
          <t>HC-101297</t>
        </is>
      </c>
      <c r="B1299" s="13" t="inlineStr">
        <is>
          <t>06-Feb-25</t>
        </is>
      </c>
      <c r="C1299" s="13" t="inlineStr">
        <is>
          <t>North</t>
        </is>
      </c>
      <c r="D1299" s="13" t="inlineStr">
        <is>
          <t>Online</t>
        </is>
      </c>
      <c r="E1299" s="13" t="inlineStr">
        <is>
          <t>Lighting</t>
        </is>
      </c>
      <c r="F1299" s="13" t="inlineStr">
        <is>
          <t>Arc Lamp</t>
        </is>
      </c>
      <c r="G1299" s="13" t="inlineStr">
        <is>
          <t>Consumer</t>
        </is>
      </c>
      <c r="H1299" s="13" t="inlineStr">
        <is>
          <t>Two</t>
        </is>
      </c>
      <c r="I1299" s="14" t="inlineStr">
        <is>
          <t>298.40</t>
        </is>
      </c>
      <c r="J1299" s="15" t="inlineStr">
        <is>
          <t>0.15</t>
        </is>
      </c>
      <c r="K1299" s="14" t="inlineStr">
        <is>
          <t>143.23</t>
        </is>
      </c>
      <c r="L1299" s="13" t="inlineStr">
        <is>
          <t>9</t>
        </is>
      </c>
      <c r="M1299" s="13" t="inlineStr">
        <is>
          <t>Completed</t>
        </is>
      </c>
      <c r="N1299" s="13" t="inlineStr">
        <is>
          <t>A. Shah</t>
        </is>
      </c>
    </row>
    <row r="1300">
      <c r="A1300" s="13" t="inlineStr">
        <is>
          <t>HC-101298</t>
        </is>
      </c>
      <c r="B1300" s="13" t="inlineStr">
        <is>
          <t>2024/06/14</t>
        </is>
      </c>
      <c r="C1300" s="13" t="inlineStr">
        <is>
          <t>Eas</t>
        </is>
      </c>
      <c r="D1300" s="13" t="inlineStr">
        <is>
          <t>Store</t>
        </is>
      </c>
      <c r="E1300" s="13" t="inlineStr">
        <is>
          <t>Furniture</t>
        </is>
      </c>
      <c r="F1300" s="13" t="inlineStr">
        <is>
          <t>Linen Sofa</t>
        </is>
      </c>
      <c r="G1300" s="13" t="inlineStr">
        <is>
          <t>Corporate</t>
        </is>
      </c>
      <c r="H1300" s="13" t="inlineStr">
        <is>
          <t>2</t>
        </is>
      </c>
      <c r="I1300" s="14" t="inlineStr">
        <is>
          <t>1135.95</t>
        </is>
      </c>
      <c r="J1300" s="15" t="inlineStr">
        <is>
          <t>0.07</t>
        </is>
      </c>
      <c r="K1300" s="14" t="inlineStr">
        <is>
          <t>749.73</t>
        </is>
      </c>
      <c r="L1300" s="13" t="inlineStr">
        <is>
          <t>8</t>
        </is>
      </c>
      <c r="M1300" s="13" t="inlineStr">
        <is>
          <t>Completed</t>
        </is>
      </c>
      <c r="N1300" s="13" t="inlineStr">
        <is>
          <t>L. Berger</t>
        </is>
      </c>
    </row>
    <row r="1301">
      <c r="A1301" s="13" t="inlineStr">
        <is>
          <t>HC-101299</t>
        </is>
      </c>
      <c r="B1301" s="13" t="inlineStr">
        <is>
          <t>11.01.2025</t>
        </is>
      </c>
      <c r="C1301" s="13" t="inlineStr">
        <is>
          <t>WEST</t>
        </is>
      </c>
      <c r="D1301" s="13" t="inlineStr">
        <is>
          <t>Wholesale</t>
        </is>
      </c>
      <c r="E1301" s="13" t="inlineStr">
        <is>
          <t>Textiles</t>
        </is>
      </c>
      <c r="F1301" s="13" t="inlineStr">
        <is>
          <t>Linen Curtain</t>
        </is>
      </c>
      <c r="G1301" s="13" t="inlineStr">
        <is>
          <t>Consumer</t>
        </is>
      </c>
      <c r="H1301" s="13" t="inlineStr">
        <is>
          <t>21</t>
        </is>
      </c>
      <c r="I1301" s="14" t="inlineStr">
        <is>
          <t>102.40</t>
        </is>
      </c>
      <c r="J1301" s="15" t="inlineStr">
        <is>
          <t>0.15</t>
        </is>
      </c>
      <c r="K1301" s="14" t="inlineStr">
        <is>
          <t>46.08</t>
        </is>
      </c>
      <c r="L1301" s="13" t="inlineStr">
        <is>
          <t>7</t>
        </is>
      </c>
      <c r="M1301" s="13" t="inlineStr">
        <is>
          <t>Completed</t>
        </is>
      </c>
      <c r="N1301" s="13" t="inlineStr">
        <is>
          <t>M. Okonkwo</t>
        </is>
      </c>
    </row>
    <row r="1302">
      <c r="A1302" s="13" t="inlineStr">
        <is>
          <t>HC-101300</t>
        </is>
      </c>
      <c r="B1302" s="13" t="inlineStr">
        <is>
          <t>10/21/2024</t>
        </is>
      </c>
      <c r="C1302" s="13" t="inlineStr">
        <is>
          <t>Nort</t>
        </is>
      </c>
      <c r="D1302" s="13" t="inlineStr">
        <is>
          <t>web</t>
        </is>
      </c>
      <c r="E1302" s="13" t="inlineStr">
        <is>
          <t>Textiles</t>
        </is>
      </c>
      <c r="F1302" s="13" t="inlineStr">
        <is>
          <t>Linen Curtain</t>
        </is>
      </c>
      <c r="G1302" s="13" t="inlineStr">
        <is>
          <t>Consumer</t>
        </is>
      </c>
      <c r="H1302" s="13" t="inlineStr">
        <is>
          <t>3</t>
        </is>
      </c>
      <c r="I1302" s="14" t="inlineStr">
        <is>
          <t>$87.77</t>
        </is>
      </c>
      <c r="J1302" s="15" t="inlineStr">
        <is>
          <t>13%</t>
        </is>
      </c>
      <c r="K1302" s="14" t="inlineStr">
        <is>
          <t>39.50</t>
        </is>
      </c>
      <c r="L1302" s="13" t="inlineStr">
        <is>
          <t>6</t>
        </is>
      </c>
      <c r="M1302" s="13" t="inlineStr">
        <is>
          <t>complete</t>
        </is>
      </c>
      <c r="N1302" s="13" t="inlineStr">
        <is>
          <t>L. Berger</t>
        </is>
      </c>
    </row>
    <row r="1303">
      <c r="A1303" s="13" t="inlineStr">
        <is>
          <t>HC-101301</t>
        </is>
      </c>
      <c r="B1303" s="13" t="inlineStr">
        <is>
          <t>05-Dec-24</t>
        </is>
      </c>
      <c r="C1303" s="13" t="inlineStr">
        <is>
          <t>West</t>
        </is>
      </c>
      <c r="D1303" s="13" t="inlineStr">
        <is>
          <t>Store</t>
        </is>
      </c>
      <c r="E1303" s="13" t="inlineStr">
        <is>
          <t>Furniture</t>
        </is>
      </c>
      <c r="F1303" s="13" t="inlineStr">
        <is>
          <t>Linen Sofa</t>
        </is>
      </c>
      <c r="G1303" s="13" t="inlineStr">
        <is>
          <t>Consumer</t>
        </is>
      </c>
      <c r="H1303" s="13" t="inlineStr">
        <is>
          <t>5</t>
        </is>
      </c>
      <c r="I1303" s="14" t="inlineStr">
        <is>
          <t>1309.69</t>
        </is>
      </c>
      <c r="J1303" s="15" t="inlineStr">
        <is>
          <t>0.02</t>
        </is>
      </c>
      <c r="K1303" s="14" t="inlineStr">
        <is>
          <t>864.40</t>
        </is>
      </c>
      <c r="L1303" s="13" t="inlineStr">
        <is>
          <t>7</t>
        </is>
      </c>
      <c r="M1303" s="13" t="inlineStr">
        <is>
          <t>Completed</t>
        </is>
      </c>
      <c r="N1303" s="13" t="inlineStr">
        <is>
          <t>A. Shah</t>
        </is>
      </c>
    </row>
    <row r="1304">
      <c r="A1304" s="13" t="inlineStr">
        <is>
          <t>HC-101302</t>
        </is>
      </c>
      <c r="B1304" s="13" t="inlineStr">
        <is>
          <t>2024/11/12</t>
        </is>
      </c>
      <c r="C1304" s="13" t="inlineStr">
        <is>
          <t>West</t>
        </is>
      </c>
      <c r="D1304" s="13" t="inlineStr">
        <is>
          <t>Online</t>
        </is>
      </c>
      <c r="E1304" s="13" t="inlineStr">
        <is>
          <t>Textiles</t>
        </is>
      </c>
      <c r="F1304" s="13" t="inlineStr">
        <is>
          <t>Wool Throw</t>
        </is>
      </c>
      <c r="G1304" s="13" t="inlineStr">
        <is>
          <t>Home Office</t>
        </is>
      </c>
      <c r="H1304" s="13" t="inlineStr">
        <is>
          <t>3</t>
        </is>
      </c>
      <c r="I1304" s="14" t="inlineStr">
        <is>
          <t>80.48</t>
        </is>
      </c>
      <c r="J1304" s="15" t="inlineStr">
        <is>
          <t>0.10</t>
        </is>
      </c>
      <c r="K1304" s="14" t="inlineStr">
        <is>
          <t>33.80</t>
        </is>
      </c>
      <c r="L1304" s="13" t="inlineStr">
        <is>
          <t>7</t>
        </is>
      </c>
      <c r="M1304" s="13" t="inlineStr">
        <is>
          <t>Completed</t>
        </is>
      </c>
      <c r="N1304" s="13" t="inlineStr">
        <is>
          <t>S. Nguyen</t>
        </is>
      </c>
    </row>
    <row r="1305">
      <c r="A1305" s="13" t="inlineStr">
        <is>
          <t>HC-101303</t>
        </is>
      </c>
      <c r="B1305" s="13" t="inlineStr">
        <is>
          <t>20.09.2024</t>
        </is>
      </c>
      <c r="C1305" s="13" t="inlineStr">
        <is>
          <t>south</t>
        </is>
      </c>
      <c r="D1305" s="13" t="inlineStr">
        <is>
          <t>Wholesale</t>
        </is>
      </c>
      <c r="E1305" s="13" t="inlineStr">
        <is>
          <t>Textiles</t>
        </is>
      </c>
      <c r="F1305" s="13" t="inlineStr">
        <is>
          <t>Wool Throw</t>
        </is>
      </c>
      <c r="G1305" s="13" t="inlineStr">
        <is>
          <t>Consumer</t>
        </is>
      </c>
      <c r="H1305" s="13" t="inlineStr">
        <is>
          <t>34</t>
        </is>
      </c>
      <c r="I1305" s="14" t="inlineStr">
        <is>
          <t>71.96</t>
        </is>
      </c>
      <c r="J1305" s="15" t="inlineStr">
        <is>
          <t>24%</t>
        </is>
      </c>
      <c r="K1305" s="14" t="inlineStr">
        <is>
          <t>30.22</t>
        </is>
      </c>
      <c r="L1305" s="13" t="inlineStr">
        <is>
          <t>3</t>
        </is>
      </c>
      <c r="M1305" s="13" t="inlineStr">
        <is>
          <t>Completed</t>
        </is>
      </c>
      <c r="N1305" s="13" t="inlineStr">
        <is>
          <t>A. Shah</t>
        </is>
      </c>
    </row>
    <row r="1306">
      <c r="A1306" s="13" t="inlineStr">
        <is>
          <t>HC-101304</t>
        </is>
      </c>
      <c r="B1306" s="13" t="inlineStr">
        <is>
          <t>11/18/2024</t>
        </is>
      </c>
      <c r="C1306" s="13" t="inlineStr">
        <is>
          <t>West</t>
        </is>
      </c>
      <c r="D1306" s="13" t="inlineStr">
        <is>
          <t>Online</t>
        </is>
      </c>
      <c r="E1306" s="13" t="inlineStr">
        <is>
          <t>Lighting</t>
        </is>
      </c>
      <c r="F1306" s="13" t="inlineStr">
        <is>
          <t>Arc Lamp</t>
        </is>
      </c>
      <c r="G1306" s="13" t="inlineStr">
        <is>
          <t>Home Office</t>
        </is>
      </c>
      <c r="H1306" s="13" t="inlineStr">
        <is>
          <t>4</t>
        </is>
      </c>
      <c r="I1306" s="14" t="inlineStr">
        <is>
          <t>298.16</t>
        </is>
      </c>
      <c r="J1306" s="15" t="inlineStr">
        <is>
          <t>0.09</t>
        </is>
      </c>
      <c r="K1306" s="14" t="inlineStr">
        <is>
          <t>143.12</t>
        </is>
      </c>
      <c r="L1306" s="13" t="inlineStr">
        <is>
          <t>6</t>
        </is>
      </c>
      <c r="M1306" s="13" t="inlineStr">
        <is>
          <t>Compleated</t>
        </is>
      </c>
      <c r="N1306" s="13" t="inlineStr">
        <is>
          <t>J. Patel</t>
        </is>
      </c>
    </row>
    <row r="1307">
      <c r="A1307" s="13" t="inlineStr">
        <is>
          <t>HC-101305</t>
        </is>
      </c>
      <c r="B1307" s="13" t="inlineStr">
        <is>
          <t>12-Nov-24</t>
        </is>
      </c>
      <c r="C1307" s="13" t="inlineStr">
        <is>
          <t>West</t>
        </is>
      </c>
      <c r="D1307" s="13" t="inlineStr">
        <is>
          <t>Online</t>
        </is>
      </c>
      <c r="E1307" s="13" t="inlineStr">
        <is>
          <t>Furniture</t>
        </is>
      </c>
      <c r="F1307" s="13" t="inlineStr">
        <is>
          <t>Oak Desk</t>
        </is>
      </c>
      <c r="G1307" s="13" t="inlineStr">
        <is>
          <t>Consumer</t>
        </is>
      </c>
      <c r="H1307" s="13" t="inlineStr">
        <is>
          <t>4</t>
        </is>
      </c>
      <c r="I1307" s="14" t="inlineStr">
        <is>
          <t>$821.57</t>
        </is>
      </c>
      <c r="J1307" s="15" t="inlineStr">
        <is>
          <t>0.18</t>
        </is>
      </c>
      <c r="K1307" s="14" t="inlineStr">
        <is>
          <t>509.37</t>
        </is>
      </c>
      <c r="L1307" s="13" t="inlineStr">
        <is>
          <t>7</t>
        </is>
      </c>
      <c r="M1307" s="13" t="inlineStr">
        <is>
          <t>Compleated</t>
        </is>
      </c>
      <c r="N1307" s="13" t="inlineStr">
        <is>
          <t>R. Ibarra</t>
        </is>
      </c>
    </row>
    <row r="1308">
      <c r="A1308" s="13" t="inlineStr">
        <is>
          <t>HC-101306</t>
        </is>
      </c>
      <c r="B1308" s="13" t="inlineStr">
        <is>
          <t>2025/09/10</t>
        </is>
      </c>
      <c r="C1308" s="13" t="inlineStr">
        <is>
          <t>West</t>
        </is>
      </c>
      <c r="D1308" s="13" t="inlineStr">
        <is>
          <t>Store</t>
        </is>
      </c>
      <c r="E1308" s="13" t="inlineStr">
        <is>
          <t>Kitchen</t>
        </is>
      </c>
      <c r="F1308" s="13" t="inlineStr">
        <is>
          <t>Chef Knife</t>
        </is>
      </c>
      <c r="G1308" s="13" t="inlineStr">
        <is>
          <t>Consumer</t>
        </is>
      </c>
      <c r="H1308" s="13" t="inlineStr">
        <is>
          <t>4</t>
        </is>
      </c>
      <c r="I1308" s="14" t="inlineStr">
        <is>
          <t>62.05</t>
        </is>
      </c>
      <c r="J1308" s="15" t="inlineStr">
        <is>
          <t>0.04</t>
        </is>
      </c>
      <c r="K1308" s="14" t="inlineStr">
        <is>
          <t>22.34</t>
        </is>
      </c>
      <c r="L1308" s="13" t="inlineStr">
        <is>
          <t>6</t>
        </is>
      </c>
      <c r="M1308" s="13" t="inlineStr">
        <is>
          <t>Completed</t>
        </is>
      </c>
      <c r="N1308" s="13" t="inlineStr">
        <is>
          <t>K. Mensah</t>
        </is>
      </c>
    </row>
    <row r="1309">
      <c r="A1309" s="13" t="inlineStr">
        <is>
          <t>HC-101307</t>
        </is>
      </c>
      <c r="B1309" s="13" t="inlineStr">
        <is>
          <t>13.07.2024</t>
        </is>
      </c>
      <c r="C1309" s="13" t="inlineStr">
        <is>
          <t>West</t>
        </is>
      </c>
      <c r="D1309" s="13" t="inlineStr">
        <is>
          <t>Online</t>
        </is>
      </c>
      <c r="E1309" s="13" t="inlineStr">
        <is>
          <t>LIGHTING</t>
        </is>
      </c>
      <c r="F1309" s="13" t="inlineStr">
        <is>
          <t>Arc Lamp</t>
        </is>
      </c>
      <c r="G1309" s="13" t="inlineStr">
        <is>
          <t>Home Office</t>
        </is>
      </c>
      <c r="H1309" s="13" t="inlineStr">
        <is>
          <t>2</t>
        </is>
      </c>
      <c r="I1309" s="14" t="inlineStr">
        <is>
          <t>320.41</t>
        </is>
      </c>
      <c r="J1309" s="15" t="inlineStr">
        <is>
          <t>0.04</t>
        </is>
      </c>
      <c r="K1309" s="14" t="inlineStr">
        <is>
          <t>153.79</t>
        </is>
      </c>
      <c r="L1309" s="13" t="inlineStr">
        <is>
          <t>8</t>
        </is>
      </c>
      <c r="M1309" s="13" t="inlineStr">
        <is>
          <t>Completed</t>
        </is>
      </c>
      <c r="N1309" s="13" t="inlineStr">
        <is>
          <t>A. Shah</t>
        </is>
      </c>
    </row>
    <row r="1310">
      <c r="A1310" s="13" t="inlineStr">
        <is>
          <t>HC-101308</t>
        </is>
      </c>
      <c r="B1310" s="13" t="inlineStr">
        <is>
          <t>06/10/2024</t>
        </is>
      </c>
      <c r="C1310" s="13" t="inlineStr">
        <is>
          <t>Sout</t>
        </is>
      </c>
      <c r="D1310" s="13" t="inlineStr">
        <is>
          <t>Store</t>
        </is>
      </c>
      <c r="E1310" s="13" t="inlineStr">
        <is>
          <t>Furniture</t>
        </is>
      </c>
      <c r="F1310" s="13" t="inlineStr">
        <is>
          <t>Oak Desk</t>
        </is>
      </c>
      <c r="G1310" s="13" t="inlineStr">
        <is>
          <t>Consumer</t>
        </is>
      </c>
      <c r="H1310" s="13" t="inlineStr">
        <is>
          <t>1</t>
        </is>
      </c>
      <c r="I1310" s="14" t="inlineStr">
        <is>
          <t>888.16</t>
        </is>
      </c>
      <c r="J1310" s="15" t="inlineStr">
        <is>
          <t>0.04</t>
        </is>
      </c>
      <c r="K1310" s="14" t="inlineStr">
        <is>
          <t>550.66</t>
        </is>
      </c>
      <c r="L1310" s="13" t="inlineStr">
        <is>
          <t>7</t>
        </is>
      </c>
      <c r="M1310" s="13" t="inlineStr">
        <is>
          <t>RETURNED</t>
        </is>
      </c>
      <c r="N1310" s="13" t="inlineStr">
        <is>
          <t>J. Patel</t>
        </is>
      </c>
    </row>
    <row r="1311">
      <c r="A1311" s="13" t="inlineStr">
        <is>
          <t>HC-101309</t>
        </is>
      </c>
      <c r="B1311" s="13" t="inlineStr">
        <is>
          <t>20-Nov-24</t>
        </is>
      </c>
      <c r="C1311" s="13" t="inlineStr">
        <is>
          <t>North</t>
        </is>
      </c>
      <c r="D1311" s="13" t="inlineStr">
        <is>
          <t>Online</t>
        </is>
      </c>
      <c r="E1311" s="13" t="inlineStr">
        <is>
          <t>Furniture</t>
        </is>
      </c>
      <c r="F1311" s="13" t="inlineStr">
        <is>
          <t>Linen Sofa</t>
        </is>
      </c>
      <c r="G1311" s="13" t="inlineStr">
        <is>
          <t>Consumer</t>
        </is>
      </c>
      <c r="H1311" s="13" t="inlineStr">
        <is>
          <t>4</t>
        </is>
      </c>
      <c r="I1311" s="14" t="inlineStr">
        <is>
          <t>1175.73</t>
        </is>
      </c>
      <c r="J1311" s="15" t="inlineStr">
        <is>
          <t>0.15</t>
        </is>
      </c>
      <c r="K1311" s="14" t="inlineStr">
        <is>
          <t>775.98</t>
        </is>
      </c>
      <c r="L1311" s="13" t="inlineStr">
        <is>
          <t>6</t>
        </is>
      </c>
      <c r="M1311" s="13" t="inlineStr">
        <is>
          <t>Completed</t>
        </is>
      </c>
      <c r="N1311" s="13" t="inlineStr">
        <is>
          <t>K. Mensah</t>
        </is>
      </c>
    </row>
    <row r="1312">
      <c r="A1312" s="13" t="inlineStr">
        <is>
          <t>HC-101310</t>
        </is>
      </c>
      <c r="B1312" s="13" t="inlineStr">
        <is>
          <t>2024/12/20</t>
        </is>
      </c>
      <c r="C1312" s="13" t="inlineStr">
        <is>
          <t>South</t>
        </is>
      </c>
      <c r="D1312" s="13" t="inlineStr">
        <is>
          <t>Store</t>
        </is>
      </c>
      <c r="E1312" s="13" t="inlineStr">
        <is>
          <t>Furniture</t>
        </is>
      </c>
      <c r="F1312" s="13" t="inlineStr">
        <is>
          <t>Oak Desk</t>
        </is>
      </c>
      <c r="G1312" s="13" t="inlineStr">
        <is>
          <t>Home Office</t>
        </is>
      </c>
      <c r="H1312" s="13" t="inlineStr">
        <is>
          <t>4</t>
        </is>
      </c>
      <c r="I1312" s="14" t="inlineStr">
        <is>
          <t>825.19</t>
        </is>
      </c>
      <c r="J1312" s="15" t="inlineStr">
        <is>
          <t>0.00</t>
        </is>
      </c>
      <c r="K1312" s="14" t="inlineStr">
        <is>
          <t>511.62</t>
        </is>
      </c>
      <c r="L1312" s="13" t="inlineStr">
        <is>
          <t>6</t>
        </is>
      </c>
      <c r="M1312" s="13" t="inlineStr">
        <is>
          <t>COMPLETED</t>
        </is>
      </c>
      <c r="N1312" s="13" t="inlineStr">
        <is>
          <t>A. Shah</t>
        </is>
      </c>
    </row>
    <row r="1313">
      <c r="A1313" s="13" t="inlineStr">
        <is>
          <t>HC-101311</t>
        </is>
      </c>
      <c r="B1313" s="13" t="inlineStr">
        <is>
          <t>29.03.2025</t>
        </is>
      </c>
      <c r="C1313" s="13" t="inlineStr">
        <is>
          <t>North</t>
        </is>
      </c>
      <c r="D1313" s="13" t="inlineStr">
        <is>
          <t>Wholesale</t>
        </is>
      </c>
      <c r="E1313" s="13" t="inlineStr">
        <is>
          <t>Textiles</t>
        </is>
      </c>
      <c r="F1313" s="13" t="inlineStr">
        <is>
          <t>Cotton Duvet</t>
        </is>
      </c>
      <c r="G1313" s="13" t="inlineStr">
        <is>
          <t>Home Office</t>
        </is>
      </c>
      <c r="H1313" s="13" t="inlineStr">
        <is>
          <t>29</t>
        </is>
      </c>
      <c r="I1313" s="14" t="inlineStr">
        <is>
          <t>125.74</t>
        </is>
      </c>
      <c r="J1313" s="15" t="inlineStr">
        <is>
          <t>0.15</t>
        </is>
      </c>
      <c r="K1313" s="14" t="inlineStr">
        <is>
          <t>55.33</t>
        </is>
      </c>
      <c r="L1313" s="13" t="inlineStr">
        <is>
          <t>7</t>
        </is>
      </c>
      <c r="M1313" s="13" t="inlineStr">
        <is>
          <t>Completed</t>
        </is>
      </c>
      <c r="N1313" s="13" t="inlineStr">
        <is>
          <t>L. Berger</t>
        </is>
      </c>
    </row>
    <row r="1314">
      <c r="A1314" s="13" t="inlineStr">
        <is>
          <t>HC-101312</t>
        </is>
      </c>
      <c r="B1314" s="13" t="inlineStr">
        <is>
          <t>02/16/2024</t>
        </is>
      </c>
      <c r="C1314" s="13" t="inlineStr">
        <is>
          <t>SOUTH</t>
        </is>
      </c>
      <c r="D1314" s="13" t="inlineStr">
        <is>
          <t>Online</t>
        </is>
      </c>
      <c r="E1314" s="13" t="inlineStr">
        <is>
          <t>Lighting</t>
        </is>
      </c>
      <c r="F1314" s="13" t="inlineStr">
        <is>
          <t>Brass Sconce</t>
        </is>
      </c>
      <c r="G1314" s="13" t="inlineStr">
        <is>
          <t>Consumer</t>
        </is>
      </c>
      <c r="H1314" s="13" t="inlineStr">
        <is>
          <t>1</t>
        </is>
      </c>
      <c r="I1314" s="14" t="inlineStr">
        <is>
          <t>145.74</t>
        </is>
      </c>
      <c r="J1314" s="15" t="inlineStr">
        <is>
          <t>0.05</t>
        </is>
      </c>
      <c r="K1314" s="14" t="inlineStr">
        <is>
          <t>67.04</t>
        </is>
      </c>
      <c r="L1314" s="13" t="inlineStr">
        <is>
          <t>5</t>
        </is>
      </c>
      <c r="M1314" s="13" t="inlineStr">
        <is>
          <t>Completed</t>
        </is>
      </c>
      <c r="N1314" s="13" t="inlineStr">
        <is>
          <t>A. Shah</t>
        </is>
      </c>
    </row>
    <row r="1315">
      <c r="A1315" s="13" t="inlineStr">
        <is>
          <t>HC-101313</t>
        </is>
      </c>
      <c r="B1315" s="13" t="inlineStr">
        <is>
          <t>08-Feb-25</t>
        </is>
      </c>
      <c r="C1315" s="13" t="inlineStr">
        <is>
          <t>South</t>
        </is>
      </c>
      <c r="D1315" s="13" t="inlineStr">
        <is>
          <t>B2B</t>
        </is>
      </c>
      <c r="E1315" s="13" t="inlineStr">
        <is>
          <t>Lighting</t>
        </is>
      </c>
      <c r="F1315" s="13" t="inlineStr">
        <is>
          <t>Arc Lamp</t>
        </is>
      </c>
      <c r="G1315" s="13" t="inlineStr">
        <is>
          <t>Corporate</t>
        </is>
      </c>
      <c r="H1315" s="13" t="inlineStr">
        <is>
          <t>17</t>
        </is>
      </c>
      <c r="I1315" s="14" t="inlineStr">
        <is>
          <t>302.96</t>
        </is>
      </c>
      <c r="J1315" s="15" t="inlineStr">
        <is>
          <t>0.30</t>
        </is>
      </c>
      <c r="K1315" s="14" t="inlineStr">
        <is>
          <t>145.42</t>
        </is>
      </c>
      <c r="L1315" s="13" t="inlineStr">
        <is>
          <t>5</t>
        </is>
      </c>
      <c r="M1315" s="13" t="inlineStr">
        <is>
          <t>Compleated</t>
        </is>
      </c>
      <c r="N1315" s="13" t="inlineStr">
        <is>
          <t>P. Rossi</t>
        </is>
      </c>
    </row>
    <row r="1316">
      <c r="A1316" s="13" t="inlineStr">
        <is>
          <t>HC-101314</t>
        </is>
      </c>
      <c r="B1316" s="13" t="inlineStr">
        <is>
          <t>2024/12/13</t>
        </is>
      </c>
      <c r="C1316" s="13" t="inlineStr">
        <is>
          <t>North</t>
        </is>
      </c>
      <c r="D1316" s="13" t="inlineStr">
        <is>
          <t>Online</t>
        </is>
      </c>
      <c r="E1316" s="13" t="inlineStr">
        <is>
          <t>Furniture</t>
        </is>
      </c>
      <c r="F1316" s="13" t="inlineStr">
        <is>
          <t>Lounge Chair</t>
        </is>
      </c>
      <c r="G1316" s="13" t="inlineStr">
        <is>
          <t>Consumer</t>
        </is>
      </c>
      <c r="H1316" s="13" t="inlineStr">
        <is>
          <t>4</t>
        </is>
      </c>
      <c r="I1316" s="14" t="inlineStr">
        <is>
          <t>486.26</t>
        </is>
      </c>
      <c r="J1316" s="15" t="inlineStr">
        <is>
          <t>0.09</t>
        </is>
      </c>
      <c r="K1316" s="14" t="inlineStr">
        <is>
          <t>291.75</t>
        </is>
      </c>
      <c r="L1316" s="13" t="inlineStr">
        <is>
          <t>4</t>
        </is>
      </c>
      <c r="M1316" s="13" t="inlineStr">
        <is>
          <t>Completed</t>
        </is>
      </c>
      <c r="N1316" s="13" t="inlineStr">
        <is>
          <t>A. Shah</t>
        </is>
      </c>
    </row>
    <row r="1317">
      <c r="A1317" s="13" t="inlineStr">
        <is>
          <t>HC-101315</t>
        </is>
      </c>
      <c r="B1317" s="13" t="inlineStr">
        <is>
          <t>26.02.2024</t>
        </is>
      </c>
      <c r="C1317" s="13" t="inlineStr">
        <is>
          <t>East</t>
        </is>
      </c>
      <c r="D1317" s="13" t="inlineStr">
        <is>
          <t>Store</t>
        </is>
      </c>
      <c r="E1317" s="13" t="inlineStr">
        <is>
          <t>Furniture</t>
        </is>
      </c>
      <c r="F1317" s="13" t="inlineStr">
        <is>
          <t>Oak Desk</t>
        </is>
      </c>
      <c r="G1317" s="13" t="inlineStr">
        <is>
          <t>Consumer</t>
        </is>
      </c>
      <c r="H1317" s="13" t="inlineStr">
        <is>
          <t>4</t>
        </is>
      </c>
      <c r="I1317" s="14" t="inlineStr">
        <is>
          <t>802.43</t>
        </is>
      </c>
      <c r="J1317" s="15" t="inlineStr">
        <is>
          <t>0.09</t>
        </is>
      </c>
      <c r="K1317" s="14" t="inlineStr">
        <is>
          <t>497.51</t>
        </is>
      </c>
      <c r="L1317" s="13" t="inlineStr">
        <is>
          <t>10</t>
        </is>
      </c>
      <c r="M1317" s="13" t="inlineStr">
        <is>
          <t>Completed</t>
        </is>
      </c>
      <c r="N1317" s="13" t="inlineStr">
        <is>
          <t>M. Okonkwo</t>
        </is>
      </c>
    </row>
    <row r="1318">
      <c r="A1318" s="13" t="inlineStr">
        <is>
          <t>HC-101316</t>
        </is>
      </c>
      <c r="B1318" s="13" t="inlineStr">
        <is>
          <t>06/08/2024</t>
        </is>
      </c>
      <c r="C1318" s="13" t="inlineStr">
        <is>
          <t>south</t>
        </is>
      </c>
      <c r="D1318" s="13" t="inlineStr">
        <is>
          <t>Online</t>
        </is>
      </c>
      <c r="E1318" s="13" t="inlineStr">
        <is>
          <t>Furniture</t>
        </is>
      </c>
      <c r="F1318" s="13" t="inlineStr">
        <is>
          <t>Linen Sofa</t>
        </is>
      </c>
      <c r="G1318" s="13" t="inlineStr">
        <is>
          <t>Consumer</t>
        </is>
      </c>
      <c r="H1318" s="13" t="inlineStr">
        <is>
          <t>1</t>
        </is>
      </c>
      <c r="I1318" s="14" t="inlineStr">
        <is>
          <t>1156.87</t>
        </is>
      </c>
      <c r="J1318" s="15" t="inlineStr">
        <is>
          <t>0.06</t>
        </is>
      </c>
      <c r="K1318" s="14" t="inlineStr">
        <is>
          <t>763.54</t>
        </is>
      </c>
      <c r="L1318" s="13" t="inlineStr">
        <is>
          <t>3</t>
        </is>
      </c>
      <c r="M1318" s="13" t="inlineStr">
        <is>
          <t>Completed</t>
        </is>
      </c>
      <c r="N1318" s="13" t="inlineStr">
        <is>
          <t>S. Nguyen</t>
        </is>
      </c>
    </row>
    <row r="1319">
      <c r="A1319" s="13" t="inlineStr">
        <is>
          <t>HC-101317</t>
        </is>
      </c>
      <c r="B1319" s="13" t="inlineStr">
        <is>
          <t>16-Jun-24</t>
        </is>
      </c>
      <c r="C1319" s="13" t="inlineStr">
        <is>
          <t>WEST</t>
        </is>
      </c>
      <c r="D1319" s="13" t="inlineStr">
        <is>
          <t>Store</t>
        </is>
      </c>
      <c r="E1319" s="13" t="inlineStr">
        <is>
          <t>Lighting</t>
        </is>
      </c>
      <c r="F1319" s="13" t="inlineStr">
        <is>
          <t>Arc Lamp</t>
        </is>
      </c>
      <c r="G1319" s="13" t="inlineStr">
        <is>
          <t>Consumer</t>
        </is>
      </c>
      <c r="H1319" s="13" t="inlineStr">
        <is>
          <t>1</t>
        </is>
      </c>
      <c r="I1319" s="14" t="inlineStr">
        <is>
          <t>296.08</t>
        </is>
      </c>
      <c r="J1319" s="15" t="inlineStr">
        <is>
          <t>0.01</t>
        </is>
      </c>
      <c r="K1319" s="14" t="inlineStr">
        <is>
          <t>142.12</t>
        </is>
      </c>
      <c r="L1319" s="13" t="inlineStr">
        <is>
          <t>9</t>
        </is>
      </c>
      <c r="M1319" s="13" t="inlineStr">
        <is>
          <t>Compleated</t>
        </is>
      </c>
      <c r="N1319" s="13" t="inlineStr">
        <is>
          <t>A. Shah</t>
        </is>
      </c>
    </row>
    <row r="1320">
      <c r="A1320" s="13" t="inlineStr">
        <is>
          <t>HC-101318</t>
        </is>
      </c>
      <c r="B1320" s="13" t="inlineStr">
        <is>
          <t>2024/11/21</t>
        </is>
      </c>
      <c r="C1320" s="13" t="inlineStr">
        <is>
          <t>West</t>
        </is>
      </c>
      <c r="D1320" s="13" t="inlineStr">
        <is>
          <t>Online</t>
        </is>
      </c>
      <c r="E1320" s="13" t="inlineStr">
        <is>
          <t>Kitchen</t>
        </is>
      </c>
      <c r="F1320" s="13" t="inlineStr">
        <is>
          <t>Chef Knife</t>
        </is>
      </c>
      <c r="G1320" s="13" t="inlineStr">
        <is>
          <t>Corporate</t>
        </is>
      </c>
      <c r="H1320" s="13" t="inlineStr">
        <is>
          <t>3</t>
        </is>
      </c>
      <c r="I1320" s="14" t="inlineStr">
        <is>
          <t>67.26</t>
        </is>
      </c>
      <c r="J1320" s="15" t="inlineStr">
        <is>
          <t>0.13</t>
        </is>
      </c>
      <c r="K1320" s="14" t="inlineStr">
        <is>
          <t>24.21</t>
        </is>
      </c>
      <c r="L1320" s="13" t="inlineStr">
        <is>
          <t>5</t>
        </is>
      </c>
      <c r="M1320" s="13" t="inlineStr">
        <is>
          <t>Completed</t>
        </is>
      </c>
      <c r="N1320" s="13" t="inlineStr">
        <is>
          <t>P. Rossi</t>
        </is>
      </c>
    </row>
    <row r="1321">
      <c r="A1321" s="13" t="inlineStr">
        <is>
          <t>HC-101319</t>
        </is>
      </c>
      <c r="B1321" s="13" t="inlineStr">
        <is>
          <t>28.09.2024</t>
        </is>
      </c>
      <c r="C1321" s="13" t="inlineStr">
        <is>
          <t>West</t>
        </is>
      </c>
      <c r="D1321" s="13" t="inlineStr">
        <is>
          <t>Wholesale</t>
        </is>
      </c>
      <c r="E1321" s="13" t="inlineStr">
        <is>
          <t>TEXTILES</t>
        </is>
      </c>
      <c r="F1321" s="13" t="inlineStr">
        <is>
          <t>Wool Throw</t>
        </is>
      </c>
      <c r="G1321" s="13" t="inlineStr">
        <is>
          <t>corporate</t>
        </is>
      </c>
      <c r="H1321" s="13" t="inlineStr">
        <is>
          <t>19</t>
        </is>
      </c>
      <c r="I1321" s="14" t="inlineStr">
        <is>
          <t>73.90</t>
        </is>
      </c>
      <c r="J1321" s="15" t="inlineStr">
        <is>
          <t>0.26</t>
        </is>
      </c>
      <c r="K1321" s="14" t="inlineStr">
        <is>
          <t>31.04</t>
        </is>
      </c>
      <c r="L1321" s="13" t="inlineStr">
        <is>
          <t>10</t>
        </is>
      </c>
      <c r="M1321" s="13" t="inlineStr">
        <is>
          <t>Completed</t>
        </is>
      </c>
      <c r="N1321" s="13" t="inlineStr">
        <is>
          <t>J. Patel</t>
        </is>
      </c>
    </row>
    <row r="1322">
      <c r="A1322" s="13" t="inlineStr">
        <is>
          <t>HC-101320</t>
        </is>
      </c>
      <c r="B1322" s="13" t="inlineStr">
        <is>
          <t>04/11/2024</t>
        </is>
      </c>
      <c r="C1322" s="13" t="inlineStr">
        <is>
          <t xml:space="preserve"> North </t>
        </is>
      </c>
      <c r="D1322" s="13" t="inlineStr">
        <is>
          <t>e-commerce</t>
        </is>
      </c>
      <c r="E1322" s="13" t="inlineStr">
        <is>
          <t>Lighting</t>
        </is>
      </c>
      <c r="F1322" s="13" t="inlineStr">
        <is>
          <t>Pendant Light</t>
        </is>
      </c>
      <c r="G1322" s="13" t="inlineStr">
        <is>
          <t>Consumer</t>
        </is>
      </c>
      <c r="H1322" s="13" t="inlineStr">
        <is>
          <t>1</t>
        </is>
      </c>
      <c r="I1322" s="14" t="inlineStr">
        <is>
          <t>190.64</t>
        </is>
      </c>
      <c r="J1322" s="15" t="inlineStr">
        <is>
          <t>0.10</t>
        </is>
      </c>
      <c r="K1322" s="14" t="inlineStr">
        <is>
          <t>95.32</t>
        </is>
      </c>
      <c r="L1322" s="13" t="inlineStr">
        <is>
          <t>5</t>
        </is>
      </c>
      <c r="M1322" s="13" t="inlineStr">
        <is>
          <t>Completed</t>
        </is>
      </c>
      <c r="N1322" s="13" t="inlineStr">
        <is>
          <t>P. Rossi</t>
        </is>
      </c>
    </row>
    <row r="1323">
      <c r="A1323" s="13" t="inlineStr">
        <is>
          <t>HC-101321</t>
        </is>
      </c>
      <c r="B1323" s="13" t="inlineStr">
        <is>
          <t>16-Feb-25</t>
        </is>
      </c>
      <c r="C1323" s="13" t="inlineStr">
        <is>
          <t>West</t>
        </is>
      </c>
      <c r="D1323" s="13" t="inlineStr">
        <is>
          <t>Store</t>
        </is>
      </c>
      <c r="E1323" s="13" t="inlineStr">
        <is>
          <t>Lighting</t>
        </is>
      </c>
      <c r="F1323" s="13" t="inlineStr">
        <is>
          <t>Arc Lamp</t>
        </is>
      </c>
      <c r="G1323" s="13" t="inlineStr">
        <is>
          <t>Corporate</t>
        </is>
      </c>
      <c r="H1323" s="13" t="inlineStr">
        <is>
          <t>4</t>
        </is>
      </c>
      <c r="I1323" s="14" t="inlineStr">
        <is>
          <t>$286.98</t>
        </is>
      </c>
      <c r="J1323" s="15" t="inlineStr">
        <is>
          <t>0.05</t>
        </is>
      </c>
      <c r="K1323" s="14" t="inlineStr">
        <is>
          <t>137.75</t>
        </is>
      </c>
      <c r="L1323" s="13" t="inlineStr">
        <is>
          <t>7</t>
        </is>
      </c>
      <c r="M1323" s="13" t="inlineStr">
        <is>
          <t>Completed</t>
        </is>
      </c>
      <c r="N1323" s="13" t="inlineStr">
        <is>
          <t>L. Berger</t>
        </is>
      </c>
    </row>
    <row r="1324">
      <c r="A1324" s="13" t="inlineStr">
        <is>
          <t>HC-101322</t>
        </is>
      </c>
      <c r="B1324" s="13" t="inlineStr">
        <is>
          <t>2024/08/13</t>
        </is>
      </c>
      <c r="C1324" s="13" t="inlineStr">
        <is>
          <t>EAST</t>
        </is>
      </c>
      <c r="D1324" s="13" t="inlineStr">
        <is>
          <t>Wholesale</t>
        </is>
      </c>
      <c r="E1324" s="13" t="inlineStr">
        <is>
          <t>Kitchen</t>
        </is>
      </c>
      <c r="F1324" s="13" t="inlineStr">
        <is>
          <t>Cast Skillet</t>
        </is>
      </c>
      <c r="G1324" s="13" t="inlineStr">
        <is>
          <t>Corporate</t>
        </is>
      </c>
      <c r="H1324" s="13" t="inlineStr">
        <is>
          <t>16</t>
        </is>
      </c>
      <c r="I1324" s="14" t="inlineStr">
        <is>
          <t>45.82</t>
        </is>
      </c>
      <c r="J1324" s="15" t="inlineStr">
        <is>
          <t>0.21</t>
        </is>
      </c>
      <c r="K1324" s="14" t="inlineStr">
        <is>
          <t>18.33</t>
        </is>
      </c>
      <c r="L1324" s="13" t="inlineStr">
        <is>
          <t>8</t>
        </is>
      </c>
      <c r="M1324" s="13" t="inlineStr">
        <is>
          <t>Completed</t>
        </is>
      </c>
      <c r="N1324" s="13" t="inlineStr">
        <is>
          <t>S. Nguyen</t>
        </is>
      </c>
    </row>
    <row r="1325">
      <c r="A1325" s="13" t="inlineStr">
        <is>
          <t>HC-101323</t>
        </is>
      </c>
      <c r="B1325" s="13" t="inlineStr">
        <is>
          <t>26.11.2024</t>
        </is>
      </c>
      <c r="C1325" s="13" t="inlineStr">
        <is>
          <t>South</t>
        </is>
      </c>
      <c r="D1325" s="13" t="inlineStr">
        <is>
          <t>Store</t>
        </is>
      </c>
      <c r="E1325" s="13" t="inlineStr">
        <is>
          <t>Textiles</t>
        </is>
      </c>
      <c r="F1325" s="13" t="inlineStr">
        <is>
          <t>Linen Curtain</t>
        </is>
      </c>
      <c r="G1325" s="13" t="inlineStr">
        <is>
          <t>Consumer</t>
        </is>
      </c>
      <c r="H1325" s="13" t="inlineStr">
        <is>
          <t>4</t>
        </is>
      </c>
      <c r="I1325" s="14" t="inlineStr">
        <is>
          <t>93.81</t>
        </is>
      </c>
      <c r="J1325" s="15" t="inlineStr">
        <is>
          <t>0.04</t>
        </is>
      </c>
      <c r="K1325" s="14" t="inlineStr">
        <is>
          <t>42.21</t>
        </is>
      </c>
      <c r="L1325" s="13" t="inlineStr">
        <is>
          <t>2</t>
        </is>
      </c>
      <c r="M1325" s="13" t="inlineStr">
        <is>
          <t>Completed</t>
        </is>
      </c>
      <c r="N1325" s="13" t="inlineStr">
        <is>
          <t>K. Mensah</t>
        </is>
      </c>
    </row>
    <row r="1326">
      <c r="A1326" s="13" t="inlineStr">
        <is>
          <t>HC-101324</t>
        </is>
      </c>
      <c r="B1326" s="13" t="inlineStr">
        <is>
          <t>12/11/2024</t>
        </is>
      </c>
      <c r="C1326" s="13" t="inlineStr">
        <is>
          <t>South</t>
        </is>
      </c>
      <c r="D1326" s="13" t="inlineStr">
        <is>
          <t>Store</t>
        </is>
      </c>
      <c r="E1326" s="13" t="inlineStr">
        <is>
          <t>Lighting</t>
        </is>
      </c>
      <c r="F1326" s="13" t="inlineStr">
        <is>
          <t>Arc Lamp</t>
        </is>
      </c>
      <c r="G1326" s="13" t="inlineStr">
        <is>
          <t>Corporate</t>
        </is>
      </c>
      <c r="H1326" s="13" t="inlineStr">
        <is>
          <t>2</t>
        </is>
      </c>
      <c r="I1326" s="14" t="inlineStr">
        <is>
          <t>298.64</t>
        </is>
      </c>
      <c r="J1326" s="15" t="inlineStr">
        <is>
          <t>0.06</t>
        </is>
      </c>
      <c r="K1326" s="14" t="inlineStr">
        <is>
          <t>143.35</t>
        </is>
      </c>
      <c r="L1326" s="13" t="inlineStr">
        <is>
          <t>3</t>
        </is>
      </c>
      <c r="M1326" s="13" t="inlineStr">
        <is>
          <t>Completed</t>
        </is>
      </c>
      <c r="N1326" s="13" t="inlineStr">
        <is>
          <t>M. Okonkwo</t>
        </is>
      </c>
    </row>
    <row r="1327">
      <c r="A1327" s="13" t="inlineStr">
        <is>
          <t>HC-101325</t>
        </is>
      </c>
      <c r="B1327" s="13" t="inlineStr">
        <is>
          <t>08-Mar-25</t>
        </is>
      </c>
      <c r="C1327" s="13" t="inlineStr">
        <is>
          <t>Eas</t>
        </is>
      </c>
      <c r="D1327" s="13" t="inlineStr">
        <is>
          <t>Store</t>
        </is>
      </c>
      <c r="E1327" s="13" t="inlineStr">
        <is>
          <t>Textiles</t>
        </is>
      </c>
      <c r="F1327" s="13" t="inlineStr">
        <is>
          <t>Linen Curtain</t>
        </is>
      </c>
      <c r="G1327" s="13" t="inlineStr"/>
      <c r="H1327" s="13" t="inlineStr">
        <is>
          <t>2</t>
        </is>
      </c>
      <c r="I1327" s="14" t="inlineStr">
        <is>
          <t>90.01</t>
        </is>
      </c>
      <c r="J1327" s="15" t="inlineStr">
        <is>
          <t>0.11</t>
        </is>
      </c>
      <c r="K1327" s="14" t="inlineStr">
        <is>
          <t>40.50</t>
        </is>
      </c>
      <c r="L1327" s="13" t="inlineStr">
        <is>
          <t>9</t>
        </is>
      </c>
      <c r="M1327" s="13" t="inlineStr">
        <is>
          <t>Completed</t>
        </is>
      </c>
      <c r="N1327" s="13" t="inlineStr">
        <is>
          <t>L. Berger</t>
        </is>
      </c>
    </row>
    <row r="1328">
      <c r="A1328" s="13" t="inlineStr">
        <is>
          <t>HC-101326</t>
        </is>
      </c>
      <c r="B1328" s="13" t="inlineStr">
        <is>
          <t>2024/12/25</t>
        </is>
      </c>
      <c r="C1328" s="13" t="inlineStr">
        <is>
          <t>South</t>
        </is>
      </c>
      <c r="D1328" s="13" t="inlineStr">
        <is>
          <t>Wholesale</t>
        </is>
      </c>
      <c r="E1328" s="13" t="inlineStr">
        <is>
          <t>FURNITURE</t>
        </is>
      </c>
      <c r="F1328" s="13" t="inlineStr">
        <is>
          <t>Walnut Shelf</t>
        </is>
      </c>
      <c r="G1328" s="13" t="inlineStr">
        <is>
          <t>Consumer</t>
        </is>
      </c>
      <c r="H1328" s="13" t="inlineStr">
        <is>
          <t>19</t>
        </is>
      </c>
      <c r="I1328" s="14" t="inlineStr">
        <is>
          <t>209.66</t>
        </is>
      </c>
      <c r="J1328" s="15" t="inlineStr">
        <is>
          <t>0.29</t>
        </is>
      </c>
      <c r="K1328" s="14" t="inlineStr">
        <is>
          <t>115.31</t>
        </is>
      </c>
      <c r="L1328" s="13" t="inlineStr">
        <is>
          <t>4</t>
        </is>
      </c>
      <c r="M1328" s="13" t="inlineStr">
        <is>
          <t>Returned</t>
        </is>
      </c>
      <c r="N1328" s="13" t="inlineStr">
        <is>
          <t>R. Ibarra</t>
        </is>
      </c>
    </row>
    <row r="1329">
      <c r="A1329" s="13" t="inlineStr">
        <is>
          <t>HC-101327</t>
        </is>
      </c>
      <c r="B1329" s="13" t="inlineStr">
        <is>
          <t>10.09.2024</t>
        </is>
      </c>
      <c r="C1329" s="13" t="inlineStr">
        <is>
          <t>south</t>
        </is>
      </c>
      <c r="D1329" s="13" t="inlineStr">
        <is>
          <t>Online</t>
        </is>
      </c>
      <c r="E1329" s="13" t="inlineStr">
        <is>
          <t>Lighting</t>
        </is>
      </c>
      <c r="F1329" s="13" t="inlineStr">
        <is>
          <t>Pendant Light</t>
        </is>
      </c>
      <c r="G1329" s="13" t="inlineStr">
        <is>
          <t>Home Office</t>
        </is>
      </c>
      <c r="H1329" s="13" t="inlineStr">
        <is>
          <t>1</t>
        </is>
      </c>
      <c r="I1329" s="14" t="inlineStr">
        <is>
          <t>185.40</t>
        </is>
      </c>
      <c r="J1329" s="15" t="inlineStr">
        <is>
          <t>0.02</t>
        </is>
      </c>
      <c r="K1329" s="14" t="inlineStr">
        <is>
          <t>92.70</t>
        </is>
      </c>
      <c r="L1329" s="13" t="inlineStr">
        <is>
          <t>6</t>
        </is>
      </c>
      <c r="M1329" s="13" t="inlineStr">
        <is>
          <t>Completed</t>
        </is>
      </c>
      <c r="N1329" s="13" t="inlineStr">
        <is>
          <t>S. Nguyen</t>
        </is>
      </c>
    </row>
    <row r="1330">
      <c r="A1330" s="13" t="inlineStr">
        <is>
          <t>HC-101328</t>
        </is>
      </c>
      <c r="B1330" s="13" t="inlineStr">
        <is>
          <t>01/12/2025</t>
        </is>
      </c>
      <c r="C1330" s="13" t="inlineStr">
        <is>
          <t>South</t>
        </is>
      </c>
      <c r="D1330" s="13" t="inlineStr">
        <is>
          <t>Wholesale</t>
        </is>
      </c>
      <c r="E1330" s="13" t="inlineStr">
        <is>
          <t>FURNITURE</t>
        </is>
      </c>
      <c r="F1330" s="13" t="inlineStr">
        <is>
          <t>Walnut Shelf</t>
        </is>
      </c>
      <c r="G1330" s="13" t="inlineStr">
        <is>
          <t>Consumer</t>
        </is>
      </c>
      <c r="H1330" s="13" t="inlineStr">
        <is>
          <t>17</t>
        </is>
      </c>
      <c r="I1330" s="14" t="inlineStr">
        <is>
          <t>236.21</t>
        </is>
      </c>
      <c r="J1330" s="15" t="inlineStr">
        <is>
          <t>0.32</t>
        </is>
      </c>
      <c r="K1330" s="14" t="inlineStr">
        <is>
          <t>129.91</t>
        </is>
      </c>
      <c r="L1330" s="13" t="inlineStr">
        <is>
          <t>8</t>
        </is>
      </c>
      <c r="M1330" s="13" t="inlineStr">
        <is>
          <t>Completed</t>
        </is>
      </c>
      <c r="N1330" s="13" t="inlineStr">
        <is>
          <t>L. Berger</t>
        </is>
      </c>
    </row>
    <row r="1331">
      <c r="A1331" s="13" t="inlineStr">
        <is>
          <t>HC-101329</t>
        </is>
      </c>
      <c r="B1331" s="13" t="inlineStr">
        <is>
          <t>10-Oct-24</t>
        </is>
      </c>
      <c r="C1331" s="13" t="inlineStr">
        <is>
          <t>South</t>
        </is>
      </c>
      <c r="D1331" s="13" t="inlineStr">
        <is>
          <t>e-commerce</t>
        </is>
      </c>
      <c r="E1331" s="13" t="inlineStr">
        <is>
          <t>Lighting</t>
        </is>
      </c>
      <c r="F1331" s="13" t="inlineStr">
        <is>
          <t>Pendant Light</t>
        </is>
      </c>
      <c r="G1331" s="13" t="inlineStr">
        <is>
          <t>Consumer</t>
        </is>
      </c>
      <c r="H1331" s="13" t="inlineStr">
        <is>
          <t>3</t>
        </is>
      </c>
      <c r="I1331" s="14" t="inlineStr">
        <is>
          <t>176.49</t>
        </is>
      </c>
      <c r="J1331" s="15" t="inlineStr">
        <is>
          <t>0.08</t>
        </is>
      </c>
      <c r="K1331" s="14" t="inlineStr">
        <is>
          <t>88.24</t>
        </is>
      </c>
      <c r="L1331" s="13" t="inlineStr">
        <is>
          <t>3</t>
        </is>
      </c>
      <c r="M1331" s="13" t="inlineStr">
        <is>
          <t>Completed</t>
        </is>
      </c>
      <c r="N1331" s="13" t="inlineStr">
        <is>
          <t>A. Shah</t>
        </is>
      </c>
    </row>
    <row r="1332">
      <c r="A1332" s="13" t="inlineStr">
        <is>
          <t>HC-101330</t>
        </is>
      </c>
      <c r="B1332" s="13" t="inlineStr">
        <is>
          <t>2025/06/26</t>
        </is>
      </c>
      <c r="C1332" s="13" t="inlineStr">
        <is>
          <t>North</t>
        </is>
      </c>
      <c r="D1332" s="13" t="inlineStr">
        <is>
          <t>Online</t>
        </is>
      </c>
      <c r="E1332" s="13" t="inlineStr">
        <is>
          <t>Kitchen</t>
        </is>
      </c>
      <c r="F1332" s="13" t="inlineStr">
        <is>
          <t>Cast Skillet</t>
        </is>
      </c>
      <c r="G1332" s="13" t="inlineStr">
        <is>
          <t>Consumer</t>
        </is>
      </c>
      <c r="H1332" s="13" t="inlineStr">
        <is>
          <t>3</t>
        </is>
      </c>
      <c r="I1332" s="14" t="inlineStr">
        <is>
          <t>50.99</t>
        </is>
      </c>
      <c r="J1332" s="15" t="inlineStr">
        <is>
          <t>0.12</t>
        </is>
      </c>
      <c r="K1332" s="14" t="inlineStr">
        <is>
          <t>20.40</t>
        </is>
      </c>
      <c r="L1332" s="13" t="inlineStr">
        <is>
          <t>5</t>
        </is>
      </c>
      <c r="M1332" s="13" t="inlineStr">
        <is>
          <t>Completed</t>
        </is>
      </c>
      <c r="N1332" s="13" t="inlineStr">
        <is>
          <t>J. Patel</t>
        </is>
      </c>
    </row>
    <row r="1333">
      <c r="A1333" s="13" t="inlineStr">
        <is>
          <t>HC-101331</t>
        </is>
      </c>
      <c r="B1333" s="13" t="inlineStr">
        <is>
          <t>19.09.2025</t>
        </is>
      </c>
      <c r="C1333" s="13" t="inlineStr">
        <is>
          <t>West</t>
        </is>
      </c>
      <c r="D1333" s="13" t="inlineStr">
        <is>
          <t>In-Store</t>
        </is>
      </c>
      <c r="E1333" s="13" t="inlineStr">
        <is>
          <t>Furniture</t>
        </is>
      </c>
      <c r="F1333" s="13" t="inlineStr">
        <is>
          <t>Lounge Chair</t>
        </is>
      </c>
      <c r="G1333" s="13" t="inlineStr">
        <is>
          <t>Consumer</t>
        </is>
      </c>
      <c r="H1333" s="13" t="inlineStr">
        <is>
          <t>1</t>
        </is>
      </c>
      <c r="I1333" s="14" t="inlineStr">
        <is>
          <t>516.13</t>
        </is>
      </c>
      <c r="J1333" s="15" t="inlineStr">
        <is>
          <t>0.02</t>
        </is>
      </c>
      <c r="K1333" s="14" t="inlineStr">
        <is>
          <t>309.68</t>
        </is>
      </c>
      <c r="L1333" s="13" t="inlineStr">
        <is>
          <t>8</t>
        </is>
      </c>
      <c r="M1333" s="13" t="inlineStr">
        <is>
          <t>Completed</t>
        </is>
      </c>
      <c r="N1333" s="13" t="inlineStr">
        <is>
          <t>M. Okonkwo</t>
        </is>
      </c>
    </row>
    <row r="1334">
      <c r="A1334" s="13" t="inlineStr">
        <is>
          <t>HC-101332</t>
        </is>
      </c>
      <c r="B1334" s="13" t="inlineStr">
        <is>
          <t>03/02/2025</t>
        </is>
      </c>
      <c r="C1334" s="13" t="inlineStr">
        <is>
          <t>West</t>
        </is>
      </c>
      <c r="D1334" s="13" t="inlineStr">
        <is>
          <t>Wholesale</t>
        </is>
      </c>
      <c r="E1334" s="13" t="inlineStr">
        <is>
          <t>Kitchen</t>
        </is>
      </c>
      <c r="F1334" s="13" t="inlineStr">
        <is>
          <t>Cast Skillet</t>
        </is>
      </c>
      <c r="G1334" s="13" t="inlineStr">
        <is>
          <t>consumer</t>
        </is>
      </c>
      <c r="H1334" s="13" t="inlineStr">
        <is>
          <t>21</t>
        </is>
      </c>
      <c r="I1334" s="14" t="inlineStr">
        <is>
          <t>51.66</t>
        </is>
      </c>
      <c r="J1334" s="15" t="inlineStr">
        <is>
          <t>0.13</t>
        </is>
      </c>
      <c r="K1334" s="14" t="inlineStr">
        <is>
          <t>20.66</t>
        </is>
      </c>
      <c r="L1334" s="13" t="inlineStr">
        <is>
          <t>7</t>
        </is>
      </c>
      <c r="M1334" s="13" t="inlineStr">
        <is>
          <t>Completed</t>
        </is>
      </c>
      <c r="N1334" s="13" t="inlineStr">
        <is>
          <t>K. Mensah</t>
        </is>
      </c>
    </row>
    <row r="1335">
      <c r="A1335" s="13" t="inlineStr">
        <is>
          <t>HC-101333</t>
        </is>
      </c>
      <c r="B1335" s="13" t="inlineStr">
        <is>
          <t>21-May-24</t>
        </is>
      </c>
      <c r="C1335" s="13" t="inlineStr">
        <is>
          <t>East</t>
        </is>
      </c>
      <c r="D1335" s="13" t="inlineStr">
        <is>
          <t>B2B</t>
        </is>
      </c>
      <c r="E1335" s="13" t="inlineStr">
        <is>
          <t>LIGHTING</t>
        </is>
      </c>
      <c r="F1335" s="13" t="inlineStr">
        <is>
          <t>Brass Sconce</t>
        </is>
      </c>
      <c r="G1335" s="13" t="inlineStr">
        <is>
          <t>Consumer</t>
        </is>
      </c>
      <c r="H1335" s="13" t="inlineStr">
        <is>
          <t>24</t>
        </is>
      </c>
      <c r="I1335" s="14" t="inlineStr">
        <is>
          <t>122.96</t>
        </is>
      </c>
      <c r="J1335" s="15" t="inlineStr">
        <is>
          <t>0.13</t>
        </is>
      </c>
      <c r="K1335" s="14" t="inlineStr">
        <is>
          <t>56.56</t>
        </is>
      </c>
      <c r="L1335" s="13" t="inlineStr">
        <is>
          <t>6</t>
        </is>
      </c>
      <c r="M1335" s="13" t="inlineStr">
        <is>
          <t>Completed</t>
        </is>
      </c>
      <c r="N1335" s="13" t="inlineStr">
        <is>
          <t>R. Ibarra</t>
        </is>
      </c>
    </row>
    <row r="1336">
      <c r="A1336" s="13" t="inlineStr">
        <is>
          <t>HC-101334</t>
        </is>
      </c>
      <c r="B1336" s="13" t="inlineStr">
        <is>
          <t>2024/12/15</t>
        </is>
      </c>
      <c r="C1336" s="13" t="inlineStr">
        <is>
          <t>South</t>
        </is>
      </c>
      <c r="D1336" s="13" t="inlineStr">
        <is>
          <t>Store</t>
        </is>
      </c>
      <c r="E1336" s="13" t="inlineStr">
        <is>
          <t>Textiles</t>
        </is>
      </c>
      <c r="F1336" s="13" t="inlineStr">
        <is>
          <t>Cotton Duvet</t>
        </is>
      </c>
      <c r="G1336" s="13" t="inlineStr">
        <is>
          <t>Home Office</t>
        </is>
      </c>
      <c r="H1336" s="13" t="inlineStr">
        <is>
          <t>2</t>
        </is>
      </c>
      <c r="I1336" s="14" t="inlineStr">
        <is>
          <t>125.17</t>
        </is>
      </c>
      <c r="J1336" s="15" t="inlineStr">
        <is>
          <t>0.00</t>
        </is>
      </c>
      <c r="K1336" s="14" t="inlineStr">
        <is>
          <t>55.07</t>
        </is>
      </c>
      <c r="L1336" s="13" t="inlineStr">
        <is>
          <t>5</t>
        </is>
      </c>
      <c r="M1336" s="13" t="inlineStr">
        <is>
          <t>Completed</t>
        </is>
      </c>
      <c r="N1336" s="13" t="inlineStr">
        <is>
          <t>L. Berger</t>
        </is>
      </c>
    </row>
    <row r="1337">
      <c r="A1337" s="13" t="inlineStr">
        <is>
          <t>HC-101335</t>
        </is>
      </c>
      <c r="B1337" s="13" t="inlineStr">
        <is>
          <t>20.03.2025</t>
        </is>
      </c>
      <c r="C1337" s="13" t="inlineStr">
        <is>
          <t>South</t>
        </is>
      </c>
      <c r="D1337" s="13" t="inlineStr">
        <is>
          <t>Online</t>
        </is>
      </c>
      <c r="E1337" s="13" t="inlineStr">
        <is>
          <t>TEXTILES</t>
        </is>
      </c>
      <c r="F1337" s="13" t="inlineStr">
        <is>
          <t>Wool Throw</t>
        </is>
      </c>
      <c r="G1337" s="13" t="inlineStr">
        <is>
          <t>Consumer</t>
        </is>
      </c>
      <c r="H1337" s="13" t="inlineStr">
        <is>
          <t>1</t>
        </is>
      </c>
      <c r="I1337" s="14" t="inlineStr">
        <is>
          <t>70.15</t>
        </is>
      </c>
      <c r="J1337" s="15" t="inlineStr">
        <is>
          <t>0.14</t>
        </is>
      </c>
      <c r="K1337" s="14" t="inlineStr">
        <is>
          <t>29.46</t>
        </is>
      </c>
      <c r="L1337" s="13" t="inlineStr">
        <is>
          <t>N/A</t>
        </is>
      </c>
      <c r="M1337" s="13" t="inlineStr">
        <is>
          <t>Completed</t>
        </is>
      </c>
      <c r="N1337" s="13" t="inlineStr">
        <is>
          <t>R. Ibarra</t>
        </is>
      </c>
    </row>
    <row r="1338">
      <c r="A1338" s="13" t="inlineStr">
        <is>
          <t>HC-101336</t>
        </is>
      </c>
      <c r="B1338" s="13" t="inlineStr">
        <is>
          <t>01/12/2025</t>
        </is>
      </c>
      <c r="C1338" s="13" t="inlineStr">
        <is>
          <t>south</t>
        </is>
      </c>
      <c r="D1338" s="13" t="inlineStr">
        <is>
          <t>Store</t>
        </is>
      </c>
      <c r="E1338" s="13" t="inlineStr">
        <is>
          <t>Furniture</t>
        </is>
      </c>
      <c r="F1338" s="13" t="inlineStr">
        <is>
          <t>Lounge Chair</t>
        </is>
      </c>
      <c r="G1338" s="13" t="inlineStr">
        <is>
          <t>Consumer</t>
        </is>
      </c>
      <c r="H1338" s="13" t="inlineStr">
        <is>
          <t>3</t>
        </is>
      </c>
      <c r="I1338" s="14" t="inlineStr">
        <is>
          <t>485.54</t>
        </is>
      </c>
      <c r="J1338" s="15" t="inlineStr">
        <is>
          <t>0.11</t>
        </is>
      </c>
      <c r="K1338" s="14" t="inlineStr">
        <is>
          <t>291.32</t>
        </is>
      </c>
      <c r="L1338" s="13" t="inlineStr">
        <is>
          <t>5</t>
        </is>
      </c>
      <c r="M1338" s="13" t="inlineStr">
        <is>
          <t>Completed</t>
        </is>
      </c>
      <c r="N1338" s="13" t="inlineStr">
        <is>
          <t>M. Okonkwo</t>
        </is>
      </c>
    </row>
    <row r="1339">
      <c r="A1339" s="13" t="inlineStr">
        <is>
          <t>HC-101337</t>
        </is>
      </c>
      <c r="B1339" s="13" t="inlineStr">
        <is>
          <t>23-Jan-25</t>
        </is>
      </c>
      <c r="C1339" s="13" t="inlineStr">
        <is>
          <t>West</t>
        </is>
      </c>
      <c r="D1339" s="13" t="inlineStr">
        <is>
          <t>Online</t>
        </is>
      </c>
      <c r="E1339" s="13" t="inlineStr">
        <is>
          <t>Textiles</t>
        </is>
      </c>
      <c r="F1339" s="13" t="inlineStr">
        <is>
          <t>Linen Curtain</t>
        </is>
      </c>
      <c r="G1339" s="13" t="inlineStr">
        <is>
          <t>Consumer</t>
        </is>
      </c>
      <c r="H1339" s="13" t="inlineStr">
        <is>
          <t>1</t>
        </is>
      </c>
      <c r="I1339" s="14" t="inlineStr">
        <is>
          <t>88.98</t>
        </is>
      </c>
      <c r="J1339" s="15" t="inlineStr">
        <is>
          <t>0.11</t>
        </is>
      </c>
      <c r="K1339" s="14" t="inlineStr">
        <is>
          <t>40.04</t>
        </is>
      </c>
      <c r="L1339" s="13" t="inlineStr">
        <is>
          <t>3</t>
        </is>
      </c>
      <c r="M1339" s="13" t="inlineStr">
        <is>
          <t>Completed</t>
        </is>
      </c>
      <c r="N1339" s="13" t="inlineStr">
        <is>
          <t>L. Berger</t>
        </is>
      </c>
    </row>
    <row r="1340">
      <c r="A1340" s="13" t="inlineStr">
        <is>
          <t>HC-101338</t>
        </is>
      </c>
      <c r="B1340" s="13" t="inlineStr">
        <is>
          <t>2024/07/28</t>
        </is>
      </c>
      <c r="C1340" s="13" t="inlineStr">
        <is>
          <t>WEST</t>
        </is>
      </c>
      <c r="D1340" s="13" t="inlineStr">
        <is>
          <t>Store</t>
        </is>
      </c>
      <c r="E1340" s="13" t="inlineStr">
        <is>
          <t>Kitchen</t>
        </is>
      </c>
      <c r="F1340" s="13" t="inlineStr">
        <is>
          <t>Cast Skillet</t>
        </is>
      </c>
      <c r="G1340" s="13" t="inlineStr">
        <is>
          <t>Corporate</t>
        </is>
      </c>
      <c r="H1340" s="13" t="inlineStr">
        <is>
          <t>2</t>
        </is>
      </c>
      <c r="I1340" s="14" t="inlineStr">
        <is>
          <t>57.51</t>
        </is>
      </c>
      <c r="J1340" s="15" t="inlineStr">
        <is>
          <t>0.09</t>
        </is>
      </c>
      <c r="K1340" s="14" t="inlineStr">
        <is>
          <t>23.01</t>
        </is>
      </c>
      <c r="L1340" s="13" t="inlineStr">
        <is>
          <t>6</t>
        </is>
      </c>
      <c r="M1340" s="13" t="inlineStr">
        <is>
          <t>Cancelled</t>
        </is>
      </c>
      <c r="N1340" s="13" t="inlineStr">
        <is>
          <t>R. Ibarra</t>
        </is>
      </c>
    </row>
    <row r="1341">
      <c r="A1341" s="13" t="inlineStr">
        <is>
          <t>HC-101339</t>
        </is>
      </c>
      <c r="B1341" s="13" t="inlineStr">
        <is>
          <t>09.05.2024</t>
        </is>
      </c>
      <c r="C1341" s="13" t="inlineStr">
        <is>
          <t>South</t>
        </is>
      </c>
      <c r="D1341" s="13" t="inlineStr">
        <is>
          <t>In-Store</t>
        </is>
      </c>
      <c r="E1341" s="13" t="inlineStr">
        <is>
          <t>Textiles</t>
        </is>
      </c>
      <c r="F1341" s="13" t="inlineStr">
        <is>
          <t>Cotton Duvet</t>
        </is>
      </c>
      <c r="G1341" s="13" t="inlineStr">
        <is>
          <t>Corporate</t>
        </is>
      </c>
      <c r="H1341" s="13" t="inlineStr">
        <is>
          <t>1</t>
        </is>
      </c>
      <c r="I1341" s="14" t="inlineStr">
        <is>
          <t>114.42</t>
        </is>
      </c>
      <c r="J1341" s="15" t="inlineStr">
        <is>
          <t>0.09</t>
        </is>
      </c>
      <c r="K1341" s="14" t="inlineStr">
        <is>
          <t>50.35</t>
        </is>
      </c>
      <c r="L1341" s="13" t="inlineStr">
        <is>
          <t>6</t>
        </is>
      </c>
      <c r="M1341" s="13" t="inlineStr">
        <is>
          <t>Completed</t>
        </is>
      </c>
      <c r="N1341" s="13" t="inlineStr">
        <is>
          <t>J. Patel</t>
        </is>
      </c>
    </row>
    <row r="1342">
      <c r="A1342" s="13" t="inlineStr">
        <is>
          <t>HC-101340</t>
        </is>
      </c>
      <c r="B1342" s="13" t="inlineStr">
        <is>
          <t>05/17/2024</t>
        </is>
      </c>
      <c r="C1342" s="13" t="inlineStr">
        <is>
          <t>West</t>
        </is>
      </c>
      <c r="D1342" s="13" t="inlineStr">
        <is>
          <t>Store</t>
        </is>
      </c>
      <c r="E1342" s="13" t="inlineStr">
        <is>
          <t>Furniture</t>
        </is>
      </c>
      <c r="F1342" s="13" t="inlineStr">
        <is>
          <t>Walnut Shelf</t>
        </is>
      </c>
      <c r="G1342" s="13" t="inlineStr">
        <is>
          <t>Consumer</t>
        </is>
      </c>
      <c r="H1342" s="13" t="inlineStr">
        <is>
          <t>3</t>
        </is>
      </c>
      <c r="I1342" s="14" t="inlineStr">
        <is>
          <t>215.26</t>
        </is>
      </c>
      <c r="J1342" s="15" t="inlineStr">
        <is>
          <t>7%</t>
        </is>
      </c>
      <c r="K1342" s="14" t="inlineStr">
        <is>
          <t>118.39</t>
        </is>
      </c>
      <c r="L1342" s="13" t="inlineStr">
        <is>
          <t>7</t>
        </is>
      </c>
      <c r="M1342" s="13" t="inlineStr">
        <is>
          <t>Completed</t>
        </is>
      </c>
      <c r="N1342" s="13" t="inlineStr">
        <is>
          <t>P. Rossi</t>
        </is>
      </c>
    </row>
    <row r="1343">
      <c r="A1343" s="13" t="inlineStr">
        <is>
          <t>HC-101341</t>
        </is>
      </c>
      <c r="B1343" s="13" t="inlineStr">
        <is>
          <t>22-Aug-24</t>
        </is>
      </c>
      <c r="C1343" s="13" t="inlineStr">
        <is>
          <t>West</t>
        </is>
      </c>
      <c r="D1343" s="13" t="inlineStr">
        <is>
          <t>Store</t>
        </is>
      </c>
      <c r="E1343" s="13" t="inlineStr">
        <is>
          <t>Furniture</t>
        </is>
      </c>
      <c r="F1343" s="13" t="inlineStr">
        <is>
          <t>Linen Sofa</t>
        </is>
      </c>
      <c r="G1343" s="13" t="inlineStr">
        <is>
          <t>Consumer</t>
        </is>
      </c>
      <c r="H1343" s="13" t="inlineStr">
        <is>
          <t>2</t>
        </is>
      </c>
      <c r="I1343" s="14" t="inlineStr">
        <is>
          <t>1348.70</t>
        </is>
      </c>
      <c r="J1343" s="15" t="inlineStr">
        <is>
          <t>0.07</t>
        </is>
      </c>
      <c r="K1343" s="14" t="inlineStr">
        <is>
          <t>890.14</t>
        </is>
      </c>
      <c r="L1343" s="13" t="inlineStr">
        <is>
          <t>2</t>
        </is>
      </c>
      <c r="M1343" s="13" t="inlineStr">
        <is>
          <t>Completed</t>
        </is>
      </c>
      <c r="N1343" s="13" t="inlineStr">
        <is>
          <t>L. Berger</t>
        </is>
      </c>
    </row>
    <row r="1344">
      <c r="A1344" s="13" t="inlineStr">
        <is>
          <t>HC-101342</t>
        </is>
      </c>
      <c r="B1344" s="13" t="inlineStr">
        <is>
          <t>2025/04/24</t>
        </is>
      </c>
      <c r="C1344" s="13" t="inlineStr">
        <is>
          <t>Eas</t>
        </is>
      </c>
      <c r="D1344" s="13" t="inlineStr">
        <is>
          <t>Online</t>
        </is>
      </c>
      <c r="E1344" s="13" t="inlineStr">
        <is>
          <t>Lighting</t>
        </is>
      </c>
      <c r="F1344" s="13" t="inlineStr">
        <is>
          <t>Pendant Light</t>
        </is>
      </c>
      <c r="G1344" s="13" t="inlineStr">
        <is>
          <t>Corporate</t>
        </is>
      </c>
      <c r="H1344" s="13" t="inlineStr">
        <is>
          <t>2</t>
        </is>
      </c>
      <c r="I1344" s="14" t="inlineStr">
        <is>
          <t>169.63</t>
        </is>
      </c>
      <c r="J1344" s="15" t="inlineStr">
        <is>
          <t>0.03</t>
        </is>
      </c>
      <c r="K1344" s="14" t="inlineStr">
        <is>
          <t>84.82</t>
        </is>
      </c>
      <c r="L1344" s="13" t="inlineStr">
        <is>
          <t>7</t>
        </is>
      </c>
      <c r="M1344" s="13" t="inlineStr">
        <is>
          <t>complete</t>
        </is>
      </c>
      <c r="N1344" s="13" t="inlineStr">
        <is>
          <t>M. Okonkwo</t>
        </is>
      </c>
    </row>
    <row r="1345">
      <c r="A1345" s="13" t="inlineStr">
        <is>
          <t>HC-101343</t>
        </is>
      </c>
      <c r="B1345" s="13" t="inlineStr">
        <is>
          <t>24.03.2024</t>
        </is>
      </c>
      <c r="C1345" s="13" t="inlineStr">
        <is>
          <t>East</t>
        </is>
      </c>
      <c r="D1345" s="13" t="inlineStr">
        <is>
          <t>Store</t>
        </is>
      </c>
      <c r="E1345" s="13" t="inlineStr">
        <is>
          <t>Lighting</t>
        </is>
      </c>
      <c r="F1345" s="13" t="inlineStr">
        <is>
          <t>Arc Lamp</t>
        </is>
      </c>
      <c r="G1345" s="13" t="inlineStr">
        <is>
          <t>Home Office</t>
        </is>
      </c>
      <c r="H1345" s="13" t="inlineStr">
        <is>
          <t>3</t>
        </is>
      </c>
      <c r="I1345" s="14" t="inlineStr">
        <is>
          <t>285.23</t>
        </is>
      </c>
      <c r="J1345" s="15" t="inlineStr">
        <is>
          <t>0.05</t>
        </is>
      </c>
      <c r="K1345" s="14" t="inlineStr">
        <is>
          <t>136.91</t>
        </is>
      </c>
      <c r="L1345" s="13" t="inlineStr">
        <is>
          <t>10</t>
        </is>
      </c>
      <c r="M1345" s="13" t="inlineStr">
        <is>
          <t>Cancelled</t>
        </is>
      </c>
      <c r="N1345" s="13" t="inlineStr">
        <is>
          <t>R. Ibarra</t>
        </is>
      </c>
    </row>
    <row r="1346">
      <c r="A1346" s="13" t="inlineStr">
        <is>
          <t>HC-101344</t>
        </is>
      </c>
      <c r="B1346" s="13" t="inlineStr">
        <is>
          <t>07/28/2025</t>
        </is>
      </c>
      <c r="C1346" s="13" t="inlineStr">
        <is>
          <t>Sout</t>
        </is>
      </c>
      <c r="D1346" s="13" t="inlineStr">
        <is>
          <t>Online</t>
        </is>
      </c>
      <c r="E1346" s="13" t="inlineStr">
        <is>
          <t>Kitchen</t>
        </is>
      </c>
      <c r="F1346" s="13" t="inlineStr">
        <is>
          <t>Chef Knife</t>
        </is>
      </c>
      <c r="G1346" s="13" t="inlineStr">
        <is>
          <t>Consumer</t>
        </is>
      </c>
      <c r="H1346" s="13" t="inlineStr">
        <is>
          <t>1</t>
        </is>
      </c>
      <c r="I1346" s="14" t="inlineStr">
        <is>
          <t>69.06</t>
        </is>
      </c>
      <c r="J1346" s="15" t="inlineStr">
        <is>
          <t>0.05</t>
        </is>
      </c>
      <c r="K1346" s="14" t="inlineStr">
        <is>
          <t>24.86</t>
        </is>
      </c>
      <c r="L1346" s="13" t="inlineStr">
        <is>
          <t>5</t>
        </is>
      </c>
      <c r="M1346" s="13" t="inlineStr">
        <is>
          <t>Completed</t>
        </is>
      </c>
      <c r="N1346" s="13" t="inlineStr">
        <is>
          <t>R. Ibarra</t>
        </is>
      </c>
    </row>
    <row r="1347">
      <c r="A1347" s="13" t="inlineStr">
        <is>
          <t>HC-101345</t>
        </is>
      </c>
      <c r="B1347" s="13" t="inlineStr">
        <is>
          <t>29-Apr-25</t>
        </is>
      </c>
      <c r="C1347" s="13" t="inlineStr">
        <is>
          <t>WEST</t>
        </is>
      </c>
      <c r="D1347" s="13" t="inlineStr">
        <is>
          <t>Store</t>
        </is>
      </c>
      <c r="E1347" s="13" t="inlineStr">
        <is>
          <t>Furniture</t>
        </is>
      </c>
      <c r="F1347" s="13" t="inlineStr">
        <is>
          <t>Lounge Chair</t>
        </is>
      </c>
      <c r="G1347" s="13" t="inlineStr">
        <is>
          <t>Corporate</t>
        </is>
      </c>
      <c r="H1347" s="13" t="inlineStr">
        <is>
          <t>3</t>
        </is>
      </c>
      <c r="I1347" s="14" t="inlineStr">
        <is>
          <t>510.22</t>
        </is>
      </c>
      <c r="J1347" s="15" t="inlineStr">
        <is>
          <t>0.06</t>
        </is>
      </c>
      <c r="K1347" s="14" t="inlineStr">
        <is>
          <t>306.13</t>
        </is>
      </c>
      <c r="L1347" s="13" t="inlineStr">
        <is>
          <t>N/A</t>
        </is>
      </c>
      <c r="M1347" s="13" t="inlineStr">
        <is>
          <t>Completed</t>
        </is>
      </c>
      <c r="N1347" s="13" t="inlineStr">
        <is>
          <t>A. Shah</t>
        </is>
      </c>
    </row>
    <row r="1348">
      <c r="A1348" s="13" t="inlineStr">
        <is>
          <t>HC-101346</t>
        </is>
      </c>
      <c r="B1348" s="13" t="inlineStr">
        <is>
          <t>2025/07/04</t>
        </is>
      </c>
      <c r="C1348" s="13" t="inlineStr">
        <is>
          <t>East</t>
        </is>
      </c>
      <c r="D1348" s="13" t="inlineStr">
        <is>
          <t>Online</t>
        </is>
      </c>
      <c r="E1348" s="13" t="inlineStr">
        <is>
          <t>Textiles</t>
        </is>
      </c>
      <c r="F1348" s="13" t="inlineStr">
        <is>
          <t>Cotton Duvet</t>
        </is>
      </c>
      <c r="G1348" s="13" t="inlineStr">
        <is>
          <t>Consumer</t>
        </is>
      </c>
      <c r="H1348" s="13" t="inlineStr">
        <is>
          <t>1</t>
        </is>
      </c>
      <c r="I1348" s="14" t="inlineStr">
        <is>
          <t>114.96</t>
        </is>
      </c>
      <c r="J1348" s="15" t="inlineStr">
        <is>
          <t>0.10</t>
        </is>
      </c>
      <c r="K1348" s="14" t="inlineStr">
        <is>
          <t>50.58</t>
        </is>
      </c>
      <c r="L1348" s="13" t="inlineStr">
        <is>
          <t>12</t>
        </is>
      </c>
      <c r="M1348" s="13" t="inlineStr">
        <is>
          <t>Completed</t>
        </is>
      </c>
      <c r="N1348" s="13" t="inlineStr">
        <is>
          <t>R. Ibarra</t>
        </is>
      </c>
    </row>
    <row r="1349">
      <c r="A1349" s="13" t="inlineStr">
        <is>
          <t>HC-101347</t>
        </is>
      </c>
      <c r="B1349" s="13" t="inlineStr">
        <is>
          <t>18.09.2024</t>
        </is>
      </c>
      <c r="C1349" s="13" t="inlineStr">
        <is>
          <t>South</t>
        </is>
      </c>
      <c r="D1349" s="13" t="inlineStr">
        <is>
          <t>Store</t>
        </is>
      </c>
      <c r="E1349" s="13" t="inlineStr">
        <is>
          <t>Lighting</t>
        </is>
      </c>
      <c r="F1349" s="13" t="inlineStr">
        <is>
          <t>Pendant Light</t>
        </is>
      </c>
      <c r="G1349" s="13" t="inlineStr">
        <is>
          <t>Consumer</t>
        </is>
      </c>
      <c r="H1349" s="13" t="inlineStr">
        <is>
          <t>1</t>
        </is>
      </c>
      <c r="I1349" s="14" t="inlineStr">
        <is>
          <t>186.97</t>
        </is>
      </c>
      <c r="J1349" s="15" t="inlineStr">
        <is>
          <t>0.00</t>
        </is>
      </c>
      <c r="K1349" s="14" t="inlineStr">
        <is>
          <t>93.48</t>
        </is>
      </c>
      <c r="L1349" s="13" t="inlineStr">
        <is>
          <t>5</t>
        </is>
      </c>
      <c r="M1349" s="13" t="inlineStr">
        <is>
          <t>Completed</t>
        </is>
      </c>
      <c r="N1349" s="13" t="inlineStr">
        <is>
          <t>R. Ibarra</t>
        </is>
      </c>
    </row>
    <row r="1350">
      <c r="A1350" s="13" t="inlineStr">
        <is>
          <t>HC-101348</t>
        </is>
      </c>
      <c r="B1350" s="13" t="inlineStr">
        <is>
          <t>07/28/2025</t>
        </is>
      </c>
      <c r="C1350" s="13" t="inlineStr">
        <is>
          <t>North</t>
        </is>
      </c>
      <c r="D1350" s="13" t="inlineStr">
        <is>
          <t>Wholesale</t>
        </is>
      </c>
      <c r="E1350" s="13" t="inlineStr">
        <is>
          <t>Furniture</t>
        </is>
      </c>
      <c r="F1350" s="13" t="inlineStr">
        <is>
          <t>Oak Desk</t>
        </is>
      </c>
      <c r="G1350" s="13" t="inlineStr">
        <is>
          <t>Consumer</t>
        </is>
      </c>
      <c r="H1350" s="13" t="inlineStr">
        <is>
          <t>12</t>
        </is>
      </c>
      <c r="I1350" s="14" t="inlineStr">
        <is>
          <t>828.13</t>
        </is>
      </c>
      <c r="J1350" s="15" t="inlineStr">
        <is>
          <t>0.18</t>
        </is>
      </c>
      <c r="K1350" s="14" t="inlineStr">
        <is>
          <t>513.44</t>
        </is>
      </c>
      <c r="L1350" s="13" t="inlineStr">
        <is>
          <t>4</t>
        </is>
      </c>
      <c r="M1350" s="13" t="inlineStr">
        <is>
          <t>Completed</t>
        </is>
      </c>
      <c r="N1350" s="13" t="inlineStr">
        <is>
          <t>J. Patel</t>
        </is>
      </c>
    </row>
    <row r="1351">
      <c r="A1351" s="13" t="inlineStr">
        <is>
          <t>HC-101349</t>
        </is>
      </c>
      <c r="B1351" s="13" t="inlineStr">
        <is>
          <t>27-Aug-25</t>
        </is>
      </c>
      <c r="C1351" s="13" t="inlineStr">
        <is>
          <t>North</t>
        </is>
      </c>
      <c r="D1351" s="13" t="inlineStr">
        <is>
          <t>Store</t>
        </is>
      </c>
      <c r="E1351" s="13" t="inlineStr">
        <is>
          <t>Textiles</t>
        </is>
      </c>
      <c r="F1351" s="13" t="inlineStr">
        <is>
          <t>Wool Throw</t>
        </is>
      </c>
      <c r="G1351" s="13" t="inlineStr">
        <is>
          <t>Consumer</t>
        </is>
      </c>
      <c r="H1351" s="13" t="inlineStr">
        <is>
          <t>1</t>
        </is>
      </c>
      <c r="I1351" s="14" t="inlineStr">
        <is>
          <t>$80.58</t>
        </is>
      </c>
      <c r="J1351" s="15" t="inlineStr">
        <is>
          <t>0.10</t>
        </is>
      </c>
      <c r="K1351" s="14" t="inlineStr">
        <is>
          <t>33.84</t>
        </is>
      </c>
      <c r="L1351" s="13" t="inlineStr">
        <is>
          <t>N/A</t>
        </is>
      </c>
      <c r="M1351" s="13" t="inlineStr">
        <is>
          <t>Completed</t>
        </is>
      </c>
      <c r="N1351" s="13" t="inlineStr">
        <is>
          <t>M. Okonkwo</t>
        </is>
      </c>
    </row>
    <row r="1352">
      <c r="A1352" s="13" t="inlineStr">
        <is>
          <t>HC-101350</t>
        </is>
      </c>
      <c r="B1352" s="13" t="inlineStr">
        <is>
          <t>2024/12/08</t>
        </is>
      </c>
      <c r="C1352" s="13" t="inlineStr">
        <is>
          <t>West</t>
        </is>
      </c>
      <c r="D1352" s="13" t="inlineStr">
        <is>
          <t>Wholesale</t>
        </is>
      </c>
      <c r="E1352" s="13" t="inlineStr">
        <is>
          <t>TEXTILES</t>
        </is>
      </c>
      <c r="F1352" s="13" t="inlineStr">
        <is>
          <t>Linen Curtain</t>
        </is>
      </c>
      <c r="G1352" s="13" t="inlineStr">
        <is>
          <t>Consumer</t>
        </is>
      </c>
      <c r="H1352" s="13" t="inlineStr">
        <is>
          <t>24</t>
        </is>
      </c>
      <c r="I1352" s="14" t="inlineStr">
        <is>
          <t>98.46</t>
        </is>
      </c>
      <c r="J1352" s="15" t="inlineStr">
        <is>
          <t>0.15</t>
        </is>
      </c>
      <c r="K1352" s="14" t="inlineStr">
        <is>
          <t>44.31</t>
        </is>
      </c>
      <c r="L1352" s="13" t="inlineStr">
        <is>
          <t>3</t>
        </is>
      </c>
      <c r="M1352" s="13" t="inlineStr">
        <is>
          <t>Completed</t>
        </is>
      </c>
      <c r="N1352" s="13" t="inlineStr">
        <is>
          <t>S. Nguyen</t>
        </is>
      </c>
    </row>
    <row r="1353">
      <c r="A1353" s="13" t="inlineStr">
        <is>
          <t>HC-101351</t>
        </is>
      </c>
      <c r="B1353" s="13" t="inlineStr">
        <is>
          <t>30.12.2024</t>
        </is>
      </c>
      <c r="C1353" s="13" t="inlineStr">
        <is>
          <t>West</t>
        </is>
      </c>
      <c r="D1353" s="13" t="inlineStr">
        <is>
          <t>Online</t>
        </is>
      </c>
      <c r="E1353" s="13" t="inlineStr">
        <is>
          <t>Furniture</t>
        </is>
      </c>
      <c r="F1353" s="13" t="inlineStr">
        <is>
          <t>Linen Sofa</t>
        </is>
      </c>
      <c r="G1353" s="13" t="inlineStr">
        <is>
          <t>Corporate</t>
        </is>
      </c>
      <c r="H1353" s="13" t="inlineStr">
        <is>
          <t>4</t>
        </is>
      </c>
      <c r="I1353" s="14" t="inlineStr">
        <is>
          <t>1165.92</t>
        </is>
      </c>
      <c r="J1353" s="15" t="inlineStr">
        <is>
          <t>0.13</t>
        </is>
      </c>
      <c r="K1353" s="14" t="inlineStr">
        <is>
          <t>769.51</t>
        </is>
      </c>
      <c r="L1353" s="13" t="inlineStr">
        <is>
          <t>5</t>
        </is>
      </c>
      <c r="M1353" s="13" t="inlineStr">
        <is>
          <t>complete</t>
        </is>
      </c>
      <c r="N1353" s="13" t="inlineStr">
        <is>
          <t>M. Okonkwo</t>
        </is>
      </c>
    </row>
    <row r="1354">
      <c r="A1354" s="13" t="inlineStr">
        <is>
          <t>HC-101352</t>
        </is>
      </c>
      <c r="B1354" s="13" t="inlineStr">
        <is>
          <t>05/04/2025</t>
        </is>
      </c>
      <c r="C1354" s="13" t="inlineStr">
        <is>
          <t>South</t>
        </is>
      </c>
      <c r="D1354" s="13" t="inlineStr">
        <is>
          <t>Online</t>
        </is>
      </c>
      <c r="E1354" s="13" t="inlineStr">
        <is>
          <t>Furniture</t>
        </is>
      </c>
      <c r="F1354" s="13" t="inlineStr">
        <is>
          <t>Linen Sofa</t>
        </is>
      </c>
      <c r="G1354" s="13" t="inlineStr">
        <is>
          <t>Consumer</t>
        </is>
      </c>
      <c r="H1354" s="13" t="inlineStr">
        <is>
          <t>3</t>
        </is>
      </c>
      <c r="I1354" s="14" t="inlineStr">
        <is>
          <t>1232.65</t>
        </is>
      </c>
      <c r="J1354" s="15" t="inlineStr">
        <is>
          <t>0.15</t>
        </is>
      </c>
      <c r="K1354" s="14" t="inlineStr">
        <is>
          <t>813.55</t>
        </is>
      </c>
      <c r="L1354" s="13" t="inlineStr">
        <is>
          <t>5</t>
        </is>
      </c>
      <c r="M1354" s="13" t="inlineStr">
        <is>
          <t>Completed</t>
        </is>
      </c>
      <c r="N1354" s="13" t="inlineStr">
        <is>
          <t>A. Shah</t>
        </is>
      </c>
    </row>
    <row r="1355">
      <c r="A1355" s="13" t="inlineStr">
        <is>
          <t>HC-101353</t>
        </is>
      </c>
      <c r="B1355" s="13" t="inlineStr">
        <is>
          <t>05-Nov-24</t>
        </is>
      </c>
      <c r="C1355" s="13" t="inlineStr">
        <is>
          <t>West</t>
        </is>
      </c>
      <c r="D1355" s="13" t="inlineStr">
        <is>
          <t>Store</t>
        </is>
      </c>
      <c r="E1355" s="13" t="inlineStr">
        <is>
          <t>TEXTILES</t>
        </is>
      </c>
      <c r="F1355" s="13" t="inlineStr">
        <is>
          <t>Cotton Duvet</t>
        </is>
      </c>
      <c r="G1355" s="13" t="inlineStr">
        <is>
          <t>Consumer</t>
        </is>
      </c>
      <c r="H1355" s="13" t="inlineStr">
        <is>
          <t>2</t>
        </is>
      </c>
      <c r="I1355" s="14" t="inlineStr">
        <is>
          <t>125.01</t>
        </is>
      </c>
      <c r="J1355" s="15" t="inlineStr">
        <is>
          <t>0.04</t>
        </is>
      </c>
      <c r="K1355" s="14" t="inlineStr">
        <is>
          <t>55.01</t>
        </is>
      </c>
      <c r="L1355" s="13" t="inlineStr">
        <is>
          <t>5</t>
        </is>
      </c>
      <c r="M1355" s="13" t="inlineStr">
        <is>
          <t>Completed</t>
        </is>
      </c>
      <c r="N1355" s="13" t="inlineStr">
        <is>
          <t>A. Shah</t>
        </is>
      </c>
    </row>
    <row r="1356">
      <c r="A1356" s="13" t="inlineStr">
        <is>
          <t>HC-101354</t>
        </is>
      </c>
      <c r="B1356" s="13" t="inlineStr">
        <is>
          <t>2024/06/03</t>
        </is>
      </c>
      <c r="C1356" s="13" t="inlineStr">
        <is>
          <t>West</t>
        </is>
      </c>
      <c r="D1356" s="13" t="inlineStr">
        <is>
          <t>Store</t>
        </is>
      </c>
      <c r="E1356" s="13" t="inlineStr">
        <is>
          <t>Kitchen</t>
        </is>
      </c>
      <c r="F1356" s="13" t="inlineStr">
        <is>
          <t>Ceramic Set</t>
        </is>
      </c>
      <c r="G1356" s="13" t="inlineStr">
        <is>
          <t>Consumer</t>
        </is>
      </c>
      <c r="H1356" s="13" t="inlineStr">
        <is>
          <t>2</t>
        </is>
      </c>
      <c r="I1356" s="14" t="inlineStr">
        <is>
          <t>82.17</t>
        </is>
      </c>
      <c r="J1356" s="15" t="inlineStr">
        <is>
          <t>0.10</t>
        </is>
      </c>
      <c r="K1356" s="14" t="inlineStr">
        <is>
          <t>31.23</t>
        </is>
      </c>
      <c r="L1356" s="13" t="inlineStr">
        <is>
          <t>9</t>
        </is>
      </c>
      <c r="M1356" s="13" t="inlineStr">
        <is>
          <t>Completed</t>
        </is>
      </c>
      <c r="N1356" s="13" t="inlineStr">
        <is>
          <t>P. Rossi</t>
        </is>
      </c>
    </row>
    <row r="1357">
      <c r="A1357" s="13" t="inlineStr">
        <is>
          <t>HC-101355</t>
        </is>
      </c>
      <c r="B1357" s="13" t="inlineStr">
        <is>
          <t>16.06.2024</t>
        </is>
      </c>
      <c r="C1357" s="13" t="inlineStr">
        <is>
          <t>north</t>
        </is>
      </c>
      <c r="D1357" s="13" t="inlineStr">
        <is>
          <t>Store</t>
        </is>
      </c>
      <c r="E1357" s="13" t="inlineStr">
        <is>
          <t>Furniture</t>
        </is>
      </c>
      <c r="F1357" s="13" t="inlineStr">
        <is>
          <t>Linen Sofa</t>
        </is>
      </c>
      <c r="G1357" s="13" t="inlineStr"/>
      <c r="H1357" s="13" t="inlineStr">
        <is>
          <t>3</t>
        </is>
      </c>
      <c r="I1357" s="14" t="inlineStr">
        <is>
          <t>1219.90</t>
        </is>
      </c>
      <c r="J1357" s="15" t="inlineStr">
        <is>
          <t>0.05</t>
        </is>
      </c>
      <c r="K1357" s="14" t="inlineStr">
        <is>
          <t>805.13</t>
        </is>
      </c>
      <c r="L1357" s="13" t="inlineStr">
        <is>
          <t>6</t>
        </is>
      </c>
      <c r="M1357" s="13" t="inlineStr">
        <is>
          <t>Completed</t>
        </is>
      </c>
      <c r="N1357" s="13" t="inlineStr">
        <is>
          <t>L. Berger</t>
        </is>
      </c>
    </row>
    <row r="1358">
      <c r="A1358" s="13" t="inlineStr">
        <is>
          <t>HC-101356</t>
        </is>
      </c>
      <c r="B1358" s="13" t="inlineStr">
        <is>
          <t>08/19/2024</t>
        </is>
      </c>
      <c r="C1358" s="13" t="inlineStr">
        <is>
          <t>north</t>
        </is>
      </c>
      <c r="D1358" s="13" t="inlineStr">
        <is>
          <t>Online</t>
        </is>
      </c>
      <c r="E1358" s="13" t="inlineStr">
        <is>
          <t>Lighting</t>
        </is>
      </c>
      <c r="F1358" s="13" t="inlineStr">
        <is>
          <t>Arc Lamp</t>
        </is>
      </c>
      <c r="G1358" s="13" t="inlineStr">
        <is>
          <t>Consumer</t>
        </is>
      </c>
      <c r="H1358" s="13" t="inlineStr">
        <is>
          <t>1</t>
        </is>
      </c>
      <c r="I1358" s="14" t="inlineStr">
        <is>
          <t>325.29</t>
        </is>
      </c>
      <c r="J1358" s="15" t="inlineStr">
        <is>
          <t>0.15</t>
        </is>
      </c>
      <c r="K1358" s="14" t="inlineStr">
        <is>
          <t>156.14</t>
        </is>
      </c>
      <c r="L1358" s="13" t="inlineStr">
        <is>
          <t>N/A</t>
        </is>
      </c>
      <c r="M1358" s="13" t="inlineStr">
        <is>
          <t>Completed</t>
        </is>
      </c>
      <c r="N1358" s="13" t="inlineStr">
        <is>
          <t>A. Shah</t>
        </is>
      </c>
    </row>
    <row r="1359">
      <c r="A1359" s="13" t="inlineStr">
        <is>
          <t>HC-101357</t>
        </is>
      </c>
      <c r="B1359" s="13" t="inlineStr">
        <is>
          <t>16-Feb-24</t>
        </is>
      </c>
      <c r="C1359" s="13" t="inlineStr">
        <is>
          <t>West</t>
        </is>
      </c>
      <c r="D1359" s="13" t="inlineStr">
        <is>
          <t>Store</t>
        </is>
      </c>
      <c r="E1359" s="13" t="inlineStr">
        <is>
          <t>Furniture</t>
        </is>
      </c>
      <c r="F1359" s="13" t="inlineStr">
        <is>
          <t>Lounge Chair</t>
        </is>
      </c>
      <c r="G1359" s="13" t="inlineStr">
        <is>
          <t>Consumer</t>
        </is>
      </c>
      <c r="H1359" s="13" t="inlineStr">
        <is>
          <t>1</t>
        </is>
      </c>
      <c r="I1359" s="14" t="inlineStr">
        <is>
          <t>446.69</t>
        </is>
      </c>
      <c r="J1359" s="15" t="inlineStr">
        <is>
          <t>0.02</t>
        </is>
      </c>
      <c r="K1359" s="14" t="inlineStr">
        <is>
          <t>268.01</t>
        </is>
      </c>
      <c r="L1359" s="13" t="inlineStr">
        <is>
          <t>4</t>
        </is>
      </c>
      <c r="M1359" s="13" t="inlineStr">
        <is>
          <t>Completed</t>
        </is>
      </c>
      <c r="N1359" s="13" t="inlineStr">
        <is>
          <t>R. Ibarra</t>
        </is>
      </c>
    </row>
    <row r="1360">
      <c r="A1360" s="13" t="inlineStr">
        <is>
          <t>HC-101358</t>
        </is>
      </c>
      <c r="B1360" s="13" t="inlineStr">
        <is>
          <t>2025/08/09</t>
        </is>
      </c>
      <c r="C1360" s="13" t="inlineStr">
        <is>
          <t>South</t>
        </is>
      </c>
      <c r="D1360" s="13" t="inlineStr">
        <is>
          <t>Store</t>
        </is>
      </c>
      <c r="E1360" s="13" t="inlineStr">
        <is>
          <t>Kitchen</t>
        </is>
      </c>
      <c r="F1360" s="13" t="inlineStr">
        <is>
          <t>Ceramic Set</t>
        </is>
      </c>
      <c r="G1360" s="13" t="inlineStr">
        <is>
          <t>corporate</t>
        </is>
      </c>
      <c r="H1360" s="13" t="inlineStr">
        <is>
          <t>4</t>
        </is>
      </c>
      <c r="I1360" s="14" t="inlineStr">
        <is>
          <t>80.67</t>
        </is>
      </c>
      <c r="J1360" s="15" t="inlineStr">
        <is>
          <t>0.01</t>
        </is>
      </c>
      <c r="K1360" s="14" t="inlineStr">
        <is>
          <t>30.65</t>
        </is>
      </c>
      <c r="L1360" s="13" t="inlineStr">
        <is>
          <t>7</t>
        </is>
      </c>
      <c r="M1360" s="13" t="inlineStr">
        <is>
          <t>Completed</t>
        </is>
      </c>
      <c r="N1360" s="13" t="inlineStr">
        <is>
          <t>L. Berger</t>
        </is>
      </c>
    </row>
    <row r="1361">
      <c r="A1361" s="13" t="inlineStr">
        <is>
          <t>HC-101359</t>
        </is>
      </c>
      <c r="B1361" s="13" t="inlineStr">
        <is>
          <t>31.07.2025</t>
        </is>
      </c>
      <c r="C1361" s="13" t="inlineStr">
        <is>
          <t>North</t>
        </is>
      </c>
      <c r="D1361" s="13" t="inlineStr">
        <is>
          <t>Wholesale</t>
        </is>
      </c>
      <c r="E1361" s="13" t="inlineStr">
        <is>
          <t>FURNITURE</t>
        </is>
      </c>
      <c r="F1361" s="13" t="inlineStr">
        <is>
          <t>Linen Sofa</t>
        </is>
      </c>
      <c r="G1361" s="13" t="inlineStr">
        <is>
          <t>Corporate</t>
        </is>
      </c>
      <c r="H1361" s="13" t="inlineStr">
        <is>
          <t>9</t>
        </is>
      </c>
      <c r="I1361" s="14" t="inlineStr">
        <is>
          <t>1210.26</t>
        </is>
      </c>
      <c r="J1361" s="15" t="inlineStr">
        <is>
          <t>0.20</t>
        </is>
      </c>
      <c r="K1361" s="14" t="inlineStr">
        <is>
          <t>798.77</t>
        </is>
      </c>
      <c r="L1361" s="13" t="inlineStr">
        <is>
          <t>3</t>
        </is>
      </c>
      <c r="M1361" s="13" t="inlineStr">
        <is>
          <t>Completed</t>
        </is>
      </c>
      <c r="N1361" s="13" t="inlineStr">
        <is>
          <t>K. Mensah</t>
        </is>
      </c>
    </row>
    <row r="1362">
      <c r="A1362" s="13" t="inlineStr">
        <is>
          <t>HC-101360</t>
        </is>
      </c>
      <c r="B1362" s="13" t="inlineStr">
        <is>
          <t>02/21/2024</t>
        </is>
      </c>
      <c r="C1362" s="13" t="inlineStr">
        <is>
          <t>South</t>
        </is>
      </c>
      <c r="D1362" s="13" t="inlineStr">
        <is>
          <t>Wholesale</t>
        </is>
      </c>
      <c r="E1362" s="13" t="inlineStr">
        <is>
          <t>Lighting</t>
        </is>
      </c>
      <c r="F1362" s="13" t="inlineStr">
        <is>
          <t>Brass Sconce</t>
        </is>
      </c>
      <c r="G1362" s="13" t="inlineStr">
        <is>
          <t>Corporate</t>
        </is>
      </c>
      <c r="H1362" s="13" t="inlineStr">
        <is>
          <t>17</t>
        </is>
      </c>
      <c r="I1362" s="14" t="inlineStr">
        <is>
          <t>142.12</t>
        </is>
      </c>
      <c r="J1362" s="15" t="inlineStr">
        <is>
          <t>0.23</t>
        </is>
      </c>
      <c r="K1362" s="14" t="inlineStr">
        <is>
          <t>65.37</t>
        </is>
      </c>
      <c r="L1362" s="13" t="inlineStr">
        <is>
          <t>4</t>
        </is>
      </c>
      <c r="M1362" s="13" t="inlineStr">
        <is>
          <t>Completed</t>
        </is>
      </c>
      <c r="N1362" s="13" t="inlineStr">
        <is>
          <t>A. Shah</t>
        </is>
      </c>
    </row>
    <row r="1363">
      <c r="A1363" s="13" t="inlineStr">
        <is>
          <t>HC-101361</t>
        </is>
      </c>
      <c r="B1363" s="13" t="inlineStr">
        <is>
          <t>15-Sep-24</t>
        </is>
      </c>
      <c r="C1363" s="13" t="inlineStr">
        <is>
          <t>South</t>
        </is>
      </c>
      <c r="D1363" s="13" t="inlineStr">
        <is>
          <t>Store</t>
        </is>
      </c>
      <c r="E1363" s="13" t="inlineStr">
        <is>
          <t>FURNITURE</t>
        </is>
      </c>
      <c r="F1363" s="13" t="inlineStr">
        <is>
          <t>Walnut Shelf</t>
        </is>
      </c>
      <c r="G1363" s="13" t="inlineStr">
        <is>
          <t>Corporate</t>
        </is>
      </c>
      <c r="H1363" s="13" t="inlineStr">
        <is>
          <t>3</t>
        </is>
      </c>
      <c r="I1363" s="14" t="inlineStr">
        <is>
          <t>218.82</t>
        </is>
      </c>
      <c r="J1363" s="15" t="inlineStr">
        <is>
          <t>0.06</t>
        </is>
      </c>
      <c r="K1363" s="14" t="inlineStr">
        <is>
          <t>120.35</t>
        </is>
      </c>
      <c r="L1363" s="13" t="inlineStr">
        <is>
          <t>4</t>
        </is>
      </c>
      <c r="M1363" s="13" t="inlineStr">
        <is>
          <t>Completed</t>
        </is>
      </c>
      <c r="N1363" s="13" t="inlineStr">
        <is>
          <t>P. Rossi</t>
        </is>
      </c>
    </row>
    <row r="1364">
      <c r="A1364" s="13" t="inlineStr">
        <is>
          <t>HC-101362</t>
        </is>
      </c>
      <c r="B1364" s="13" t="inlineStr">
        <is>
          <t>2024/03/26</t>
        </is>
      </c>
      <c r="C1364" s="13" t="inlineStr">
        <is>
          <t>South</t>
        </is>
      </c>
      <c r="D1364" s="13" t="inlineStr">
        <is>
          <t>Store</t>
        </is>
      </c>
      <c r="E1364" s="13" t="inlineStr">
        <is>
          <t>Furniture</t>
        </is>
      </c>
      <c r="F1364" s="13" t="inlineStr">
        <is>
          <t>Oak Desk</t>
        </is>
      </c>
      <c r="G1364" s="13" t="inlineStr">
        <is>
          <t>Consumer</t>
        </is>
      </c>
      <c r="H1364" s="13" t="inlineStr">
        <is>
          <t>4</t>
        </is>
      </c>
      <c r="I1364" s="14" t="inlineStr">
        <is>
          <t>818.97</t>
        </is>
      </c>
      <c r="J1364" s="15" t="inlineStr">
        <is>
          <t>0.00</t>
        </is>
      </c>
      <c r="K1364" s="14" t="inlineStr">
        <is>
          <t>507.76</t>
        </is>
      </c>
      <c r="L1364" s="13" t="inlineStr">
        <is>
          <t>5</t>
        </is>
      </c>
      <c r="M1364" s="13" t="inlineStr">
        <is>
          <t>Compleated</t>
        </is>
      </c>
      <c r="N1364" s="13" t="inlineStr">
        <is>
          <t>M. Okonkwo</t>
        </is>
      </c>
    </row>
    <row r="1365">
      <c r="A1365" s="13" t="inlineStr">
        <is>
          <t>HC-101363</t>
        </is>
      </c>
      <c r="B1365" s="13" t="inlineStr">
        <is>
          <t>12.03.2025</t>
        </is>
      </c>
      <c r="C1365" s="13" t="inlineStr">
        <is>
          <t>East</t>
        </is>
      </c>
      <c r="D1365" s="13" t="inlineStr">
        <is>
          <t>Wholesale</t>
        </is>
      </c>
      <c r="E1365" s="13" t="inlineStr">
        <is>
          <t>Textiles</t>
        </is>
      </c>
      <c r="F1365" s="13" t="inlineStr">
        <is>
          <t>Cotton Duvet</t>
        </is>
      </c>
      <c r="G1365" s="13" t="inlineStr">
        <is>
          <t>Consumer</t>
        </is>
      </c>
      <c r="H1365" s="13" t="inlineStr">
        <is>
          <t>10</t>
        </is>
      </c>
      <c r="I1365" s="14" t="inlineStr">
        <is>
          <t>102.16</t>
        </is>
      </c>
      <c r="J1365" s="15" t="inlineStr">
        <is>
          <t>0.26</t>
        </is>
      </c>
      <c r="K1365" s="14" t="inlineStr">
        <is>
          <t>44.95</t>
        </is>
      </c>
      <c r="L1365" s="13" t="inlineStr">
        <is>
          <t>9</t>
        </is>
      </c>
      <c r="M1365" s="13" t="inlineStr">
        <is>
          <t>Completed</t>
        </is>
      </c>
      <c r="N1365" s="13" t="inlineStr">
        <is>
          <t>M. Okonkwo</t>
        </is>
      </c>
    </row>
    <row r="1366">
      <c r="A1366" s="13" t="inlineStr">
        <is>
          <t>HC-101364</t>
        </is>
      </c>
      <c r="B1366" s="13" t="inlineStr">
        <is>
          <t>06/13/2024</t>
        </is>
      </c>
      <c r="C1366" s="13" t="inlineStr">
        <is>
          <t>North</t>
        </is>
      </c>
      <c r="D1366" s="13" t="inlineStr">
        <is>
          <t>Wholesale</t>
        </is>
      </c>
      <c r="E1366" s="13" t="inlineStr">
        <is>
          <t>Lighting</t>
        </is>
      </c>
      <c r="F1366" s="13" t="inlineStr">
        <is>
          <t>Arc Lamp</t>
        </is>
      </c>
      <c r="G1366" s="13" t="inlineStr">
        <is>
          <t>Corporate</t>
        </is>
      </c>
      <c r="H1366" s="13" t="inlineStr">
        <is>
          <t>31</t>
        </is>
      </c>
      <c r="I1366" s="14" t="inlineStr">
        <is>
          <t>298.01</t>
        </is>
      </c>
      <c r="J1366" s="15" t="inlineStr">
        <is>
          <t>0.23</t>
        </is>
      </c>
      <c r="K1366" s="14" t="inlineStr">
        <is>
          <t>143.05</t>
        </is>
      </c>
      <c r="L1366" s="13" t="inlineStr">
        <is>
          <t>7</t>
        </is>
      </c>
      <c r="M1366" s="13" t="inlineStr">
        <is>
          <t>Completed</t>
        </is>
      </c>
      <c r="N1366" s="13" t="inlineStr">
        <is>
          <t>A. Shah</t>
        </is>
      </c>
    </row>
    <row r="1367">
      <c r="A1367" s="13" t="inlineStr">
        <is>
          <t>HC-101365</t>
        </is>
      </c>
      <c r="B1367" s="13" t="inlineStr">
        <is>
          <t>22-May-24</t>
        </is>
      </c>
      <c r="C1367" s="13" t="inlineStr">
        <is>
          <t>East</t>
        </is>
      </c>
      <c r="D1367" s="13" t="inlineStr">
        <is>
          <t>Wholesale</t>
        </is>
      </c>
      <c r="E1367" s="13" t="inlineStr">
        <is>
          <t>Furniture</t>
        </is>
      </c>
      <c r="F1367" s="13" t="inlineStr">
        <is>
          <t>Linen Sofa</t>
        </is>
      </c>
      <c r="G1367" s="13" t="inlineStr">
        <is>
          <t>consumer</t>
        </is>
      </c>
      <c r="H1367" s="13" t="inlineStr">
        <is>
          <t>18</t>
        </is>
      </c>
      <c r="I1367" s="14" t="inlineStr">
        <is>
          <t>1110.97</t>
        </is>
      </c>
      <c r="J1367" s="15" t="inlineStr">
        <is>
          <t>0.17</t>
        </is>
      </c>
      <c r="K1367" s="14" t="inlineStr">
        <is>
          <t>733.24</t>
        </is>
      </c>
      <c r="L1367" s="13" t="inlineStr">
        <is>
          <t>8</t>
        </is>
      </c>
      <c r="M1367" s="13" t="inlineStr">
        <is>
          <t>Completed</t>
        </is>
      </c>
      <c r="N1367" s="13" t="inlineStr">
        <is>
          <t>L. Berger</t>
        </is>
      </c>
    </row>
    <row r="1368">
      <c r="A1368" s="13" t="inlineStr">
        <is>
          <t>HC-101366</t>
        </is>
      </c>
      <c r="B1368" s="13" t="inlineStr">
        <is>
          <t>2025/02/27</t>
        </is>
      </c>
      <c r="C1368" s="13" t="inlineStr">
        <is>
          <t>South</t>
        </is>
      </c>
      <c r="D1368" s="13" t="inlineStr">
        <is>
          <t>Store</t>
        </is>
      </c>
      <c r="E1368" s="13" t="inlineStr">
        <is>
          <t>Kitchen</t>
        </is>
      </c>
      <c r="F1368" s="13" t="inlineStr">
        <is>
          <t>Ceramic Set</t>
        </is>
      </c>
      <c r="G1368" s="13" t="inlineStr">
        <is>
          <t>Consumer</t>
        </is>
      </c>
      <c r="H1368" s="13" t="inlineStr">
        <is>
          <t>3</t>
        </is>
      </c>
      <c r="I1368" s="14" t="inlineStr">
        <is>
          <t>89.04</t>
        </is>
      </c>
      <c r="J1368" s="15" t="inlineStr">
        <is>
          <t>0.10</t>
        </is>
      </c>
      <c r="K1368" s="14" t="inlineStr">
        <is>
          <t>33.84</t>
        </is>
      </c>
      <c r="L1368" s="13" t="inlineStr">
        <is>
          <t>2</t>
        </is>
      </c>
      <c r="M1368" s="13" t="inlineStr">
        <is>
          <t>Completed</t>
        </is>
      </c>
      <c r="N1368" s="13" t="inlineStr">
        <is>
          <t>S. Nguyen</t>
        </is>
      </c>
    </row>
    <row r="1369">
      <c r="A1369" s="13" t="inlineStr">
        <is>
          <t>HC-101367</t>
        </is>
      </c>
      <c r="B1369" s="13" t="inlineStr">
        <is>
          <t>30.12.2024</t>
        </is>
      </c>
      <c r="C1369" s="13" t="inlineStr">
        <is>
          <t>East</t>
        </is>
      </c>
      <c r="D1369" s="13" t="inlineStr">
        <is>
          <t>Wholesale</t>
        </is>
      </c>
      <c r="E1369" s="13" t="inlineStr">
        <is>
          <t>Furniture</t>
        </is>
      </c>
      <c r="F1369" s="13" t="inlineStr">
        <is>
          <t>Linen Sofa</t>
        </is>
      </c>
      <c r="G1369" s="13" t="inlineStr">
        <is>
          <t>Consumer</t>
        </is>
      </c>
      <c r="H1369" s="13" t="inlineStr">
        <is>
          <t>31</t>
        </is>
      </c>
      <c r="I1369" s="14" t="inlineStr">
        <is>
          <t>1184.98</t>
        </is>
      </c>
      <c r="J1369" s="15" t="inlineStr">
        <is>
          <t>0.25</t>
        </is>
      </c>
      <c r="K1369" s="14" t="inlineStr">
        <is>
          <t>782.09</t>
        </is>
      </c>
      <c r="L1369" s="13" t="inlineStr">
        <is>
          <t>14</t>
        </is>
      </c>
      <c r="M1369" s="13" t="inlineStr">
        <is>
          <t>Completed</t>
        </is>
      </c>
      <c r="N1369" s="13" t="inlineStr">
        <is>
          <t>L. Berger</t>
        </is>
      </c>
    </row>
    <row r="1370">
      <c r="A1370" s="13" t="inlineStr">
        <is>
          <t>HC-101368</t>
        </is>
      </c>
      <c r="B1370" s="13" t="inlineStr">
        <is>
          <t>01/28/2025</t>
        </is>
      </c>
      <c r="C1370" s="13" t="inlineStr">
        <is>
          <t>West</t>
        </is>
      </c>
      <c r="D1370" s="13" t="inlineStr">
        <is>
          <t>Store</t>
        </is>
      </c>
      <c r="E1370" s="13" t="inlineStr">
        <is>
          <t>Furniture</t>
        </is>
      </c>
      <c r="F1370" s="13" t="inlineStr">
        <is>
          <t>Linen Sofa</t>
        </is>
      </c>
      <c r="G1370" s="13" t="inlineStr">
        <is>
          <t>Consumer</t>
        </is>
      </c>
      <c r="H1370" s="13" t="inlineStr">
        <is>
          <t>2</t>
        </is>
      </c>
      <c r="I1370" s="14" t="inlineStr">
        <is>
          <t>1289.96</t>
        </is>
      </c>
      <c r="J1370" s="15" t="inlineStr">
        <is>
          <t>12%</t>
        </is>
      </c>
      <c r="K1370" s="14" t="inlineStr">
        <is>
          <t>851.37</t>
        </is>
      </c>
      <c r="L1370" s="13" t="inlineStr">
        <is>
          <t>6</t>
        </is>
      </c>
      <c r="M1370" s="13" t="inlineStr">
        <is>
          <t>Completed</t>
        </is>
      </c>
      <c r="N1370" s="13" t="inlineStr">
        <is>
          <t>R. Ibarra</t>
        </is>
      </c>
    </row>
    <row r="1371">
      <c r="A1371" s="13" t="inlineStr">
        <is>
          <t>HC-101369</t>
        </is>
      </c>
      <c r="B1371" s="13" t="inlineStr">
        <is>
          <t>04-Oct-24</t>
        </is>
      </c>
      <c r="C1371" s="13" t="inlineStr">
        <is>
          <t>NORTH</t>
        </is>
      </c>
      <c r="D1371" s="13" t="inlineStr">
        <is>
          <t>Store</t>
        </is>
      </c>
      <c r="E1371" s="13" t="inlineStr">
        <is>
          <t>FURNITURE</t>
        </is>
      </c>
      <c r="F1371" s="13" t="inlineStr">
        <is>
          <t>Lounge Chair</t>
        </is>
      </c>
      <c r="G1371" s="13" t="inlineStr">
        <is>
          <t>Consumer</t>
        </is>
      </c>
      <c r="H1371" s="13" t="inlineStr">
        <is>
          <t>3</t>
        </is>
      </c>
      <c r="I1371" s="14" t="inlineStr">
        <is>
          <t>$446.83</t>
        </is>
      </c>
      <c r="J1371" s="15" t="inlineStr">
        <is>
          <t>0.02</t>
        </is>
      </c>
      <c r="K1371" s="14" t="inlineStr">
        <is>
          <t>268.10</t>
        </is>
      </c>
      <c r="L1371" s="13" t="inlineStr">
        <is>
          <t>5</t>
        </is>
      </c>
      <c r="M1371" s="13" t="inlineStr">
        <is>
          <t>Completed</t>
        </is>
      </c>
      <c r="N1371" s="13" t="inlineStr">
        <is>
          <t>J. Patel</t>
        </is>
      </c>
    </row>
    <row r="1372">
      <c r="A1372" s="13" t="inlineStr">
        <is>
          <t>HC-101370</t>
        </is>
      </c>
      <c r="B1372" s="13" t="inlineStr">
        <is>
          <t>2025/04/25</t>
        </is>
      </c>
      <c r="C1372" s="13" t="inlineStr">
        <is>
          <t>North</t>
        </is>
      </c>
      <c r="D1372" s="13" t="inlineStr">
        <is>
          <t>Online</t>
        </is>
      </c>
      <c r="E1372" s="13" t="inlineStr">
        <is>
          <t>Textiles</t>
        </is>
      </c>
      <c r="F1372" s="13" t="inlineStr">
        <is>
          <t>Linen Curtain</t>
        </is>
      </c>
      <c r="G1372" s="13" t="inlineStr">
        <is>
          <t>Corporate</t>
        </is>
      </c>
      <c r="H1372" s="13" t="inlineStr">
        <is>
          <t>2</t>
        </is>
      </c>
      <c r="I1372" s="14" t="inlineStr">
        <is>
          <t>100.92</t>
        </is>
      </c>
      <c r="J1372" s="15" t="inlineStr">
        <is>
          <t>0.02</t>
        </is>
      </c>
      <c r="K1372" s="14" t="inlineStr">
        <is>
          <t>45.42</t>
        </is>
      </c>
      <c r="L1372" s="13" t="inlineStr">
        <is>
          <t>4</t>
        </is>
      </c>
      <c r="M1372" s="13" t="inlineStr">
        <is>
          <t>Completed</t>
        </is>
      </c>
      <c r="N1372" s="13" t="inlineStr">
        <is>
          <t>L. Berger</t>
        </is>
      </c>
    </row>
    <row r="1373">
      <c r="A1373" s="13" t="inlineStr">
        <is>
          <t>HC-101371</t>
        </is>
      </c>
      <c r="B1373" s="13" t="inlineStr">
        <is>
          <t>03.09.2025</t>
        </is>
      </c>
      <c r="C1373" s="13" t="inlineStr">
        <is>
          <t>South</t>
        </is>
      </c>
      <c r="D1373" s="13" t="inlineStr">
        <is>
          <t>Online</t>
        </is>
      </c>
      <c r="E1373" s="13" t="inlineStr">
        <is>
          <t>Furniture</t>
        </is>
      </c>
      <c r="F1373" s="13" t="inlineStr">
        <is>
          <t>Linen Sofa</t>
        </is>
      </c>
      <c r="G1373" s="13" t="inlineStr">
        <is>
          <t>consumer</t>
        </is>
      </c>
      <c r="H1373" s="13" t="inlineStr">
        <is>
          <t>2</t>
        </is>
      </c>
      <c r="I1373" s="14" t="inlineStr">
        <is>
          <t>1330.83</t>
        </is>
      </c>
      <c r="J1373" s="15" t="inlineStr">
        <is>
          <t>0.11</t>
        </is>
      </c>
      <c r="K1373" s="14" t="inlineStr">
        <is>
          <t>878.35</t>
        </is>
      </c>
      <c r="L1373" s="13" t="inlineStr">
        <is>
          <t>3</t>
        </is>
      </c>
      <c r="M1373" s="13" t="inlineStr">
        <is>
          <t>Completed</t>
        </is>
      </c>
      <c r="N1373" s="13" t="inlineStr">
        <is>
          <t>K. Mensah</t>
        </is>
      </c>
    </row>
    <row r="1374">
      <c r="A1374" s="13" t="inlineStr">
        <is>
          <t>HC-101372</t>
        </is>
      </c>
      <c r="B1374" s="13" t="inlineStr">
        <is>
          <t>07/06/2025</t>
        </is>
      </c>
      <c r="C1374" s="13" t="inlineStr">
        <is>
          <t>West</t>
        </is>
      </c>
      <c r="D1374" s="13" t="inlineStr">
        <is>
          <t>Wholesale</t>
        </is>
      </c>
      <c r="E1374" s="13" t="inlineStr">
        <is>
          <t>Furniture</t>
        </is>
      </c>
      <c r="F1374" s="13" t="inlineStr">
        <is>
          <t>Oak Desk</t>
        </is>
      </c>
      <c r="G1374" s="13" t="inlineStr">
        <is>
          <t>Consumer</t>
        </is>
      </c>
      <c r="H1374" s="13" t="inlineStr">
        <is>
          <t>22</t>
        </is>
      </c>
      <c r="I1374" s="14" t="inlineStr">
        <is>
          <t>839.76</t>
        </is>
      </c>
      <c r="J1374" s="15" t="inlineStr">
        <is>
          <t>0.19</t>
        </is>
      </c>
      <c r="K1374" s="14" t="inlineStr">
        <is>
          <t>520.65</t>
        </is>
      </c>
      <c r="L1374" s="13" t="inlineStr">
        <is>
          <t>1</t>
        </is>
      </c>
      <c r="M1374" s="13" t="inlineStr">
        <is>
          <t>Completed</t>
        </is>
      </c>
      <c r="N1374" s="13" t="inlineStr">
        <is>
          <t>R. Ibarra</t>
        </is>
      </c>
    </row>
    <row r="1375">
      <c r="A1375" s="13" t="inlineStr">
        <is>
          <t>HC-101373</t>
        </is>
      </c>
      <c r="B1375" s="13" t="inlineStr">
        <is>
          <t>20-Nov-24</t>
        </is>
      </c>
      <c r="C1375" s="13" t="inlineStr">
        <is>
          <t>West</t>
        </is>
      </c>
      <c r="D1375" s="13" t="inlineStr">
        <is>
          <t>Online</t>
        </is>
      </c>
      <c r="E1375" s="13" t="inlineStr">
        <is>
          <t>Furniture</t>
        </is>
      </c>
      <c r="F1375" s="13" t="inlineStr">
        <is>
          <t>Lounge Chair</t>
        </is>
      </c>
      <c r="G1375" s="13" t="inlineStr">
        <is>
          <t>Consumer</t>
        </is>
      </c>
      <c r="H1375" s="13" t="inlineStr">
        <is>
          <t>four</t>
        </is>
      </c>
      <c r="I1375" s="14" t="inlineStr">
        <is>
          <t>473.21</t>
        </is>
      </c>
      <c r="J1375" s="15" t="inlineStr">
        <is>
          <t>0.12</t>
        </is>
      </c>
      <c r="K1375" s="14" t="inlineStr">
        <is>
          <t>283.92</t>
        </is>
      </c>
      <c r="L1375" s="13" t="inlineStr">
        <is>
          <t>9</t>
        </is>
      </c>
      <c r="M1375" s="13" t="inlineStr">
        <is>
          <t>complete</t>
        </is>
      </c>
      <c r="N1375" s="13" t="inlineStr">
        <is>
          <t>P. Rossi</t>
        </is>
      </c>
    </row>
    <row r="1376">
      <c r="A1376" s="13" t="inlineStr">
        <is>
          <t>HC-101374</t>
        </is>
      </c>
      <c r="B1376" s="13" t="inlineStr">
        <is>
          <t>2025/03/10</t>
        </is>
      </c>
      <c r="C1376" s="13" t="inlineStr">
        <is>
          <t>SOUTH</t>
        </is>
      </c>
      <c r="D1376" s="13" t="inlineStr">
        <is>
          <t>Store</t>
        </is>
      </c>
      <c r="E1376" s="13" t="inlineStr">
        <is>
          <t>FURNITURE</t>
        </is>
      </c>
      <c r="F1376" s="13" t="inlineStr">
        <is>
          <t>Walnut Shelf</t>
        </is>
      </c>
      <c r="G1376" s="13" t="inlineStr">
        <is>
          <t>Consumer</t>
        </is>
      </c>
      <c r="H1376" s="13" t="inlineStr">
        <is>
          <t>1</t>
        </is>
      </c>
      <c r="I1376" s="14" t="inlineStr">
        <is>
          <t>225.82</t>
        </is>
      </c>
      <c r="J1376" s="15" t="inlineStr">
        <is>
          <t>11%</t>
        </is>
      </c>
      <c r="K1376" s="14" t="inlineStr">
        <is>
          <t>124.20</t>
        </is>
      </c>
      <c r="L1376" s="13" t="inlineStr">
        <is>
          <t>4</t>
        </is>
      </c>
      <c r="M1376" s="13" t="inlineStr">
        <is>
          <t>Cancelled</t>
        </is>
      </c>
      <c r="N1376" s="13" t="inlineStr">
        <is>
          <t>R. Ibarra</t>
        </is>
      </c>
    </row>
    <row r="1377">
      <c r="A1377" s="13" t="inlineStr">
        <is>
          <t>HC-101375</t>
        </is>
      </c>
      <c r="B1377" s="13" t="inlineStr">
        <is>
          <t>14.12.2024</t>
        </is>
      </c>
      <c r="C1377" s="13" t="inlineStr">
        <is>
          <t>North</t>
        </is>
      </c>
      <c r="D1377" s="13" t="inlineStr">
        <is>
          <t>Store</t>
        </is>
      </c>
      <c r="E1377" s="13" t="inlineStr">
        <is>
          <t>Furniture</t>
        </is>
      </c>
      <c r="F1377" s="13" t="inlineStr">
        <is>
          <t>Walnut Shelf</t>
        </is>
      </c>
      <c r="G1377" s="13" t="inlineStr">
        <is>
          <t>Corporate</t>
        </is>
      </c>
      <c r="H1377" s="13" t="inlineStr">
        <is>
          <t>3</t>
        </is>
      </c>
      <c r="I1377" s="14" t="inlineStr">
        <is>
          <t>212.40</t>
        </is>
      </c>
      <c r="J1377" s="15" t="inlineStr">
        <is>
          <t>0.07</t>
        </is>
      </c>
      <c r="K1377" s="14" t="inlineStr">
        <is>
          <t>116.82</t>
        </is>
      </c>
      <c r="L1377" s="13" t="inlineStr">
        <is>
          <t>4</t>
        </is>
      </c>
      <c r="M1377" s="13" t="inlineStr">
        <is>
          <t>Completed</t>
        </is>
      </c>
      <c r="N1377" s="13" t="inlineStr">
        <is>
          <t>L. Berger</t>
        </is>
      </c>
    </row>
    <row r="1378">
      <c r="A1378" s="13" t="inlineStr">
        <is>
          <t>HC-101376</t>
        </is>
      </c>
      <c r="B1378" s="13" t="inlineStr">
        <is>
          <t>05/03/2025</t>
        </is>
      </c>
      <c r="C1378" s="13" t="inlineStr">
        <is>
          <t>West</t>
        </is>
      </c>
      <c r="D1378" s="13" t="inlineStr">
        <is>
          <t>Store</t>
        </is>
      </c>
      <c r="E1378" s="13" t="inlineStr">
        <is>
          <t>Textiles</t>
        </is>
      </c>
      <c r="F1378" s="13" t="inlineStr">
        <is>
          <t>Wool Throw</t>
        </is>
      </c>
      <c r="G1378" s="13" t="inlineStr">
        <is>
          <t>Consumer</t>
        </is>
      </c>
      <c r="H1378" s="13" t="inlineStr">
        <is>
          <t>3</t>
        </is>
      </c>
      <c r="I1378" s="14" t="inlineStr">
        <is>
          <t>$77.66</t>
        </is>
      </c>
      <c r="J1378" s="15" t="inlineStr">
        <is>
          <t>0.01</t>
        </is>
      </c>
      <c r="K1378" s="14" t="inlineStr">
        <is>
          <t>32.62</t>
        </is>
      </c>
      <c r="L1378" s="13" t="inlineStr">
        <is>
          <t>5</t>
        </is>
      </c>
      <c r="M1378" s="13" t="inlineStr">
        <is>
          <t>COMPLETED</t>
        </is>
      </c>
      <c r="N1378" s="13" t="inlineStr">
        <is>
          <t>P. Rossi</t>
        </is>
      </c>
    </row>
    <row r="1379">
      <c r="A1379" s="13" t="inlineStr">
        <is>
          <t>HC-101377</t>
        </is>
      </c>
      <c r="B1379" s="13" t="inlineStr">
        <is>
          <t>26-Aug-24</t>
        </is>
      </c>
      <c r="C1379" s="13" t="inlineStr">
        <is>
          <t>South</t>
        </is>
      </c>
      <c r="D1379" s="13" t="inlineStr">
        <is>
          <t>Online</t>
        </is>
      </c>
      <c r="E1379" s="13" t="inlineStr">
        <is>
          <t>Textiles</t>
        </is>
      </c>
      <c r="F1379" s="13" t="inlineStr">
        <is>
          <t>Linen Curtain</t>
        </is>
      </c>
      <c r="G1379" s="13" t="inlineStr">
        <is>
          <t>Consumer</t>
        </is>
      </c>
      <c r="H1379" s="13" t="inlineStr">
        <is>
          <t>Two</t>
        </is>
      </c>
      <c r="I1379" s="14" t="inlineStr">
        <is>
          <t>97.78</t>
        </is>
      </c>
      <c r="J1379" s="15" t="inlineStr">
        <is>
          <t>0.12</t>
        </is>
      </c>
      <c r="K1379" s="14" t="inlineStr">
        <is>
          <t>44.00</t>
        </is>
      </c>
      <c r="L1379" s="13" t="inlineStr">
        <is>
          <t>8</t>
        </is>
      </c>
      <c r="M1379" s="13" t="inlineStr">
        <is>
          <t>Completed</t>
        </is>
      </c>
      <c r="N1379" s="13" t="inlineStr">
        <is>
          <t>R. Ibarra</t>
        </is>
      </c>
    </row>
    <row r="1380">
      <c r="A1380" s="13" t="inlineStr">
        <is>
          <t>HC-101378</t>
        </is>
      </c>
      <c r="B1380" s="13" t="inlineStr">
        <is>
          <t>2025/05/06</t>
        </is>
      </c>
      <c r="C1380" s="13" t="inlineStr">
        <is>
          <t xml:space="preserve"> North </t>
        </is>
      </c>
      <c r="D1380" s="13" t="inlineStr">
        <is>
          <t>Store</t>
        </is>
      </c>
      <c r="E1380" s="13" t="inlineStr">
        <is>
          <t>Lighting</t>
        </is>
      </c>
      <c r="F1380" s="13" t="inlineStr">
        <is>
          <t>Arc Lamp</t>
        </is>
      </c>
      <c r="G1380" s="13" t="inlineStr">
        <is>
          <t>Corporate</t>
        </is>
      </c>
      <c r="H1380" s="13" t="inlineStr">
        <is>
          <t>3</t>
        </is>
      </c>
      <c r="I1380" s="14" t="inlineStr">
        <is>
          <t>297.33</t>
        </is>
      </c>
      <c r="J1380" s="15" t="inlineStr">
        <is>
          <t>0.10</t>
        </is>
      </c>
      <c r="K1380" s="14" t="inlineStr">
        <is>
          <t>142.72</t>
        </is>
      </c>
      <c r="L1380" s="13" t="inlineStr">
        <is>
          <t>6</t>
        </is>
      </c>
      <c r="M1380" s="13" t="inlineStr">
        <is>
          <t>Completed</t>
        </is>
      </c>
      <c r="N1380" s="13" t="inlineStr">
        <is>
          <t>P. Rossi</t>
        </is>
      </c>
    </row>
    <row r="1381">
      <c r="A1381" s="13" t="inlineStr">
        <is>
          <t>HC-101379</t>
        </is>
      </c>
      <c r="B1381" s="13" t="inlineStr">
        <is>
          <t>24.06.2025</t>
        </is>
      </c>
      <c r="C1381" s="13" t="inlineStr">
        <is>
          <t>West</t>
        </is>
      </c>
      <c r="D1381" s="13" t="inlineStr">
        <is>
          <t>Store</t>
        </is>
      </c>
      <c r="E1381" s="13" t="inlineStr">
        <is>
          <t>Kitchen</t>
        </is>
      </c>
      <c r="F1381" s="13" t="inlineStr">
        <is>
          <t>Ceramic Set</t>
        </is>
      </c>
      <c r="G1381" s="13" t="inlineStr">
        <is>
          <t>Consumer</t>
        </is>
      </c>
      <c r="H1381" s="13" t="inlineStr">
        <is>
          <t>1</t>
        </is>
      </c>
      <c r="I1381" s="14" t="inlineStr">
        <is>
          <t>84.22</t>
        </is>
      </c>
      <c r="J1381" s="15" t="inlineStr">
        <is>
          <t>0.04</t>
        </is>
      </c>
      <c r="K1381" s="14" t="inlineStr">
        <is>
          <t>32.00</t>
        </is>
      </c>
      <c r="L1381" s="13" t="inlineStr">
        <is>
          <t>7</t>
        </is>
      </c>
      <c r="M1381" s="13" t="inlineStr">
        <is>
          <t>Completed</t>
        </is>
      </c>
      <c r="N1381" s="13" t="inlineStr">
        <is>
          <t>K. Mensah</t>
        </is>
      </c>
    </row>
    <row r="1382">
      <c r="A1382" s="13" t="inlineStr">
        <is>
          <t>HC-101380</t>
        </is>
      </c>
      <c r="B1382" s="13" t="inlineStr">
        <is>
          <t>03/05/2024</t>
        </is>
      </c>
      <c r="C1382" s="13" t="inlineStr">
        <is>
          <t>West</t>
        </is>
      </c>
      <c r="D1382" s="13" t="inlineStr">
        <is>
          <t>Store</t>
        </is>
      </c>
      <c r="E1382" s="13" t="inlineStr">
        <is>
          <t>Kitchen</t>
        </is>
      </c>
      <c r="F1382" s="13" t="inlineStr">
        <is>
          <t>Cast Skillet</t>
        </is>
      </c>
      <c r="G1382" s="13" t="inlineStr">
        <is>
          <t>consumer</t>
        </is>
      </c>
      <c r="H1382" s="13" t="inlineStr">
        <is>
          <t>1</t>
        </is>
      </c>
      <c r="I1382" s="14" t="inlineStr">
        <is>
          <t>52.16</t>
        </is>
      </c>
      <c r="J1382" s="15" t="inlineStr">
        <is>
          <t>0.09</t>
        </is>
      </c>
      <c r="K1382" s="14" t="inlineStr">
        <is>
          <t>20.87</t>
        </is>
      </c>
      <c r="L1382" s="13" t="inlineStr">
        <is>
          <t>N/A</t>
        </is>
      </c>
      <c r="M1382" s="13" t="inlineStr">
        <is>
          <t>complete</t>
        </is>
      </c>
      <c r="N1382" s="13" t="inlineStr">
        <is>
          <t>R. Ibarra</t>
        </is>
      </c>
    </row>
    <row r="1383">
      <c r="A1383" s="13" t="inlineStr">
        <is>
          <t>HC-101381</t>
        </is>
      </c>
      <c r="B1383" s="13" t="inlineStr">
        <is>
          <t>30-Jun-24</t>
        </is>
      </c>
      <c r="C1383" s="13" t="inlineStr">
        <is>
          <t>West</t>
        </is>
      </c>
      <c r="D1383" s="13" t="inlineStr">
        <is>
          <t>Store</t>
        </is>
      </c>
      <c r="E1383" s="13" t="inlineStr">
        <is>
          <t>Textiles</t>
        </is>
      </c>
      <c r="F1383" s="13" t="inlineStr">
        <is>
          <t>Wool Throw</t>
        </is>
      </c>
      <c r="G1383" s="13" t="inlineStr">
        <is>
          <t>Consumer</t>
        </is>
      </c>
      <c r="H1383" s="13" t="inlineStr">
        <is>
          <t>2</t>
        </is>
      </c>
      <c r="I1383" s="14" t="inlineStr">
        <is>
          <t>71.57</t>
        </is>
      </c>
      <c r="J1383" s="15" t="inlineStr">
        <is>
          <t>0.10</t>
        </is>
      </c>
      <c r="K1383" s="14" t="inlineStr">
        <is>
          <t>30.06</t>
        </is>
      </c>
      <c r="L1383" s="13" t="inlineStr">
        <is>
          <t>4</t>
        </is>
      </c>
      <c r="M1383" s="13" t="inlineStr">
        <is>
          <t>Returned</t>
        </is>
      </c>
      <c r="N1383" s="13" t="inlineStr">
        <is>
          <t>M. Okonkwo</t>
        </is>
      </c>
    </row>
    <row r="1384">
      <c r="A1384" s="13" t="inlineStr">
        <is>
          <t>HC-101382</t>
        </is>
      </c>
      <c r="B1384" s="13" t="inlineStr">
        <is>
          <t>2024/12/08</t>
        </is>
      </c>
      <c r="C1384" s="13" t="inlineStr">
        <is>
          <t>West</t>
        </is>
      </c>
      <c r="D1384" s="13" t="inlineStr">
        <is>
          <t>Store</t>
        </is>
      </c>
      <c r="E1384" s="13" t="inlineStr">
        <is>
          <t>Lighting</t>
        </is>
      </c>
      <c r="F1384" s="13" t="inlineStr">
        <is>
          <t>Arc Lamp</t>
        </is>
      </c>
      <c r="G1384" s="13" t="inlineStr">
        <is>
          <t>Consumer</t>
        </is>
      </c>
      <c r="H1384" s="13" t="inlineStr">
        <is>
          <t>2</t>
        </is>
      </c>
      <c r="I1384" s="14" t="inlineStr">
        <is>
          <t>301.64</t>
        </is>
      </c>
      <c r="J1384" s="15" t="inlineStr">
        <is>
          <t>0.01</t>
        </is>
      </c>
      <c r="K1384" s="14" t="inlineStr">
        <is>
          <t>144.79</t>
        </is>
      </c>
      <c r="L1384" s="13" t="inlineStr">
        <is>
          <t>5</t>
        </is>
      </c>
      <c r="M1384" s="13" t="inlineStr">
        <is>
          <t>Completed</t>
        </is>
      </c>
      <c r="N1384" s="13" t="inlineStr">
        <is>
          <t>L. Berger</t>
        </is>
      </c>
    </row>
    <row r="1385">
      <c r="A1385" s="13" t="inlineStr">
        <is>
          <t>HC-101383</t>
        </is>
      </c>
      <c r="B1385" s="13" t="inlineStr">
        <is>
          <t>21.06.2024</t>
        </is>
      </c>
      <c r="C1385" s="13" t="inlineStr">
        <is>
          <t>West</t>
        </is>
      </c>
      <c r="D1385" s="13" t="inlineStr">
        <is>
          <t>Online</t>
        </is>
      </c>
      <c r="E1385" s="13" t="inlineStr">
        <is>
          <t>Textiles</t>
        </is>
      </c>
      <c r="F1385" s="13" t="inlineStr">
        <is>
          <t>Cotton Duvet</t>
        </is>
      </c>
      <c r="G1385" s="13" t="inlineStr">
        <is>
          <t>Corporate</t>
        </is>
      </c>
      <c r="H1385" s="13" t="inlineStr">
        <is>
          <t>3</t>
        </is>
      </c>
      <c r="I1385" s="14" t="inlineStr">
        <is>
          <t>124.66</t>
        </is>
      </c>
      <c r="J1385" s="15" t="inlineStr">
        <is>
          <t>0.13</t>
        </is>
      </c>
      <c r="K1385" s="14" t="inlineStr">
        <is>
          <t>54.85</t>
        </is>
      </c>
      <c r="L1385" s="13" t="inlineStr">
        <is>
          <t>3</t>
        </is>
      </c>
      <c r="M1385" s="13" t="inlineStr">
        <is>
          <t>Completed</t>
        </is>
      </c>
      <c r="N1385" s="13" t="inlineStr">
        <is>
          <t>J. Patel</t>
        </is>
      </c>
    </row>
    <row r="1386">
      <c r="A1386" s="13" t="inlineStr">
        <is>
          <t>HC-101384</t>
        </is>
      </c>
      <c r="B1386" s="13" t="inlineStr">
        <is>
          <t>11/01/2024</t>
        </is>
      </c>
      <c r="C1386" s="13" t="inlineStr">
        <is>
          <t>WEST</t>
        </is>
      </c>
      <c r="D1386" s="13" t="inlineStr">
        <is>
          <t>retail</t>
        </is>
      </c>
      <c r="E1386" s="13" t="inlineStr">
        <is>
          <t>Textiles</t>
        </is>
      </c>
      <c r="F1386" s="13" t="inlineStr">
        <is>
          <t>Cotton Duvet</t>
        </is>
      </c>
      <c r="G1386" s="13" t="inlineStr">
        <is>
          <t>Consumer</t>
        </is>
      </c>
      <c r="H1386" s="13" t="inlineStr">
        <is>
          <t>4</t>
        </is>
      </c>
      <c r="I1386" s="14" t="inlineStr">
        <is>
          <t>116.70</t>
        </is>
      </c>
      <c r="J1386" s="15" t="inlineStr">
        <is>
          <t>0.09</t>
        </is>
      </c>
      <c r="K1386" s="14" t="inlineStr">
        <is>
          <t>51.35</t>
        </is>
      </c>
      <c r="L1386" s="13" t="inlineStr">
        <is>
          <t>5</t>
        </is>
      </c>
      <c r="M1386" s="13" t="inlineStr">
        <is>
          <t>Completed</t>
        </is>
      </c>
      <c r="N1386" s="13" t="inlineStr">
        <is>
          <t>J. Patel</t>
        </is>
      </c>
    </row>
    <row r="1387">
      <c r="A1387" s="13" t="inlineStr">
        <is>
          <t>HC-101385</t>
        </is>
      </c>
      <c r="B1387" s="13" t="inlineStr">
        <is>
          <t>21-Jul-25</t>
        </is>
      </c>
      <c r="C1387" s="13" t="inlineStr">
        <is>
          <t>North</t>
        </is>
      </c>
      <c r="D1387" s="13" t="inlineStr">
        <is>
          <t>In-Store</t>
        </is>
      </c>
      <c r="E1387" s="13" t="inlineStr">
        <is>
          <t>Textiles</t>
        </is>
      </c>
      <c r="F1387" s="13" t="inlineStr">
        <is>
          <t>Wool Throw</t>
        </is>
      </c>
      <c r="G1387" s="13" t="inlineStr">
        <is>
          <t>Consumer</t>
        </is>
      </c>
      <c r="H1387" s="13" t="inlineStr">
        <is>
          <t>3</t>
        </is>
      </c>
      <c r="I1387" s="14" t="inlineStr">
        <is>
          <t>79.23</t>
        </is>
      </c>
      <c r="J1387" s="15" t="inlineStr">
        <is>
          <t>0.12</t>
        </is>
      </c>
      <c r="K1387" s="14" t="inlineStr">
        <is>
          <t>33.28</t>
        </is>
      </c>
      <c r="L1387" s="13" t="inlineStr">
        <is>
          <t>5</t>
        </is>
      </c>
      <c r="M1387" s="13" t="inlineStr">
        <is>
          <t>Returned</t>
        </is>
      </c>
      <c r="N1387" s="13" t="inlineStr">
        <is>
          <t>J. Patel</t>
        </is>
      </c>
    </row>
    <row r="1388">
      <c r="A1388" s="13" t="inlineStr">
        <is>
          <t>HC-101386</t>
        </is>
      </c>
      <c r="B1388" s="13" t="inlineStr">
        <is>
          <t>2024/05/25</t>
        </is>
      </c>
      <c r="C1388" s="13" t="inlineStr">
        <is>
          <t>South</t>
        </is>
      </c>
      <c r="D1388" s="13" t="inlineStr">
        <is>
          <t>Online</t>
        </is>
      </c>
      <c r="E1388" s="13" t="inlineStr">
        <is>
          <t>Kitchen</t>
        </is>
      </c>
      <c r="F1388" s="13" t="inlineStr">
        <is>
          <t>Ceramic Set</t>
        </is>
      </c>
      <c r="G1388" s="13" t="inlineStr">
        <is>
          <t>Consumer</t>
        </is>
      </c>
      <c r="H1388" s="13" t="inlineStr">
        <is>
          <t>3</t>
        </is>
      </c>
      <c r="I1388" s="14" t="inlineStr">
        <is>
          <t>89.26</t>
        </is>
      </c>
      <c r="J1388" s="15" t="inlineStr">
        <is>
          <t>0.02</t>
        </is>
      </c>
      <c r="K1388" s="14" t="inlineStr">
        <is>
          <t>33.92</t>
        </is>
      </c>
      <c r="L1388" s="13" t="inlineStr">
        <is>
          <t>8</t>
        </is>
      </c>
      <c r="M1388" s="13" t="inlineStr">
        <is>
          <t>Completed</t>
        </is>
      </c>
      <c r="N1388" s="13" t="inlineStr">
        <is>
          <t>S. Nguyen</t>
        </is>
      </c>
    </row>
    <row r="1389">
      <c r="A1389" s="13" t="inlineStr">
        <is>
          <t>HC-101387</t>
        </is>
      </c>
      <c r="B1389" s="13" t="inlineStr">
        <is>
          <t>06.07.2024</t>
        </is>
      </c>
      <c r="C1389" s="13" t="inlineStr">
        <is>
          <t>East</t>
        </is>
      </c>
      <c r="D1389" s="13" t="inlineStr">
        <is>
          <t>In-Store</t>
        </is>
      </c>
      <c r="E1389" s="13" t="inlineStr">
        <is>
          <t>Furniture</t>
        </is>
      </c>
      <c r="F1389" s="13" t="inlineStr">
        <is>
          <t>Lounge Chair</t>
        </is>
      </c>
      <c r="G1389" s="13" t="inlineStr">
        <is>
          <t>Home Office</t>
        </is>
      </c>
      <c r="H1389" s="13" t="inlineStr">
        <is>
          <t>2</t>
        </is>
      </c>
      <c r="I1389" s="14" t="inlineStr">
        <is>
          <t>455.79</t>
        </is>
      </c>
      <c r="J1389" s="15" t="inlineStr">
        <is>
          <t>0.06</t>
        </is>
      </c>
      <c r="K1389" s="14" t="inlineStr">
        <is>
          <t>273.47</t>
        </is>
      </c>
      <c r="L1389" s="13" t="inlineStr">
        <is>
          <t>7</t>
        </is>
      </c>
      <c r="M1389" s="13" t="inlineStr">
        <is>
          <t>Completed</t>
        </is>
      </c>
      <c r="N1389" s="13" t="inlineStr">
        <is>
          <t>K. Mensah</t>
        </is>
      </c>
    </row>
    <row r="1390">
      <c r="A1390" s="13" t="inlineStr">
        <is>
          <t>HC-101388</t>
        </is>
      </c>
      <c r="B1390" s="13" t="inlineStr">
        <is>
          <t>05/10/2025</t>
        </is>
      </c>
      <c r="C1390" s="13" t="inlineStr">
        <is>
          <t>East</t>
        </is>
      </c>
      <c r="D1390" s="13" t="inlineStr">
        <is>
          <t>Store</t>
        </is>
      </c>
      <c r="E1390" s="13" t="inlineStr">
        <is>
          <t>Textiles</t>
        </is>
      </c>
      <c r="F1390" s="13" t="inlineStr">
        <is>
          <t>Wool Throw</t>
        </is>
      </c>
      <c r="G1390" s="13" t="inlineStr">
        <is>
          <t>consumer</t>
        </is>
      </c>
      <c r="H1390" s="13" t="inlineStr">
        <is>
          <t>1</t>
        </is>
      </c>
      <c r="I1390" s="14" t="inlineStr">
        <is>
          <t>64.69</t>
        </is>
      </c>
      <c r="J1390" s="15" t="inlineStr">
        <is>
          <t>0.10</t>
        </is>
      </c>
      <c r="K1390" s="14" t="inlineStr">
        <is>
          <t>27.17</t>
        </is>
      </c>
      <c r="L1390" s="13" t="inlineStr">
        <is>
          <t>7</t>
        </is>
      </c>
      <c r="M1390" s="13" t="inlineStr">
        <is>
          <t>Returned</t>
        </is>
      </c>
      <c r="N1390" s="13" t="inlineStr">
        <is>
          <t>P. Rossi</t>
        </is>
      </c>
    </row>
    <row r="1391">
      <c r="A1391" s="13" t="inlineStr">
        <is>
          <t>HC-101389</t>
        </is>
      </c>
      <c r="B1391" s="13" t="inlineStr">
        <is>
          <t>05-Jun-25</t>
        </is>
      </c>
      <c r="C1391" s="13" t="inlineStr">
        <is>
          <t>West</t>
        </is>
      </c>
      <c r="D1391" s="13" t="inlineStr">
        <is>
          <t>web</t>
        </is>
      </c>
      <c r="E1391" s="13" t="inlineStr">
        <is>
          <t>Kitchen</t>
        </is>
      </c>
      <c r="F1391" s="13" t="inlineStr">
        <is>
          <t>Cast Skillet</t>
        </is>
      </c>
      <c r="G1391" s="13" t="inlineStr">
        <is>
          <t>Home Office</t>
        </is>
      </c>
      <c r="H1391" s="13" t="inlineStr">
        <is>
          <t>1</t>
        </is>
      </c>
      <c r="I1391" s="14" t="inlineStr">
        <is>
          <t>54.83</t>
        </is>
      </c>
      <c r="J1391" s="15" t="inlineStr">
        <is>
          <t>0.04</t>
        </is>
      </c>
      <c r="K1391" s="14" t="inlineStr">
        <is>
          <t>21.93</t>
        </is>
      </c>
      <c r="L1391" s="13" t="inlineStr">
        <is>
          <t>7</t>
        </is>
      </c>
      <c r="M1391" s="13" t="inlineStr">
        <is>
          <t>Completed</t>
        </is>
      </c>
      <c r="N1391" s="13" t="inlineStr">
        <is>
          <t>R. Ibarra</t>
        </is>
      </c>
    </row>
    <row r="1392">
      <c r="A1392" s="13" t="inlineStr">
        <is>
          <t>HC-101390</t>
        </is>
      </c>
      <c r="B1392" s="13" t="inlineStr">
        <is>
          <t>2025/02/04</t>
        </is>
      </c>
      <c r="C1392" s="13" t="inlineStr">
        <is>
          <t>South</t>
        </is>
      </c>
      <c r="D1392" s="13" t="inlineStr">
        <is>
          <t>In-Store</t>
        </is>
      </c>
      <c r="E1392" s="13" t="inlineStr">
        <is>
          <t>Textiles</t>
        </is>
      </c>
      <c r="F1392" s="13" t="inlineStr">
        <is>
          <t>Wool Throw</t>
        </is>
      </c>
      <c r="G1392" s="13" t="inlineStr">
        <is>
          <t>Consumer</t>
        </is>
      </c>
      <c r="H1392" s="13" t="inlineStr">
        <is>
          <t>2</t>
        </is>
      </c>
      <c r="I1392" s="14" t="inlineStr">
        <is>
          <t>74.80</t>
        </is>
      </c>
      <c r="J1392" s="15" t="inlineStr">
        <is>
          <t>0.02</t>
        </is>
      </c>
      <c r="K1392" s="14" t="inlineStr">
        <is>
          <t>31.42</t>
        </is>
      </c>
      <c r="L1392" s="13" t="inlineStr">
        <is>
          <t>9</t>
        </is>
      </c>
      <c r="M1392" s="13" t="inlineStr">
        <is>
          <t>COMPLETED</t>
        </is>
      </c>
      <c r="N1392" s="13" t="inlineStr">
        <is>
          <t>J. Patel</t>
        </is>
      </c>
    </row>
    <row r="1393">
      <c r="A1393" s="13" t="inlineStr">
        <is>
          <t>HC-101391</t>
        </is>
      </c>
      <c r="B1393" s="13" t="inlineStr">
        <is>
          <t>30.10.2024</t>
        </is>
      </c>
      <c r="C1393" s="13" t="inlineStr">
        <is>
          <t>West</t>
        </is>
      </c>
      <c r="D1393" s="13" t="inlineStr">
        <is>
          <t>Online</t>
        </is>
      </c>
      <c r="E1393" s="13" t="inlineStr">
        <is>
          <t>Kitchen</t>
        </is>
      </c>
      <c r="F1393" s="13" t="inlineStr">
        <is>
          <t>Chef Knife</t>
        </is>
      </c>
      <c r="G1393" s="13" t="inlineStr">
        <is>
          <t>Corporate</t>
        </is>
      </c>
      <c r="H1393" s="13" t="inlineStr">
        <is>
          <t>1</t>
        </is>
      </c>
      <c r="I1393" s="14" t="inlineStr">
        <is>
          <t>60.71</t>
        </is>
      </c>
      <c r="J1393" s="15" t="inlineStr">
        <is>
          <t>0.09</t>
        </is>
      </c>
      <c r="K1393" s="14" t="inlineStr">
        <is>
          <t>21.86</t>
        </is>
      </c>
      <c r="L1393" s="13" t="inlineStr">
        <is>
          <t>2</t>
        </is>
      </c>
      <c r="M1393" s="13" t="inlineStr">
        <is>
          <t>Completed</t>
        </is>
      </c>
      <c r="N1393" s="13" t="inlineStr">
        <is>
          <t>M. Okonkwo</t>
        </is>
      </c>
    </row>
    <row r="1394">
      <c r="A1394" s="13" t="inlineStr">
        <is>
          <t>HC-101392</t>
        </is>
      </c>
      <c r="B1394" s="13" t="inlineStr">
        <is>
          <t>04/14/2024</t>
        </is>
      </c>
      <c r="C1394" s="13" t="inlineStr">
        <is>
          <t>West</t>
        </is>
      </c>
      <c r="D1394" s="13" t="inlineStr">
        <is>
          <t>Store</t>
        </is>
      </c>
      <c r="E1394" s="13" t="inlineStr">
        <is>
          <t>Furniture</t>
        </is>
      </c>
      <c r="F1394" s="13" t="inlineStr">
        <is>
          <t>Walnut Shelf</t>
        </is>
      </c>
      <c r="G1394" s="13" t="inlineStr">
        <is>
          <t>Consumer</t>
        </is>
      </c>
      <c r="H1394" s="13" t="inlineStr">
        <is>
          <t>2</t>
        </is>
      </c>
      <c r="I1394" s="14" t="inlineStr">
        <is>
          <t>213.22</t>
        </is>
      </c>
      <c r="J1394" s="15" t="inlineStr">
        <is>
          <t>0.10</t>
        </is>
      </c>
      <c r="K1394" s="14" t="inlineStr">
        <is>
          <t>117.27</t>
        </is>
      </c>
      <c r="L1394" s="13" t="inlineStr">
        <is>
          <t>7</t>
        </is>
      </c>
      <c r="M1394" s="13" t="inlineStr">
        <is>
          <t>Completed</t>
        </is>
      </c>
      <c r="N1394" s="13" t="inlineStr">
        <is>
          <t>S. Nguyen</t>
        </is>
      </c>
    </row>
    <row r="1395">
      <c r="A1395" s="13" t="inlineStr">
        <is>
          <t>HC-101393</t>
        </is>
      </c>
      <c r="B1395" s="13" t="inlineStr">
        <is>
          <t>12-Dec-24</t>
        </is>
      </c>
      <c r="C1395" s="13" t="inlineStr">
        <is>
          <t>SOUTH</t>
        </is>
      </c>
      <c r="D1395" s="13" t="inlineStr">
        <is>
          <t>Store</t>
        </is>
      </c>
      <c r="E1395" s="13" t="inlineStr">
        <is>
          <t>Lighting</t>
        </is>
      </c>
      <c r="F1395" s="13" t="inlineStr">
        <is>
          <t>Pendant Light</t>
        </is>
      </c>
      <c r="G1395" s="13" t="inlineStr">
        <is>
          <t>Consumer</t>
        </is>
      </c>
      <c r="H1395" s="13" t="inlineStr">
        <is>
          <t>2</t>
        </is>
      </c>
      <c r="I1395" s="14" t="inlineStr">
        <is>
          <t>193.26</t>
        </is>
      </c>
      <c r="J1395" s="15" t="inlineStr">
        <is>
          <t>0.12</t>
        </is>
      </c>
      <c r="K1395" s="14" t="inlineStr">
        <is>
          <t>96.63</t>
        </is>
      </c>
      <c r="L1395" s="13" t="inlineStr">
        <is>
          <t>6</t>
        </is>
      </c>
      <c r="M1395" s="13" t="inlineStr">
        <is>
          <t>Returned</t>
        </is>
      </c>
      <c r="N1395" s="13" t="inlineStr">
        <is>
          <t>K. Mensah</t>
        </is>
      </c>
    </row>
    <row r="1396">
      <c r="A1396" s="13" t="inlineStr">
        <is>
          <t>HC-101394</t>
        </is>
      </c>
      <c r="B1396" s="13" t="inlineStr">
        <is>
          <t>2024/11/19</t>
        </is>
      </c>
      <c r="C1396" s="13" t="inlineStr">
        <is>
          <t>west</t>
        </is>
      </c>
      <c r="D1396" s="13" t="inlineStr">
        <is>
          <t>Wholesale</t>
        </is>
      </c>
      <c r="E1396" s="13" t="inlineStr">
        <is>
          <t>Furniture</t>
        </is>
      </c>
      <c r="F1396" s="13" t="inlineStr">
        <is>
          <t>Walnut Shelf</t>
        </is>
      </c>
      <c r="G1396" s="13" t="inlineStr">
        <is>
          <t>Consumer</t>
        </is>
      </c>
      <c r="H1396" s="13" t="inlineStr">
        <is>
          <t>29</t>
        </is>
      </c>
      <c r="I1396" s="14" t="inlineStr">
        <is>
          <t>$235.87</t>
        </is>
      </c>
      <c r="J1396" s="15" t="inlineStr">
        <is>
          <t>0.29</t>
        </is>
      </c>
      <c r="K1396" s="14" t="inlineStr">
        <is>
          <t>129.73</t>
        </is>
      </c>
      <c r="L1396" s="13" t="inlineStr">
        <is>
          <t>8</t>
        </is>
      </c>
      <c r="M1396" s="13" t="inlineStr">
        <is>
          <t>Completed</t>
        </is>
      </c>
      <c r="N1396" s="13" t="inlineStr">
        <is>
          <t>M. Okonkwo</t>
        </is>
      </c>
    </row>
    <row r="1397">
      <c r="A1397" s="13" t="inlineStr">
        <is>
          <t>HC-101395</t>
        </is>
      </c>
      <c r="B1397" s="13" t="inlineStr">
        <is>
          <t>28.06.2024</t>
        </is>
      </c>
      <c r="C1397" s="13" t="inlineStr">
        <is>
          <t>South</t>
        </is>
      </c>
      <c r="D1397" s="13" t="inlineStr">
        <is>
          <t>Online</t>
        </is>
      </c>
      <c r="E1397" s="13" t="inlineStr">
        <is>
          <t>Textiles</t>
        </is>
      </c>
      <c r="F1397" s="13" t="inlineStr">
        <is>
          <t>Cotton Duvet</t>
        </is>
      </c>
      <c r="G1397" s="13" t="inlineStr"/>
      <c r="H1397" s="13" t="inlineStr">
        <is>
          <t>3</t>
        </is>
      </c>
      <c r="I1397" s="14" t="inlineStr">
        <is>
          <t>126.66</t>
        </is>
      </c>
      <c r="J1397" s="15" t="inlineStr">
        <is>
          <t>0.05</t>
        </is>
      </c>
      <c r="K1397" s="14" t="inlineStr">
        <is>
          <t>55.73</t>
        </is>
      </c>
      <c r="L1397" s="13" t="inlineStr">
        <is>
          <t>3</t>
        </is>
      </c>
      <c r="M1397" s="13" t="inlineStr">
        <is>
          <t>Completed</t>
        </is>
      </c>
      <c r="N1397" s="13" t="inlineStr">
        <is>
          <t>M. Okonkwo</t>
        </is>
      </c>
    </row>
    <row r="1398">
      <c r="A1398" s="13" t="inlineStr">
        <is>
          <t>HC-101396</t>
        </is>
      </c>
      <c r="B1398" s="13" t="inlineStr">
        <is>
          <t>09/30/2024</t>
        </is>
      </c>
      <c r="C1398" s="13" t="inlineStr">
        <is>
          <t>East</t>
        </is>
      </c>
      <c r="D1398" s="13" t="inlineStr">
        <is>
          <t>Online</t>
        </is>
      </c>
      <c r="E1398" s="13" t="inlineStr">
        <is>
          <t>Lighting</t>
        </is>
      </c>
      <c r="F1398" s="13" t="inlineStr">
        <is>
          <t>Pendant Light</t>
        </is>
      </c>
      <c r="G1398" s="13" t="inlineStr">
        <is>
          <t>Consumer</t>
        </is>
      </c>
      <c r="H1398" s="13" t="inlineStr">
        <is>
          <t>3</t>
        </is>
      </c>
      <c r="I1398" s="14" t="inlineStr">
        <is>
          <t>158.03</t>
        </is>
      </c>
      <c r="J1398" s="15" t="inlineStr">
        <is>
          <t>0.10</t>
        </is>
      </c>
      <c r="K1398" s="14" t="inlineStr">
        <is>
          <t>79.01</t>
        </is>
      </c>
      <c r="L1398" s="13" t="inlineStr">
        <is>
          <t>7</t>
        </is>
      </c>
      <c r="M1398" s="13" t="inlineStr">
        <is>
          <t>Completed</t>
        </is>
      </c>
      <c r="N1398" s="13" t="inlineStr">
        <is>
          <t>R. Ibarra</t>
        </is>
      </c>
    </row>
    <row r="1399">
      <c r="A1399" s="13" t="inlineStr">
        <is>
          <t>HC-101397</t>
        </is>
      </c>
      <c r="B1399" s="13" t="inlineStr">
        <is>
          <t>18-Sep-25</t>
        </is>
      </c>
      <c r="C1399" s="13" t="inlineStr">
        <is>
          <t xml:space="preserve"> west </t>
        </is>
      </c>
      <c r="D1399" s="13" t="inlineStr">
        <is>
          <t>Online</t>
        </is>
      </c>
      <c r="E1399" s="13" t="inlineStr">
        <is>
          <t>Textiles</t>
        </is>
      </c>
      <c r="F1399" s="13" t="inlineStr">
        <is>
          <t>Wool Throw</t>
        </is>
      </c>
      <c r="G1399" s="13" t="inlineStr">
        <is>
          <t>Consumer</t>
        </is>
      </c>
      <c r="H1399" s="13" t="inlineStr">
        <is>
          <t>2</t>
        </is>
      </c>
      <c r="I1399" s="14" t="inlineStr">
        <is>
          <t>78.60</t>
        </is>
      </c>
      <c r="J1399" s="15" t="inlineStr">
        <is>
          <t>0.08</t>
        </is>
      </c>
      <c r="K1399" s="14" t="inlineStr">
        <is>
          <t>33.01</t>
        </is>
      </c>
      <c r="L1399" s="13" t="inlineStr">
        <is>
          <t>6</t>
        </is>
      </c>
      <c r="M1399" s="13" t="inlineStr">
        <is>
          <t>Completed</t>
        </is>
      </c>
      <c r="N1399" s="13" t="inlineStr">
        <is>
          <t>R. Ibarra</t>
        </is>
      </c>
    </row>
    <row r="1400">
      <c r="A1400" s="13" t="inlineStr">
        <is>
          <t>HC-101398</t>
        </is>
      </c>
      <c r="B1400" s="13" t="inlineStr">
        <is>
          <t>2025/05/23</t>
        </is>
      </c>
      <c r="C1400" s="13" t="inlineStr">
        <is>
          <t>SOUTH</t>
        </is>
      </c>
      <c r="D1400" s="13" t="inlineStr">
        <is>
          <t>web</t>
        </is>
      </c>
      <c r="E1400" s="13" t="inlineStr">
        <is>
          <t>Textiles</t>
        </is>
      </c>
      <c r="F1400" s="13" t="inlineStr">
        <is>
          <t>Wool Throw</t>
        </is>
      </c>
      <c r="G1400" s="13" t="inlineStr">
        <is>
          <t>consumer</t>
        </is>
      </c>
      <c r="H1400" s="13" t="inlineStr">
        <is>
          <t>3</t>
        </is>
      </c>
      <c r="I1400" s="14" t="inlineStr">
        <is>
          <t>$71.23</t>
        </is>
      </c>
      <c r="J1400" s="15" t="inlineStr">
        <is>
          <t>11%</t>
        </is>
      </c>
      <c r="K1400" s="14" t="inlineStr">
        <is>
          <t>29.91</t>
        </is>
      </c>
      <c r="L1400" s="13" t="inlineStr">
        <is>
          <t>8</t>
        </is>
      </c>
      <c r="M1400" s="13" t="inlineStr">
        <is>
          <t>Completed</t>
        </is>
      </c>
      <c r="N1400" s="13" t="inlineStr">
        <is>
          <t>L. Berger</t>
        </is>
      </c>
    </row>
    <row r="1401">
      <c r="A1401" s="13" t="inlineStr">
        <is>
          <t>HC-101399</t>
        </is>
      </c>
      <c r="B1401" s="13" t="inlineStr">
        <is>
          <t>27.03.2024</t>
        </is>
      </c>
      <c r="C1401" s="13" t="inlineStr">
        <is>
          <t>West</t>
        </is>
      </c>
      <c r="D1401" s="13" t="inlineStr">
        <is>
          <t>Online</t>
        </is>
      </c>
      <c r="E1401" s="13" t="inlineStr">
        <is>
          <t>Furniture</t>
        </is>
      </c>
      <c r="F1401" s="13" t="inlineStr">
        <is>
          <t>Oak Desk</t>
        </is>
      </c>
      <c r="G1401" s="13" t="inlineStr">
        <is>
          <t>Consumer</t>
        </is>
      </c>
      <c r="H1401" s="13" t="inlineStr">
        <is>
          <t>3</t>
        </is>
      </c>
      <c r="I1401" s="14" t="inlineStr">
        <is>
          <t>819.95</t>
        </is>
      </c>
      <c r="J1401" s="15" t="inlineStr">
        <is>
          <t>0.10</t>
        </is>
      </c>
      <c r="K1401" s="14" t="inlineStr">
        <is>
          <t>508.37</t>
        </is>
      </c>
      <c r="L1401" s="13" t="inlineStr">
        <is>
          <t>4</t>
        </is>
      </c>
      <c r="M1401" s="13" t="inlineStr">
        <is>
          <t>Completed</t>
        </is>
      </c>
      <c r="N1401" s="13" t="inlineStr">
        <is>
          <t>K. Mensah</t>
        </is>
      </c>
    </row>
    <row r="1402">
      <c r="A1402" s="13" t="inlineStr">
        <is>
          <t>HC-101400</t>
        </is>
      </c>
      <c r="B1402" s="13" t="inlineStr">
        <is>
          <t>10/29/2024</t>
        </is>
      </c>
      <c r="C1402" s="13" t="inlineStr">
        <is>
          <t>South</t>
        </is>
      </c>
      <c r="D1402" s="13" t="inlineStr">
        <is>
          <t>Online</t>
        </is>
      </c>
      <c r="E1402" s="13" t="inlineStr">
        <is>
          <t>Textiles</t>
        </is>
      </c>
      <c r="F1402" s="13" t="inlineStr">
        <is>
          <t>Wool Throw</t>
        </is>
      </c>
      <c r="G1402" s="13" t="inlineStr">
        <is>
          <t>Consumer</t>
        </is>
      </c>
      <c r="H1402" s="13" t="inlineStr">
        <is>
          <t>3</t>
        </is>
      </c>
      <c r="I1402" s="14" t="inlineStr">
        <is>
          <t>$74.61</t>
        </is>
      </c>
      <c r="J1402" s="15" t="inlineStr">
        <is>
          <t>0.03</t>
        </is>
      </c>
      <c r="K1402" s="14" t="inlineStr">
        <is>
          <t>31.34</t>
        </is>
      </c>
      <c r="L1402" s="13" t="inlineStr">
        <is>
          <t>5</t>
        </is>
      </c>
      <c r="M1402" s="13" t="inlineStr">
        <is>
          <t>Completed</t>
        </is>
      </c>
      <c r="N1402" s="13" t="inlineStr">
        <is>
          <t>J. Patel</t>
        </is>
      </c>
    </row>
    <row r="1403">
      <c r="A1403" s="13" t="inlineStr">
        <is>
          <t>HC-101401</t>
        </is>
      </c>
      <c r="B1403" s="13" t="inlineStr">
        <is>
          <t>16-Oct-24</t>
        </is>
      </c>
      <c r="C1403" s="13" t="inlineStr">
        <is>
          <t>South</t>
        </is>
      </c>
      <c r="D1403" s="13" t="inlineStr">
        <is>
          <t>Online</t>
        </is>
      </c>
      <c r="E1403" s="13" t="inlineStr">
        <is>
          <t>Textiles</t>
        </is>
      </c>
      <c r="F1403" s="13" t="inlineStr">
        <is>
          <t>Linen Curtain</t>
        </is>
      </c>
      <c r="G1403" s="13" t="inlineStr">
        <is>
          <t>Consumer</t>
        </is>
      </c>
      <c r="H1403" s="13" t="inlineStr">
        <is>
          <t>2</t>
        </is>
      </c>
      <c r="I1403" s="14" t="inlineStr">
        <is>
          <t>93.37</t>
        </is>
      </c>
      <c r="J1403" s="15" t="inlineStr">
        <is>
          <t>0.17</t>
        </is>
      </c>
      <c r="K1403" s="14" t="inlineStr">
        <is>
          <t>42.02</t>
        </is>
      </c>
      <c r="L1403" s="13" t="inlineStr">
        <is>
          <t>3</t>
        </is>
      </c>
      <c r="M1403" s="13" t="inlineStr">
        <is>
          <t>COMPLETED</t>
        </is>
      </c>
      <c r="N1403" s="13" t="inlineStr">
        <is>
          <t>J. Patel</t>
        </is>
      </c>
    </row>
    <row r="1404">
      <c r="A1404" s="13" t="inlineStr">
        <is>
          <t>HC-101402</t>
        </is>
      </c>
      <c r="B1404" s="13" t="inlineStr">
        <is>
          <t>2025/09/28</t>
        </is>
      </c>
      <c r="C1404" s="13" t="inlineStr">
        <is>
          <t>North</t>
        </is>
      </c>
      <c r="D1404" s="13" t="inlineStr">
        <is>
          <t>Online</t>
        </is>
      </c>
      <c r="E1404" s="13" t="inlineStr">
        <is>
          <t>Furniture</t>
        </is>
      </c>
      <c r="F1404" s="13" t="inlineStr">
        <is>
          <t>Oak Desk</t>
        </is>
      </c>
      <c r="G1404" s="13" t="inlineStr">
        <is>
          <t>Consumer</t>
        </is>
      </c>
      <c r="H1404" s="13" t="inlineStr">
        <is>
          <t>2</t>
        </is>
      </c>
      <c r="I1404" s="14" t="inlineStr">
        <is>
          <t>828.53</t>
        </is>
      </c>
      <c r="J1404" s="15" t="inlineStr">
        <is>
          <t>0.14</t>
        </is>
      </c>
      <c r="K1404" s="14" t="inlineStr">
        <is>
          <t>513.69</t>
        </is>
      </c>
      <c r="L1404" s="13" t="inlineStr">
        <is>
          <t>N/A</t>
        </is>
      </c>
      <c r="M1404" s="13" t="inlineStr">
        <is>
          <t>Completed</t>
        </is>
      </c>
      <c r="N1404" s="13" t="inlineStr">
        <is>
          <t>P. Rossi</t>
        </is>
      </c>
    </row>
    <row r="1405">
      <c r="A1405" s="13" t="inlineStr">
        <is>
          <t>HC-101403</t>
        </is>
      </c>
      <c r="B1405" s="13" t="inlineStr">
        <is>
          <t>09.09.2024</t>
        </is>
      </c>
      <c r="C1405" s="13" t="inlineStr">
        <is>
          <t>West</t>
        </is>
      </c>
      <c r="D1405" s="13" t="inlineStr">
        <is>
          <t>Store</t>
        </is>
      </c>
      <c r="E1405" s="13" t="inlineStr">
        <is>
          <t>Textiles</t>
        </is>
      </c>
      <c r="F1405" s="13" t="inlineStr">
        <is>
          <t>Cotton Duvet</t>
        </is>
      </c>
      <c r="G1405" s="13" t="inlineStr">
        <is>
          <t>Consumer</t>
        </is>
      </c>
      <c r="H1405" s="13" t="inlineStr">
        <is>
          <t>4</t>
        </is>
      </c>
      <c r="I1405" s="14" t="inlineStr">
        <is>
          <t>124.50</t>
        </is>
      </c>
      <c r="J1405" s="15" t="inlineStr">
        <is>
          <t>0.09</t>
        </is>
      </c>
      <c r="K1405" s="14" t="inlineStr">
        <is>
          <t>54.78</t>
        </is>
      </c>
      <c r="L1405" s="13" t="inlineStr">
        <is>
          <t>5</t>
        </is>
      </c>
      <c r="M1405" s="13" t="inlineStr">
        <is>
          <t>Completed</t>
        </is>
      </c>
      <c r="N1405" s="13" t="inlineStr">
        <is>
          <t>R. Ibarra</t>
        </is>
      </c>
    </row>
    <row r="1406">
      <c r="A1406" s="13" t="inlineStr">
        <is>
          <t>HC-101404</t>
        </is>
      </c>
      <c r="B1406" s="13" t="inlineStr">
        <is>
          <t>11/08/2024</t>
        </is>
      </c>
      <c r="C1406" s="13" t="inlineStr">
        <is>
          <t>East</t>
        </is>
      </c>
      <c r="D1406" s="13" t="inlineStr">
        <is>
          <t>In-Store</t>
        </is>
      </c>
      <c r="E1406" s="13" t="inlineStr">
        <is>
          <t>Furniture</t>
        </is>
      </c>
      <c r="F1406" s="13" t="inlineStr">
        <is>
          <t>Lounge Chair</t>
        </is>
      </c>
      <c r="G1406" s="13" t="inlineStr">
        <is>
          <t>Consumer</t>
        </is>
      </c>
      <c r="H1406" s="13" t="inlineStr">
        <is>
          <t>2</t>
        </is>
      </c>
      <c r="I1406" s="14" t="inlineStr">
        <is>
          <t>414.33</t>
        </is>
      </c>
      <c r="J1406" s="15" t="inlineStr">
        <is>
          <t>0.04</t>
        </is>
      </c>
      <c r="K1406" s="14" t="inlineStr">
        <is>
          <t>248.60</t>
        </is>
      </c>
      <c r="L1406" s="13" t="inlineStr">
        <is>
          <t>9</t>
        </is>
      </c>
      <c r="M1406" s="13" t="inlineStr">
        <is>
          <t>Completed</t>
        </is>
      </c>
      <c r="N1406" s="13" t="inlineStr">
        <is>
          <t>M. Okonkwo</t>
        </is>
      </c>
    </row>
    <row r="1407">
      <c r="A1407" s="13" t="inlineStr">
        <is>
          <t>HC-101405</t>
        </is>
      </c>
      <c r="B1407" s="13" t="inlineStr">
        <is>
          <t>15-May-25</t>
        </is>
      </c>
      <c r="C1407" s="13" t="inlineStr">
        <is>
          <t>North</t>
        </is>
      </c>
      <c r="D1407" s="13" t="inlineStr">
        <is>
          <t>Store</t>
        </is>
      </c>
      <c r="E1407" s="13" t="inlineStr">
        <is>
          <t>Kitchen</t>
        </is>
      </c>
      <c r="F1407" s="13" t="inlineStr">
        <is>
          <t>Chef Knife</t>
        </is>
      </c>
      <c r="G1407" s="13" t="inlineStr">
        <is>
          <t>Consumer</t>
        </is>
      </c>
      <c r="H1407" s="13" t="inlineStr">
        <is>
          <t>1</t>
        </is>
      </c>
      <c r="I1407" s="14" t="inlineStr">
        <is>
          <t>59.52</t>
        </is>
      </c>
      <c r="J1407" s="15" t="inlineStr">
        <is>
          <t>0.10</t>
        </is>
      </c>
      <c r="K1407" s="14" t="inlineStr">
        <is>
          <t>21.43</t>
        </is>
      </c>
      <c r="L1407" s="13" t="inlineStr">
        <is>
          <t>4</t>
        </is>
      </c>
      <c r="M1407" s="13" t="inlineStr">
        <is>
          <t>Returned</t>
        </is>
      </c>
      <c r="N1407" s="13" t="inlineStr">
        <is>
          <t>P. Rossi</t>
        </is>
      </c>
    </row>
    <row r="1408">
      <c r="A1408" s="13" t="inlineStr">
        <is>
          <t>HC-101406</t>
        </is>
      </c>
      <c r="B1408" s="13" t="inlineStr">
        <is>
          <t>2024/10/11</t>
        </is>
      </c>
      <c r="C1408" s="13" t="inlineStr">
        <is>
          <t>South</t>
        </is>
      </c>
      <c r="D1408" s="13" t="inlineStr">
        <is>
          <t>Store</t>
        </is>
      </c>
      <c r="E1408" s="13" t="inlineStr">
        <is>
          <t>Furniture</t>
        </is>
      </c>
      <c r="F1408" s="13" t="inlineStr">
        <is>
          <t>Walnut Shelf</t>
        </is>
      </c>
      <c r="G1408" s="13" t="inlineStr">
        <is>
          <t>Consumer</t>
        </is>
      </c>
      <c r="H1408" s="13" t="inlineStr">
        <is>
          <t>four</t>
        </is>
      </c>
      <c r="I1408" s="14" t="inlineStr">
        <is>
          <t>211.86</t>
        </is>
      </c>
      <c r="J1408" s="15" t="inlineStr">
        <is>
          <t>0.02</t>
        </is>
      </c>
      <c r="K1408" s="14" t="inlineStr">
        <is>
          <t>116.52</t>
        </is>
      </c>
      <c r="L1408" s="13" t="inlineStr">
        <is>
          <t>3</t>
        </is>
      </c>
      <c r="M1408" s="13" t="inlineStr">
        <is>
          <t>Completed</t>
        </is>
      </c>
      <c r="N1408" s="13" t="inlineStr">
        <is>
          <t>L. Berger</t>
        </is>
      </c>
    </row>
    <row r="1409">
      <c r="A1409" s="13" t="inlineStr">
        <is>
          <t>HC-101407</t>
        </is>
      </c>
      <c r="B1409" s="13" t="inlineStr">
        <is>
          <t>04.10.2024</t>
        </is>
      </c>
      <c r="C1409" s="13" t="inlineStr">
        <is>
          <t>West</t>
        </is>
      </c>
      <c r="D1409" s="13" t="inlineStr">
        <is>
          <t>Wholesale</t>
        </is>
      </c>
      <c r="E1409" s="13" t="inlineStr">
        <is>
          <t>TEXTILES</t>
        </is>
      </c>
      <c r="F1409" s="13" t="inlineStr">
        <is>
          <t>Wool Throw</t>
        </is>
      </c>
      <c r="G1409" s="13" t="inlineStr"/>
      <c r="H1409" s="13" t="inlineStr">
        <is>
          <t>10</t>
        </is>
      </c>
      <c r="I1409" s="14" t="inlineStr">
        <is>
          <t>71.84</t>
        </is>
      </c>
      <c r="J1409" s="15" t="inlineStr">
        <is>
          <t>0.22</t>
        </is>
      </c>
      <c r="K1409" s="14" t="inlineStr">
        <is>
          <t>30.17</t>
        </is>
      </c>
      <c r="L1409" s="13" t="inlineStr">
        <is>
          <t>3</t>
        </is>
      </c>
      <c r="M1409" s="13" t="inlineStr">
        <is>
          <t>RETURNED</t>
        </is>
      </c>
      <c r="N1409" s="13" t="inlineStr">
        <is>
          <t>K. Mensah</t>
        </is>
      </c>
    </row>
    <row r="1410">
      <c r="A1410" s="13" t="inlineStr">
        <is>
          <t>HC-101408</t>
        </is>
      </c>
      <c r="B1410" s="13" t="inlineStr">
        <is>
          <t>09/20/2024</t>
        </is>
      </c>
      <c r="C1410" s="13" t="inlineStr">
        <is>
          <t>West</t>
        </is>
      </c>
      <c r="D1410" s="13" t="inlineStr">
        <is>
          <t>Wholesale</t>
        </is>
      </c>
      <c r="E1410" s="13" t="inlineStr">
        <is>
          <t>Textiles</t>
        </is>
      </c>
      <c r="F1410" s="13" t="inlineStr">
        <is>
          <t>Linen Curtain</t>
        </is>
      </c>
      <c r="G1410" s="13" t="inlineStr">
        <is>
          <t>Consumer</t>
        </is>
      </c>
      <c r="H1410" s="13" t="inlineStr">
        <is>
          <t>35</t>
        </is>
      </c>
      <c r="I1410" s="14" t="inlineStr">
        <is>
          <t>98.72</t>
        </is>
      </c>
      <c r="J1410" s="15" t="inlineStr">
        <is>
          <t>0.26</t>
        </is>
      </c>
      <c r="K1410" s="14" t="inlineStr">
        <is>
          <t>44.42</t>
        </is>
      </c>
      <c r="L1410" s="13" t="inlineStr">
        <is>
          <t>N/A</t>
        </is>
      </c>
      <c r="M1410" s="13" t="inlineStr">
        <is>
          <t>Completed</t>
        </is>
      </c>
      <c r="N1410" s="13" t="inlineStr">
        <is>
          <t>A. Shah</t>
        </is>
      </c>
    </row>
    <row r="1411">
      <c r="A1411" s="13" t="inlineStr">
        <is>
          <t>HC-101409</t>
        </is>
      </c>
      <c r="B1411" s="13" t="inlineStr">
        <is>
          <t>24-Jun-24</t>
        </is>
      </c>
      <c r="C1411" s="13" t="inlineStr">
        <is>
          <t>North</t>
        </is>
      </c>
      <c r="D1411" s="13" t="inlineStr">
        <is>
          <t>Online</t>
        </is>
      </c>
      <c r="E1411" s="13" t="inlineStr">
        <is>
          <t>Furniture</t>
        </is>
      </c>
      <c r="F1411" s="13" t="inlineStr">
        <is>
          <t>Walnut Shelf</t>
        </is>
      </c>
      <c r="G1411" s="13" t="inlineStr">
        <is>
          <t>Consumer</t>
        </is>
      </c>
      <c r="H1411" s="13" t="inlineStr">
        <is>
          <t>2</t>
        </is>
      </c>
      <c r="I1411" s="14" t="inlineStr">
        <is>
          <t>208.24</t>
        </is>
      </c>
      <c r="J1411" s="15" t="inlineStr">
        <is>
          <t>0.06</t>
        </is>
      </c>
      <c r="K1411" s="14" t="inlineStr">
        <is>
          <t>114.53</t>
        </is>
      </c>
      <c r="L1411" s="13" t="inlineStr">
        <is>
          <t>5</t>
        </is>
      </c>
      <c r="M1411" s="13" t="inlineStr">
        <is>
          <t>Completed</t>
        </is>
      </c>
      <c r="N1411" s="13" t="inlineStr">
        <is>
          <t>R. Ibarra</t>
        </is>
      </c>
    </row>
    <row r="1412">
      <c r="A1412" s="13" t="inlineStr">
        <is>
          <t>HC-101410</t>
        </is>
      </c>
      <c r="B1412" s="13" t="inlineStr">
        <is>
          <t>2024/12/30</t>
        </is>
      </c>
      <c r="C1412" s="13" t="inlineStr">
        <is>
          <t>East</t>
        </is>
      </c>
      <c r="D1412" s="13" t="inlineStr">
        <is>
          <t>Store</t>
        </is>
      </c>
      <c r="E1412" s="13" t="inlineStr">
        <is>
          <t>Kitchen</t>
        </is>
      </c>
      <c r="F1412" s="13" t="inlineStr">
        <is>
          <t>Cast Skillet</t>
        </is>
      </c>
      <c r="G1412" s="13" t="inlineStr">
        <is>
          <t>Home Office</t>
        </is>
      </c>
      <c r="H1412" s="13" t="inlineStr">
        <is>
          <t>2</t>
        </is>
      </c>
      <c r="I1412" s="14" t="inlineStr">
        <is>
          <t>50.03</t>
        </is>
      </c>
      <c r="J1412" s="15" t="inlineStr">
        <is>
          <t>1%</t>
        </is>
      </c>
      <c r="K1412" s="14" t="inlineStr">
        <is>
          <t>20.01</t>
        </is>
      </c>
      <c r="L1412" s="13" t="inlineStr">
        <is>
          <t>N/A</t>
        </is>
      </c>
      <c r="M1412" s="13" t="inlineStr">
        <is>
          <t>Completed</t>
        </is>
      </c>
      <c r="N1412" s="13" t="inlineStr">
        <is>
          <t>K. Mensah</t>
        </is>
      </c>
    </row>
    <row r="1413">
      <c r="A1413" s="13" t="inlineStr">
        <is>
          <t>HC-101411</t>
        </is>
      </c>
      <c r="B1413" s="13" t="inlineStr">
        <is>
          <t>11.12.2024</t>
        </is>
      </c>
      <c r="C1413" s="13" t="inlineStr">
        <is>
          <t xml:space="preserve"> North </t>
        </is>
      </c>
      <c r="D1413" s="13" t="inlineStr">
        <is>
          <t>Online</t>
        </is>
      </c>
      <c r="E1413" s="13" t="inlineStr">
        <is>
          <t>Kitchen</t>
        </is>
      </c>
      <c r="F1413" s="13" t="inlineStr">
        <is>
          <t>Ceramic Set</t>
        </is>
      </c>
      <c r="G1413" s="13" t="inlineStr">
        <is>
          <t>Consumer</t>
        </is>
      </c>
      <c r="H1413" s="13" t="inlineStr">
        <is>
          <t>3</t>
        </is>
      </c>
      <c r="I1413" s="14" t="inlineStr">
        <is>
          <t>88.78</t>
        </is>
      </c>
      <c r="J1413" s="15" t="inlineStr">
        <is>
          <t>0.08</t>
        </is>
      </c>
      <c r="K1413" s="14" t="inlineStr">
        <is>
          <t>33.74</t>
        </is>
      </c>
      <c r="L1413" s="13" t="inlineStr">
        <is>
          <t>5</t>
        </is>
      </c>
      <c r="M1413" s="13" t="inlineStr">
        <is>
          <t>Completed</t>
        </is>
      </c>
      <c r="N1413" s="13" t="inlineStr">
        <is>
          <t>S. Nguyen</t>
        </is>
      </c>
    </row>
    <row r="1414">
      <c r="A1414" s="13" t="inlineStr">
        <is>
          <t>HC-101412</t>
        </is>
      </c>
      <c r="B1414" s="13" t="inlineStr">
        <is>
          <t>05/14/2024</t>
        </is>
      </c>
      <c r="C1414" s="13" t="inlineStr">
        <is>
          <t>North</t>
        </is>
      </c>
      <c r="D1414" s="13" t="inlineStr">
        <is>
          <t>Store</t>
        </is>
      </c>
      <c r="E1414" s="13" t="inlineStr">
        <is>
          <t>Furniture</t>
        </is>
      </c>
      <c r="F1414" s="13" t="inlineStr">
        <is>
          <t>Lounge Chair</t>
        </is>
      </c>
      <c r="G1414" s="13" t="inlineStr">
        <is>
          <t>Consumer</t>
        </is>
      </c>
      <c r="H1414" s="13" t="inlineStr">
        <is>
          <t>4</t>
        </is>
      </c>
      <c r="I1414" s="14" t="inlineStr">
        <is>
          <t>442.19</t>
        </is>
      </c>
      <c r="J1414" s="15" t="inlineStr">
        <is>
          <t>0.01</t>
        </is>
      </c>
      <c r="K1414" s="14" t="inlineStr">
        <is>
          <t>265.32</t>
        </is>
      </c>
      <c r="L1414" s="13" t="inlineStr">
        <is>
          <t>2</t>
        </is>
      </c>
      <c r="M1414" s="13" t="inlineStr">
        <is>
          <t>Compleated</t>
        </is>
      </c>
      <c r="N1414" s="13" t="inlineStr">
        <is>
          <t>P. Rossi</t>
        </is>
      </c>
    </row>
    <row r="1415">
      <c r="A1415" s="13" t="inlineStr">
        <is>
          <t>HC-101413</t>
        </is>
      </c>
      <c r="B1415" s="13" t="inlineStr">
        <is>
          <t>08-Aug-25</t>
        </is>
      </c>
      <c r="C1415" s="13" t="inlineStr">
        <is>
          <t>West</t>
        </is>
      </c>
      <c r="D1415" s="13" t="inlineStr">
        <is>
          <t>Online</t>
        </is>
      </c>
      <c r="E1415" s="13" t="inlineStr">
        <is>
          <t>Textiles</t>
        </is>
      </c>
      <c r="F1415" s="13" t="inlineStr">
        <is>
          <t>Cotton Duvet</t>
        </is>
      </c>
      <c r="G1415" s="13" t="inlineStr">
        <is>
          <t>Consumer</t>
        </is>
      </c>
      <c r="H1415" s="13" t="inlineStr">
        <is>
          <t>3</t>
        </is>
      </c>
      <c r="I1415" s="14" t="inlineStr">
        <is>
          <t>117.06</t>
        </is>
      </c>
      <c r="J1415" s="15" t="inlineStr">
        <is>
          <t>0.04</t>
        </is>
      </c>
      <c r="K1415" s="14" t="inlineStr">
        <is>
          <t>51.51</t>
        </is>
      </c>
      <c r="L1415" s="13" t="inlineStr">
        <is>
          <t>4</t>
        </is>
      </c>
      <c r="M1415" s="13" t="inlineStr">
        <is>
          <t>Completed</t>
        </is>
      </c>
      <c r="N1415" s="13" t="inlineStr">
        <is>
          <t>R. Ibarra</t>
        </is>
      </c>
    </row>
    <row r="1416">
      <c r="A1416" s="13" t="inlineStr">
        <is>
          <t>HC-101414</t>
        </is>
      </c>
      <c r="B1416" s="13" t="inlineStr">
        <is>
          <t>2024/12/01</t>
        </is>
      </c>
      <c r="C1416" s="13" t="inlineStr">
        <is>
          <t>North</t>
        </is>
      </c>
      <c r="D1416" s="13" t="inlineStr">
        <is>
          <t>Online</t>
        </is>
      </c>
      <c r="E1416" s="13" t="inlineStr">
        <is>
          <t>Lighting</t>
        </is>
      </c>
      <c r="F1416" s="13" t="inlineStr">
        <is>
          <t>Arc Lamp</t>
        </is>
      </c>
      <c r="G1416" s="13" t="inlineStr">
        <is>
          <t>Home Office</t>
        </is>
      </c>
      <c r="H1416" s="13" t="inlineStr">
        <is>
          <t>4</t>
        </is>
      </c>
      <c r="I1416" s="14" t="inlineStr">
        <is>
          <t>294.11</t>
        </is>
      </c>
      <c r="J1416" s="15" t="inlineStr">
        <is>
          <t>0.05</t>
        </is>
      </c>
      <c r="K1416" s="14" t="inlineStr">
        <is>
          <t>141.17</t>
        </is>
      </c>
      <c r="L1416" s="13" t="inlineStr">
        <is>
          <t>4</t>
        </is>
      </c>
      <c r="M1416" s="13" t="inlineStr">
        <is>
          <t>Cancelled</t>
        </is>
      </c>
      <c r="N1416" s="13" t="inlineStr">
        <is>
          <t>P. Rossi</t>
        </is>
      </c>
    </row>
    <row r="1417">
      <c r="A1417" s="13" t="inlineStr">
        <is>
          <t>HC-101415</t>
        </is>
      </c>
      <c r="B1417" s="13" t="inlineStr">
        <is>
          <t>28.01.2024</t>
        </is>
      </c>
      <c r="C1417" s="13" t="inlineStr">
        <is>
          <t>South</t>
        </is>
      </c>
      <c r="D1417" s="13" t="inlineStr">
        <is>
          <t>web</t>
        </is>
      </c>
      <c r="E1417" s="13" t="inlineStr">
        <is>
          <t>Textiles</t>
        </is>
      </c>
      <c r="F1417" s="13" t="inlineStr">
        <is>
          <t>Cotton Duvet</t>
        </is>
      </c>
      <c r="G1417" s="13" t="inlineStr">
        <is>
          <t>Consumer</t>
        </is>
      </c>
      <c r="H1417" s="13" t="inlineStr">
        <is>
          <t>3</t>
        </is>
      </c>
      <c r="I1417" s="14" t="inlineStr">
        <is>
          <t>114.95</t>
        </is>
      </c>
      <c r="J1417" s="15" t="inlineStr">
        <is>
          <t>0.03</t>
        </is>
      </c>
      <c r="K1417" s="14" t="inlineStr">
        <is>
          <t>50.58</t>
        </is>
      </c>
      <c r="L1417" s="13" t="inlineStr">
        <is>
          <t>8</t>
        </is>
      </c>
      <c r="M1417" s="13" t="inlineStr">
        <is>
          <t>Completed</t>
        </is>
      </c>
      <c r="N1417" s="13" t="inlineStr">
        <is>
          <t>P. Rossi</t>
        </is>
      </c>
    </row>
    <row r="1418">
      <c r="A1418" s="13" t="inlineStr">
        <is>
          <t>HC-101416</t>
        </is>
      </c>
      <c r="B1418" s="13" t="inlineStr">
        <is>
          <t>06/26/2024</t>
        </is>
      </c>
      <c r="C1418" s="13" t="inlineStr">
        <is>
          <t>South</t>
        </is>
      </c>
      <c r="D1418" s="13" t="inlineStr">
        <is>
          <t>Online</t>
        </is>
      </c>
      <c r="E1418" s="13" t="inlineStr">
        <is>
          <t>Kitchen</t>
        </is>
      </c>
      <c r="F1418" s="13" t="inlineStr">
        <is>
          <t>Chef Knife</t>
        </is>
      </c>
      <c r="G1418" s="13" t="inlineStr">
        <is>
          <t>Corporate</t>
        </is>
      </c>
      <c r="H1418" s="13" t="inlineStr">
        <is>
          <t>3</t>
        </is>
      </c>
      <c r="I1418" s="14" t="inlineStr">
        <is>
          <t>65.93</t>
        </is>
      </c>
      <c r="J1418" s="15" t="inlineStr">
        <is>
          <t>0.07</t>
        </is>
      </c>
      <c r="K1418" s="14" t="inlineStr">
        <is>
          <t>23.73</t>
        </is>
      </c>
      <c r="L1418" s="13" t="inlineStr">
        <is>
          <t>9</t>
        </is>
      </c>
      <c r="M1418" s="13" t="inlineStr">
        <is>
          <t>COMPLETED</t>
        </is>
      </c>
      <c r="N1418" s="13" t="inlineStr">
        <is>
          <t>A. Shah</t>
        </is>
      </c>
    </row>
    <row r="1419">
      <c r="A1419" s="13" t="inlineStr">
        <is>
          <t>HC-101417</t>
        </is>
      </c>
      <c r="B1419" s="13" t="inlineStr">
        <is>
          <t>05-Jul-24</t>
        </is>
      </c>
      <c r="C1419" s="13" t="inlineStr">
        <is>
          <t>North</t>
        </is>
      </c>
      <c r="D1419" s="13" t="inlineStr">
        <is>
          <t>web</t>
        </is>
      </c>
      <c r="E1419" s="13" t="inlineStr">
        <is>
          <t>Textiles</t>
        </is>
      </c>
      <c r="F1419" s="13" t="inlineStr">
        <is>
          <t>Wool Throw</t>
        </is>
      </c>
      <c r="G1419" s="13" t="inlineStr">
        <is>
          <t>Consumer</t>
        </is>
      </c>
      <c r="H1419" s="13" t="inlineStr">
        <is>
          <t>1</t>
        </is>
      </c>
      <c r="I1419" s="14" t="inlineStr">
        <is>
          <t>71.02</t>
        </is>
      </c>
      <c r="J1419" s="15" t="inlineStr">
        <is>
          <t>0.03</t>
        </is>
      </c>
      <c r="K1419" s="14" t="inlineStr">
        <is>
          <t>29.83</t>
        </is>
      </c>
      <c r="L1419" s="13" t="inlineStr">
        <is>
          <t>7</t>
        </is>
      </c>
      <c r="M1419" s="13" t="inlineStr">
        <is>
          <t>Completed</t>
        </is>
      </c>
      <c r="N1419" s="13" t="inlineStr">
        <is>
          <t>A. Shah</t>
        </is>
      </c>
    </row>
    <row r="1420">
      <c r="A1420" s="13" t="inlineStr">
        <is>
          <t>HC-101418</t>
        </is>
      </c>
      <c r="B1420" s="13" t="inlineStr">
        <is>
          <t>2025/04/30</t>
        </is>
      </c>
      <c r="C1420" s="13" t="inlineStr">
        <is>
          <t>WEST</t>
        </is>
      </c>
      <c r="D1420" s="13" t="inlineStr">
        <is>
          <t>Wholesale</t>
        </is>
      </c>
      <c r="E1420" s="13" t="inlineStr">
        <is>
          <t>Furniture</t>
        </is>
      </c>
      <c r="F1420" s="13" t="inlineStr">
        <is>
          <t>Walnut Shelf</t>
        </is>
      </c>
      <c r="G1420" s="13" t="inlineStr">
        <is>
          <t>Home Office</t>
        </is>
      </c>
      <c r="H1420" s="13" t="inlineStr">
        <is>
          <t>12</t>
        </is>
      </c>
      <c r="I1420" s="14" t="inlineStr">
        <is>
          <t>227.50</t>
        </is>
      </c>
      <c r="J1420" s="15" t="inlineStr">
        <is>
          <t>0.31</t>
        </is>
      </c>
      <c r="K1420" s="14" t="inlineStr">
        <is>
          <t>125.12</t>
        </is>
      </c>
      <c r="L1420" s="13" t="inlineStr">
        <is>
          <t>8</t>
        </is>
      </c>
      <c r="M1420" s="13" t="inlineStr">
        <is>
          <t>cancled</t>
        </is>
      </c>
      <c r="N1420" s="13" t="inlineStr">
        <is>
          <t>M. Okonkwo</t>
        </is>
      </c>
    </row>
    <row r="1421">
      <c r="A1421" s="13" t="inlineStr">
        <is>
          <t>HC-101419</t>
        </is>
      </c>
      <c r="B1421" s="13" t="inlineStr">
        <is>
          <t>02.06.2025</t>
        </is>
      </c>
      <c r="C1421" s="13" t="inlineStr">
        <is>
          <t>North</t>
        </is>
      </c>
      <c r="D1421" s="13" t="inlineStr">
        <is>
          <t>Store</t>
        </is>
      </c>
      <c r="E1421" s="13" t="inlineStr">
        <is>
          <t>Kitchen</t>
        </is>
      </c>
      <c r="F1421" s="13" t="inlineStr">
        <is>
          <t>Cast Skillet</t>
        </is>
      </c>
      <c r="G1421" s="13" t="inlineStr">
        <is>
          <t>Corporate</t>
        </is>
      </c>
      <c r="H1421" s="13" t="inlineStr">
        <is>
          <t>3</t>
        </is>
      </c>
      <c r="I1421" s="14" t="inlineStr">
        <is>
          <t>54.53</t>
        </is>
      </c>
      <c r="J1421" s="15" t="inlineStr">
        <is>
          <t>0.09</t>
        </is>
      </c>
      <c r="K1421" s="14" t="inlineStr">
        <is>
          <t>21.81</t>
        </is>
      </c>
      <c r="L1421" s="13" t="inlineStr">
        <is>
          <t>7</t>
        </is>
      </c>
      <c r="M1421" s="13" t="inlineStr">
        <is>
          <t>Completed</t>
        </is>
      </c>
      <c r="N1421" s="13" t="inlineStr">
        <is>
          <t>R. Ibarra</t>
        </is>
      </c>
    </row>
    <row r="1422">
      <c r="A1422" s="13" t="inlineStr">
        <is>
          <t>HC-101420</t>
        </is>
      </c>
      <c r="B1422" s="13" t="inlineStr">
        <is>
          <t>06/04/2025</t>
        </is>
      </c>
      <c r="C1422" s="13" t="inlineStr">
        <is>
          <t>West</t>
        </is>
      </c>
      <c r="D1422" s="13" t="inlineStr">
        <is>
          <t>Online</t>
        </is>
      </c>
      <c r="E1422" s="13" t="inlineStr">
        <is>
          <t>Textiles</t>
        </is>
      </c>
      <c r="F1422" s="13" t="inlineStr">
        <is>
          <t>Linen Curtain</t>
        </is>
      </c>
      <c r="G1422" s="13" t="inlineStr">
        <is>
          <t>Consumer</t>
        </is>
      </c>
      <c r="H1422" s="13" t="inlineStr">
        <is>
          <t>1</t>
        </is>
      </c>
      <c r="I1422" s="14" t="inlineStr">
        <is>
          <t>$90.66</t>
        </is>
      </c>
      <c r="J1422" s="15" t="inlineStr">
        <is>
          <t>0.05</t>
        </is>
      </c>
      <c r="K1422" s="14" t="inlineStr">
        <is>
          <t>40.80</t>
        </is>
      </c>
      <c r="L1422" s="13" t="inlineStr">
        <is>
          <t>11</t>
        </is>
      </c>
      <c r="M1422" s="13" t="inlineStr">
        <is>
          <t>Completed</t>
        </is>
      </c>
      <c r="N1422" s="13" t="inlineStr">
        <is>
          <t>S. Nguyen</t>
        </is>
      </c>
    </row>
    <row r="1423">
      <c r="A1423" s="13" t="inlineStr">
        <is>
          <t>HC-101421</t>
        </is>
      </c>
      <c r="B1423" s="13" t="inlineStr">
        <is>
          <t>03-Jan-24</t>
        </is>
      </c>
      <c r="C1423" s="13" t="inlineStr">
        <is>
          <t>North</t>
        </is>
      </c>
      <c r="D1423" s="13" t="inlineStr">
        <is>
          <t>e-commerce</t>
        </is>
      </c>
      <c r="E1423" s="13" t="inlineStr">
        <is>
          <t>TEXTILES</t>
        </is>
      </c>
      <c r="F1423" s="13" t="inlineStr">
        <is>
          <t>Linen Curtain</t>
        </is>
      </c>
      <c r="G1423" s="13" t="inlineStr">
        <is>
          <t>Consumer</t>
        </is>
      </c>
      <c r="H1423" s="13" t="inlineStr">
        <is>
          <t>1</t>
        </is>
      </c>
      <c r="I1423" s="14" t="inlineStr">
        <is>
          <t>97.86</t>
        </is>
      </c>
      <c r="J1423" s="15" t="inlineStr">
        <is>
          <t>0.16</t>
        </is>
      </c>
      <c r="K1423" s="14" t="inlineStr">
        <is>
          <t>44.04</t>
        </is>
      </c>
      <c r="L1423" s="13" t="inlineStr">
        <is>
          <t>5</t>
        </is>
      </c>
      <c r="M1423" s="13" t="inlineStr">
        <is>
          <t>Completed</t>
        </is>
      </c>
      <c r="N1423" s="13" t="inlineStr">
        <is>
          <t>R. Ibarra</t>
        </is>
      </c>
    </row>
    <row r="1424">
      <c r="A1424" s="13" t="inlineStr">
        <is>
          <t>HC-101422</t>
        </is>
      </c>
      <c r="B1424" s="13" t="inlineStr">
        <is>
          <t>2024/09/23</t>
        </is>
      </c>
      <c r="C1424" s="13" t="inlineStr">
        <is>
          <t>West</t>
        </is>
      </c>
      <c r="D1424" s="13" t="inlineStr">
        <is>
          <t>web</t>
        </is>
      </c>
      <c r="E1424" s="13" t="inlineStr">
        <is>
          <t>Furniture</t>
        </is>
      </c>
      <c r="F1424" s="13" t="inlineStr">
        <is>
          <t>Walnut Shelf</t>
        </is>
      </c>
      <c r="G1424" s="13" t="inlineStr">
        <is>
          <t>Corporate</t>
        </is>
      </c>
      <c r="H1424" s="13" t="inlineStr">
        <is>
          <t>3</t>
        </is>
      </c>
      <c r="I1424" s="14" t="inlineStr">
        <is>
          <t>209.05</t>
        </is>
      </c>
      <c r="J1424" s="15" t="inlineStr">
        <is>
          <t>0.15</t>
        </is>
      </c>
      <c r="K1424" s="14" t="inlineStr">
        <is>
          <t>114.98</t>
        </is>
      </c>
      <c r="L1424" s="13" t="inlineStr">
        <is>
          <t>7</t>
        </is>
      </c>
      <c r="M1424" s="13" t="inlineStr">
        <is>
          <t>Returned</t>
        </is>
      </c>
      <c r="N1424" s="13" t="inlineStr">
        <is>
          <t>J. Patel</t>
        </is>
      </c>
    </row>
    <row r="1425">
      <c r="A1425" s="13" t="inlineStr">
        <is>
          <t>HC-101423</t>
        </is>
      </c>
      <c r="B1425" s="13" t="inlineStr">
        <is>
          <t>24.04.2025</t>
        </is>
      </c>
      <c r="C1425" s="13" t="inlineStr">
        <is>
          <t>East</t>
        </is>
      </c>
      <c r="D1425" s="13" t="inlineStr">
        <is>
          <t>Store</t>
        </is>
      </c>
      <c r="E1425" s="13" t="inlineStr">
        <is>
          <t>Textiles</t>
        </is>
      </c>
      <c r="F1425" s="13" t="inlineStr">
        <is>
          <t>Wool Throw</t>
        </is>
      </c>
      <c r="G1425" s="13" t="inlineStr">
        <is>
          <t>Consumer</t>
        </is>
      </c>
      <c r="H1425" s="13" t="inlineStr">
        <is>
          <t>3</t>
        </is>
      </c>
      <c r="I1425" s="14" t="inlineStr">
        <is>
          <t>69.16</t>
        </is>
      </c>
      <c r="J1425" s="15" t="inlineStr">
        <is>
          <t>0.10</t>
        </is>
      </c>
      <c r="K1425" s="14" t="inlineStr">
        <is>
          <t>29.05</t>
        </is>
      </c>
      <c r="L1425" s="13" t="inlineStr">
        <is>
          <t>9</t>
        </is>
      </c>
      <c r="M1425" s="13" t="inlineStr">
        <is>
          <t>Completed</t>
        </is>
      </c>
      <c r="N1425" s="13" t="inlineStr">
        <is>
          <t>M. Okonkwo</t>
        </is>
      </c>
    </row>
    <row r="1426">
      <c r="A1426" s="13" t="inlineStr">
        <is>
          <t>HC-101424</t>
        </is>
      </c>
      <c r="B1426" s="13" t="inlineStr">
        <is>
          <t>08/11/2025</t>
        </is>
      </c>
      <c r="C1426" s="13" t="inlineStr">
        <is>
          <t>East</t>
        </is>
      </c>
      <c r="D1426" s="13" t="inlineStr">
        <is>
          <t>Store</t>
        </is>
      </c>
      <c r="E1426" s="13" t="inlineStr">
        <is>
          <t>Textiles</t>
        </is>
      </c>
      <c r="F1426" s="13" t="inlineStr">
        <is>
          <t>Cotton Duvet</t>
        </is>
      </c>
      <c r="G1426" s="13" t="inlineStr">
        <is>
          <t>Consumer</t>
        </is>
      </c>
      <c r="H1426" s="13" t="inlineStr">
        <is>
          <t>4</t>
        </is>
      </c>
      <c r="I1426" s="14" t="inlineStr">
        <is>
          <t>116.14</t>
        </is>
      </c>
      <c r="J1426" s="15" t="inlineStr">
        <is>
          <t>0.01</t>
        </is>
      </c>
      <c r="K1426" s="14" t="inlineStr">
        <is>
          <t>51.10</t>
        </is>
      </c>
      <c r="L1426" s="13" t="inlineStr">
        <is>
          <t>7</t>
        </is>
      </c>
      <c r="M1426" s="13" t="inlineStr">
        <is>
          <t>Cancelled</t>
        </is>
      </c>
      <c r="N1426" s="13" t="inlineStr">
        <is>
          <t>P. Rossi</t>
        </is>
      </c>
    </row>
    <row r="1427">
      <c r="A1427" s="13" t="inlineStr">
        <is>
          <t>HC-101425</t>
        </is>
      </c>
      <c r="B1427" s="13" t="inlineStr">
        <is>
          <t>07-Oct-24</t>
        </is>
      </c>
      <c r="C1427" s="13" t="inlineStr">
        <is>
          <t>East</t>
        </is>
      </c>
      <c r="D1427" s="13" t="inlineStr">
        <is>
          <t>Store</t>
        </is>
      </c>
      <c r="E1427" s="13" t="inlineStr">
        <is>
          <t>Kitchen</t>
        </is>
      </c>
      <c r="F1427" s="13" t="inlineStr">
        <is>
          <t>Ceramic Set</t>
        </is>
      </c>
      <c r="G1427" s="13" t="inlineStr">
        <is>
          <t>Consumer</t>
        </is>
      </c>
      <c r="H1427" s="13" t="inlineStr">
        <is>
          <t>4</t>
        </is>
      </c>
      <c r="I1427" s="14" t="inlineStr">
        <is>
          <t>78.03</t>
        </is>
      </c>
      <c r="J1427" s="15" t="inlineStr">
        <is>
          <t>0.01</t>
        </is>
      </c>
      <c r="K1427" s="14" t="inlineStr">
        <is>
          <t>29.65</t>
        </is>
      </c>
      <c r="L1427" s="13" t="inlineStr">
        <is>
          <t>6</t>
        </is>
      </c>
      <c r="M1427" s="13" t="inlineStr">
        <is>
          <t>Completed</t>
        </is>
      </c>
      <c r="N1427" s="13" t="inlineStr">
        <is>
          <t>J. Patel</t>
        </is>
      </c>
    </row>
    <row r="1428">
      <c r="A1428" s="13" t="inlineStr">
        <is>
          <t>HC-101426</t>
        </is>
      </c>
      <c r="B1428" s="13" t="inlineStr">
        <is>
          <t>2024/07/22</t>
        </is>
      </c>
      <c r="C1428" s="13" t="inlineStr">
        <is>
          <t>Nort</t>
        </is>
      </c>
      <c r="D1428" s="13" t="inlineStr">
        <is>
          <t>Online</t>
        </is>
      </c>
      <c r="E1428" s="13" t="inlineStr">
        <is>
          <t>Textiles</t>
        </is>
      </c>
      <c r="F1428" s="13" t="inlineStr">
        <is>
          <t>Cotton Duvet</t>
        </is>
      </c>
      <c r="G1428" s="13" t="inlineStr">
        <is>
          <t>home office</t>
        </is>
      </c>
      <c r="H1428" s="13" t="inlineStr">
        <is>
          <t>2</t>
        </is>
      </c>
      <c r="I1428" s="14" t="inlineStr">
        <is>
          <t>118.20</t>
        </is>
      </c>
      <c r="J1428" s="15" t="inlineStr">
        <is>
          <t>0.10</t>
        </is>
      </c>
      <c r="K1428" s="14" t="inlineStr">
        <is>
          <t>52.01</t>
        </is>
      </c>
      <c r="L1428" s="13" t="inlineStr">
        <is>
          <t>6</t>
        </is>
      </c>
      <c r="M1428" s="13" t="inlineStr">
        <is>
          <t>complete</t>
        </is>
      </c>
      <c r="N1428" s="13" t="inlineStr">
        <is>
          <t>L. Berger</t>
        </is>
      </c>
    </row>
    <row r="1429">
      <c r="A1429" s="13" t="inlineStr">
        <is>
          <t>HC-101427</t>
        </is>
      </c>
      <c r="B1429" s="13" t="inlineStr">
        <is>
          <t>16.06.2024</t>
        </is>
      </c>
      <c r="C1429" s="13" t="inlineStr">
        <is>
          <t>South</t>
        </is>
      </c>
      <c r="D1429" s="13" t="inlineStr">
        <is>
          <t>Store</t>
        </is>
      </c>
      <c r="E1429" s="13" t="inlineStr">
        <is>
          <t>Kitchen</t>
        </is>
      </c>
      <c r="F1429" s="13" t="inlineStr">
        <is>
          <t>Cast Skillet</t>
        </is>
      </c>
      <c r="G1429" s="13" t="inlineStr">
        <is>
          <t>Consumer</t>
        </is>
      </c>
      <c r="H1429" s="13" t="inlineStr">
        <is>
          <t>1</t>
        </is>
      </c>
      <c r="I1429" s="14" t="inlineStr">
        <is>
          <t>55.87</t>
        </is>
      </c>
      <c r="J1429" s="15" t="inlineStr">
        <is>
          <t>0.12</t>
        </is>
      </c>
      <c r="K1429" s="14" t="inlineStr">
        <is>
          <t>22.35</t>
        </is>
      </c>
      <c r="L1429" s="13" t="inlineStr">
        <is>
          <t>N/A</t>
        </is>
      </c>
      <c r="M1429" s="13" t="inlineStr">
        <is>
          <t>Completed</t>
        </is>
      </c>
      <c r="N1429" s="13" t="inlineStr">
        <is>
          <t>K. Mensah</t>
        </is>
      </c>
    </row>
    <row r="1430">
      <c r="A1430" s="13" t="inlineStr">
        <is>
          <t>HC-101428</t>
        </is>
      </c>
      <c r="B1430" s="13" t="inlineStr">
        <is>
          <t>05/06/2024</t>
        </is>
      </c>
      <c r="C1430" s="13" t="inlineStr">
        <is>
          <t>West</t>
        </is>
      </c>
      <c r="D1430" s="13" t="inlineStr">
        <is>
          <t>Online</t>
        </is>
      </c>
      <c r="E1430" s="13" t="inlineStr">
        <is>
          <t>Lighting</t>
        </is>
      </c>
      <c r="F1430" s="13" t="inlineStr">
        <is>
          <t>Arc Lamp</t>
        </is>
      </c>
      <c r="G1430" s="13" t="inlineStr">
        <is>
          <t>Corporate</t>
        </is>
      </c>
      <c r="H1430" s="13" t="inlineStr">
        <is>
          <t>2</t>
        </is>
      </c>
      <c r="I1430" s="14" t="inlineStr">
        <is>
          <t>288.98</t>
        </is>
      </c>
      <c r="J1430" s="15" t="inlineStr">
        <is>
          <t>0.03</t>
        </is>
      </c>
      <c r="K1430" s="14" t="inlineStr">
        <is>
          <t>138.71</t>
        </is>
      </c>
      <c r="L1430" s="13" t="inlineStr">
        <is>
          <t>5</t>
        </is>
      </c>
      <c r="M1430" s="13" t="inlineStr">
        <is>
          <t>Completed</t>
        </is>
      </c>
      <c r="N1430" s="13" t="inlineStr">
        <is>
          <t>K. Mensah</t>
        </is>
      </c>
    </row>
    <row r="1431">
      <c r="A1431" s="13" t="inlineStr">
        <is>
          <t>HC-101429</t>
        </is>
      </c>
      <c r="B1431" s="13" t="inlineStr">
        <is>
          <t>25-May-25</t>
        </is>
      </c>
      <c r="C1431" s="13" t="inlineStr">
        <is>
          <t>East</t>
        </is>
      </c>
      <c r="D1431" s="13" t="inlineStr">
        <is>
          <t>Wholesale</t>
        </is>
      </c>
      <c r="E1431" s="13" t="inlineStr">
        <is>
          <t>TEXTILES</t>
        </is>
      </c>
      <c r="F1431" s="13" t="inlineStr">
        <is>
          <t>Linen Curtain</t>
        </is>
      </c>
      <c r="G1431" s="13" t="inlineStr">
        <is>
          <t>Home Office</t>
        </is>
      </c>
      <c r="H1431" s="13" t="inlineStr">
        <is>
          <t>13</t>
        </is>
      </c>
      <c r="I1431" s="14" t="inlineStr">
        <is>
          <t>89.78</t>
        </is>
      </c>
      <c r="J1431" s="15" t="inlineStr">
        <is>
          <t>0.16</t>
        </is>
      </c>
      <c r="K1431" s="14" t="inlineStr">
        <is>
          <t>40.40</t>
        </is>
      </c>
      <c r="L1431" s="13" t="inlineStr">
        <is>
          <t>9</t>
        </is>
      </c>
      <c r="M1431" s="13" t="inlineStr">
        <is>
          <t>COMPLETED</t>
        </is>
      </c>
      <c r="N1431" s="13" t="inlineStr">
        <is>
          <t>L. Berger</t>
        </is>
      </c>
    </row>
    <row r="1432">
      <c r="A1432" s="13" t="inlineStr">
        <is>
          <t>HC-101430</t>
        </is>
      </c>
      <c r="B1432" s="13" t="inlineStr">
        <is>
          <t>2024/06/15</t>
        </is>
      </c>
      <c r="C1432" s="13" t="inlineStr">
        <is>
          <t>West</t>
        </is>
      </c>
      <c r="D1432" s="13" t="inlineStr">
        <is>
          <t>Store</t>
        </is>
      </c>
      <c r="E1432" s="13" t="inlineStr">
        <is>
          <t>FURNITURE</t>
        </is>
      </c>
      <c r="F1432" s="13" t="inlineStr">
        <is>
          <t>Lounge Chair</t>
        </is>
      </c>
      <c r="G1432" s="13" t="inlineStr">
        <is>
          <t>Corporate</t>
        </is>
      </c>
      <c r="H1432" s="13" t="inlineStr">
        <is>
          <t>2</t>
        </is>
      </c>
      <c r="I1432" s="14" t="inlineStr">
        <is>
          <t>499.39</t>
        </is>
      </c>
      <c r="J1432" s="15" t="inlineStr">
        <is>
          <t>0.08</t>
        </is>
      </c>
      <c r="K1432" s="14" t="inlineStr">
        <is>
          <t>299.63</t>
        </is>
      </c>
      <c r="L1432" s="13" t="inlineStr">
        <is>
          <t>5</t>
        </is>
      </c>
      <c r="M1432" s="13" t="inlineStr">
        <is>
          <t>COMPLETED</t>
        </is>
      </c>
      <c r="N1432" s="13" t="inlineStr">
        <is>
          <t>K. Mensah</t>
        </is>
      </c>
    </row>
    <row r="1433">
      <c r="A1433" s="13" t="inlineStr">
        <is>
          <t>HC-101431</t>
        </is>
      </c>
      <c r="B1433" s="13" t="inlineStr">
        <is>
          <t>22.07.2025</t>
        </is>
      </c>
      <c r="C1433" s="13" t="inlineStr">
        <is>
          <t>West</t>
        </is>
      </c>
      <c r="D1433" s="13" t="inlineStr">
        <is>
          <t>B2B</t>
        </is>
      </c>
      <c r="E1433" s="13" t="inlineStr">
        <is>
          <t>Textiles</t>
        </is>
      </c>
      <c r="F1433" s="13" t="inlineStr">
        <is>
          <t>Wool Throw</t>
        </is>
      </c>
      <c r="G1433" s="13" t="inlineStr">
        <is>
          <t>Consumer</t>
        </is>
      </c>
      <c r="H1433" s="13" t="inlineStr">
        <is>
          <t>9</t>
        </is>
      </c>
      <c r="I1433" s="14" t="inlineStr">
        <is>
          <t>$80.10</t>
        </is>
      </c>
      <c r="J1433" s="15" t="inlineStr">
        <is>
          <t>0.31</t>
        </is>
      </c>
      <c r="K1433" s="14" t="inlineStr">
        <is>
          <t>33.64</t>
        </is>
      </c>
      <c r="L1433" s="13" t="inlineStr">
        <is>
          <t>10</t>
        </is>
      </c>
      <c r="M1433" s="13" t="inlineStr">
        <is>
          <t>Completed</t>
        </is>
      </c>
      <c r="N1433" s="13" t="inlineStr">
        <is>
          <t>J. Patel</t>
        </is>
      </c>
    </row>
    <row r="1434">
      <c r="A1434" s="13" t="inlineStr">
        <is>
          <t>HC-101432</t>
        </is>
      </c>
      <c r="B1434" s="13" t="inlineStr">
        <is>
          <t>05/30/2025</t>
        </is>
      </c>
      <c r="C1434" s="13" t="inlineStr">
        <is>
          <t>WEST</t>
        </is>
      </c>
      <c r="D1434" s="13" t="inlineStr">
        <is>
          <t>Online</t>
        </is>
      </c>
      <c r="E1434" s="13" t="inlineStr">
        <is>
          <t>Furniture</t>
        </is>
      </c>
      <c r="F1434" s="13" t="inlineStr">
        <is>
          <t>Linen Sofa</t>
        </is>
      </c>
      <c r="G1434" s="13" t="inlineStr">
        <is>
          <t>Consumer</t>
        </is>
      </c>
      <c r="H1434" s="13" t="inlineStr">
        <is>
          <t>1</t>
        </is>
      </c>
      <c r="I1434" s="14" t="inlineStr">
        <is>
          <t>1290.17</t>
        </is>
      </c>
      <c r="J1434" s="15" t="inlineStr">
        <is>
          <t>0.15</t>
        </is>
      </c>
      <c r="K1434" s="14" t="inlineStr">
        <is>
          <t>851.51</t>
        </is>
      </c>
      <c r="L1434" s="13" t="inlineStr">
        <is>
          <t>7</t>
        </is>
      </c>
      <c r="M1434" s="13" t="inlineStr">
        <is>
          <t>Completed</t>
        </is>
      </c>
      <c r="N1434" s="13" t="inlineStr">
        <is>
          <t>A. Shah</t>
        </is>
      </c>
    </row>
    <row r="1435">
      <c r="A1435" s="13" t="inlineStr">
        <is>
          <t>HC-101433</t>
        </is>
      </c>
      <c r="B1435" s="13" t="inlineStr">
        <is>
          <t>08-May-24</t>
        </is>
      </c>
      <c r="C1435" s="13" t="inlineStr">
        <is>
          <t>north</t>
        </is>
      </c>
      <c r="D1435" s="13" t="inlineStr">
        <is>
          <t>Store</t>
        </is>
      </c>
      <c r="E1435" s="13" t="inlineStr">
        <is>
          <t>Kitchen</t>
        </is>
      </c>
      <c r="F1435" s="13" t="inlineStr">
        <is>
          <t>Ceramic Set</t>
        </is>
      </c>
      <c r="G1435" s="13" t="inlineStr">
        <is>
          <t>Corporate</t>
        </is>
      </c>
      <c r="H1435" s="13" t="inlineStr">
        <is>
          <t>3</t>
        </is>
      </c>
      <c r="I1435" s="14" t="inlineStr">
        <is>
          <t>84.21</t>
        </is>
      </c>
      <c r="J1435" s="15" t="inlineStr">
        <is>
          <t>0.10</t>
        </is>
      </c>
      <c r="K1435" s="14" t="inlineStr">
        <is>
          <t>32.00</t>
        </is>
      </c>
      <c r="L1435" s="13" t="inlineStr">
        <is>
          <t>7</t>
        </is>
      </c>
      <c r="M1435" s="13" t="inlineStr">
        <is>
          <t>Completed</t>
        </is>
      </c>
      <c r="N1435" s="13" t="inlineStr">
        <is>
          <t>P. Rossi</t>
        </is>
      </c>
    </row>
    <row r="1436">
      <c r="A1436" s="13" t="inlineStr">
        <is>
          <t>HC-101434</t>
        </is>
      </c>
      <c r="B1436" s="13" t="inlineStr">
        <is>
          <t>2025/08/24</t>
        </is>
      </c>
      <c r="C1436" s="13" t="inlineStr">
        <is>
          <t>North</t>
        </is>
      </c>
      <c r="D1436" s="13" t="inlineStr">
        <is>
          <t>Wholesale</t>
        </is>
      </c>
      <c r="E1436" s="13" t="inlineStr">
        <is>
          <t>Lighting</t>
        </is>
      </c>
      <c r="F1436" s="13" t="inlineStr">
        <is>
          <t>Brass Sconce</t>
        </is>
      </c>
      <c r="G1436" s="13" t="inlineStr">
        <is>
          <t>Home Office</t>
        </is>
      </c>
      <c r="H1436" s="13" t="inlineStr">
        <is>
          <t>8</t>
        </is>
      </c>
      <c r="I1436" s="14" t="inlineStr">
        <is>
          <t>$134.36</t>
        </is>
      </c>
      <c r="J1436" s="15" t="inlineStr">
        <is>
          <t>0.16</t>
        </is>
      </c>
      <c r="K1436" s="14" t="inlineStr">
        <is>
          <t>61.81</t>
        </is>
      </c>
      <c r="L1436" s="13" t="inlineStr">
        <is>
          <t>3</t>
        </is>
      </c>
      <c r="M1436" s="13" t="inlineStr">
        <is>
          <t>COMPLETED</t>
        </is>
      </c>
      <c r="N1436" s="13" t="inlineStr">
        <is>
          <t>S. Nguyen</t>
        </is>
      </c>
    </row>
    <row r="1437">
      <c r="A1437" s="13" t="inlineStr">
        <is>
          <t>HC-101435</t>
        </is>
      </c>
      <c r="B1437" s="13" t="inlineStr">
        <is>
          <t>27.02.2025</t>
        </is>
      </c>
      <c r="C1437" s="13" t="inlineStr">
        <is>
          <t>North</t>
        </is>
      </c>
      <c r="D1437" s="13" t="inlineStr">
        <is>
          <t>Store</t>
        </is>
      </c>
      <c r="E1437" s="13" t="inlineStr">
        <is>
          <t>Furniture</t>
        </is>
      </c>
      <c r="F1437" s="13" t="inlineStr">
        <is>
          <t>Lounge Chair</t>
        </is>
      </c>
      <c r="G1437" s="13" t="inlineStr">
        <is>
          <t>Consumer</t>
        </is>
      </c>
      <c r="H1437" s="13" t="inlineStr">
        <is>
          <t>1</t>
        </is>
      </c>
      <c r="I1437" s="14" t="inlineStr">
        <is>
          <t>458.43</t>
        </is>
      </c>
      <c r="J1437" s="15" t="inlineStr">
        <is>
          <t>0.07</t>
        </is>
      </c>
      <c r="K1437" s="14" t="inlineStr">
        <is>
          <t>275.06</t>
        </is>
      </c>
      <c r="L1437" s="13" t="inlineStr">
        <is>
          <t>3</t>
        </is>
      </c>
      <c r="M1437" s="13" t="inlineStr">
        <is>
          <t>Completed</t>
        </is>
      </c>
      <c r="N1437" s="13" t="inlineStr">
        <is>
          <t>J. Patel</t>
        </is>
      </c>
    </row>
    <row r="1438">
      <c r="A1438" s="13" t="inlineStr">
        <is>
          <t>HC-101436</t>
        </is>
      </c>
      <c r="B1438" s="13" t="inlineStr">
        <is>
          <t>11/24/2024</t>
        </is>
      </c>
      <c r="C1438" s="13" t="inlineStr">
        <is>
          <t>South</t>
        </is>
      </c>
      <c r="D1438" s="13" t="inlineStr">
        <is>
          <t>Online</t>
        </is>
      </c>
      <c r="E1438" s="13" t="inlineStr">
        <is>
          <t>Textiles</t>
        </is>
      </c>
      <c r="F1438" s="13" t="inlineStr">
        <is>
          <t>Linen Curtain</t>
        </is>
      </c>
      <c r="G1438" s="13" t="inlineStr">
        <is>
          <t>Corporate</t>
        </is>
      </c>
      <c r="H1438" s="13" t="inlineStr">
        <is>
          <t>4</t>
        </is>
      </c>
      <c r="I1438" s="14" t="inlineStr">
        <is>
          <t>$94.79</t>
        </is>
      </c>
      <c r="J1438" s="15" t="inlineStr">
        <is>
          <t>0.18</t>
        </is>
      </c>
      <c r="K1438" s="14" t="inlineStr">
        <is>
          <t>42.65</t>
        </is>
      </c>
      <c r="L1438" s="13" t="inlineStr">
        <is>
          <t>4</t>
        </is>
      </c>
      <c r="M1438" s="13" t="inlineStr">
        <is>
          <t>Completed</t>
        </is>
      </c>
      <c r="N1438" s="13" t="inlineStr">
        <is>
          <t>L. Berger</t>
        </is>
      </c>
    </row>
    <row r="1439">
      <c r="A1439" s="13" t="inlineStr">
        <is>
          <t>HC-101437</t>
        </is>
      </c>
      <c r="B1439" s="13" t="inlineStr">
        <is>
          <t>21-Mar-25</t>
        </is>
      </c>
      <c r="C1439" s="13" t="inlineStr">
        <is>
          <t>south</t>
        </is>
      </c>
      <c r="D1439" s="13" t="inlineStr">
        <is>
          <t>Store</t>
        </is>
      </c>
      <c r="E1439" s="13" t="inlineStr">
        <is>
          <t>Kitchen</t>
        </is>
      </c>
      <c r="F1439" s="13" t="inlineStr">
        <is>
          <t>Chef Knife</t>
        </is>
      </c>
      <c r="G1439" s="13" t="inlineStr">
        <is>
          <t>Consumer</t>
        </is>
      </c>
      <c r="H1439" s="13" t="inlineStr">
        <is>
          <t>4</t>
        </is>
      </c>
      <c r="I1439" s="14" t="inlineStr">
        <is>
          <t>65.62</t>
        </is>
      </c>
      <c r="J1439" s="15" t="inlineStr">
        <is>
          <t>0.07</t>
        </is>
      </c>
      <c r="K1439" s="14" t="inlineStr">
        <is>
          <t>23.62</t>
        </is>
      </c>
      <c r="L1439" s="13" t="inlineStr">
        <is>
          <t>7</t>
        </is>
      </c>
      <c r="M1439" s="13" t="inlineStr">
        <is>
          <t>Completed</t>
        </is>
      </c>
      <c r="N1439" s="13" t="inlineStr">
        <is>
          <t>J. Patel</t>
        </is>
      </c>
    </row>
    <row r="1440">
      <c r="A1440" s="13" t="inlineStr">
        <is>
          <t>HC-101438</t>
        </is>
      </c>
      <c r="B1440" s="13" t="inlineStr">
        <is>
          <t>2025/09/03</t>
        </is>
      </c>
      <c r="C1440" s="13" t="inlineStr">
        <is>
          <t>West</t>
        </is>
      </c>
      <c r="D1440" s="13" t="inlineStr">
        <is>
          <t>Online</t>
        </is>
      </c>
      <c r="E1440" s="13" t="inlineStr">
        <is>
          <t>Kitchen</t>
        </is>
      </c>
      <c r="F1440" s="13" t="inlineStr">
        <is>
          <t>Cast Skillet</t>
        </is>
      </c>
      <c r="G1440" s="13" t="inlineStr">
        <is>
          <t>Corporate</t>
        </is>
      </c>
      <c r="H1440" s="13" t="inlineStr">
        <is>
          <t>2</t>
        </is>
      </c>
      <c r="I1440" s="14" t="inlineStr">
        <is>
          <t>50.47</t>
        </is>
      </c>
      <c r="J1440" s="15" t="inlineStr">
        <is>
          <t>0.06</t>
        </is>
      </c>
      <c r="K1440" s="14" t="inlineStr">
        <is>
          <t>20.19</t>
        </is>
      </c>
      <c r="L1440" s="13" t="inlineStr">
        <is>
          <t>7</t>
        </is>
      </c>
      <c r="M1440" s="13" t="inlineStr">
        <is>
          <t>Completed</t>
        </is>
      </c>
      <c r="N1440" s="13" t="inlineStr">
        <is>
          <t>A. Shah</t>
        </is>
      </c>
    </row>
    <row r="1441">
      <c r="A1441" s="13" t="inlineStr">
        <is>
          <t>HC-101439</t>
        </is>
      </c>
      <c r="B1441" s="13" t="inlineStr">
        <is>
          <t>14.12.2024</t>
        </is>
      </c>
      <c r="C1441" s="13" t="inlineStr">
        <is>
          <t>South</t>
        </is>
      </c>
      <c r="D1441" s="13" t="inlineStr">
        <is>
          <t>Online</t>
        </is>
      </c>
      <c r="E1441" s="13" t="inlineStr">
        <is>
          <t>Textiles</t>
        </is>
      </c>
      <c r="F1441" s="13" t="inlineStr">
        <is>
          <t>Linen Curtain</t>
        </is>
      </c>
      <c r="G1441" s="13" t="inlineStr">
        <is>
          <t>Corporate</t>
        </is>
      </c>
      <c r="H1441" s="13" t="inlineStr">
        <is>
          <t>2</t>
        </is>
      </c>
      <c r="I1441" s="14" t="inlineStr">
        <is>
          <t>90.60</t>
        </is>
      </c>
      <c r="J1441" s="15" t="inlineStr">
        <is>
          <t>0.10</t>
        </is>
      </c>
      <c r="K1441" s="14" t="inlineStr">
        <is>
          <t>40.77</t>
        </is>
      </c>
      <c r="L1441" s="13" t="inlineStr">
        <is>
          <t>1</t>
        </is>
      </c>
      <c r="M1441" s="13" t="inlineStr">
        <is>
          <t>Completed</t>
        </is>
      </c>
      <c r="N1441" s="13" t="inlineStr">
        <is>
          <t>A. Shah</t>
        </is>
      </c>
    </row>
    <row r="1442">
      <c r="A1442" s="13" t="inlineStr">
        <is>
          <t>HC-101440</t>
        </is>
      </c>
      <c r="B1442" s="13" t="inlineStr">
        <is>
          <t>04/11/2024</t>
        </is>
      </c>
      <c r="C1442" s="13" t="inlineStr">
        <is>
          <t>South</t>
        </is>
      </c>
      <c r="D1442" s="13" t="inlineStr">
        <is>
          <t>Online</t>
        </is>
      </c>
      <c r="E1442" s="13" t="inlineStr">
        <is>
          <t>TEXTILES</t>
        </is>
      </c>
      <c r="F1442" s="13" t="inlineStr">
        <is>
          <t>Cotton Duvet</t>
        </is>
      </c>
      <c r="G1442" s="13" t="inlineStr">
        <is>
          <t>Consumer</t>
        </is>
      </c>
      <c r="H1442" s="13" t="inlineStr">
        <is>
          <t>2</t>
        </is>
      </c>
      <c r="I1442" s="14" t="inlineStr">
        <is>
          <t>119.18</t>
        </is>
      </c>
      <c r="J1442" s="15" t="inlineStr">
        <is>
          <t>0.06</t>
        </is>
      </c>
      <c r="K1442" s="14" t="inlineStr">
        <is>
          <t>52.44</t>
        </is>
      </c>
      <c r="L1442" s="13" t="inlineStr">
        <is>
          <t>5</t>
        </is>
      </c>
      <c r="M1442" s="13" t="inlineStr">
        <is>
          <t>COMPLETED</t>
        </is>
      </c>
      <c r="N1442" s="13" t="inlineStr">
        <is>
          <t>L. Berger</t>
        </is>
      </c>
    </row>
    <row r="1443">
      <c r="A1443" s="13" t="inlineStr">
        <is>
          <t>HC-101441</t>
        </is>
      </c>
      <c r="B1443" s="13" t="inlineStr">
        <is>
          <t>17-Jan-25</t>
        </is>
      </c>
      <c r="C1443" s="13" t="inlineStr">
        <is>
          <t>North</t>
        </is>
      </c>
      <c r="D1443" s="13" t="inlineStr">
        <is>
          <t>Online</t>
        </is>
      </c>
      <c r="E1443" s="13" t="inlineStr">
        <is>
          <t>Furniture</t>
        </is>
      </c>
      <c r="F1443" s="13" t="inlineStr">
        <is>
          <t>Oak Desk</t>
        </is>
      </c>
      <c r="G1443" s="13" t="inlineStr">
        <is>
          <t>consumer</t>
        </is>
      </c>
      <c r="H1443" s="13" t="inlineStr">
        <is>
          <t>3</t>
        </is>
      </c>
      <c r="I1443" s="14" t="inlineStr">
        <is>
          <t>784.73</t>
        </is>
      </c>
      <c r="J1443" s="15" t="inlineStr">
        <is>
          <t>0.17</t>
        </is>
      </c>
      <c r="K1443" s="14" t="inlineStr">
        <is>
          <t>486.53</t>
        </is>
      </c>
      <c r="L1443" s="13" t="inlineStr">
        <is>
          <t>4</t>
        </is>
      </c>
      <c r="M1443" s="13" t="inlineStr">
        <is>
          <t>Completed</t>
        </is>
      </c>
      <c r="N1443" s="13" t="inlineStr">
        <is>
          <t>R. Ibarra</t>
        </is>
      </c>
    </row>
    <row r="1444">
      <c r="A1444" s="13" t="inlineStr">
        <is>
          <t>HC-101442</t>
        </is>
      </c>
      <c r="B1444" s="13" t="inlineStr">
        <is>
          <t>2024/04/28</t>
        </is>
      </c>
      <c r="C1444" s="13" t="inlineStr">
        <is>
          <t>WEST</t>
        </is>
      </c>
      <c r="D1444" s="13" t="inlineStr">
        <is>
          <t>Store</t>
        </is>
      </c>
      <c r="E1444" s="13" t="inlineStr">
        <is>
          <t>Kitchen</t>
        </is>
      </c>
      <c r="F1444" s="13" t="inlineStr">
        <is>
          <t>Cast Skillet</t>
        </is>
      </c>
      <c r="G1444" s="13" t="inlineStr">
        <is>
          <t>Home Office</t>
        </is>
      </c>
      <c r="H1444" s="13" t="inlineStr">
        <is>
          <t>1</t>
        </is>
      </c>
      <c r="I1444" s="14" t="inlineStr">
        <is>
          <t>51.62</t>
        </is>
      </c>
      <c r="J1444" s="15" t="inlineStr">
        <is>
          <t>0.00</t>
        </is>
      </c>
      <c r="K1444" s="14" t="inlineStr">
        <is>
          <t>20.65</t>
        </is>
      </c>
      <c r="L1444" s="13" t="inlineStr">
        <is>
          <t>2</t>
        </is>
      </c>
      <c r="M1444" s="13" t="inlineStr">
        <is>
          <t>Completed</t>
        </is>
      </c>
      <c r="N1444" s="13" t="inlineStr">
        <is>
          <t>K. Mensah</t>
        </is>
      </c>
    </row>
    <row r="1445">
      <c r="A1445" s="13" t="inlineStr">
        <is>
          <t>HC-101443</t>
        </is>
      </c>
      <c r="B1445" s="13" t="inlineStr">
        <is>
          <t>18.11.2024</t>
        </is>
      </c>
      <c r="C1445" s="13" t="inlineStr">
        <is>
          <t>North</t>
        </is>
      </c>
      <c r="D1445" s="13" t="inlineStr">
        <is>
          <t>Wholesale</t>
        </is>
      </c>
      <c r="E1445" s="13" t="inlineStr">
        <is>
          <t>Kitchen</t>
        </is>
      </c>
      <c r="F1445" s="13" t="inlineStr">
        <is>
          <t>Ceramic Set</t>
        </is>
      </c>
      <c r="G1445" s="13" t="inlineStr">
        <is>
          <t>Home Office</t>
        </is>
      </c>
      <c r="H1445" s="13" t="inlineStr">
        <is>
          <t>35</t>
        </is>
      </c>
      <c r="I1445" s="14" t="inlineStr">
        <is>
          <t>90.02</t>
        </is>
      </c>
      <c r="J1445" s="15" t="inlineStr">
        <is>
          <t>0.32</t>
        </is>
      </c>
      <c r="K1445" s="14" t="inlineStr">
        <is>
          <t>34.21</t>
        </is>
      </c>
      <c r="L1445" s="13" t="inlineStr">
        <is>
          <t>5</t>
        </is>
      </c>
      <c r="M1445" s="13" t="inlineStr">
        <is>
          <t>Completed</t>
        </is>
      </c>
      <c r="N1445" s="13" t="inlineStr">
        <is>
          <t>A. Shah</t>
        </is>
      </c>
    </row>
    <row r="1446">
      <c r="A1446" s="13" t="inlineStr">
        <is>
          <t>HC-101444</t>
        </is>
      </c>
      <c r="B1446" s="13" t="inlineStr">
        <is>
          <t>06/14/2025</t>
        </is>
      </c>
      <c r="C1446" s="13" t="inlineStr">
        <is>
          <t>Sout</t>
        </is>
      </c>
      <c r="D1446" s="13" t="inlineStr">
        <is>
          <t>Store</t>
        </is>
      </c>
      <c r="E1446" s="13" t="inlineStr">
        <is>
          <t>Textiles</t>
        </is>
      </c>
      <c r="F1446" s="13" t="inlineStr">
        <is>
          <t>Wool Throw</t>
        </is>
      </c>
      <c r="G1446" s="13" t="inlineStr">
        <is>
          <t>Consumer</t>
        </is>
      </c>
      <c r="H1446" s="13" t="inlineStr">
        <is>
          <t>1</t>
        </is>
      </c>
      <c r="I1446" s="14" t="inlineStr">
        <is>
          <t>76.42</t>
        </is>
      </c>
      <c r="J1446" s="15" t="inlineStr">
        <is>
          <t>0.11</t>
        </is>
      </c>
      <c r="K1446" s="14" t="inlineStr">
        <is>
          <t>32.10</t>
        </is>
      </c>
      <c r="L1446" s="13" t="inlineStr">
        <is>
          <t>9</t>
        </is>
      </c>
      <c r="M1446" s="13" t="inlineStr">
        <is>
          <t>Completed</t>
        </is>
      </c>
      <c r="N1446" s="13" t="inlineStr">
        <is>
          <t>M. Okonkwo</t>
        </is>
      </c>
    </row>
    <row r="1447">
      <c r="A1447" s="13" t="inlineStr">
        <is>
          <t>HC-101445</t>
        </is>
      </c>
      <c r="B1447" s="13" t="inlineStr">
        <is>
          <t>03-Jan-25</t>
        </is>
      </c>
      <c r="C1447" s="13" t="inlineStr">
        <is>
          <t>South</t>
        </is>
      </c>
      <c r="D1447" s="13" t="inlineStr">
        <is>
          <t>Store</t>
        </is>
      </c>
      <c r="E1447" s="13" t="inlineStr">
        <is>
          <t>Furniture</t>
        </is>
      </c>
      <c r="F1447" s="13" t="inlineStr">
        <is>
          <t>Walnut Shelf</t>
        </is>
      </c>
      <c r="G1447" s="13" t="inlineStr">
        <is>
          <t>Corporate</t>
        </is>
      </c>
      <c r="H1447" s="13" t="inlineStr">
        <is>
          <t>4</t>
        </is>
      </c>
      <c r="I1447" s="14" t="inlineStr">
        <is>
          <t>214.46</t>
        </is>
      </c>
      <c r="J1447" s="15" t="inlineStr">
        <is>
          <t>0.07</t>
        </is>
      </c>
      <c r="K1447" s="14" t="inlineStr">
        <is>
          <t>117.95</t>
        </is>
      </c>
      <c r="L1447" s="13" t="inlineStr">
        <is>
          <t>2</t>
        </is>
      </c>
      <c r="M1447" s="13" t="inlineStr">
        <is>
          <t>Completed</t>
        </is>
      </c>
      <c r="N1447" s="13" t="inlineStr">
        <is>
          <t>A. Shah</t>
        </is>
      </c>
    </row>
    <row r="1448">
      <c r="A1448" s="13" t="inlineStr">
        <is>
          <t>HC-101446</t>
        </is>
      </c>
      <c r="B1448" s="13" t="inlineStr">
        <is>
          <t>2024/11/13</t>
        </is>
      </c>
      <c r="C1448" s="13" t="inlineStr">
        <is>
          <t>SOUTH</t>
        </is>
      </c>
      <c r="D1448" s="13" t="inlineStr">
        <is>
          <t>Online</t>
        </is>
      </c>
      <c r="E1448" s="13" t="inlineStr">
        <is>
          <t>Furniture</t>
        </is>
      </c>
      <c r="F1448" s="13" t="inlineStr">
        <is>
          <t>Walnut Shelf</t>
        </is>
      </c>
      <c r="G1448" s="13" t="inlineStr">
        <is>
          <t>home office</t>
        </is>
      </c>
      <c r="H1448" s="13" t="inlineStr">
        <is>
          <t>3</t>
        </is>
      </c>
      <c r="I1448" s="14" t="inlineStr">
        <is>
          <t>234.75</t>
        </is>
      </c>
      <c r="J1448" s="15" t="inlineStr">
        <is>
          <t>0.03</t>
        </is>
      </c>
      <c r="K1448" s="14" t="inlineStr">
        <is>
          <t>129.11</t>
        </is>
      </c>
      <c r="L1448" s="13" t="inlineStr">
        <is>
          <t>4</t>
        </is>
      </c>
      <c r="M1448" s="13" t="inlineStr">
        <is>
          <t>Completed</t>
        </is>
      </c>
      <c r="N1448" s="13" t="inlineStr">
        <is>
          <t>P. Rossi</t>
        </is>
      </c>
    </row>
    <row r="1449">
      <c r="A1449" s="13" t="inlineStr">
        <is>
          <t>HC-101447</t>
        </is>
      </c>
      <c r="B1449" s="13" t="inlineStr">
        <is>
          <t>19.08.2024</t>
        </is>
      </c>
      <c r="C1449" s="13" t="inlineStr">
        <is>
          <t>South</t>
        </is>
      </c>
      <c r="D1449" s="13" t="inlineStr">
        <is>
          <t>Online</t>
        </is>
      </c>
      <c r="E1449" s="13" t="inlineStr">
        <is>
          <t>TEXTILES</t>
        </is>
      </c>
      <c r="F1449" s="13" t="inlineStr">
        <is>
          <t>Wool Throw</t>
        </is>
      </c>
      <c r="G1449" s="13" t="inlineStr">
        <is>
          <t>Consumer</t>
        </is>
      </c>
      <c r="H1449" s="13" t="inlineStr">
        <is>
          <t>2</t>
        </is>
      </c>
      <c r="I1449" s="14" t="inlineStr">
        <is>
          <t>74.02</t>
        </is>
      </c>
      <c r="J1449" s="15" t="inlineStr">
        <is>
          <t>0.06</t>
        </is>
      </c>
      <c r="K1449" s="14" t="inlineStr">
        <is>
          <t>31.09</t>
        </is>
      </c>
      <c r="L1449" s="13" t="inlineStr">
        <is>
          <t>6</t>
        </is>
      </c>
      <c r="M1449" s="13" t="inlineStr">
        <is>
          <t>complete</t>
        </is>
      </c>
      <c r="N1449" s="13" t="inlineStr">
        <is>
          <t>R. Ibarra</t>
        </is>
      </c>
    </row>
    <row r="1450">
      <c r="A1450" s="13" t="inlineStr">
        <is>
          <t>HC-101448</t>
        </is>
      </c>
      <c r="B1450" s="13" t="inlineStr">
        <is>
          <t>05/15/2025</t>
        </is>
      </c>
      <c r="C1450" s="13" t="inlineStr">
        <is>
          <t>North</t>
        </is>
      </c>
      <c r="D1450" s="13" t="inlineStr">
        <is>
          <t>Store</t>
        </is>
      </c>
      <c r="E1450" s="13" t="inlineStr">
        <is>
          <t>Furniture</t>
        </is>
      </c>
      <c r="F1450" s="13" t="inlineStr">
        <is>
          <t>Oak Desk</t>
        </is>
      </c>
      <c r="G1450" s="13" t="inlineStr">
        <is>
          <t>Consumer</t>
        </is>
      </c>
      <c r="H1450" s="13" t="inlineStr">
        <is>
          <t>4</t>
        </is>
      </c>
      <c r="I1450" s="14" t="inlineStr">
        <is>
          <t>829.57</t>
        </is>
      </c>
      <c r="J1450" s="15" t="inlineStr">
        <is>
          <t>12%</t>
        </is>
      </c>
      <c r="K1450" s="14" t="inlineStr">
        <is>
          <t>514.33</t>
        </is>
      </c>
      <c r="L1450" s="13" t="inlineStr">
        <is>
          <t>8</t>
        </is>
      </c>
      <c r="M1450" s="13" t="inlineStr">
        <is>
          <t>Completed</t>
        </is>
      </c>
      <c r="N1450" s="13" t="inlineStr">
        <is>
          <t>J. Patel</t>
        </is>
      </c>
    </row>
    <row r="1451">
      <c r="A1451" s="13" t="inlineStr">
        <is>
          <t>HC-101449</t>
        </is>
      </c>
      <c r="B1451" s="13" t="inlineStr">
        <is>
          <t>05-Aug-25</t>
        </is>
      </c>
      <c r="C1451" s="13" t="inlineStr">
        <is>
          <t>West</t>
        </is>
      </c>
      <c r="D1451" s="13" t="inlineStr">
        <is>
          <t>Store</t>
        </is>
      </c>
      <c r="E1451" s="13" t="inlineStr">
        <is>
          <t>Furniture</t>
        </is>
      </c>
      <c r="F1451" s="13" t="inlineStr">
        <is>
          <t>Walnut Shelf</t>
        </is>
      </c>
      <c r="G1451" s="13" t="inlineStr">
        <is>
          <t>Consumer</t>
        </is>
      </c>
      <c r="H1451" s="13" t="inlineStr">
        <is>
          <t>1</t>
        </is>
      </c>
      <c r="I1451" s="14" t="inlineStr">
        <is>
          <t>205.15</t>
        </is>
      </c>
      <c r="J1451" s="15" t="inlineStr">
        <is>
          <t>0.11</t>
        </is>
      </c>
      <c r="K1451" s="14" t="inlineStr">
        <is>
          <t>112.83</t>
        </is>
      </c>
      <c r="L1451" s="13" t="inlineStr">
        <is>
          <t>5</t>
        </is>
      </c>
      <c r="M1451" s="13" t="inlineStr">
        <is>
          <t>Completed</t>
        </is>
      </c>
      <c r="N1451" s="13" t="inlineStr">
        <is>
          <t>K. Mensah</t>
        </is>
      </c>
    </row>
    <row r="1452">
      <c r="A1452" s="13" t="inlineStr">
        <is>
          <t>HC-101450</t>
        </is>
      </c>
      <c r="B1452" s="13" t="inlineStr">
        <is>
          <t>2025/07/08</t>
        </is>
      </c>
      <c r="C1452" s="13" t="inlineStr">
        <is>
          <t>East</t>
        </is>
      </c>
      <c r="D1452" s="13" t="inlineStr">
        <is>
          <t>Wholesale</t>
        </is>
      </c>
      <c r="E1452" s="13" t="inlineStr">
        <is>
          <t>Lighting</t>
        </is>
      </c>
      <c r="F1452" s="13" t="inlineStr">
        <is>
          <t>Brass Sconce</t>
        </is>
      </c>
      <c r="G1452" s="13" t="inlineStr">
        <is>
          <t>Home Office</t>
        </is>
      </c>
      <c r="H1452" s="13" t="inlineStr">
        <is>
          <t>24</t>
        </is>
      </c>
      <c r="I1452" s="14" t="inlineStr">
        <is>
          <t>121.46</t>
        </is>
      </c>
      <c r="J1452" s="15" t="inlineStr">
        <is>
          <t>0.12</t>
        </is>
      </c>
      <c r="K1452" s="14" t="inlineStr">
        <is>
          <t>55.87</t>
        </is>
      </c>
      <c r="L1452" s="13" t="inlineStr">
        <is>
          <t>8</t>
        </is>
      </c>
      <c r="M1452" s="13" t="inlineStr">
        <is>
          <t>Completed</t>
        </is>
      </c>
      <c r="N1452" s="13" t="inlineStr">
        <is>
          <t>P. Rossi</t>
        </is>
      </c>
    </row>
    <row r="1453">
      <c r="A1453" s="13" t="inlineStr">
        <is>
          <t>HC-101451</t>
        </is>
      </c>
      <c r="B1453" s="13" t="inlineStr">
        <is>
          <t>22.06.2025</t>
        </is>
      </c>
      <c r="C1453" s="13" t="inlineStr">
        <is>
          <t>East</t>
        </is>
      </c>
      <c r="D1453" s="13" t="inlineStr">
        <is>
          <t>Online</t>
        </is>
      </c>
      <c r="E1453" s="13" t="inlineStr">
        <is>
          <t>Textiles</t>
        </is>
      </c>
      <c r="F1453" s="13" t="inlineStr">
        <is>
          <t>Linen Curtain</t>
        </is>
      </c>
      <c r="G1453" s="13" t="inlineStr">
        <is>
          <t>Consumer</t>
        </is>
      </c>
      <c r="H1453" s="13" t="inlineStr">
        <is>
          <t>3</t>
        </is>
      </c>
      <c r="I1453" s="14" t="inlineStr">
        <is>
          <t>91.79</t>
        </is>
      </c>
      <c r="J1453" s="15" t="inlineStr">
        <is>
          <t>0.10</t>
        </is>
      </c>
      <c r="K1453" s="14" t="inlineStr">
        <is>
          <t>41.30</t>
        </is>
      </c>
      <c r="L1453" s="13" t="inlineStr">
        <is>
          <t>8</t>
        </is>
      </c>
      <c r="M1453" s="13" t="inlineStr">
        <is>
          <t>Completed</t>
        </is>
      </c>
      <c r="N1453" s="13" t="inlineStr">
        <is>
          <t>P. Rossi</t>
        </is>
      </c>
    </row>
    <row r="1454">
      <c r="A1454" s="13" t="inlineStr">
        <is>
          <t>HC-101452</t>
        </is>
      </c>
      <c r="B1454" s="13" t="inlineStr">
        <is>
          <t>01/27/2024</t>
        </is>
      </c>
      <c r="C1454" s="13" t="inlineStr">
        <is>
          <t>South</t>
        </is>
      </c>
      <c r="D1454" s="13" t="inlineStr">
        <is>
          <t>Store</t>
        </is>
      </c>
      <c r="E1454" s="13" t="inlineStr">
        <is>
          <t>Textiles</t>
        </is>
      </c>
      <c r="F1454" s="13" t="inlineStr">
        <is>
          <t>Linen Curtain</t>
        </is>
      </c>
      <c r="G1454" s="13" t="inlineStr">
        <is>
          <t>Home Office</t>
        </is>
      </c>
      <c r="H1454" s="13" t="inlineStr">
        <is>
          <t>3</t>
        </is>
      </c>
      <c r="I1454" s="14" t="inlineStr">
        <is>
          <t>98.07</t>
        </is>
      </c>
      <c r="J1454" s="15" t="inlineStr">
        <is>
          <t>0.09</t>
        </is>
      </c>
      <c r="K1454" s="14" t="inlineStr">
        <is>
          <t>44.13</t>
        </is>
      </c>
      <c r="L1454" s="13" t="inlineStr">
        <is>
          <t>7</t>
        </is>
      </c>
      <c r="M1454" s="13" t="inlineStr">
        <is>
          <t>Compleated</t>
        </is>
      </c>
      <c r="N1454" s="13" t="inlineStr">
        <is>
          <t>P. Rossi</t>
        </is>
      </c>
    </row>
    <row r="1455">
      <c r="A1455" s="13" t="inlineStr">
        <is>
          <t>HC-101453</t>
        </is>
      </c>
      <c r="B1455" s="13" t="inlineStr">
        <is>
          <t>23-Apr-25</t>
        </is>
      </c>
      <c r="C1455" s="13" t="inlineStr">
        <is>
          <t>South</t>
        </is>
      </c>
      <c r="D1455" s="13" t="inlineStr">
        <is>
          <t>Wholesale</t>
        </is>
      </c>
      <c r="E1455" s="13" t="inlineStr">
        <is>
          <t>Lighting</t>
        </is>
      </c>
      <c r="F1455" s="13" t="inlineStr">
        <is>
          <t>Pendant Light</t>
        </is>
      </c>
      <c r="G1455" s="13" t="inlineStr">
        <is>
          <t>Corporate</t>
        </is>
      </c>
      <c r="H1455" s="13" t="inlineStr">
        <is>
          <t>11</t>
        </is>
      </c>
      <c r="I1455" s="14" t="inlineStr">
        <is>
          <t>180.85</t>
        </is>
      </c>
      <c r="J1455" s="15" t="inlineStr">
        <is>
          <t>0.27</t>
        </is>
      </c>
      <c r="K1455" s="14" t="inlineStr">
        <is>
          <t>90.43</t>
        </is>
      </c>
      <c r="L1455" s="13" t="inlineStr">
        <is>
          <t>5</t>
        </is>
      </c>
      <c r="M1455" s="13" t="inlineStr">
        <is>
          <t>Completed</t>
        </is>
      </c>
      <c r="N1455" s="13" t="inlineStr">
        <is>
          <t>M. Okonkwo</t>
        </is>
      </c>
    </row>
    <row r="1456">
      <c r="A1456" s="13" t="inlineStr">
        <is>
          <t>HC-101454</t>
        </is>
      </c>
      <c r="B1456" s="13" t="inlineStr">
        <is>
          <t>2024/10/02</t>
        </is>
      </c>
      <c r="C1456" s="13" t="inlineStr">
        <is>
          <t>Eas</t>
        </is>
      </c>
      <c r="D1456" s="13" t="inlineStr">
        <is>
          <t>In-Store</t>
        </is>
      </c>
      <c r="E1456" s="13" t="inlineStr">
        <is>
          <t>Textiles</t>
        </is>
      </c>
      <c r="F1456" s="13" t="inlineStr">
        <is>
          <t>Linen Curtain</t>
        </is>
      </c>
      <c r="G1456" s="13" t="inlineStr">
        <is>
          <t>consumer</t>
        </is>
      </c>
      <c r="H1456" s="13" t="inlineStr">
        <is>
          <t>3</t>
        </is>
      </c>
      <c r="I1456" s="14" t="inlineStr">
        <is>
          <t>85.81</t>
        </is>
      </c>
      <c r="J1456" s="15" t="inlineStr">
        <is>
          <t>0.09</t>
        </is>
      </c>
      <c r="K1456" s="14" t="inlineStr">
        <is>
          <t>38.62</t>
        </is>
      </c>
      <c r="L1456" s="13" t="inlineStr">
        <is>
          <t>10</t>
        </is>
      </c>
      <c r="M1456" s="13" t="inlineStr">
        <is>
          <t>Completed</t>
        </is>
      </c>
      <c r="N1456" s="13" t="inlineStr">
        <is>
          <t>R. Ibarra</t>
        </is>
      </c>
    </row>
    <row r="1457">
      <c r="A1457" s="13" t="inlineStr">
        <is>
          <t>HC-101455</t>
        </is>
      </c>
      <c r="B1457" s="13" t="inlineStr">
        <is>
          <t>21.01.2024</t>
        </is>
      </c>
      <c r="C1457" s="13" t="inlineStr">
        <is>
          <t>West</t>
        </is>
      </c>
      <c r="D1457" s="13" t="inlineStr">
        <is>
          <t>In-Store</t>
        </is>
      </c>
      <c r="E1457" s="13" t="inlineStr">
        <is>
          <t>Furniture</t>
        </is>
      </c>
      <c r="F1457" s="13" t="inlineStr">
        <is>
          <t>Oak Desk</t>
        </is>
      </c>
      <c r="G1457" s="13" t="inlineStr">
        <is>
          <t>Home Office</t>
        </is>
      </c>
      <c r="H1457" s="13" t="inlineStr">
        <is>
          <t>2</t>
        </is>
      </c>
      <c r="I1457" s="14" t="inlineStr">
        <is>
          <t>811.49</t>
        </is>
      </c>
      <c r="J1457" s="15" t="inlineStr">
        <is>
          <t>0.10</t>
        </is>
      </c>
      <c r="K1457" s="14" t="inlineStr">
        <is>
          <t>503.13</t>
        </is>
      </c>
      <c r="L1457" s="13" t="inlineStr">
        <is>
          <t>9</t>
        </is>
      </c>
      <c r="M1457" s="13" t="inlineStr">
        <is>
          <t>COMPLETED</t>
        </is>
      </c>
      <c r="N1457" s="13" t="inlineStr">
        <is>
          <t>J. Patel</t>
        </is>
      </c>
    </row>
    <row r="1458">
      <c r="A1458" s="13" t="inlineStr">
        <is>
          <t>HC-101456</t>
        </is>
      </c>
      <c r="B1458" s="13" t="inlineStr">
        <is>
          <t>06/08/2025</t>
        </is>
      </c>
      <c r="C1458" s="13" t="inlineStr">
        <is>
          <t>South</t>
        </is>
      </c>
      <c r="D1458" s="13" t="inlineStr">
        <is>
          <t>Store</t>
        </is>
      </c>
      <c r="E1458" s="13" t="inlineStr">
        <is>
          <t>Kitchen</t>
        </is>
      </c>
      <c r="F1458" s="13" t="inlineStr">
        <is>
          <t>Cast Skillet</t>
        </is>
      </c>
      <c r="G1458" s="13" t="inlineStr">
        <is>
          <t>Corporate</t>
        </is>
      </c>
      <c r="H1458" s="13" t="inlineStr">
        <is>
          <t>4</t>
        </is>
      </c>
      <c r="I1458" s="14" t="inlineStr">
        <is>
          <t>50.20</t>
        </is>
      </c>
      <c r="J1458" s="15" t="inlineStr">
        <is>
          <t>0.05</t>
        </is>
      </c>
      <c r="K1458" s="14" t="inlineStr">
        <is>
          <t>20.08</t>
        </is>
      </c>
      <c r="L1458" s="13" t="inlineStr">
        <is>
          <t>6</t>
        </is>
      </c>
      <c r="M1458" s="13" t="inlineStr">
        <is>
          <t>Cancelled</t>
        </is>
      </c>
      <c r="N1458" s="13" t="inlineStr">
        <is>
          <t>J. Patel</t>
        </is>
      </c>
    </row>
    <row r="1459">
      <c r="A1459" s="13" t="inlineStr">
        <is>
          <t>HC-101457</t>
        </is>
      </c>
      <c r="B1459" s="13" t="inlineStr">
        <is>
          <t>09-Aug-24</t>
        </is>
      </c>
      <c r="C1459" s="13" t="inlineStr">
        <is>
          <t>south</t>
        </is>
      </c>
      <c r="D1459" s="13" t="inlineStr">
        <is>
          <t>Online</t>
        </is>
      </c>
      <c r="E1459" s="13" t="inlineStr">
        <is>
          <t>Furniture</t>
        </is>
      </c>
      <c r="F1459" s="13" t="inlineStr">
        <is>
          <t>Walnut Shelf</t>
        </is>
      </c>
      <c r="G1459" s="13" t="inlineStr">
        <is>
          <t>Consumer</t>
        </is>
      </c>
      <c r="H1459" s="13" t="inlineStr">
        <is>
          <t>2</t>
        </is>
      </c>
      <c r="I1459" s="14" t="inlineStr">
        <is>
          <t>214.79</t>
        </is>
      </c>
      <c r="J1459" s="15" t="inlineStr">
        <is>
          <t>0.08</t>
        </is>
      </c>
      <c r="K1459" s="14" t="inlineStr">
        <is>
          <t>118.13</t>
        </is>
      </c>
      <c r="L1459" s="13" t="inlineStr">
        <is>
          <t>9</t>
        </is>
      </c>
      <c r="M1459" s="13" t="inlineStr">
        <is>
          <t>Completed</t>
        </is>
      </c>
      <c r="N1459" s="13" t="inlineStr">
        <is>
          <t>M. Okonkwo</t>
        </is>
      </c>
    </row>
    <row r="1460">
      <c r="A1460" s="13" t="inlineStr">
        <is>
          <t>HC-101458</t>
        </is>
      </c>
      <c r="B1460" s="13" t="inlineStr">
        <is>
          <t>2024/12/19</t>
        </is>
      </c>
      <c r="C1460" s="13" t="inlineStr">
        <is>
          <t>East</t>
        </is>
      </c>
      <c r="D1460" s="13" t="inlineStr">
        <is>
          <t>Store</t>
        </is>
      </c>
      <c r="E1460" s="13" t="inlineStr">
        <is>
          <t>FURNITURE</t>
        </is>
      </c>
      <c r="F1460" s="13" t="inlineStr">
        <is>
          <t>Walnut Shelf</t>
        </is>
      </c>
      <c r="G1460" s="13" t="inlineStr">
        <is>
          <t>Consumer</t>
        </is>
      </c>
      <c r="H1460" s="13" t="inlineStr">
        <is>
          <t>5</t>
        </is>
      </c>
      <c r="I1460" s="14" t="inlineStr">
        <is>
          <t>208.06</t>
        </is>
      </c>
      <c r="J1460" s="15" t="inlineStr">
        <is>
          <t>0.08</t>
        </is>
      </c>
      <c r="K1460" s="14" t="inlineStr">
        <is>
          <t>114.43</t>
        </is>
      </c>
      <c r="L1460" s="13" t="inlineStr">
        <is>
          <t>8</t>
        </is>
      </c>
      <c r="M1460" s="13" t="inlineStr">
        <is>
          <t>Completed</t>
        </is>
      </c>
      <c r="N1460" s="13" t="inlineStr">
        <is>
          <t>P. Rossi</t>
        </is>
      </c>
    </row>
    <row r="1461">
      <c r="A1461" s="13" t="inlineStr">
        <is>
          <t>HC-101459</t>
        </is>
      </c>
      <c r="B1461" s="13" t="inlineStr">
        <is>
          <t>12.11.2024</t>
        </is>
      </c>
      <c r="C1461" s="13" t="inlineStr">
        <is>
          <t>North</t>
        </is>
      </c>
      <c r="D1461" s="13" t="inlineStr">
        <is>
          <t>Online</t>
        </is>
      </c>
      <c r="E1461" s="13" t="inlineStr">
        <is>
          <t>Textiles</t>
        </is>
      </c>
      <c r="F1461" s="13" t="inlineStr">
        <is>
          <t>Cotton Duvet</t>
        </is>
      </c>
      <c r="G1461" s="13" t="inlineStr">
        <is>
          <t>Consumer</t>
        </is>
      </c>
      <c r="H1461" s="13" t="inlineStr">
        <is>
          <t>4</t>
        </is>
      </c>
      <c r="I1461" s="14" t="inlineStr">
        <is>
          <t>111.99</t>
        </is>
      </c>
      <c r="J1461" s="15" t="inlineStr">
        <is>
          <t>0.13</t>
        </is>
      </c>
      <c r="K1461" s="14" t="inlineStr">
        <is>
          <t>49.28</t>
        </is>
      </c>
      <c r="L1461" s="13" t="inlineStr">
        <is>
          <t>7</t>
        </is>
      </c>
      <c r="M1461" s="13" t="inlineStr">
        <is>
          <t>Completed</t>
        </is>
      </c>
      <c r="N1461" s="13" t="inlineStr">
        <is>
          <t>A. Shah</t>
        </is>
      </c>
    </row>
    <row r="1462">
      <c r="A1462" s="13" t="inlineStr">
        <is>
          <t>HC-101460</t>
        </is>
      </c>
      <c r="B1462" s="13" t="inlineStr">
        <is>
          <t>05/12/2025</t>
        </is>
      </c>
      <c r="C1462" s="13" t="inlineStr">
        <is>
          <t>East</t>
        </is>
      </c>
      <c r="D1462" s="13" t="inlineStr">
        <is>
          <t>Wholesale</t>
        </is>
      </c>
      <c r="E1462" s="13" t="inlineStr">
        <is>
          <t>Textiles</t>
        </is>
      </c>
      <c r="F1462" s="13" t="inlineStr">
        <is>
          <t>Linen Curtain</t>
        </is>
      </c>
      <c r="G1462" s="13" t="inlineStr">
        <is>
          <t>consumer</t>
        </is>
      </c>
      <c r="H1462" s="13" t="inlineStr">
        <is>
          <t>17</t>
        </is>
      </c>
      <c r="I1462" s="14" t="inlineStr">
        <is>
          <t>89.94</t>
        </is>
      </c>
      <c r="J1462" s="15" t="inlineStr">
        <is>
          <t>0.27</t>
        </is>
      </c>
      <c r="K1462" s="14" t="inlineStr">
        <is>
          <t>40.47</t>
        </is>
      </c>
      <c r="L1462" s="13" t="inlineStr">
        <is>
          <t>9</t>
        </is>
      </c>
      <c r="M1462" s="13" t="inlineStr">
        <is>
          <t>COMPLETED</t>
        </is>
      </c>
      <c r="N1462" s="13" t="inlineStr">
        <is>
          <t>P. Rossi</t>
        </is>
      </c>
    </row>
    <row r="1463">
      <c r="A1463" s="13" t="inlineStr">
        <is>
          <t>HC-101461</t>
        </is>
      </c>
      <c r="B1463" s="13" t="inlineStr">
        <is>
          <t>06-Dec-24</t>
        </is>
      </c>
      <c r="C1463" s="13" t="inlineStr">
        <is>
          <t>East</t>
        </is>
      </c>
      <c r="D1463" s="13" t="inlineStr">
        <is>
          <t>Online</t>
        </is>
      </c>
      <c r="E1463" s="13" t="inlineStr">
        <is>
          <t>Textiles</t>
        </is>
      </c>
      <c r="F1463" s="13" t="inlineStr">
        <is>
          <t>Linen Curtain</t>
        </is>
      </c>
      <c r="G1463" s="13" t="inlineStr">
        <is>
          <t>Consumer</t>
        </is>
      </c>
      <c r="H1463" s="13" t="inlineStr">
        <is>
          <t>2</t>
        </is>
      </c>
      <c r="I1463" s="14" t="inlineStr">
        <is>
          <t>90.81</t>
        </is>
      </c>
      <c r="J1463" s="15" t="inlineStr">
        <is>
          <t>0.18</t>
        </is>
      </c>
      <c r="K1463" s="14" t="inlineStr">
        <is>
          <t>40.87</t>
        </is>
      </c>
      <c r="L1463" s="13" t="inlineStr">
        <is>
          <t>8</t>
        </is>
      </c>
      <c r="M1463" s="13" t="inlineStr">
        <is>
          <t>Completed</t>
        </is>
      </c>
      <c r="N1463" s="13" t="inlineStr">
        <is>
          <t>R. Ibarra</t>
        </is>
      </c>
    </row>
    <row r="1464">
      <c r="A1464" s="13" t="inlineStr">
        <is>
          <t>HC-101462</t>
        </is>
      </c>
      <c r="B1464" s="13" t="inlineStr">
        <is>
          <t>2025/05/27</t>
        </is>
      </c>
      <c r="C1464" s="13" t="inlineStr">
        <is>
          <t>North</t>
        </is>
      </c>
      <c r="D1464" s="13" t="inlineStr">
        <is>
          <t>Online</t>
        </is>
      </c>
      <c r="E1464" s="13" t="inlineStr">
        <is>
          <t>Kitchen</t>
        </is>
      </c>
      <c r="F1464" s="13" t="inlineStr">
        <is>
          <t>Cast Skillet</t>
        </is>
      </c>
      <c r="G1464" s="13" t="inlineStr">
        <is>
          <t>Consumer</t>
        </is>
      </c>
      <c r="H1464" s="13" t="inlineStr">
        <is>
          <t>1</t>
        </is>
      </c>
      <c r="I1464" s="14" t="inlineStr">
        <is>
          <t>53.82</t>
        </is>
      </c>
      <c r="J1464" s="15" t="inlineStr">
        <is>
          <t>0.02</t>
        </is>
      </c>
      <c r="K1464" s="14" t="inlineStr">
        <is>
          <t>21.53</t>
        </is>
      </c>
      <c r="L1464" s="13" t="inlineStr">
        <is>
          <t>10</t>
        </is>
      </c>
      <c r="M1464" s="13" t="inlineStr">
        <is>
          <t>Completed</t>
        </is>
      </c>
      <c r="N1464" s="13" t="inlineStr">
        <is>
          <t>R. Ibarra</t>
        </is>
      </c>
    </row>
    <row r="1465">
      <c r="A1465" s="13" t="inlineStr">
        <is>
          <t>HC-101463</t>
        </is>
      </c>
      <c r="B1465" s="13" t="inlineStr">
        <is>
          <t>21.03.2025</t>
        </is>
      </c>
      <c r="C1465" s="13" t="inlineStr">
        <is>
          <t>North</t>
        </is>
      </c>
      <c r="D1465" s="13" t="inlineStr">
        <is>
          <t>Store</t>
        </is>
      </c>
      <c r="E1465" s="13" t="inlineStr">
        <is>
          <t>Furniture</t>
        </is>
      </c>
      <c r="F1465" s="13" t="inlineStr">
        <is>
          <t>Linen Sofa</t>
        </is>
      </c>
      <c r="G1465" s="13" t="inlineStr">
        <is>
          <t>Corporate</t>
        </is>
      </c>
      <c r="H1465" s="13" t="inlineStr">
        <is>
          <t>4</t>
        </is>
      </c>
      <c r="I1465" s="14" t="inlineStr">
        <is>
          <t>1204.20</t>
        </is>
      </c>
      <c r="J1465" s="15" t="inlineStr">
        <is>
          <t>0.11</t>
        </is>
      </c>
      <c r="K1465" s="14" t="inlineStr">
        <is>
          <t>794.77</t>
        </is>
      </c>
      <c r="L1465" s="13" t="inlineStr">
        <is>
          <t>10</t>
        </is>
      </c>
      <c r="M1465" s="13" t="inlineStr">
        <is>
          <t>Completed</t>
        </is>
      </c>
      <c r="N1465" s="13" t="inlineStr">
        <is>
          <t>J. Patel</t>
        </is>
      </c>
    </row>
    <row r="1466">
      <c r="A1466" s="13" t="inlineStr">
        <is>
          <t>HC-101464</t>
        </is>
      </c>
      <c r="B1466" s="13" t="inlineStr">
        <is>
          <t>04/03/2024</t>
        </is>
      </c>
      <c r="C1466" s="13" t="inlineStr">
        <is>
          <t>South</t>
        </is>
      </c>
      <c r="D1466" s="13" t="inlineStr">
        <is>
          <t>Store</t>
        </is>
      </c>
      <c r="E1466" s="13" t="inlineStr">
        <is>
          <t>Lighting</t>
        </is>
      </c>
      <c r="F1466" s="13" t="inlineStr">
        <is>
          <t>Pendant Light</t>
        </is>
      </c>
      <c r="G1466" s="13" t="inlineStr">
        <is>
          <t>Corporate</t>
        </is>
      </c>
      <c r="H1466" s="13" t="inlineStr">
        <is>
          <t>3</t>
        </is>
      </c>
      <c r="I1466" s="14" t="inlineStr">
        <is>
          <t>176.71</t>
        </is>
      </c>
      <c r="J1466" s="15" t="inlineStr">
        <is>
          <t>0.07</t>
        </is>
      </c>
      <c r="K1466" s="14" t="inlineStr">
        <is>
          <t>88.36</t>
        </is>
      </c>
      <c r="L1466" s="13" t="inlineStr">
        <is>
          <t>8</t>
        </is>
      </c>
      <c r="M1466" s="13" t="inlineStr">
        <is>
          <t>COMPLETED</t>
        </is>
      </c>
      <c r="N1466" s="13" t="inlineStr">
        <is>
          <t>S. Nguyen</t>
        </is>
      </c>
    </row>
    <row r="1467">
      <c r="A1467" s="13" t="inlineStr">
        <is>
          <t>HC-101465</t>
        </is>
      </c>
      <c r="B1467" s="13" t="inlineStr">
        <is>
          <t>20-Sep-25</t>
        </is>
      </c>
      <c r="C1467" s="13" t="inlineStr">
        <is>
          <t>West</t>
        </is>
      </c>
      <c r="D1467" s="13" t="inlineStr">
        <is>
          <t>Store</t>
        </is>
      </c>
      <c r="E1467" s="13" t="inlineStr">
        <is>
          <t>Furniture</t>
        </is>
      </c>
      <c r="F1467" s="13" t="inlineStr">
        <is>
          <t>Linen Sofa</t>
        </is>
      </c>
      <c r="G1467" s="13" t="inlineStr">
        <is>
          <t>Home Office</t>
        </is>
      </c>
      <c r="H1467" s="13" t="inlineStr">
        <is>
          <t>2</t>
        </is>
      </c>
      <c r="I1467" s="14" t="inlineStr">
        <is>
          <t>$1,171.31</t>
        </is>
      </c>
      <c r="J1467" s="15" t="inlineStr">
        <is>
          <t>0.10</t>
        </is>
      </c>
      <c r="K1467" s="14" t="inlineStr">
        <is>
          <t>773.07</t>
        </is>
      </c>
      <c r="L1467" s="13" t="inlineStr">
        <is>
          <t>4</t>
        </is>
      </c>
      <c r="M1467" s="13" t="inlineStr">
        <is>
          <t>Compleated</t>
        </is>
      </c>
      <c r="N1467" s="13" t="inlineStr">
        <is>
          <t>A. Shah</t>
        </is>
      </c>
    </row>
    <row r="1468">
      <c r="A1468" s="13" t="inlineStr">
        <is>
          <t>HC-101466</t>
        </is>
      </c>
      <c r="B1468" s="13" t="inlineStr">
        <is>
          <t>2024/06/14</t>
        </is>
      </c>
      <c r="C1468" s="13" t="inlineStr">
        <is>
          <t>West</t>
        </is>
      </c>
      <c r="D1468" s="13" t="inlineStr">
        <is>
          <t>Store</t>
        </is>
      </c>
      <c r="E1468" s="13" t="inlineStr">
        <is>
          <t>Textiles</t>
        </is>
      </c>
      <c r="F1468" s="13" t="inlineStr">
        <is>
          <t>Wool Throw</t>
        </is>
      </c>
      <c r="G1468" s="13" t="inlineStr"/>
      <c r="H1468" s="13" t="inlineStr">
        <is>
          <t>1</t>
        </is>
      </c>
      <c r="I1468" s="14" t="inlineStr">
        <is>
          <t>74.85</t>
        </is>
      </c>
      <c r="J1468" s="15" t="inlineStr">
        <is>
          <t>0.01</t>
        </is>
      </c>
      <c r="K1468" s="14" t="inlineStr">
        <is>
          <t>31.44</t>
        </is>
      </c>
      <c r="L1468" s="13" t="inlineStr">
        <is>
          <t>6</t>
        </is>
      </c>
      <c r="M1468" s="13" t="inlineStr">
        <is>
          <t>Completed</t>
        </is>
      </c>
      <c r="N1468" s="13" t="inlineStr">
        <is>
          <t>S. Nguyen</t>
        </is>
      </c>
    </row>
    <row r="1469">
      <c r="A1469" s="13" t="inlineStr">
        <is>
          <t>HC-101467</t>
        </is>
      </c>
      <c r="B1469" s="13" t="inlineStr">
        <is>
          <t>07.05.2025</t>
        </is>
      </c>
      <c r="C1469" s="13" t="inlineStr">
        <is>
          <t>South</t>
        </is>
      </c>
      <c r="D1469" s="13" t="inlineStr">
        <is>
          <t>Store</t>
        </is>
      </c>
      <c r="E1469" s="13" t="inlineStr">
        <is>
          <t>Furniture</t>
        </is>
      </c>
      <c r="F1469" s="13" t="inlineStr">
        <is>
          <t>Oak Desk</t>
        </is>
      </c>
      <c r="G1469" s="13" t="inlineStr">
        <is>
          <t>Consumer</t>
        </is>
      </c>
      <c r="H1469" s="13" t="inlineStr">
        <is>
          <t>1</t>
        </is>
      </c>
      <c r="I1469" s="14" t="inlineStr">
        <is>
          <t>$775.33</t>
        </is>
      </c>
      <c r="J1469" s="15" t="inlineStr">
        <is>
          <t>0.00</t>
        </is>
      </c>
      <c r="K1469" s="14" t="inlineStr">
        <is>
          <t>480.70</t>
        </is>
      </c>
      <c r="L1469" s="13" t="inlineStr">
        <is>
          <t>4</t>
        </is>
      </c>
      <c r="M1469" s="13" t="inlineStr">
        <is>
          <t>Completed</t>
        </is>
      </c>
      <c r="N1469" s="13" t="inlineStr">
        <is>
          <t>A. Shah</t>
        </is>
      </c>
    </row>
    <row r="1470">
      <c r="A1470" s="13" t="inlineStr">
        <is>
          <t>HC-101468</t>
        </is>
      </c>
      <c r="B1470" s="13" t="inlineStr">
        <is>
          <t>07/16/2025</t>
        </is>
      </c>
      <c r="C1470" s="13" t="inlineStr">
        <is>
          <t>Sout</t>
        </is>
      </c>
      <c r="D1470" s="13" t="inlineStr">
        <is>
          <t>Online</t>
        </is>
      </c>
      <c r="E1470" s="13" t="inlineStr">
        <is>
          <t>Furniture</t>
        </is>
      </c>
      <c r="F1470" s="13" t="inlineStr">
        <is>
          <t>Lounge Chair</t>
        </is>
      </c>
      <c r="G1470" s="13" t="inlineStr">
        <is>
          <t>Home Office</t>
        </is>
      </c>
      <c r="H1470" s="13" t="inlineStr">
        <is>
          <t>1</t>
        </is>
      </c>
      <c r="I1470" s="14" t="inlineStr">
        <is>
          <t>500.04</t>
        </is>
      </c>
      <c r="J1470" s="15" t="inlineStr">
        <is>
          <t>6%</t>
        </is>
      </c>
      <c r="K1470" s="14" t="inlineStr">
        <is>
          <t>300.02</t>
        </is>
      </c>
      <c r="L1470" s="13" t="inlineStr">
        <is>
          <t>8</t>
        </is>
      </c>
      <c r="M1470" s="13" t="inlineStr">
        <is>
          <t>Completed</t>
        </is>
      </c>
      <c r="N1470" s="13" t="inlineStr">
        <is>
          <t>K. Mensah</t>
        </is>
      </c>
    </row>
    <row r="1471">
      <c r="A1471" s="13" t="inlineStr">
        <is>
          <t>HC-101469</t>
        </is>
      </c>
      <c r="B1471" s="13" t="inlineStr">
        <is>
          <t>28-Mar-25</t>
        </is>
      </c>
      <c r="C1471" s="13" t="inlineStr">
        <is>
          <t>South</t>
        </is>
      </c>
      <c r="D1471" s="13" t="inlineStr">
        <is>
          <t>Online</t>
        </is>
      </c>
      <c r="E1471" s="13" t="inlineStr">
        <is>
          <t>Kitchen</t>
        </is>
      </c>
      <c r="F1471" s="13" t="inlineStr">
        <is>
          <t>Chef Knife</t>
        </is>
      </c>
      <c r="G1471" s="13" t="inlineStr">
        <is>
          <t>consumer</t>
        </is>
      </c>
      <c r="H1471" s="13" t="inlineStr">
        <is>
          <t>3</t>
        </is>
      </c>
      <c r="I1471" s="14" t="inlineStr">
        <is>
          <t>65.10</t>
        </is>
      </c>
      <c r="J1471" s="15" t="inlineStr">
        <is>
          <t>0.15</t>
        </is>
      </c>
      <c r="K1471" s="14" t="inlineStr">
        <is>
          <t>23.44</t>
        </is>
      </c>
      <c r="L1471" s="13" t="inlineStr">
        <is>
          <t>5</t>
        </is>
      </c>
      <c r="M1471" s="13" t="inlineStr">
        <is>
          <t>Completed</t>
        </is>
      </c>
      <c r="N1471" s="13" t="inlineStr">
        <is>
          <t>L. Berger</t>
        </is>
      </c>
    </row>
    <row r="1472">
      <c r="A1472" s="13" t="inlineStr">
        <is>
          <t>HC-101470</t>
        </is>
      </c>
      <c r="B1472" s="13" t="inlineStr">
        <is>
          <t>2025/02/26</t>
        </is>
      </c>
      <c r="C1472" s="13" t="inlineStr">
        <is>
          <t>West</t>
        </is>
      </c>
      <c r="D1472" s="13" t="inlineStr">
        <is>
          <t>Online</t>
        </is>
      </c>
      <c r="E1472" s="13" t="inlineStr">
        <is>
          <t>Textiles</t>
        </is>
      </c>
      <c r="F1472" s="13" t="inlineStr">
        <is>
          <t>Wool Throw</t>
        </is>
      </c>
      <c r="G1472" s="13" t="inlineStr">
        <is>
          <t>Consumer</t>
        </is>
      </c>
      <c r="H1472" s="13" t="inlineStr">
        <is>
          <t>Three</t>
        </is>
      </c>
      <c r="I1472" s="14" t="inlineStr">
        <is>
          <t>77.33</t>
        </is>
      </c>
      <c r="J1472" s="15" t="inlineStr">
        <is>
          <t>0.06</t>
        </is>
      </c>
      <c r="K1472" s="14" t="inlineStr">
        <is>
          <t>32.48</t>
        </is>
      </c>
      <c r="L1472" s="13" t="inlineStr">
        <is>
          <t>3</t>
        </is>
      </c>
      <c r="M1472" s="13" t="inlineStr">
        <is>
          <t>Returned</t>
        </is>
      </c>
      <c r="N1472" s="13" t="inlineStr">
        <is>
          <t>M. Okonkwo</t>
        </is>
      </c>
    </row>
    <row r="1473">
      <c r="A1473" s="13" t="inlineStr">
        <is>
          <t>HC-101471</t>
        </is>
      </c>
      <c r="B1473" s="13" t="inlineStr">
        <is>
          <t>27.08.2025</t>
        </is>
      </c>
      <c r="C1473" s="13" t="inlineStr">
        <is>
          <t>SOUTH</t>
        </is>
      </c>
      <c r="D1473" s="13" t="inlineStr">
        <is>
          <t>Online</t>
        </is>
      </c>
      <c r="E1473" s="13" t="inlineStr">
        <is>
          <t>Lighting</t>
        </is>
      </c>
      <c r="F1473" s="13" t="inlineStr">
        <is>
          <t>Brass Sconce</t>
        </is>
      </c>
      <c r="G1473" s="13" t="inlineStr">
        <is>
          <t>Consumer</t>
        </is>
      </c>
      <c r="H1473" s="13" t="inlineStr">
        <is>
          <t>1</t>
        </is>
      </c>
      <c r="I1473" s="14" t="inlineStr">
        <is>
          <t>138.86</t>
        </is>
      </c>
      <c r="J1473" s="15" t="inlineStr">
        <is>
          <t>0.12</t>
        </is>
      </c>
      <c r="K1473" s="14" t="inlineStr">
        <is>
          <t>63.87</t>
        </is>
      </c>
      <c r="L1473" s="13" t="inlineStr">
        <is>
          <t>4</t>
        </is>
      </c>
      <c r="M1473" s="13" t="inlineStr">
        <is>
          <t>Cancelled</t>
        </is>
      </c>
      <c r="N1473" s="13" t="inlineStr">
        <is>
          <t>K. Mensah</t>
        </is>
      </c>
    </row>
    <row r="1474">
      <c r="A1474" s="13" t="inlineStr">
        <is>
          <t>HC-101472</t>
        </is>
      </c>
      <c r="B1474" s="13" t="inlineStr">
        <is>
          <t>06/01/2025</t>
        </is>
      </c>
      <c r="C1474" s="13" t="inlineStr">
        <is>
          <t>East</t>
        </is>
      </c>
      <c r="D1474" s="13" t="inlineStr">
        <is>
          <t>Online</t>
        </is>
      </c>
      <c r="E1474" s="13" t="inlineStr">
        <is>
          <t>Lighting</t>
        </is>
      </c>
      <c r="F1474" s="13" t="inlineStr">
        <is>
          <t>Arc Lamp</t>
        </is>
      </c>
      <c r="G1474" s="13" t="inlineStr">
        <is>
          <t>Consumer</t>
        </is>
      </c>
      <c r="H1474" s="13" t="inlineStr">
        <is>
          <t>1</t>
        </is>
      </c>
      <c r="I1474" s="14" t="inlineStr">
        <is>
          <t>273.33</t>
        </is>
      </c>
      <c r="J1474" s="15" t="inlineStr">
        <is>
          <t>0.08</t>
        </is>
      </c>
      <c r="K1474" s="14" t="inlineStr">
        <is>
          <t>131.20</t>
        </is>
      </c>
      <c r="L1474" s="13" t="inlineStr">
        <is>
          <t>6</t>
        </is>
      </c>
      <c r="M1474" s="13" t="inlineStr">
        <is>
          <t>Completed</t>
        </is>
      </c>
      <c r="N1474" s="13" t="inlineStr">
        <is>
          <t>R. Ibarra</t>
        </is>
      </c>
    </row>
    <row r="1475">
      <c r="A1475" s="13" t="inlineStr">
        <is>
          <t>HC-101473</t>
        </is>
      </c>
      <c r="B1475" s="13" t="inlineStr">
        <is>
          <t>21-Dec-24</t>
        </is>
      </c>
      <c r="C1475" s="13" t="inlineStr">
        <is>
          <t xml:space="preserve"> west </t>
        </is>
      </c>
      <c r="D1475" s="13" t="inlineStr">
        <is>
          <t>Online</t>
        </is>
      </c>
      <c r="E1475" s="13" t="inlineStr">
        <is>
          <t>Furniture</t>
        </is>
      </c>
      <c r="F1475" s="13" t="inlineStr">
        <is>
          <t>Walnut Shelf</t>
        </is>
      </c>
      <c r="G1475" s="13" t="inlineStr">
        <is>
          <t>Corporate</t>
        </is>
      </c>
      <c r="H1475" s="13" t="inlineStr">
        <is>
          <t>2</t>
        </is>
      </c>
      <c r="I1475" s="14" t="inlineStr">
        <is>
          <t>223.02</t>
        </is>
      </c>
      <c r="J1475" s="15" t="inlineStr">
        <is>
          <t>0.13</t>
        </is>
      </c>
      <c r="K1475" s="14" t="inlineStr">
        <is>
          <t>122.66</t>
        </is>
      </c>
      <c r="L1475" s="13" t="inlineStr">
        <is>
          <t>5</t>
        </is>
      </c>
      <c r="M1475" s="13" t="inlineStr">
        <is>
          <t>Completed</t>
        </is>
      </c>
      <c r="N1475" s="13" t="inlineStr">
        <is>
          <t>K. Mensah</t>
        </is>
      </c>
    </row>
    <row r="1476">
      <c r="A1476" s="13" t="inlineStr">
        <is>
          <t>HC-101474</t>
        </is>
      </c>
      <c r="B1476" s="13" t="inlineStr">
        <is>
          <t>2025/04/10</t>
        </is>
      </c>
      <c r="C1476" s="13" t="inlineStr">
        <is>
          <t>North</t>
        </is>
      </c>
      <c r="D1476" s="13" t="inlineStr">
        <is>
          <t>Store</t>
        </is>
      </c>
      <c r="E1476" s="13" t="inlineStr">
        <is>
          <t>Furniture</t>
        </is>
      </c>
      <c r="F1476" s="13" t="inlineStr">
        <is>
          <t>Oak Desk</t>
        </is>
      </c>
      <c r="G1476" s="13" t="inlineStr">
        <is>
          <t>Corporate</t>
        </is>
      </c>
      <c r="H1476" s="13" t="inlineStr">
        <is>
          <t>1</t>
        </is>
      </c>
      <c r="I1476" s="14" t="inlineStr">
        <is>
          <t>818.65</t>
        </is>
      </c>
      <c r="J1476" s="15" t="inlineStr">
        <is>
          <t>0.03</t>
        </is>
      </c>
      <c r="K1476" s="14" t="inlineStr">
        <is>
          <t>507.56</t>
        </is>
      </c>
      <c r="L1476" s="13" t="inlineStr">
        <is>
          <t>6</t>
        </is>
      </c>
      <c r="M1476" s="13" t="inlineStr">
        <is>
          <t>Returned</t>
        </is>
      </c>
      <c r="N1476" s="13" t="inlineStr">
        <is>
          <t>J. Patel</t>
        </is>
      </c>
    </row>
    <row r="1477">
      <c r="A1477" s="13" t="inlineStr">
        <is>
          <t>HC-101475</t>
        </is>
      </c>
      <c r="B1477" s="13" t="inlineStr">
        <is>
          <t>10.11.2024</t>
        </is>
      </c>
      <c r="C1477" s="13" t="inlineStr">
        <is>
          <t>East</t>
        </is>
      </c>
      <c r="D1477" s="13" t="inlineStr">
        <is>
          <t>Online</t>
        </is>
      </c>
      <c r="E1477" s="13" t="inlineStr">
        <is>
          <t>Lighting</t>
        </is>
      </c>
      <c r="F1477" s="13" t="inlineStr">
        <is>
          <t>Arc Lamp</t>
        </is>
      </c>
      <c r="G1477" s="13" t="inlineStr">
        <is>
          <t>Corporate</t>
        </is>
      </c>
      <c r="H1477" s="13" t="inlineStr">
        <is>
          <t>3</t>
        </is>
      </c>
      <c r="I1477" s="14" t="inlineStr">
        <is>
          <t>295.65</t>
        </is>
      </c>
      <c r="J1477" s="15" t="inlineStr">
        <is>
          <t>0.06</t>
        </is>
      </c>
      <c r="K1477" s="14" t="inlineStr">
        <is>
          <t>141.91</t>
        </is>
      </c>
      <c r="L1477" s="13" t="inlineStr">
        <is>
          <t>9</t>
        </is>
      </c>
      <c r="M1477" s="13" t="inlineStr">
        <is>
          <t>Completed</t>
        </is>
      </c>
      <c r="N1477" s="13" t="inlineStr">
        <is>
          <t>J. Patel</t>
        </is>
      </c>
    </row>
    <row r="1478">
      <c r="A1478" s="13" t="inlineStr">
        <is>
          <t>HC-101476</t>
        </is>
      </c>
      <c r="B1478" s="13" t="inlineStr">
        <is>
          <t>02/22/2025</t>
        </is>
      </c>
      <c r="C1478" s="13" t="inlineStr">
        <is>
          <t>East</t>
        </is>
      </c>
      <c r="D1478" s="13" t="inlineStr">
        <is>
          <t>Store</t>
        </is>
      </c>
      <c r="E1478" s="13" t="inlineStr">
        <is>
          <t>Furniture</t>
        </is>
      </c>
      <c r="F1478" s="13" t="inlineStr">
        <is>
          <t>Walnut Shelf</t>
        </is>
      </c>
      <c r="G1478" s="13" t="inlineStr">
        <is>
          <t>Consumer</t>
        </is>
      </c>
      <c r="H1478" s="13" t="inlineStr">
        <is>
          <t>1</t>
        </is>
      </c>
      <c r="I1478" s="14" t="inlineStr">
        <is>
          <t>202.06</t>
        </is>
      </c>
      <c r="J1478" s="15" t="inlineStr">
        <is>
          <t>0.02</t>
        </is>
      </c>
      <c r="K1478" s="14" t="inlineStr">
        <is>
          <t>111.14</t>
        </is>
      </c>
      <c r="L1478" s="13" t="inlineStr">
        <is>
          <t>9</t>
        </is>
      </c>
      <c r="M1478" s="13" t="inlineStr">
        <is>
          <t>Completed</t>
        </is>
      </c>
      <c r="N1478" s="13" t="inlineStr">
        <is>
          <t>A. Shah</t>
        </is>
      </c>
    </row>
    <row r="1479">
      <c r="A1479" s="13" t="inlineStr">
        <is>
          <t>HC-101477</t>
        </is>
      </c>
      <c r="B1479" s="13" t="inlineStr">
        <is>
          <t>02-Jan-24</t>
        </is>
      </c>
      <c r="C1479" s="13" t="inlineStr">
        <is>
          <t>North</t>
        </is>
      </c>
      <c r="D1479" s="13" t="inlineStr">
        <is>
          <t>Online</t>
        </is>
      </c>
      <c r="E1479" s="13" t="inlineStr">
        <is>
          <t>Kitchen</t>
        </is>
      </c>
      <c r="F1479" s="13" t="inlineStr">
        <is>
          <t>Cast Skillet</t>
        </is>
      </c>
      <c r="G1479" s="13" t="inlineStr">
        <is>
          <t>Consumer</t>
        </is>
      </c>
      <c r="H1479" s="13" t="inlineStr">
        <is>
          <t>1</t>
        </is>
      </c>
      <c r="I1479" s="14" t="inlineStr">
        <is>
          <t>50.75</t>
        </is>
      </c>
      <c r="J1479" s="15" t="inlineStr">
        <is>
          <t>0.07</t>
        </is>
      </c>
      <c r="K1479" s="14" t="inlineStr">
        <is>
          <t>20.30</t>
        </is>
      </c>
      <c r="L1479" s="13" t="inlineStr">
        <is>
          <t>7</t>
        </is>
      </c>
      <c r="M1479" s="13" t="inlineStr">
        <is>
          <t>Completed</t>
        </is>
      </c>
      <c r="N1479" s="13" t="inlineStr">
        <is>
          <t>K. Mensah</t>
        </is>
      </c>
    </row>
    <row r="1480">
      <c r="A1480" s="13" t="inlineStr">
        <is>
          <t>HC-101478</t>
        </is>
      </c>
      <c r="B1480" s="13" t="inlineStr">
        <is>
          <t>2025/07/06</t>
        </is>
      </c>
      <c r="C1480" s="13" t="inlineStr">
        <is>
          <t>East</t>
        </is>
      </c>
      <c r="D1480" s="13" t="inlineStr">
        <is>
          <t>Store</t>
        </is>
      </c>
      <c r="E1480" s="13" t="inlineStr">
        <is>
          <t>TEXTILES</t>
        </is>
      </c>
      <c r="F1480" s="13" t="inlineStr">
        <is>
          <t>Wool Throw</t>
        </is>
      </c>
      <c r="G1480" s="13" t="inlineStr">
        <is>
          <t>Corporate</t>
        </is>
      </c>
      <c r="H1480" s="13" t="inlineStr">
        <is>
          <t>2</t>
        </is>
      </c>
      <c r="I1480" s="14" t="inlineStr">
        <is>
          <t>66.73</t>
        </is>
      </c>
      <c r="J1480" s="15" t="inlineStr">
        <is>
          <t>0.09</t>
        </is>
      </c>
      <c r="K1480" s="14" t="inlineStr">
        <is>
          <t>28.03</t>
        </is>
      </c>
      <c r="L1480" s="13" t="inlineStr">
        <is>
          <t>6</t>
        </is>
      </c>
      <c r="M1480" s="13" t="inlineStr">
        <is>
          <t>Completed</t>
        </is>
      </c>
      <c r="N1480" s="13" t="inlineStr">
        <is>
          <t>K. Mensah</t>
        </is>
      </c>
    </row>
    <row r="1481">
      <c r="A1481" s="13" t="inlineStr">
        <is>
          <t>HC-101479</t>
        </is>
      </c>
      <c r="B1481" s="13" t="inlineStr">
        <is>
          <t>14.11.2024</t>
        </is>
      </c>
      <c r="C1481" s="13" t="inlineStr">
        <is>
          <t>West</t>
        </is>
      </c>
      <c r="D1481" s="13" t="inlineStr">
        <is>
          <t>retail</t>
        </is>
      </c>
      <c r="E1481" s="13" t="inlineStr">
        <is>
          <t>Lighting</t>
        </is>
      </c>
      <c r="F1481" s="13" t="inlineStr">
        <is>
          <t>Arc Lamp</t>
        </is>
      </c>
      <c r="G1481" s="13" t="inlineStr">
        <is>
          <t>Consumer</t>
        </is>
      </c>
      <c r="H1481" s="13" t="inlineStr">
        <is>
          <t>3</t>
        </is>
      </c>
      <c r="I1481" s="14" t="inlineStr">
        <is>
          <t>299.19</t>
        </is>
      </c>
      <c r="J1481" s="15" t="inlineStr">
        <is>
          <t>0.10</t>
        </is>
      </c>
      <c r="K1481" s="14" t="inlineStr">
        <is>
          <t>143.61</t>
        </is>
      </c>
      <c r="L1481" s="13" t="inlineStr">
        <is>
          <t>7</t>
        </is>
      </c>
      <c r="M1481" s="13" t="inlineStr">
        <is>
          <t>Completed</t>
        </is>
      </c>
      <c r="N1481" s="13" t="inlineStr">
        <is>
          <t>A. Shah</t>
        </is>
      </c>
    </row>
    <row r="1482">
      <c r="A1482" s="13" t="inlineStr">
        <is>
          <t>HC-101480</t>
        </is>
      </c>
      <c r="B1482" s="13" t="inlineStr">
        <is>
          <t>04/18/2025</t>
        </is>
      </c>
      <c r="C1482" s="13" t="inlineStr">
        <is>
          <t>West</t>
        </is>
      </c>
      <c r="D1482" s="13" t="inlineStr">
        <is>
          <t>Store</t>
        </is>
      </c>
      <c r="E1482" s="13" t="inlineStr">
        <is>
          <t>KITCHEN</t>
        </is>
      </c>
      <c r="F1482" s="13" t="inlineStr">
        <is>
          <t>Ceramic Set</t>
        </is>
      </c>
      <c r="G1482" s="13" t="inlineStr">
        <is>
          <t>Consumer</t>
        </is>
      </c>
      <c r="H1482" s="13" t="inlineStr">
        <is>
          <t>4</t>
        </is>
      </c>
      <c r="I1482" s="14" t="inlineStr">
        <is>
          <t>86.95</t>
        </is>
      </c>
      <c r="J1482" s="15" t="inlineStr">
        <is>
          <t>0.03</t>
        </is>
      </c>
      <c r="K1482" s="14" t="inlineStr">
        <is>
          <t>33.04</t>
        </is>
      </c>
      <c r="L1482" s="13" t="inlineStr">
        <is>
          <t>5</t>
        </is>
      </c>
      <c r="M1482" s="13" t="inlineStr">
        <is>
          <t>Returned</t>
        </is>
      </c>
      <c r="N1482" s="13" t="inlineStr">
        <is>
          <t>P. Rossi</t>
        </is>
      </c>
    </row>
    <row r="1483">
      <c r="A1483" s="13" t="inlineStr">
        <is>
          <t>HC-101481</t>
        </is>
      </c>
      <c r="B1483" s="13" t="inlineStr">
        <is>
          <t>12-Oct-24</t>
        </is>
      </c>
      <c r="C1483" s="13" t="inlineStr">
        <is>
          <t>North</t>
        </is>
      </c>
      <c r="D1483" s="13" t="inlineStr">
        <is>
          <t>Store</t>
        </is>
      </c>
      <c r="E1483" s="13" t="inlineStr">
        <is>
          <t>Textiles</t>
        </is>
      </c>
      <c r="F1483" s="13" t="inlineStr">
        <is>
          <t>Cotton Duvet</t>
        </is>
      </c>
      <c r="G1483" s="13" t="inlineStr">
        <is>
          <t>Home Office</t>
        </is>
      </c>
      <c r="H1483" s="13" t="inlineStr">
        <is>
          <t>2</t>
        </is>
      </c>
      <c r="I1483" s="14" t="inlineStr">
        <is>
          <t>122.04</t>
        </is>
      </c>
      <c r="J1483" s="15" t="inlineStr">
        <is>
          <t>0.08</t>
        </is>
      </c>
      <c r="K1483" s="14" t="inlineStr">
        <is>
          <t>53.70</t>
        </is>
      </c>
      <c r="L1483" s="13" t="inlineStr">
        <is>
          <t>9</t>
        </is>
      </c>
      <c r="M1483" s="13" t="inlineStr">
        <is>
          <t>Canceled</t>
        </is>
      </c>
      <c r="N1483" s="13" t="inlineStr">
        <is>
          <t>P. Rossi</t>
        </is>
      </c>
    </row>
    <row r="1484">
      <c r="A1484" s="13" t="inlineStr">
        <is>
          <t>HC-101482</t>
        </is>
      </c>
      <c r="B1484" s="13" t="inlineStr">
        <is>
          <t>2025/08/17</t>
        </is>
      </c>
      <c r="C1484" s="13" t="inlineStr">
        <is>
          <t>West</t>
        </is>
      </c>
      <c r="D1484" s="13" t="inlineStr">
        <is>
          <t>Online</t>
        </is>
      </c>
      <c r="E1484" s="13" t="inlineStr">
        <is>
          <t>Furniture</t>
        </is>
      </c>
      <c r="F1484" s="13" t="inlineStr">
        <is>
          <t>Oak Desk</t>
        </is>
      </c>
      <c r="G1484" s="13" t="inlineStr">
        <is>
          <t>Consumer</t>
        </is>
      </c>
      <c r="H1484" s="13" t="inlineStr">
        <is>
          <t>3</t>
        </is>
      </c>
      <c r="I1484" s="14" t="inlineStr">
        <is>
          <t>886.22</t>
        </is>
      </c>
      <c r="J1484" s="15" t="inlineStr">
        <is>
          <t>0.03</t>
        </is>
      </c>
      <c r="K1484" s="14" t="inlineStr">
        <is>
          <t>549.46</t>
        </is>
      </c>
      <c r="L1484" s="13" t="inlineStr">
        <is>
          <t>6</t>
        </is>
      </c>
      <c r="M1484" s="13" t="inlineStr">
        <is>
          <t>Completed</t>
        </is>
      </c>
      <c r="N1484" s="13" t="inlineStr">
        <is>
          <t>P. Rossi</t>
        </is>
      </c>
    </row>
    <row r="1485">
      <c r="A1485" s="13" t="inlineStr">
        <is>
          <t>HC-101483</t>
        </is>
      </c>
      <c r="B1485" s="13" t="inlineStr">
        <is>
          <t>23.03.2025</t>
        </is>
      </c>
      <c r="C1485" s="13" t="inlineStr">
        <is>
          <t>West</t>
        </is>
      </c>
      <c r="D1485" s="13" t="inlineStr">
        <is>
          <t>Online</t>
        </is>
      </c>
      <c r="E1485" s="13" t="inlineStr">
        <is>
          <t>Kitchen</t>
        </is>
      </c>
      <c r="F1485" s="13" t="inlineStr">
        <is>
          <t>Ceramic Set</t>
        </is>
      </c>
      <c r="G1485" s="13" t="inlineStr">
        <is>
          <t>Corporate</t>
        </is>
      </c>
      <c r="H1485" s="13" t="inlineStr">
        <is>
          <t>3</t>
        </is>
      </c>
      <c r="I1485" s="14" t="inlineStr">
        <is>
          <t>86.53</t>
        </is>
      </c>
      <c r="J1485" s="15" t="inlineStr">
        <is>
          <t>0.07</t>
        </is>
      </c>
      <c r="K1485" s="14" t="inlineStr">
        <is>
          <t>32.88</t>
        </is>
      </c>
      <c r="L1485" s="13" t="inlineStr">
        <is>
          <t>7</t>
        </is>
      </c>
      <c r="M1485" s="13" t="inlineStr">
        <is>
          <t>Completed</t>
        </is>
      </c>
      <c r="N1485" s="13" t="inlineStr">
        <is>
          <t>A. Shah</t>
        </is>
      </c>
    </row>
    <row r="1486">
      <c r="A1486" s="13" t="inlineStr">
        <is>
          <t>HC-101484</t>
        </is>
      </c>
      <c r="B1486" s="13" t="inlineStr">
        <is>
          <t>11/08/2024</t>
        </is>
      </c>
      <c r="C1486" s="13" t="inlineStr">
        <is>
          <t>North</t>
        </is>
      </c>
      <c r="D1486" s="13" t="inlineStr">
        <is>
          <t>Store</t>
        </is>
      </c>
      <c r="E1486" s="13" t="inlineStr">
        <is>
          <t>Textiles</t>
        </is>
      </c>
      <c r="F1486" s="13" t="inlineStr">
        <is>
          <t>Cotton Duvet</t>
        </is>
      </c>
      <c r="G1486" s="13" t="inlineStr">
        <is>
          <t>Consumer</t>
        </is>
      </c>
      <c r="H1486" s="13" t="inlineStr">
        <is>
          <t>3</t>
        </is>
      </c>
      <c r="I1486" s="14" t="inlineStr">
        <is>
          <t>114.91</t>
        </is>
      </c>
      <c r="J1486" s="15" t="inlineStr">
        <is>
          <t>0.04</t>
        </is>
      </c>
      <c r="K1486" s="14" t="inlineStr">
        <is>
          <t>50.56</t>
        </is>
      </c>
      <c r="L1486" s="13" t="inlineStr">
        <is>
          <t>9</t>
        </is>
      </c>
      <c r="M1486" s="13" t="inlineStr">
        <is>
          <t>Completed</t>
        </is>
      </c>
      <c r="N1486" s="13" t="inlineStr">
        <is>
          <t>P. Rossi</t>
        </is>
      </c>
    </row>
    <row r="1487">
      <c r="A1487" s="13" t="inlineStr">
        <is>
          <t>HC-101485</t>
        </is>
      </c>
      <c r="B1487" s="13" t="inlineStr">
        <is>
          <t>19-Dec-24</t>
        </is>
      </c>
      <c r="C1487" s="13" t="inlineStr">
        <is>
          <t>North</t>
        </is>
      </c>
      <c r="D1487" s="13" t="inlineStr">
        <is>
          <t>Store</t>
        </is>
      </c>
      <c r="E1487" s="13" t="inlineStr">
        <is>
          <t>Textiles</t>
        </is>
      </c>
      <c r="F1487" s="13" t="inlineStr">
        <is>
          <t>Wool Throw</t>
        </is>
      </c>
      <c r="G1487" s="13" t="inlineStr">
        <is>
          <t>Consumer</t>
        </is>
      </c>
      <c r="H1487" s="13" t="inlineStr">
        <is>
          <t>2</t>
        </is>
      </c>
      <c r="I1487" s="14" t="inlineStr">
        <is>
          <t>80.09</t>
        </is>
      </c>
      <c r="J1487" s="15" t="inlineStr">
        <is>
          <t>0.03</t>
        </is>
      </c>
      <c r="K1487" s="14" t="inlineStr">
        <is>
          <t>33.64</t>
        </is>
      </c>
      <c r="L1487" s="13" t="inlineStr">
        <is>
          <t>6</t>
        </is>
      </c>
      <c r="M1487" s="13" t="inlineStr">
        <is>
          <t>Completed</t>
        </is>
      </c>
      <c r="N1487" s="13" t="inlineStr">
        <is>
          <t>R. Ibarra</t>
        </is>
      </c>
    </row>
    <row r="1488">
      <c r="A1488" s="13" t="inlineStr">
        <is>
          <t>HC-101486</t>
        </is>
      </c>
      <c r="B1488" s="13" t="inlineStr">
        <is>
          <t>2024/05/20</t>
        </is>
      </c>
      <c r="C1488" s="13" t="inlineStr">
        <is>
          <t>West</t>
        </is>
      </c>
      <c r="D1488" s="13" t="inlineStr">
        <is>
          <t>Wholesale</t>
        </is>
      </c>
      <c r="E1488" s="13" t="inlineStr">
        <is>
          <t>Lighting</t>
        </is>
      </c>
      <c r="F1488" s="13" t="inlineStr">
        <is>
          <t>Arc Lamp</t>
        </is>
      </c>
      <c r="G1488" s="13" t="inlineStr">
        <is>
          <t>consumer</t>
        </is>
      </c>
      <c r="H1488" s="13" t="inlineStr">
        <is>
          <t>32</t>
        </is>
      </c>
      <c r="I1488" s="14" t="inlineStr">
        <is>
          <t>302.89</t>
        </is>
      </c>
      <c r="J1488" s="15" t="inlineStr">
        <is>
          <t>0.26</t>
        </is>
      </c>
      <c r="K1488" s="14" t="inlineStr">
        <is>
          <t>145.39</t>
        </is>
      </c>
      <c r="L1488" s="13" t="inlineStr">
        <is>
          <t>2</t>
        </is>
      </c>
      <c r="M1488" s="13" t="inlineStr">
        <is>
          <t>Completed</t>
        </is>
      </c>
      <c r="N1488" s="13" t="inlineStr">
        <is>
          <t>J. Patel</t>
        </is>
      </c>
    </row>
    <row r="1489">
      <c r="A1489" s="13" t="inlineStr">
        <is>
          <t>HC-101487</t>
        </is>
      </c>
      <c r="B1489" s="13" t="inlineStr">
        <is>
          <t>25.04.2024</t>
        </is>
      </c>
      <c r="C1489" s="13" t="inlineStr">
        <is>
          <t>east</t>
        </is>
      </c>
      <c r="D1489" s="13" t="inlineStr">
        <is>
          <t>Online</t>
        </is>
      </c>
      <c r="E1489" s="13" t="inlineStr">
        <is>
          <t>Furniture</t>
        </is>
      </c>
      <c r="F1489" s="13" t="inlineStr">
        <is>
          <t>Linen Sofa</t>
        </is>
      </c>
      <c r="G1489" s="13" t="inlineStr">
        <is>
          <t>Consumer</t>
        </is>
      </c>
      <c r="H1489" s="13" t="inlineStr">
        <is>
          <t>3</t>
        </is>
      </c>
      <c r="I1489" s="14" t="inlineStr">
        <is>
          <t>1035.94</t>
        </is>
      </c>
      <c r="J1489" s="15" t="inlineStr">
        <is>
          <t>0.13</t>
        </is>
      </c>
      <c r="K1489" s="14" t="inlineStr">
        <is>
          <t>683.72</t>
        </is>
      </c>
      <c r="L1489" s="13" t="inlineStr">
        <is>
          <t>10</t>
        </is>
      </c>
      <c r="M1489" s="13" t="inlineStr">
        <is>
          <t>Returned</t>
        </is>
      </c>
      <c r="N1489" s="13" t="inlineStr">
        <is>
          <t>S. Nguyen</t>
        </is>
      </c>
    </row>
    <row r="1490">
      <c r="A1490" s="13" t="inlineStr">
        <is>
          <t>HC-101488</t>
        </is>
      </c>
      <c r="B1490" s="13" t="inlineStr">
        <is>
          <t>04/29/2024</t>
        </is>
      </c>
      <c r="C1490" s="13" t="inlineStr">
        <is>
          <t>NORTH</t>
        </is>
      </c>
      <c r="D1490" s="13" t="inlineStr">
        <is>
          <t>Wholesale</t>
        </is>
      </c>
      <c r="E1490" s="13" t="inlineStr">
        <is>
          <t>Textiles</t>
        </is>
      </c>
      <c r="F1490" s="13" t="inlineStr">
        <is>
          <t>Linen Curtain</t>
        </is>
      </c>
      <c r="G1490" s="13" t="inlineStr">
        <is>
          <t>Corporate</t>
        </is>
      </c>
      <c r="H1490" s="13" t="inlineStr">
        <is>
          <t>11</t>
        </is>
      </c>
      <c r="I1490" s="14" t="inlineStr">
        <is>
          <t>102.05</t>
        </is>
      </c>
      <c r="J1490" s="15" t="inlineStr">
        <is>
          <t>0.13</t>
        </is>
      </c>
      <c r="K1490" s="14" t="inlineStr">
        <is>
          <t>45.92</t>
        </is>
      </c>
      <c r="L1490" s="13" t="inlineStr">
        <is>
          <t>2</t>
        </is>
      </c>
      <c r="M1490" s="13" t="inlineStr">
        <is>
          <t>complete</t>
        </is>
      </c>
      <c r="N1490" s="13" t="inlineStr">
        <is>
          <t>K. Mensah</t>
        </is>
      </c>
    </row>
    <row r="1491">
      <c r="A1491" s="13" t="inlineStr">
        <is>
          <t>HC-101489</t>
        </is>
      </c>
      <c r="B1491" s="13" t="inlineStr">
        <is>
          <t>27-Jul-24</t>
        </is>
      </c>
      <c r="C1491" s="13" t="inlineStr">
        <is>
          <t>North</t>
        </is>
      </c>
      <c r="D1491" s="13" t="inlineStr">
        <is>
          <t>Online</t>
        </is>
      </c>
      <c r="E1491" s="13" t="inlineStr">
        <is>
          <t>Furniture</t>
        </is>
      </c>
      <c r="F1491" s="13" t="inlineStr">
        <is>
          <t>Linen Sofa</t>
        </is>
      </c>
      <c r="G1491" s="13" t="inlineStr">
        <is>
          <t>Corporate</t>
        </is>
      </c>
      <c r="H1491" s="13" t="inlineStr">
        <is>
          <t>2</t>
        </is>
      </c>
      <c r="I1491" s="14" t="inlineStr">
        <is>
          <t>$1,161.98</t>
        </is>
      </c>
      <c r="J1491" s="15" t="inlineStr">
        <is>
          <t>0.03</t>
        </is>
      </c>
      <c r="K1491" s="14" t="inlineStr">
        <is>
          <t>766.90</t>
        </is>
      </c>
      <c r="L1491" s="13" t="inlineStr">
        <is>
          <t>6</t>
        </is>
      </c>
      <c r="M1491" s="13" t="inlineStr">
        <is>
          <t>Completed</t>
        </is>
      </c>
      <c r="N1491" s="13" t="inlineStr">
        <is>
          <t>P. Rossi</t>
        </is>
      </c>
    </row>
    <row r="1492">
      <c r="A1492" s="13" t="inlineStr">
        <is>
          <t>HC-101490</t>
        </is>
      </c>
      <c r="B1492" s="13" t="inlineStr">
        <is>
          <t>2024/12/02</t>
        </is>
      </c>
      <c r="C1492" s="13" t="inlineStr">
        <is>
          <t>West</t>
        </is>
      </c>
      <c r="D1492" s="13" t="inlineStr">
        <is>
          <t>Online</t>
        </is>
      </c>
      <c r="E1492" s="13" t="inlineStr">
        <is>
          <t>TEXTILES</t>
        </is>
      </c>
      <c r="F1492" s="13" t="inlineStr">
        <is>
          <t>Wool Throw</t>
        </is>
      </c>
      <c r="G1492" s="13" t="inlineStr">
        <is>
          <t>Consumer</t>
        </is>
      </c>
      <c r="H1492" s="13" t="inlineStr">
        <is>
          <t>4</t>
        </is>
      </c>
      <c r="I1492" s="14" t="inlineStr">
        <is>
          <t>79.38</t>
        </is>
      </c>
      <c r="J1492" s="15" t="inlineStr">
        <is>
          <t>0.12</t>
        </is>
      </c>
      <c r="K1492" s="14" t="inlineStr">
        <is>
          <t>33.34</t>
        </is>
      </c>
      <c r="L1492" s="13" t="inlineStr">
        <is>
          <t>7</t>
        </is>
      </c>
      <c r="M1492" s="13" t="inlineStr">
        <is>
          <t>Completed</t>
        </is>
      </c>
      <c r="N1492" s="13" t="inlineStr">
        <is>
          <t>M. Okonkwo</t>
        </is>
      </c>
    </row>
    <row r="1493">
      <c r="A1493" s="13" t="inlineStr">
        <is>
          <t>HC-101491</t>
        </is>
      </c>
      <c r="B1493" s="13" t="inlineStr">
        <is>
          <t>22.01.2024</t>
        </is>
      </c>
      <c r="C1493" s="13" t="inlineStr">
        <is>
          <t>North</t>
        </is>
      </c>
      <c r="D1493" s="13" t="inlineStr">
        <is>
          <t>Store</t>
        </is>
      </c>
      <c r="E1493" s="13" t="inlineStr">
        <is>
          <t>FURNITURE</t>
        </is>
      </c>
      <c r="F1493" s="13" t="inlineStr">
        <is>
          <t>Lounge Chair</t>
        </is>
      </c>
      <c r="G1493" s="13" t="inlineStr">
        <is>
          <t>Consumer</t>
        </is>
      </c>
      <c r="H1493" s="13" t="inlineStr">
        <is>
          <t>2</t>
        </is>
      </c>
      <c r="I1493" s="14" t="inlineStr">
        <is>
          <t>470.22</t>
        </is>
      </c>
      <c r="J1493" s="15" t="inlineStr">
        <is>
          <t>0.01</t>
        </is>
      </c>
      <c r="K1493" s="14" t="inlineStr">
        <is>
          <t>282.13</t>
        </is>
      </c>
      <c r="L1493" s="13" t="inlineStr">
        <is>
          <t>2</t>
        </is>
      </c>
      <c r="M1493" s="13" t="inlineStr">
        <is>
          <t>Completed</t>
        </is>
      </c>
      <c r="N1493" s="13" t="inlineStr">
        <is>
          <t>J. Patel</t>
        </is>
      </c>
    </row>
    <row r="1494">
      <c r="A1494" s="13" t="inlineStr">
        <is>
          <t>HC-101492</t>
        </is>
      </c>
      <c r="B1494" s="13" t="inlineStr">
        <is>
          <t>03/14/2025</t>
        </is>
      </c>
      <c r="C1494" s="13" t="inlineStr">
        <is>
          <t>South</t>
        </is>
      </c>
      <c r="D1494" s="13" t="inlineStr">
        <is>
          <t>Wholesale</t>
        </is>
      </c>
      <c r="E1494" s="13" t="inlineStr">
        <is>
          <t>Furniture</t>
        </is>
      </c>
      <c r="F1494" s="13" t="inlineStr">
        <is>
          <t>Linen Sofa</t>
        </is>
      </c>
      <c r="G1494" s="13" t="inlineStr">
        <is>
          <t>Home Office</t>
        </is>
      </c>
      <c r="H1494" s="13" t="inlineStr">
        <is>
          <t>8</t>
        </is>
      </c>
      <c r="I1494" s="14" t="inlineStr">
        <is>
          <t>1220.30</t>
        </is>
      </c>
      <c r="J1494" s="15" t="inlineStr">
        <is>
          <t>0.16</t>
        </is>
      </c>
      <c r="K1494" s="14" t="inlineStr">
        <is>
          <t>805.40</t>
        </is>
      </c>
      <c r="L1494" s="13" t="inlineStr">
        <is>
          <t>7</t>
        </is>
      </c>
      <c r="M1494" s="13" t="inlineStr">
        <is>
          <t>Completed</t>
        </is>
      </c>
      <c r="N1494" s="13" t="inlineStr">
        <is>
          <t>A. Shah</t>
        </is>
      </c>
    </row>
    <row r="1495">
      <c r="A1495" s="13" t="inlineStr">
        <is>
          <t>HC-101493</t>
        </is>
      </c>
      <c r="B1495" s="13" t="inlineStr">
        <is>
          <t>01-Jun-24</t>
        </is>
      </c>
      <c r="C1495" s="13" t="inlineStr">
        <is>
          <t>North</t>
        </is>
      </c>
      <c r="D1495" s="13" t="inlineStr">
        <is>
          <t>Online</t>
        </is>
      </c>
      <c r="E1495" s="13" t="inlineStr">
        <is>
          <t>FURNITURE</t>
        </is>
      </c>
      <c r="F1495" s="13" t="inlineStr">
        <is>
          <t>Oak Desk</t>
        </is>
      </c>
      <c r="G1495" s="13" t="inlineStr">
        <is>
          <t>Consumer</t>
        </is>
      </c>
      <c r="H1495" s="13" t="inlineStr">
        <is>
          <t>one</t>
        </is>
      </c>
      <c r="I1495" s="14" t="inlineStr">
        <is>
          <t>804.30</t>
        </is>
      </c>
      <c r="J1495" s="15" t="inlineStr">
        <is>
          <t>0.08</t>
        </is>
      </c>
      <c r="K1495" s="14" t="inlineStr">
        <is>
          <t>498.67</t>
        </is>
      </c>
      <c r="L1495" s="13" t="inlineStr">
        <is>
          <t>8</t>
        </is>
      </c>
      <c r="M1495" s="13" t="inlineStr">
        <is>
          <t>Completed</t>
        </is>
      </c>
      <c r="N1495" s="13" t="inlineStr">
        <is>
          <t>A. Shah</t>
        </is>
      </c>
    </row>
    <row r="1496">
      <c r="A1496" s="13" t="inlineStr">
        <is>
          <t>HC-101494</t>
        </is>
      </c>
      <c r="B1496" s="13" t="inlineStr">
        <is>
          <t>2024/10/09</t>
        </is>
      </c>
      <c r="C1496" s="13" t="inlineStr">
        <is>
          <t xml:space="preserve"> west </t>
        </is>
      </c>
      <c r="D1496" s="13" t="inlineStr">
        <is>
          <t>Store</t>
        </is>
      </c>
      <c r="E1496" s="13" t="inlineStr">
        <is>
          <t>Textiles</t>
        </is>
      </c>
      <c r="F1496" s="13" t="inlineStr">
        <is>
          <t>Wool Throw</t>
        </is>
      </c>
      <c r="G1496" s="13" t="inlineStr">
        <is>
          <t>Consumer</t>
        </is>
      </c>
      <c r="H1496" s="13" t="inlineStr">
        <is>
          <t>3</t>
        </is>
      </c>
      <c r="I1496" s="14" t="inlineStr">
        <is>
          <t>78.35</t>
        </is>
      </c>
      <c r="J1496" s="15" t="inlineStr">
        <is>
          <t>0.03</t>
        </is>
      </c>
      <c r="K1496" s="14" t="inlineStr">
        <is>
          <t>32.91</t>
        </is>
      </c>
      <c r="L1496" s="13" t="inlineStr">
        <is>
          <t>8</t>
        </is>
      </c>
      <c r="M1496" s="13" t="inlineStr">
        <is>
          <t>complete</t>
        </is>
      </c>
      <c r="N1496" s="13" t="inlineStr">
        <is>
          <t>L. Berger</t>
        </is>
      </c>
    </row>
    <row r="1497">
      <c r="A1497" s="13" t="inlineStr">
        <is>
          <t>HC-101495</t>
        </is>
      </c>
      <c r="B1497" s="13" t="inlineStr">
        <is>
          <t>20.03.2025</t>
        </is>
      </c>
      <c r="C1497" s="13" t="inlineStr">
        <is>
          <t>EAST</t>
        </is>
      </c>
      <c r="D1497" s="13" t="inlineStr">
        <is>
          <t>Online</t>
        </is>
      </c>
      <c r="E1497" s="13" t="inlineStr">
        <is>
          <t>Lighting</t>
        </is>
      </c>
      <c r="F1497" s="13" t="inlineStr">
        <is>
          <t>Arc Lamp</t>
        </is>
      </c>
      <c r="G1497" s="13" t="inlineStr">
        <is>
          <t>Consumer</t>
        </is>
      </c>
      <c r="H1497" s="13" t="inlineStr">
        <is>
          <t>3</t>
        </is>
      </c>
      <c r="I1497" s="14" t="inlineStr">
        <is>
          <t>276.16</t>
        </is>
      </c>
      <c r="J1497" s="15" t="inlineStr">
        <is>
          <t>0.12</t>
        </is>
      </c>
      <c r="K1497" s="14" t="inlineStr">
        <is>
          <t>132.56</t>
        </is>
      </c>
      <c r="L1497" s="13" t="inlineStr">
        <is>
          <t>8</t>
        </is>
      </c>
      <c r="M1497" s="13" t="inlineStr">
        <is>
          <t>Completed</t>
        </is>
      </c>
      <c r="N1497" s="13" t="inlineStr">
        <is>
          <t>J. Patel</t>
        </is>
      </c>
    </row>
    <row r="1498">
      <c r="A1498" s="13" t="inlineStr">
        <is>
          <t>HC-101496</t>
        </is>
      </c>
      <c r="B1498" s="13" t="inlineStr">
        <is>
          <t>07/08/2025</t>
        </is>
      </c>
      <c r="C1498" s="13" t="inlineStr">
        <is>
          <t>East</t>
        </is>
      </c>
      <c r="D1498" s="13" t="inlineStr">
        <is>
          <t>retail</t>
        </is>
      </c>
      <c r="E1498" s="13" t="inlineStr">
        <is>
          <t>Lighting</t>
        </is>
      </c>
      <c r="F1498" s="13" t="inlineStr">
        <is>
          <t>Pendant Light</t>
        </is>
      </c>
      <c r="G1498" s="13" t="inlineStr">
        <is>
          <t>Consumer</t>
        </is>
      </c>
      <c r="H1498" s="13" t="inlineStr">
        <is>
          <t>3</t>
        </is>
      </c>
      <c r="I1498" s="14" t="inlineStr">
        <is>
          <t>149.61</t>
        </is>
      </c>
      <c r="J1498" s="15" t="inlineStr">
        <is>
          <t>0.01</t>
        </is>
      </c>
      <c r="K1498" s="14" t="inlineStr">
        <is>
          <t>74.80</t>
        </is>
      </c>
      <c r="L1498" s="13" t="inlineStr">
        <is>
          <t>8</t>
        </is>
      </c>
      <c r="M1498" s="13" t="inlineStr">
        <is>
          <t>Completed</t>
        </is>
      </c>
      <c r="N1498" s="13" t="inlineStr">
        <is>
          <t>R. Ibarra</t>
        </is>
      </c>
    </row>
    <row r="1499">
      <c r="A1499" s="13" t="inlineStr">
        <is>
          <t>HC-101497</t>
        </is>
      </c>
      <c r="B1499" s="13" t="inlineStr">
        <is>
          <t>22-Mar-25</t>
        </is>
      </c>
      <c r="C1499" s="13" t="inlineStr">
        <is>
          <t>North</t>
        </is>
      </c>
      <c r="D1499" s="13" t="inlineStr">
        <is>
          <t>Online</t>
        </is>
      </c>
      <c r="E1499" s="13" t="inlineStr">
        <is>
          <t>Furniture</t>
        </is>
      </c>
      <c r="F1499" s="13" t="inlineStr">
        <is>
          <t>Oak Desk</t>
        </is>
      </c>
      <c r="G1499" s="13" t="inlineStr">
        <is>
          <t>Home Office</t>
        </is>
      </c>
      <c r="H1499" s="13" t="inlineStr">
        <is>
          <t>2</t>
        </is>
      </c>
      <c r="I1499" s="14" t="inlineStr">
        <is>
          <t>803.42</t>
        </is>
      </c>
      <c r="J1499" s="15" t="inlineStr">
        <is>
          <t>0.08</t>
        </is>
      </c>
      <c r="K1499" s="14" t="inlineStr">
        <is>
          <t>498.12</t>
        </is>
      </c>
      <c r="L1499" s="13" t="inlineStr">
        <is>
          <t>N/A</t>
        </is>
      </c>
      <c r="M1499" s="13" t="inlineStr">
        <is>
          <t>Completed</t>
        </is>
      </c>
      <c r="N1499" s="13" t="inlineStr">
        <is>
          <t>P. Rossi</t>
        </is>
      </c>
    </row>
    <row r="1500">
      <c r="A1500" s="13" t="inlineStr">
        <is>
          <t>HC-101498</t>
        </is>
      </c>
      <c r="B1500" s="13" t="inlineStr">
        <is>
          <t>2025/05/08</t>
        </is>
      </c>
      <c r="C1500" s="13" t="inlineStr">
        <is>
          <t>West</t>
        </is>
      </c>
      <c r="D1500" s="13" t="inlineStr">
        <is>
          <t>Store</t>
        </is>
      </c>
      <c r="E1500" s="13" t="inlineStr">
        <is>
          <t>TEXTILES</t>
        </is>
      </c>
      <c r="F1500" s="13" t="inlineStr">
        <is>
          <t>Cotton Duvet</t>
        </is>
      </c>
      <c r="G1500" s="13" t="inlineStr"/>
      <c r="H1500" s="13" t="inlineStr">
        <is>
          <t>3</t>
        </is>
      </c>
      <c r="I1500" s="14" t="inlineStr">
        <is>
          <t>123.55</t>
        </is>
      </c>
      <c r="J1500" s="15" t="inlineStr">
        <is>
          <t>0.10</t>
        </is>
      </c>
      <c r="K1500" s="14" t="inlineStr">
        <is>
          <t>54.36</t>
        </is>
      </c>
      <c r="L1500" s="13" t="inlineStr">
        <is>
          <t>4</t>
        </is>
      </c>
      <c r="M1500" s="13" t="inlineStr">
        <is>
          <t>Completed</t>
        </is>
      </c>
      <c r="N1500" s="13" t="inlineStr">
        <is>
          <t>K. Mensah</t>
        </is>
      </c>
    </row>
    <row r="1501">
      <c r="A1501" s="13" t="inlineStr">
        <is>
          <t>HC-101499</t>
        </is>
      </c>
      <c r="B1501" s="13" t="inlineStr">
        <is>
          <t>06.02.2024</t>
        </is>
      </c>
      <c r="C1501" s="13" t="inlineStr">
        <is>
          <t>East</t>
        </is>
      </c>
      <c r="D1501" s="13" t="inlineStr">
        <is>
          <t>web</t>
        </is>
      </c>
      <c r="E1501" s="13" t="inlineStr">
        <is>
          <t>Kitchen</t>
        </is>
      </c>
      <c r="F1501" s="13" t="inlineStr">
        <is>
          <t>Cast Skillet</t>
        </is>
      </c>
      <c r="G1501" s="13" t="inlineStr">
        <is>
          <t>Home Office</t>
        </is>
      </c>
      <c r="H1501" s="13" t="inlineStr">
        <is>
          <t>3</t>
        </is>
      </c>
      <c r="I1501" s="14" t="inlineStr">
        <is>
          <t>48.78</t>
        </is>
      </c>
      <c r="J1501" s="15" t="inlineStr">
        <is>
          <t>0.12</t>
        </is>
      </c>
      <c r="K1501" s="14" t="inlineStr">
        <is>
          <t>19.51</t>
        </is>
      </c>
      <c r="L1501" s="13" t="inlineStr">
        <is>
          <t>10</t>
        </is>
      </c>
      <c r="M1501" s="13" t="inlineStr">
        <is>
          <t>COMPLETED</t>
        </is>
      </c>
      <c r="N1501" s="13" t="inlineStr">
        <is>
          <t>S. Nguyen</t>
        </is>
      </c>
    </row>
    <row r="1502">
      <c r="A1502" s="13" t="inlineStr">
        <is>
          <t>HC-101500</t>
        </is>
      </c>
      <c r="B1502" s="13" t="inlineStr">
        <is>
          <t>06/18/2025</t>
        </is>
      </c>
      <c r="C1502" s="13" t="inlineStr">
        <is>
          <t>North</t>
        </is>
      </c>
      <c r="D1502" s="13" t="inlineStr">
        <is>
          <t>Online</t>
        </is>
      </c>
      <c r="E1502" s="13" t="inlineStr">
        <is>
          <t>Textiles</t>
        </is>
      </c>
      <c r="F1502" s="13" t="inlineStr">
        <is>
          <t>Wool Throw</t>
        </is>
      </c>
      <c r="G1502" s="13" t="inlineStr">
        <is>
          <t>Home Office</t>
        </is>
      </c>
      <c r="H1502" s="13" t="inlineStr">
        <is>
          <t>3</t>
        </is>
      </c>
      <c r="I1502" s="14" t="inlineStr">
        <is>
          <t>70.13</t>
        </is>
      </c>
      <c r="J1502" s="15" t="inlineStr">
        <is>
          <t>0.04</t>
        </is>
      </c>
      <c r="K1502" s="14" t="inlineStr">
        <is>
          <t>29.45</t>
        </is>
      </c>
      <c r="L1502" s="13" t="inlineStr">
        <is>
          <t>5</t>
        </is>
      </c>
      <c r="M1502" s="13" t="inlineStr">
        <is>
          <t>Completed</t>
        </is>
      </c>
      <c r="N1502" s="13" t="inlineStr">
        <is>
          <t>A. Shah</t>
        </is>
      </c>
    </row>
    <row r="1503">
      <c r="A1503" s="13" t="inlineStr">
        <is>
          <t>HC-101501</t>
        </is>
      </c>
      <c r="B1503" s="13" t="inlineStr">
        <is>
          <t>16-Aug-24</t>
        </is>
      </c>
      <c r="C1503" s="13" t="inlineStr">
        <is>
          <t>North</t>
        </is>
      </c>
      <c r="D1503" s="13" t="inlineStr">
        <is>
          <t>retail</t>
        </is>
      </c>
      <c r="E1503" s="13" t="inlineStr">
        <is>
          <t>Furniture</t>
        </is>
      </c>
      <c r="F1503" s="13" t="inlineStr">
        <is>
          <t>Linen Sofa</t>
        </is>
      </c>
      <c r="G1503" s="13" t="inlineStr">
        <is>
          <t>Corporate</t>
        </is>
      </c>
      <c r="H1503" s="13" t="inlineStr">
        <is>
          <t>1</t>
        </is>
      </c>
      <c r="I1503" s="14" t="inlineStr">
        <is>
          <t>1344.09</t>
        </is>
      </c>
      <c r="J1503" s="15" t="inlineStr">
        <is>
          <t>0.12</t>
        </is>
      </c>
      <c r="K1503" s="14" t="inlineStr">
        <is>
          <t>887.10</t>
        </is>
      </c>
      <c r="L1503" s="13" t="inlineStr">
        <is>
          <t>8</t>
        </is>
      </c>
      <c r="M1503" s="13" t="inlineStr">
        <is>
          <t>Completed</t>
        </is>
      </c>
      <c r="N1503" s="13" t="inlineStr">
        <is>
          <t>J. Patel</t>
        </is>
      </c>
    </row>
    <row r="1504">
      <c r="A1504" s="13" t="inlineStr">
        <is>
          <t>HC-101502</t>
        </is>
      </c>
      <c r="B1504" s="13" t="inlineStr">
        <is>
          <t>2024/08/10</t>
        </is>
      </c>
      <c r="C1504" s="13" t="inlineStr">
        <is>
          <t>North</t>
        </is>
      </c>
      <c r="D1504" s="13" t="inlineStr">
        <is>
          <t>Store</t>
        </is>
      </c>
      <c r="E1504" s="13" t="inlineStr">
        <is>
          <t>Lighting</t>
        </is>
      </c>
      <c r="F1504" s="13" t="inlineStr">
        <is>
          <t>Pendant Light</t>
        </is>
      </c>
      <c r="G1504" s="13" t="inlineStr">
        <is>
          <t>Corporate</t>
        </is>
      </c>
      <c r="H1504" s="13" t="inlineStr">
        <is>
          <t>1</t>
        </is>
      </c>
      <c r="I1504" s="14" t="inlineStr">
        <is>
          <t>180.65</t>
        </is>
      </c>
      <c r="J1504" s="15" t="inlineStr">
        <is>
          <t>0.09</t>
        </is>
      </c>
      <c r="K1504" s="14" t="inlineStr">
        <is>
          <t>90.33</t>
        </is>
      </c>
      <c r="L1504" s="13" t="inlineStr">
        <is>
          <t>4</t>
        </is>
      </c>
      <c r="M1504" s="13" t="inlineStr">
        <is>
          <t>COMPLETED</t>
        </is>
      </c>
      <c r="N1504" s="13" t="inlineStr">
        <is>
          <t>R. Ibarra</t>
        </is>
      </c>
    </row>
    <row r="1505">
      <c r="A1505" s="13" t="inlineStr">
        <is>
          <t>HC-101503</t>
        </is>
      </c>
      <c r="B1505" s="13" t="inlineStr">
        <is>
          <t>01.06.2025</t>
        </is>
      </c>
      <c r="C1505" s="13" t="inlineStr">
        <is>
          <t>south</t>
        </is>
      </c>
      <c r="D1505" s="13" t="inlineStr">
        <is>
          <t>Store</t>
        </is>
      </c>
      <c r="E1505" s="13" t="inlineStr">
        <is>
          <t>Kitchen</t>
        </is>
      </c>
      <c r="F1505" s="13" t="inlineStr">
        <is>
          <t>Chef Knife</t>
        </is>
      </c>
      <c r="G1505" s="13" t="inlineStr">
        <is>
          <t>Consumer</t>
        </is>
      </c>
      <c r="H1505" s="13" t="inlineStr">
        <is>
          <t>2</t>
        </is>
      </c>
      <c r="I1505" s="14" t="inlineStr">
        <is>
          <t>65.14</t>
        </is>
      </c>
      <c r="J1505" s="15" t="inlineStr">
        <is>
          <t>10%</t>
        </is>
      </c>
      <c r="K1505" s="14" t="inlineStr">
        <is>
          <t>23.45</t>
        </is>
      </c>
      <c r="L1505" s="13" t="inlineStr">
        <is>
          <t>2</t>
        </is>
      </c>
      <c r="M1505" s="13" t="inlineStr">
        <is>
          <t>Completed</t>
        </is>
      </c>
      <c r="N1505" s="13" t="inlineStr">
        <is>
          <t>M. Okonkwo</t>
        </is>
      </c>
    </row>
    <row r="1506">
      <c r="A1506" s="13" t="inlineStr">
        <is>
          <t>HC-101504</t>
        </is>
      </c>
      <c r="B1506" s="13" t="inlineStr">
        <is>
          <t>12/20/2024</t>
        </is>
      </c>
      <c r="C1506" s="13" t="inlineStr">
        <is>
          <t>West</t>
        </is>
      </c>
      <c r="D1506" s="13" t="inlineStr">
        <is>
          <t>Wholesale</t>
        </is>
      </c>
      <c r="E1506" s="13" t="inlineStr">
        <is>
          <t>Kitchen</t>
        </is>
      </c>
      <c r="F1506" s="13" t="inlineStr">
        <is>
          <t>Cast Skillet</t>
        </is>
      </c>
      <c r="G1506" s="13" t="inlineStr">
        <is>
          <t>Consumer</t>
        </is>
      </c>
      <c r="H1506" s="13" t="inlineStr">
        <is>
          <t>25</t>
        </is>
      </c>
      <c r="I1506" s="14" t="inlineStr">
        <is>
          <t>50.34</t>
        </is>
      </c>
      <c r="J1506" s="15" t="inlineStr">
        <is>
          <t>0.27</t>
        </is>
      </c>
      <c r="K1506" s="14" t="inlineStr">
        <is>
          <t>20.13</t>
        </is>
      </c>
      <c r="L1506" s="13" t="inlineStr">
        <is>
          <t>2</t>
        </is>
      </c>
      <c r="M1506" s="13" t="inlineStr">
        <is>
          <t>Completed</t>
        </is>
      </c>
      <c r="N1506" s="13" t="inlineStr">
        <is>
          <t>L. Berger</t>
        </is>
      </c>
    </row>
    <row r="1507">
      <c r="A1507" s="13" t="inlineStr">
        <is>
          <t>HC-101505</t>
        </is>
      </c>
      <c r="B1507" s="13" t="inlineStr">
        <is>
          <t>08-Feb-24</t>
        </is>
      </c>
      <c r="C1507" s="13" t="inlineStr">
        <is>
          <t>South</t>
        </is>
      </c>
      <c r="D1507" s="13" t="inlineStr">
        <is>
          <t>Store</t>
        </is>
      </c>
      <c r="E1507" s="13" t="inlineStr">
        <is>
          <t>Textiles</t>
        </is>
      </c>
      <c r="F1507" s="13" t="inlineStr">
        <is>
          <t>Wool Throw</t>
        </is>
      </c>
      <c r="G1507" s="13" t="inlineStr">
        <is>
          <t>Corporate</t>
        </is>
      </c>
      <c r="H1507" s="13" t="inlineStr">
        <is>
          <t>2</t>
        </is>
      </c>
      <c r="I1507" s="14" t="inlineStr">
        <is>
          <t>73.87</t>
        </is>
      </c>
      <c r="J1507" s="15" t="inlineStr">
        <is>
          <t>0.08</t>
        </is>
      </c>
      <c r="K1507" s="14" t="inlineStr">
        <is>
          <t>31.03</t>
        </is>
      </c>
      <c r="L1507" s="13" t="inlineStr">
        <is>
          <t>6</t>
        </is>
      </c>
      <c r="M1507" s="13" t="inlineStr">
        <is>
          <t>Compleated</t>
        </is>
      </c>
      <c r="N1507" s="13" t="inlineStr">
        <is>
          <t>J. Patel</t>
        </is>
      </c>
    </row>
    <row r="1508">
      <c r="A1508" s="13" t="inlineStr">
        <is>
          <t>HC-101506</t>
        </is>
      </c>
      <c r="B1508" s="13" t="inlineStr">
        <is>
          <t>2024/11/22</t>
        </is>
      </c>
      <c r="C1508" s="13" t="inlineStr">
        <is>
          <t>Nort</t>
        </is>
      </c>
      <c r="D1508" s="13" t="inlineStr">
        <is>
          <t>Online</t>
        </is>
      </c>
      <c r="E1508" s="13" t="inlineStr">
        <is>
          <t>Textiles</t>
        </is>
      </c>
      <c r="F1508" s="13" t="inlineStr">
        <is>
          <t>Linen Curtain</t>
        </is>
      </c>
      <c r="G1508" s="13" t="inlineStr">
        <is>
          <t>Consumer</t>
        </is>
      </c>
      <c r="H1508" s="13" t="inlineStr">
        <is>
          <t>3</t>
        </is>
      </c>
      <c r="I1508" s="14" t="inlineStr">
        <is>
          <t>92.12</t>
        </is>
      </c>
      <c r="J1508" s="15" t="inlineStr">
        <is>
          <t>0.14</t>
        </is>
      </c>
      <c r="K1508" s="14" t="inlineStr">
        <is>
          <t>41.45</t>
        </is>
      </c>
      <c r="L1508" s="13" t="inlineStr">
        <is>
          <t>6</t>
        </is>
      </c>
      <c r="M1508" s="13" t="inlineStr">
        <is>
          <t>Completed</t>
        </is>
      </c>
      <c r="N1508" s="13" t="inlineStr">
        <is>
          <t>P. Rossi</t>
        </is>
      </c>
    </row>
    <row r="1509">
      <c r="A1509" s="13" t="inlineStr">
        <is>
          <t>HC-101507</t>
        </is>
      </c>
      <c r="B1509" s="13" t="inlineStr">
        <is>
          <t>16.12.2024</t>
        </is>
      </c>
      <c r="C1509" s="13" t="inlineStr">
        <is>
          <t>South</t>
        </is>
      </c>
      <c r="D1509" s="13" t="inlineStr">
        <is>
          <t>Store</t>
        </is>
      </c>
      <c r="E1509" s="13" t="inlineStr">
        <is>
          <t>Kitchen</t>
        </is>
      </c>
      <c r="F1509" s="13" t="inlineStr">
        <is>
          <t>Ceramic Set</t>
        </is>
      </c>
      <c r="G1509" s="13" t="inlineStr">
        <is>
          <t>Consumer</t>
        </is>
      </c>
      <c r="H1509" s="13" t="inlineStr">
        <is>
          <t>3</t>
        </is>
      </c>
      <c r="I1509" s="14" t="inlineStr">
        <is>
          <t>92.77</t>
        </is>
      </c>
      <c r="J1509" s="15" t="inlineStr">
        <is>
          <t>0.02</t>
        </is>
      </c>
      <c r="K1509" s="14" t="inlineStr">
        <is>
          <t>35.25</t>
        </is>
      </c>
      <c r="L1509" s="13" t="inlineStr">
        <is>
          <t>5</t>
        </is>
      </c>
      <c r="M1509" s="13" t="inlineStr">
        <is>
          <t>complete</t>
        </is>
      </c>
      <c r="N1509" s="13" t="inlineStr">
        <is>
          <t>P. Rossi</t>
        </is>
      </c>
    </row>
    <row r="1510">
      <c r="A1510" s="13" t="inlineStr">
        <is>
          <t>HC-101508</t>
        </is>
      </c>
      <c r="B1510" s="13" t="inlineStr">
        <is>
          <t>08/30/2025</t>
        </is>
      </c>
      <c r="C1510" s="13" t="inlineStr">
        <is>
          <t>Sout</t>
        </is>
      </c>
      <c r="D1510" s="13" t="inlineStr">
        <is>
          <t>Store</t>
        </is>
      </c>
      <c r="E1510" s="13" t="inlineStr">
        <is>
          <t>Furniture</t>
        </is>
      </c>
      <c r="F1510" s="13" t="inlineStr">
        <is>
          <t>Lounge Chair</t>
        </is>
      </c>
      <c r="G1510" s="13" t="inlineStr">
        <is>
          <t>Consumer</t>
        </is>
      </c>
      <c r="H1510" s="13" t="inlineStr">
        <is>
          <t>2</t>
        </is>
      </c>
      <c r="I1510" s="14" t="inlineStr">
        <is>
          <t>466.88</t>
        </is>
      </c>
      <c r="J1510" s="15" t="inlineStr">
        <is>
          <t>0.03</t>
        </is>
      </c>
      <c r="K1510" s="14" t="inlineStr">
        <is>
          <t>280.13</t>
        </is>
      </c>
      <c r="L1510" s="13" t="inlineStr">
        <is>
          <t>4</t>
        </is>
      </c>
      <c r="M1510" s="13" t="inlineStr">
        <is>
          <t>Completed</t>
        </is>
      </c>
      <c r="N1510" s="13" t="inlineStr">
        <is>
          <t>R. Ibarra</t>
        </is>
      </c>
    </row>
    <row r="1511">
      <c r="A1511" s="13" t="inlineStr">
        <is>
          <t>HC-101509</t>
        </is>
      </c>
      <c r="B1511" s="13" t="inlineStr">
        <is>
          <t>19-Jun-25</t>
        </is>
      </c>
      <c r="C1511" s="13" t="inlineStr">
        <is>
          <t>East</t>
        </is>
      </c>
      <c r="D1511" s="13" t="inlineStr">
        <is>
          <t>Store</t>
        </is>
      </c>
      <c r="E1511" s="13" t="inlineStr">
        <is>
          <t>Furniture</t>
        </is>
      </c>
      <c r="F1511" s="13" t="inlineStr">
        <is>
          <t>Linen Sofa</t>
        </is>
      </c>
      <c r="G1511" s="13" t="inlineStr">
        <is>
          <t>Home Office</t>
        </is>
      </c>
      <c r="H1511" s="13" t="inlineStr">
        <is>
          <t>1</t>
        </is>
      </c>
      <c r="I1511" s="14" t="inlineStr">
        <is>
          <t>1206.98</t>
        </is>
      </c>
      <c r="J1511" s="15" t="inlineStr">
        <is>
          <t>0.05</t>
        </is>
      </c>
      <c r="K1511" s="14" t="inlineStr">
        <is>
          <t>796.61</t>
        </is>
      </c>
      <c r="L1511" s="13" t="inlineStr">
        <is>
          <t>9</t>
        </is>
      </c>
      <c r="M1511" s="13" t="inlineStr">
        <is>
          <t>Completed</t>
        </is>
      </c>
      <c r="N1511" s="13" t="inlineStr">
        <is>
          <t>K. Mensah</t>
        </is>
      </c>
    </row>
    <row r="1512">
      <c r="A1512" s="13" t="inlineStr">
        <is>
          <t>HC-101510</t>
        </is>
      </c>
      <c r="B1512" s="13" t="inlineStr">
        <is>
          <t>2024/02/06</t>
        </is>
      </c>
      <c r="C1512" s="13" t="inlineStr">
        <is>
          <t>East</t>
        </is>
      </c>
      <c r="D1512" s="13" t="inlineStr">
        <is>
          <t>Store</t>
        </is>
      </c>
      <c r="E1512" s="13" t="inlineStr">
        <is>
          <t>Textiles</t>
        </is>
      </c>
      <c r="F1512" s="13" t="inlineStr">
        <is>
          <t>Linen Curtain</t>
        </is>
      </c>
      <c r="G1512" s="13" t="inlineStr">
        <is>
          <t>Consumer</t>
        </is>
      </c>
      <c r="H1512" s="13" t="inlineStr">
        <is>
          <t>2</t>
        </is>
      </c>
      <c r="I1512" s="14" t="inlineStr">
        <is>
          <t>92.12</t>
        </is>
      </c>
      <c r="J1512" s="15" t="inlineStr">
        <is>
          <t>0.10</t>
        </is>
      </c>
      <c r="K1512" s="14" t="inlineStr">
        <is>
          <t>41.45</t>
        </is>
      </c>
      <c r="L1512" s="13" t="inlineStr">
        <is>
          <t>10</t>
        </is>
      </c>
      <c r="M1512" s="13" t="inlineStr">
        <is>
          <t>Completed</t>
        </is>
      </c>
      <c r="N1512" s="13" t="inlineStr">
        <is>
          <t>R. Ibarra</t>
        </is>
      </c>
    </row>
    <row r="1513">
      <c r="A1513" s="13" t="inlineStr">
        <is>
          <t>HC-101511</t>
        </is>
      </c>
      <c r="B1513" s="13" t="inlineStr">
        <is>
          <t>17.11.2024</t>
        </is>
      </c>
      <c r="C1513" s="13" t="inlineStr">
        <is>
          <t>East</t>
        </is>
      </c>
      <c r="D1513" s="13" t="inlineStr">
        <is>
          <t>Store</t>
        </is>
      </c>
      <c r="E1513" s="13" t="inlineStr">
        <is>
          <t>Kitchen</t>
        </is>
      </c>
      <c r="F1513" s="13" t="inlineStr">
        <is>
          <t>Cast Skillet</t>
        </is>
      </c>
      <c r="G1513" s="13" t="inlineStr">
        <is>
          <t>Consumer</t>
        </is>
      </c>
      <c r="H1513" s="13" t="inlineStr">
        <is>
          <t>5</t>
        </is>
      </c>
      <c r="I1513" s="14" t="inlineStr">
        <is>
          <t>47.04</t>
        </is>
      </c>
      <c r="J1513" s="15" t="inlineStr">
        <is>
          <t>0.11</t>
        </is>
      </c>
      <c r="K1513" s="14" t="inlineStr">
        <is>
          <t>18.82</t>
        </is>
      </c>
      <c r="L1513" s="13" t="inlineStr">
        <is>
          <t>13</t>
        </is>
      </c>
      <c r="M1513" s="13" t="inlineStr">
        <is>
          <t>Completed</t>
        </is>
      </c>
      <c r="N1513" s="13" t="inlineStr">
        <is>
          <t>J. Patel</t>
        </is>
      </c>
    </row>
    <row r="1514">
      <c r="A1514" s="13" t="inlineStr">
        <is>
          <t>HC-101512</t>
        </is>
      </c>
      <c r="B1514" s="13" t="inlineStr">
        <is>
          <t>07/05/2024</t>
        </is>
      </c>
      <c r="C1514" s="13" t="inlineStr">
        <is>
          <t>Nort</t>
        </is>
      </c>
      <c r="D1514" s="13" t="inlineStr">
        <is>
          <t>Wholesale</t>
        </is>
      </c>
      <c r="E1514" s="13" t="inlineStr">
        <is>
          <t>Furniture</t>
        </is>
      </c>
      <c r="F1514" s="13" t="inlineStr">
        <is>
          <t>Linen Sofa</t>
        </is>
      </c>
      <c r="G1514" s="13" t="inlineStr">
        <is>
          <t>Corporate</t>
        </is>
      </c>
      <c r="H1514" s="13" t="inlineStr">
        <is>
          <t>15</t>
        </is>
      </c>
      <c r="I1514" s="14" t="inlineStr">
        <is>
          <t>1328.40</t>
        </is>
      </c>
      <c r="J1514" s="15" t="inlineStr">
        <is>
          <t>0.17</t>
        </is>
      </c>
      <c r="K1514" s="14" t="inlineStr">
        <is>
          <t>876.74</t>
        </is>
      </c>
      <c r="L1514" s="13" t="inlineStr">
        <is>
          <t>4</t>
        </is>
      </c>
      <c r="M1514" s="13" t="inlineStr">
        <is>
          <t>Completed</t>
        </is>
      </c>
      <c r="N1514" s="13" t="inlineStr">
        <is>
          <t>A. Shah</t>
        </is>
      </c>
    </row>
    <row r="1515">
      <c r="A1515" s="13" t="inlineStr">
        <is>
          <t>HC-101513</t>
        </is>
      </c>
      <c r="B1515" s="13" t="inlineStr">
        <is>
          <t>01-Nov-24</t>
        </is>
      </c>
      <c r="C1515" s="13" t="inlineStr">
        <is>
          <t>South</t>
        </is>
      </c>
      <c r="D1515" s="13" t="inlineStr">
        <is>
          <t>Store</t>
        </is>
      </c>
      <c r="E1515" s="13" t="inlineStr">
        <is>
          <t>Furniture</t>
        </is>
      </c>
      <c r="F1515" s="13" t="inlineStr">
        <is>
          <t>Oak Desk</t>
        </is>
      </c>
      <c r="G1515" s="13" t="inlineStr">
        <is>
          <t>Consumer</t>
        </is>
      </c>
      <c r="H1515" s="13" t="inlineStr">
        <is>
          <t>4</t>
        </is>
      </c>
      <c r="I1515" s="14" t="inlineStr">
        <is>
          <t>855.28</t>
        </is>
      </c>
      <c r="J1515" s="15" t="inlineStr">
        <is>
          <t>0.08</t>
        </is>
      </c>
      <c r="K1515" s="14" t="inlineStr">
        <is>
          <t>530.28</t>
        </is>
      </c>
      <c r="L1515" s="13" t="inlineStr">
        <is>
          <t>3</t>
        </is>
      </c>
      <c r="M1515" s="13" t="inlineStr">
        <is>
          <t>complete</t>
        </is>
      </c>
      <c r="N1515" s="13" t="inlineStr">
        <is>
          <t>L. Berger</t>
        </is>
      </c>
    </row>
    <row r="1516">
      <c r="A1516" s="13" t="inlineStr">
        <is>
          <t>HC-101514</t>
        </is>
      </c>
      <c r="B1516" s="13" t="inlineStr">
        <is>
          <t>2024/12/19</t>
        </is>
      </c>
      <c r="C1516" s="13" t="inlineStr">
        <is>
          <t>East</t>
        </is>
      </c>
      <c r="D1516" s="13" t="inlineStr">
        <is>
          <t>Store</t>
        </is>
      </c>
      <c r="E1516" s="13" t="inlineStr">
        <is>
          <t>Textiles</t>
        </is>
      </c>
      <c r="F1516" s="13" t="inlineStr">
        <is>
          <t>Linen Curtain</t>
        </is>
      </c>
      <c r="G1516" s="13" t="inlineStr">
        <is>
          <t>Home Office</t>
        </is>
      </c>
      <c r="H1516" s="13" t="inlineStr">
        <is>
          <t>4</t>
        </is>
      </c>
      <c r="I1516" s="14" t="inlineStr">
        <is>
          <t>80.36</t>
        </is>
      </c>
      <c r="J1516" s="15" t="inlineStr">
        <is>
          <t>0.01</t>
        </is>
      </c>
      <c r="K1516" s="14" t="inlineStr">
        <is>
          <t>36.16</t>
        </is>
      </c>
      <c r="L1516" s="13" t="inlineStr">
        <is>
          <t>6</t>
        </is>
      </c>
      <c r="M1516" s="13" t="inlineStr">
        <is>
          <t>Cancelled</t>
        </is>
      </c>
      <c r="N1516" s="13" t="inlineStr">
        <is>
          <t>R. Ibarra</t>
        </is>
      </c>
    </row>
    <row r="1517">
      <c r="A1517" s="13" t="inlineStr">
        <is>
          <t>HC-101515</t>
        </is>
      </c>
      <c r="B1517" s="13" t="inlineStr">
        <is>
          <t>09.08.2024</t>
        </is>
      </c>
      <c r="C1517" s="13" t="inlineStr">
        <is>
          <t>South</t>
        </is>
      </c>
      <c r="D1517" s="13" t="inlineStr">
        <is>
          <t>Store</t>
        </is>
      </c>
      <c r="E1517" s="13" t="inlineStr">
        <is>
          <t>Textiles</t>
        </is>
      </c>
      <c r="F1517" s="13" t="inlineStr">
        <is>
          <t>Cotton Duvet</t>
        </is>
      </c>
      <c r="G1517" s="13" t="inlineStr">
        <is>
          <t>Consumer</t>
        </is>
      </c>
      <c r="H1517" s="13" t="inlineStr">
        <is>
          <t>4</t>
        </is>
      </c>
      <c r="I1517" s="14" t="inlineStr">
        <is>
          <t>114.16</t>
        </is>
      </c>
      <c r="J1517" s="15" t="inlineStr">
        <is>
          <t>0.00</t>
        </is>
      </c>
      <c r="K1517" s="14" t="inlineStr">
        <is>
          <t>50.23</t>
        </is>
      </c>
      <c r="L1517" s="13" t="inlineStr">
        <is>
          <t>5</t>
        </is>
      </c>
      <c r="M1517" s="13" t="inlineStr">
        <is>
          <t>Returned</t>
        </is>
      </c>
      <c r="N1517" s="13" t="inlineStr">
        <is>
          <t>P. Rossi</t>
        </is>
      </c>
    </row>
    <row r="1518">
      <c r="A1518" s="13" t="inlineStr">
        <is>
          <t>HC-101516</t>
        </is>
      </c>
      <c r="B1518" s="13" t="inlineStr">
        <is>
          <t>04/20/2024</t>
        </is>
      </c>
      <c r="C1518" s="13" t="inlineStr">
        <is>
          <t>West</t>
        </is>
      </c>
      <c r="D1518" s="13" t="inlineStr">
        <is>
          <t>Store</t>
        </is>
      </c>
      <c r="E1518" s="13" t="inlineStr">
        <is>
          <t>TEXTILES</t>
        </is>
      </c>
      <c r="F1518" s="13" t="inlineStr">
        <is>
          <t>Cotton Duvet</t>
        </is>
      </c>
      <c r="G1518" s="13" t="inlineStr">
        <is>
          <t>Consumer</t>
        </is>
      </c>
      <c r="H1518" s="13" t="inlineStr">
        <is>
          <t>3</t>
        </is>
      </c>
      <c r="I1518" s="14" t="inlineStr">
        <is>
          <t>119.60</t>
        </is>
      </c>
      <c r="J1518" s="15" t="inlineStr">
        <is>
          <t>0.05</t>
        </is>
      </c>
      <c r="K1518" s="14" t="inlineStr">
        <is>
          <t>52.62</t>
        </is>
      </c>
      <c r="L1518" s="13" t="inlineStr">
        <is>
          <t>6</t>
        </is>
      </c>
      <c r="M1518" s="13" t="inlineStr">
        <is>
          <t>Completed</t>
        </is>
      </c>
      <c r="N1518" s="13" t="inlineStr">
        <is>
          <t>K. Mensah</t>
        </is>
      </c>
    </row>
    <row r="1519">
      <c r="A1519" s="13" t="inlineStr">
        <is>
          <t>HC-101517</t>
        </is>
      </c>
      <c r="B1519" s="13" t="inlineStr">
        <is>
          <t>18-Mar-25</t>
        </is>
      </c>
      <c r="C1519" s="13" t="inlineStr">
        <is>
          <t>West</t>
        </is>
      </c>
      <c r="D1519" s="13" t="inlineStr">
        <is>
          <t>Online</t>
        </is>
      </c>
      <c r="E1519" s="13" t="inlineStr">
        <is>
          <t>Textiles</t>
        </is>
      </c>
      <c r="F1519" s="13" t="inlineStr">
        <is>
          <t>Cotton Duvet</t>
        </is>
      </c>
      <c r="G1519" s="13" t="inlineStr">
        <is>
          <t>Consumer</t>
        </is>
      </c>
      <c r="H1519" s="13" t="inlineStr">
        <is>
          <t>3</t>
        </is>
      </c>
      <c r="I1519" s="14" t="inlineStr">
        <is>
          <t>125.36</t>
        </is>
      </c>
      <c r="J1519" s="15" t="inlineStr">
        <is>
          <t>15%</t>
        </is>
      </c>
      <c r="K1519" s="14" t="inlineStr">
        <is>
          <t>55.16</t>
        </is>
      </c>
      <c r="L1519" s="13" t="inlineStr">
        <is>
          <t>3</t>
        </is>
      </c>
      <c r="M1519" s="13" t="inlineStr">
        <is>
          <t>COMPLETED</t>
        </is>
      </c>
      <c r="N1519" s="13" t="inlineStr">
        <is>
          <t>M. Okonkwo</t>
        </is>
      </c>
    </row>
    <row r="1520">
      <c r="A1520" s="13" t="inlineStr">
        <is>
          <t>HC-101518</t>
        </is>
      </c>
      <c r="B1520" s="13" t="inlineStr">
        <is>
          <t>2025/04/23</t>
        </is>
      </c>
      <c r="C1520" s="13" t="inlineStr">
        <is>
          <t>NORTH</t>
        </is>
      </c>
      <c r="D1520" s="13" t="inlineStr">
        <is>
          <t>Store</t>
        </is>
      </c>
      <c r="E1520" s="13" t="inlineStr">
        <is>
          <t>Furniture</t>
        </is>
      </c>
      <c r="F1520" s="13" t="inlineStr">
        <is>
          <t>Lounge Chair</t>
        </is>
      </c>
      <c r="G1520" s="13" t="inlineStr">
        <is>
          <t>Consumer</t>
        </is>
      </c>
      <c r="H1520" s="13" t="inlineStr">
        <is>
          <t>4</t>
        </is>
      </c>
      <c r="I1520" s="14" t="inlineStr">
        <is>
          <t>441.93</t>
        </is>
      </c>
      <c r="J1520" s="15" t="inlineStr">
        <is>
          <t>0.06</t>
        </is>
      </c>
      <c r="K1520" s="14" t="inlineStr">
        <is>
          <t>265.16</t>
        </is>
      </c>
      <c r="L1520" s="13" t="inlineStr">
        <is>
          <t>7</t>
        </is>
      </c>
      <c r="M1520" s="13" t="inlineStr">
        <is>
          <t>COMPLETED</t>
        </is>
      </c>
      <c r="N1520" s="13" t="inlineStr">
        <is>
          <t>L. Berger</t>
        </is>
      </c>
    </row>
    <row r="1521">
      <c r="A1521" s="13" t="inlineStr">
        <is>
          <t>HC-101519</t>
        </is>
      </c>
      <c r="B1521" s="13" t="inlineStr">
        <is>
          <t>11.12.2024</t>
        </is>
      </c>
      <c r="C1521" s="13" t="inlineStr">
        <is>
          <t>South</t>
        </is>
      </c>
      <c r="D1521" s="13" t="inlineStr">
        <is>
          <t>Online</t>
        </is>
      </c>
      <c r="E1521" s="13" t="inlineStr">
        <is>
          <t>Textiles</t>
        </is>
      </c>
      <c r="F1521" s="13" t="inlineStr">
        <is>
          <t>Linen Curtain</t>
        </is>
      </c>
      <c r="G1521" s="13" t="inlineStr">
        <is>
          <t>Consumer</t>
        </is>
      </c>
      <c r="H1521" s="13" t="inlineStr">
        <is>
          <t>4</t>
        </is>
      </c>
      <c r="I1521" s="14" t="inlineStr">
        <is>
          <t>91.60</t>
        </is>
      </c>
      <c r="J1521" s="15" t="inlineStr">
        <is>
          <t>0.05</t>
        </is>
      </c>
      <c r="K1521" s="14" t="inlineStr">
        <is>
          <t>41.22</t>
        </is>
      </c>
      <c r="L1521" s="13" t="inlineStr">
        <is>
          <t>5</t>
        </is>
      </c>
      <c r="M1521" s="13" t="inlineStr">
        <is>
          <t>Completed</t>
        </is>
      </c>
      <c r="N1521" s="13" t="inlineStr">
        <is>
          <t>P. Rossi</t>
        </is>
      </c>
    </row>
    <row r="1522">
      <c r="A1522" s="13" t="inlineStr">
        <is>
          <t>HC-101520</t>
        </is>
      </c>
      <c r="B1522" s="13" t="inlineStr">
        <is>
          <t>11/29/2024</t>
        </is>
      </c>
      <c r="C1522" s="13" t="inlineStr">
        <is>
          <t>south</t>
        </is>
      </c>
      <c r="D1522" s="13" t="inlineStr">
        <is>
          <t>Store</t>
        </is>
      </c>
      <c r="E1522" s="13" t="inlineStr">
        <is>
          <t>FURNITURE</t>
        </is>
      </c>
      <c r="F1522" s="13" t="inlineStr">
        <is>
          <t>Lounge Chair</t>
        </is>
      </c>
      <c r="G1522" s="13" t="inlineStr">
        <is>
          <t>Consumer</t>
        </is>
      </c>
      <c r="H1522" s="13" t="inlineStr">
        <is>
          <t>3</t>
        </is>
      </c>
      <c r="I1522" s="14" t="inlineStr">
        <is>
          <t>497.66</t>
        </is>
      </c>
      <c r="J1522" s="15" t="inlineStr">
        <is>
          <t>0.02</t>
        </is>
      </c>
      <c r="K1522" s="14" t="inlineStr">
        <is>
          <t>298.60</t>
        </is>
      </c>
      <c r="L1522" s="13" t="inlineStr">
        <is>
          <t>N/A</t>
        </is>
      </c>
      <c r="M1522" s="13" t="inlineStr">
        <is>
          <t>complete</t>
        </is>
      </c>
      <c r="N1522" s="13" t="inlineStr">
        <is>
          <t>A. Shah</t>
        </is>
      </c>
    </row>
    <row r="1523">
      <c r="A1523" s="13" t="inlineStr">
        <is>
          <t>HC-101521</t>
        </is>
      </c>
      <c r="B1523" s="13" t="inlineStr">
        <is>
          <t>06-Apr-24</t>
        </is>
      </c>
      <c r="C1523" s="13" t="inlineStr">
        <is>
          <t>South</t>
        </is>
      </c>
      <c r="D1523" s="13" t="inlineStr">
        <is>
          <t>Online</t>
        </is>
      </c>
      <c r="E1523" s="13" t="inlineStr">
        <is>
          <t>Kitchen</t>
        </is>
      </c>
      <c r="F1523" s="13" t="inlineStr">
        <is>
          <t>Cast Skillet</t>
        </is>
      </c>
      <c r="G1523" s="13" t="inlineStr">
        <is>
          <t>Consumer</t>
        </is>
      </c>
      <c r="H1523" s="13" t="inlineStr">
        <is>
          <t>1</t>
        </is>
      </c>
      <c r="I1523" s="14" t="inlineStr">
        <is>
          <t>56.12</t>
        </is>
      </c>
      <c r="J1523" s="15" t="inlineStr">
        <is>
          <t>0.16</t>
        </is>
      </c>
      <c r="K1523" s="14" t="inlineStr">
        <is>
          <t>22.45</t>
        </is>
      </c>
      <c r="L1523" s="13" t="inlineStr">
        <is>
          <t>7</t>
        </is>
      </c>
      <c r="M1523" s="13" t="inlineStr">
        <is>
          <t>Completed</t>
        </is>
      </c>
      <c r="N1523" s="13" t="inlineStr">
        <is>
          <t>M. Okonkwo</t>
        </is>
      </c>
    </row>
    <row r="1524">
      <c r="A1524" s="13" t="inlineStr">
        <is>
          <t>HC-101522</t>
        </is>
      </c>
      <c r="B1524" s="13" t="inlineStr">
        <is>
          <t>2024/04/17</t>
        </is>
      </c>
      <c r="C1524" s="13" t="inlineStr">
        <is>
          <t>West</t>
        </is>
      </c>
      <c r="D1524" s="13" t="inlineStr">
        <is>
          <t>Store</t>
        </is>
      </c>
      <c r="E1524" s="13" t="inlineStr">
        <is>
          <t>FURNITURE</t>
        </is>
      </c>
      <c r="F1524" s="13" t="inlineStr">
        <is>
          <t>Oak Desk</t>
        </is>
      </c>
      <c r="G1524" s="13" t="inlineStr">
        <is>
          <t>Consumer</t>
        </is>
      </c>
      <c r="H1524" s="13" t="inlineStr">
        <is>
          <t>one</t>
        </is>
      </c>
      <c r="I1524" s="14" t="inlineStr">
        <is>
          <t>797.25</t>
        </is>
      </c>
      <c r="J1524" s="15" t="inlineStr">
        <is>
          <t>0.03</t>
        </is>
      </c>
      <c r="K1524" s="14" t="inlineStr">
        <is>
          <t>494.30</t>
        </is>
      </c>
      <c r="L1524" s="13" t="inlineStr">
        <is>
          <t>7</t>
        </is>
      </c>
      <c r="M1524" s="13" t="inlineStr">
        <is>
          <t>Completed</t>
        </is>
      </c>
      <c r="N1524" s="13" t="inlineStr">
        <is>
          <t>P. Rossi</t>
        </is>
      </c>
    </row>
    <row r="1525">
      <c r="A1525" s="13" t="inlineStr">
        <is>
          <t>HC-101523</t>
        </is>
      </c>
      <c r="B1525" s="13" t="inlineStr">
        <is>
          <t>14.08.2024</t>
        </is>
      </c>
      <c r="C1525" s="13" t="inlineStr">
        <is>
          <t>east</t>
        </is>
      </c>
      <c r="D1525" s="13" t="inlineStr">
        <is>
          <t>web</t>
        </is>
      </c>
      <c r="E1525" s="13" t="inlineStr">
        <is>
          <t>Lighting</t>
        </is>
      </c>
      <c r="F1525" s="13" t="inlineStr">
        <is>
          <t>Arc Lamp</t>
        </is>
      </c>
      <c r="G1525" s="13" t="inlineStr">
        <is>
          <t>Home Office</t>
        </is>
      </c>
      <c r="H1525" s="13" t="inlineStr">
        <is>
          <t>3</t>
        </is>
      </c>
      <c r="I1525" s="14" t="inlineStr">
        <is>
          <t>297.26</t>
        </is>
      </c>
      <c r="J1525" s="15" t="inlineStr">
        <is>
          <t>0.09</t>
        </is>
      </c>
      <c r="K1525" s="14" t="inlineStr">
        <is>
          <t>142.68</t>
        </is>
      </c>
      <c r="L1525" s="13" t="inlineStr">
        <is>
          <t>7</t>
        </is>
      </c>
      <c r="M1525" s="13" t="inlineStr">
        <is>
          <t>Completed</t>
        </is>
      </c>
      <c r="N1525" s="13" t="inlineStr">
        <is>
          <t>K. Mensah</t>
        </is>
      </c>
    </row>
    <row r="1526">
      <c r="A1526" s="13" t="inlineStr">
        <is>
          <t>HC-101524</t>
        </is>
      </c>
      <c r="B1526" s="13" t="inlineStr">
        <is>
          <t>01/16/2024</t>
        </is>
      </c>
      <c r="C1526" s="13" t="inlineStr">
        <is>
          <t>North</t>
        </is>
      </c>
      <c r="D1526" s="13" t="inlineStr">
        <is>
          <t>Store</t>
        </is>
      </c>
      <c r="E1526" s="13" t="inlineStr">
        <is>
          <t>Lighting</t>
        </is>
      </c>
      <c r="F1526" s="13" t="inlineStr">
        <is>
          <t>Brass Sconce</t>
        </is>
      </c>
      <c r="G1526" s="13" t="inlineStr">
        <is>
          <t>Consumer</t>
        </is>
      </c>
      <c r="H1526" s="13" t="inlineStr">
        <is>
          <t>4</t>
        </is>
      </c>
      <c r="I1526" s="14" t="inlineStr">
        <is>
          <t>131.22</t>
        </is>
      </c>
      <c r="J1526" s="15" t="inlineStr">
        <is>
          <t>0.03</t>
        </is>
      </c>
      <c r="K1526" s="14" t="inlineStr">
        <is>
          <t>60.36</t>
        </is>
      </c>
      <c r="L1526" s="13" t="inlineStr">
        <is>
          <t>6</t>
        </is>
      </c>
      <c r="M1526" s="13" t="inlineStr">
        <is>
          <t>Completed</t>
        </is>
      </c>
      <c r="N1526" s="13" t="inlineStr">
        <is>
          <t>L. Berger</t>
        </is>
      </c>
    </row>
    <row r="1527">
      <c r="A1527" s="13" t="inlineStr">
        <is>
          <t>HC-101525</t>
        </is>
      </c>
      <c r="B1527" s="13" t="inlineStr">
        <is>
          <t>03-Mar-24</t>
        </is>
      </c>
      <c r="C1527" s="13" t="inlineStr">
        <is>
          <t>South</t>
        </is>
      </c>
      <c r="D1527" s="13" t="inlineStr">
        <is>
          <t>Online</t>
        </is>
      </c>
      <c r="E1527" s="13" t="inlineStr">
        <is>
          <t>Kitchen</t>
        </is>
      </c>
      <c r="F1527" s="13" t="inlineStr">
        <is>
          <t>Ceramic Set</t>
        </is>
      </c>
      <c r="G1527" s="13" t="inlineStr">
        <is>
          <t>Home Office</t>
        </is>
      </c>
      <c r="H1527" s="13" t="inlineStr">
        <is>
          <t>2</t>
        </is>
      </c>
      <c r="I1527" s="14" t="inlineStr">
        <is>
          <t>86.63</t>
        </is>
      </c>
      <c r="J1527" s="15" t="inlineStr">
        <is>
          <t>0.16</t>
        </is>
      </c>
      <c r="K1527" s="14" t="inlineStr">
        <is>
          <t>32.92</t>
        </is>
      </c>
      <c r="L1527" s="13" t="inlineStr">
        <is>
          <t>7</t>
        </is>
      </c>
      <c r="M1527" s="13" t="inlineStr">
        <is>
          <t>Completed</t>
        </is>
      </c>
      <c r="N1527" s="13" t="inlineStr">
        <is>
          <t>K. Mensah</t>
        </is>
      </c>
    </row>
    <row r="1528">
      <c r="A1528" s="13" t="inlineStr">
        <is>
          <t>HC-101526</t>
        </is>
      </c>
      <c r="B1528" s="13" t="inlineStr">
        <is>
          <t>2025/08/07</t>
        </is>
      </c>
      <c r="C1528" s="13" t="inlineStr">
        <is>
          <t>North</t>
        </is>
      </c>
      <c r="D1528" s="13" t="inlineStr">
        <is>
          <t>Online</t>
        </is>
      </c>
      <c r="E1528" s="13" t="inlineStr">
        <is>
          <t>Textiles</t>
        </is>
      </c>
      <c r="F1528" s="13" t="inlineStr">
        <is>
          <t>Cotton Duvet</t>
        </is>
      </c>
      <c r="G1528" s="13" t="inlineStr"/>
      <c r="H1528" s="13" t="inlineStr">
        <is>
          <t>3</t>
        </is>
      </c>
      <c r="I1528" s="14" t="inlineStr">
        <is>
          <t>115.79</t>
        </is>
      </c>
      <c r="J1528" s="15" t="inlineStr">
        <is>
          <t>0.11</t>
        </is>
      </c>
      <c r="K1528" s="14" t="inlineStr">
        <is>
          <t>50.95</t>
        </is>
      </c>
      <c r="L1528" s="13" t="inlineStr">
        <is>
          <t>8</t>
        </is>
      </c>
      <c r="M1528" s="13" t="inlineStr">
        <is>
          <t>Completed</t>
        </is>
      </c>
      <c r="N1528" s="13" t="inlineStr">
        <is>
          <t>A. Shah</t>
        </is>
      </c>
    </row>
    <row r="1529">
      <c r="A1529" s="13" t="inlineStr">
        <is>
          <t>HC-101527</t>
        </is>
      </c>
      <c r="B1529" s="13" t="inlineStr">
        <is>
          <t>10.03.2025</t>
        </is>
      </c>
      <c r="C1529" s="13" t="inlineStr">
        <is>
          <t>North</t>
        </is>
      </c>
      <c r="D1529" s="13" t="inlineStr">
        <is>
          <t>e-commerce</t>
        </is>
      </c>
      <c r="E1529" s="13" t="inlineStr">
        <is>
          <t>Lighting</t>
        </is>
      </c>
      <c r="F1529" s="13" t="inlineStr">
        <is>
          <t>Arc Lamp</t>
        </is>
      </c>
      <c r="G1529" s="13" t="inlineStr">
        <is>
          <t>Corporate</t>
        </is>
      </c>
      <c r="H1529" s="13" t="inlineStr">
        <is>
          <t>3</t>
        </is>
      </c>
      <c r="I1529" s="14" t="inlineStr">
        <is>
          <t>$288.43</t>
        </is>
      </c>
      <c r="J1529" s="15" t="inlineStr">
        <is>
          <t>0.16</t>
        </is>
      </c>
      <c r="K1529" s="14" t="inlineStr">
        <is>
          <t>138.45</t>
        </is>
      </c>
      <c r="L1529" s="13" t="inlineStr">
        <is>
          <t>5</t>
        </is>
      </c>
      <c r="M1529" s="13" t="inlineStr">
        <is>
          <t>Cancelled</t>
        </is>
      </c>
      <c r="N1529" s="13" t="inlineStr">
        <is>
          <t>A. Shah</t>
        </is>
      </c>
    </row>
    <row r="1530">
      <c r="A1530" s="13" t="inlineStr">
        <is>
          <t>HC-101528</t>
        </is>
      </c>
      <c r="B1530" s="13" t="inlineStr">
        <is>
          <t>03/30/2025</t>
        </is>
      </c>
      <c r="C1530" s="13" t="inlineStr">
        <is>
          <t>East</t>
        </is>
      </c>
      <c r="D1530" s="13" t="inlineStr">
        <is>
          <t>Online</t>
        </is>
      </c>
      <c r="E1530" s="13" t="inlineStr">
        <is>
          <t>Textiles</t>
        </is>
      </c>
      <c r="F1530" s="13" t="inlineStr">
        <is>
          <t>Wool Throw</t>
        </is>
      </c>
      <c r="G1530" s="13" t="inlineStr">
        <is>
          <t>Corporate</t>
        </is>
      </c>
      <c r="H1530" s="13" t="inlineStr">
        <is>
          <t>1</t>
        </is>
      </c>
      <c r="I1530" s="14" t="inlineStr">
        <is>
          <t>67.82</t>
        </is>
      </c>
      <c r="J1530" s="15" t="inlineStr">
        <is>
          <t>0.14</t>
        </is>
      </c>
      <c r="K1530" s="14" t="inlineStr">
        <is>
          <t>28.48</t>
        </is>
      </c>
      <c r="L1530" s="13" t="inlineStr">
        <is>
          <t>11</t>
        </is>
      </c>
      <c r="M1530" s="13" t="inlineStr">
        <is>
          <t>Completed</t>
        </is>
      </c>
      <c r="N1530" s="13" t="inlineStr">
        <is>
          <t>R. Ibarra</t>
        </is>
      </c>
    </row>
    <row r="1531">
      <c r="A1531" s="13" t="inlineStr">
        <is>
          <t>HC-101529</t>
        </is>
      </c>
      <c r="B1531" s="13" t="inlineStr">
        <is>
          <t>02-Sep-25</t>
        </is>
      </c>
      <c r="C1531" s="13" t="inlineStr">
        <is>
          <t xml:space="preserve"> west </t>
        </is>
      </c>
      <c r="D1531" s="13" t="inlineStr">
        <is>
          <t>Online</t>
        </is>
      </c>
      <c r="E1531" s="13" t="inlineStr">
        <is>
          <t>Furniture</t>
        </is>
      </c>
      <c r="F1531" s="13" t="inlineStr">
        <is>
          <t>Lounge Chair</t>
        </is>
      </c>
      <c r="G1531" s="13" t="inlineStr">
        <is>
          <t>Corporate</t>
        </is>
      </c>
      <c r="H1531" s="13" t="inlineStr">
        <is>
          <t>3</t>
        </is>
      </c>
      <c r="I1531" s="14" t="inlineStr">
        <is>
          <t>470.81</t>
        </is>
      </c>
      <c r="J1531" s="15" t="inlineStr">
        <is>
          <t>0.04</t>
        </is>
      </c>
      <c r="K1531" s="14" t="inlineStr">
        <is>
          <t>282.49</t>
        </is>
      </c>
      <c r="L1531" s="13" t="inlineStr">
        <is>
          <t>5</t>
        </is>
      </c>
      <c r="M1531" s="13" t="inlineStr">
        <is>
          <t>Completed</t>
        </is>
      </c>
      <c r="N1531" s="13" t="inlineStr">
        <is>
          <t>L. Berger</t>
        </is>
      </c>
    </row>
    <row r="1532">
      <c r="A1532" s="13" t="inlineStr">
        <is>
          <t>HC-101530</t>
        </is>
      </c>
      <c r="B1532" s="13" t="inlineStr">
        <is>
          <t>2024/11/15</t>
        </is>
      </c>
      <c r="C1532" s="13" t="inlineStr">
        <is>
          <t>East</t>
        </is>
      </c>
      <c r="D1532" s="13" t="inlineStr">
        <is>
          <t>Online</t>
        </is>
      </c>
      <c r="E1532" s="13" t="inlineStr">
        <is>
          <t>Furniture</t>
        </is>
      </c>
      <c r="F1532" s="13" t="inlineStr">
        <is>
          <t>Linen Sofa</t>
        </is>
      </c>
      <c r="G1532" s="13" t="inlineStr">
        <is>
          <t>Corporate</t>
        </is>
      </c>
      <c r="H1532" s="13" t="inlineStr">
        <is>
          <t>4</t>
        </is>
      </c>
      <c r="I1532" s="14" t="inlineStr">
        <is>
          <t>1177.83</t>
        </is>
      </c>
      <c r="J1532" s="15" t="inlineStr">
        <is>
          <t>0.16</t>
        </is>
      </c>
      <c r="K1532" s="14" t="inlineStr">
        <is>
          <t>777.37</t>
        </is>
      </c>
      <c r="L1532" s="13" t="inlineStr">
        <is>
          <t>11</t>
        </is>
      </c>
      <c r="M1532" s="13" t="inlineStr">
        <is>
          <t>Returned</t>
        </is>
      </c>
      <c r="N1532" s="13" t="inlineStr">
        <is>
          <t>K. Mensah</t>
        </is>
      </c>
    </row>
    <row r="1533">
      <c r="A1533" s="13" t="inlineStr">
        <is>
          <t>HC-101531</t>
        </is>
      </c>
      <c r="B1533" s="13" t="inlineStr">
        <is>
          <t>18.10.2024</t>
        </is>
      </c>
      <c r="C1533" s="13" t="inlineStr">
        <is>
          <t>West</t>
        </is>
      </c>
      <c r="D1533" s="13" t="inlineStr">
        <is>
          <t>Wholesale</t>
        </is>
      </c>
      <c r="E1533" s="13" t="inlineStr">
        <is>
          <t>Textiles</t>
        </is>
      </c>
      <c r="F1533" s="13" t="inlineStr">
        <is>
          <t>Cotton Duvet</t>
        </is>
      </c>
      <c r="G1533" s="13" t="inlineStr">
        <is>
          <t>Consumer</t>
        </is>
      </c>
      <c r="H1533" s="13" t="inlineStr">
        <is>
          <t>34</t>
        </is>
      </c>
      <c r="I1533" s="14" t="inlineStr">
        <is>
          <t>127.03</t>
        </is>
      </c>
      <c r="J1533" s="15" t="inlineStr">
        <is>
          <t>0.29</t>
        </is>
      </c>
      <c r="K1533" s="14" t="inlineStr">
        <is>
          <t>55.90</t>
        </is>
      </c>
      <c r="L1533" s="13" t="inlineStr">
        <is>
          <t>6</t>
        </is>
      </c>
      <c r="M1533" s="13" t="inlineStr">
        <is>
          <t>Returned</t>
        </is>
      </c>
      <c r="N1533" s="13" t="inlineStr">
        <is>
          <t>A. Shah</t>
        </is>
      </c>
    </row>
    <row r="1534">
      <c r="A1534" s="13" t="inlineStr">
        <is>
          <t>HC-101532</t>
        </is>
      </c>
      <c r="B1534" s="13" t="inlineStr">
        <is>
          <t>07/09/2025</t>
        </is>
      </c>
      <c r="C1534" s="13" t="inlineStr">
        <is>
          <t>West</t>
        </is>
      </c>
      <c r="D1534" s="13" t="inlineStr">
        <is>
          <t>Online</t>
        </is>
      </c>
      <c r="E1534" s="13" t="inlineStr">
        <is>
          <t>Kitchen</t>
        </is>
      </c>
      <c r="F1534" s="13" t="inlineStr">
        <is>
          <t>Ceramic Set</t>
        </is>
      </c>
      <c r="G1534" s="13" t="inlineStr">
        <is>
          <t>Corporate</t>
        </is>
      </c>
      <c r="H1534" s="13" t="inlineStr">
        <is>
          <t>3</t>
        </is>
      </c>
      <c r="I1534" s="14" t="inlineStr">
        <is>
          <t>82.12</t>
        </is>
      </c>
      <c r="J1534" s="15" t="inlineStr">
        <is>
          <t>0.03</t>
        </is>
      </c>
      <c r="K1534" s="14" t="inlineStr">
        <is>
          <t>31.21</t>
        </is>
      </c>
      <c r="L1534" s="13" t="inlineStr">
        <is>
          <t>6</t>
        </is>
      </c>
      <c r="M1534" s="13" t="inlineStr">
        <is>
          <t>Completed</t>
        </is>
      </c>
      <c r="N1534" s="13" t="inlineStr">
        <is>
          <t>A. Shah</t>
        </is>
      </c>
    </row>
    <row r="1535">
      <c r="A1535" s="13" t="inlineStr">
        <is>
          <t>HC-101533</t>
        </is>
      </c>
      <c r="B1535" s="13" t="inlineStr">
        <is>
          <t>05-May-24</t>
        </is>
      </c>
      <c r="C1535" s="13" t="inlineStr">
        <is>
          <t>south</t>
        </is>
      </c>
      <c r="D1535" s="13" t="inlineStr">
        <is>
          <t>Online</t>
        </is>
      </c>
      <c r="E1535" s="13" t="inlineStr">
        <is>
          <t>FURNITURE</t>
        </is>
      </c>
      <c r="F1535" s="13" t="inlineStr">
        <is>
          <t>Oak Desk</t>
        </is>
      </c>
      <c r="G1535" s="13" t="inlineStr">
        <is>
          <t>Corporate</t>
        </is>
      </c>
      <c r="H1535" s="13" t="inlineStr">
        <is>
          <t>1</t>
        </is>
      </c>
      <c r="I1535" s="14" t="inlineStr">
        <is>
          <t>804.95</t>
        </is>
      </c>
      <c r="J1535" s="15" t="inlineStr">
        <is>
          <t>0.16</t>
        </is>
      </c>
      <c r="K1535" s="14" t="inlineStr">
        <is>
          <t>499.07</t>
        </is>
      </c>
      <c r="L1535" s="13" t="inlineStr">
        <is>
          <t>7</t>
        </is>
      </c>
      <c r="M1535" s="13" t="inlineStr">
        <is>
          <t>Returned</t>
        </is>
      </c>
      <c r="N1535" s="13" t="inlineStr">
        <is>
          <t>J. Patel</t>
        </is>
      </c>
    </row>
    <row r="1536">
      <c r="A1536" s="13" t="inlineStr">
        <is>
          <t>HC-101534</t>
        </is>
      </c>
      <c r="B1536" s="13" t="inlineStr">
        <is>
          <t>2024/04/01</t>
        </is>
      </c>
      <c r="C1536" s="13" t="inlineStr">
        <is>
          <t xml:space="preserve"> west </t>
        </is>
      </c>
      <c r="D1536" s="13" t="inlineStr">
        <is>
          <t>Online</t>
        </is>
      </c>
      <c r="E1536" s="13" t="inlineStr">
        <is>
          <t>Kitchen</t>
        </is>
      </c>
      <c r="F1536" s="13" t="inlineStr">
        <is>
          <t>Chef Knife</t>
        </is>
      </c>
      <c r="G1536" s="13" t="inlineStr">
        <is>
          <t>Consumer</t>
        </is>
      </c>
      <c r="H1536" s="13" t="inlineStr">
        <is>
          <t>2</t>
        </is>
      </c>
      <c r="I1536" s="14" t="inlineStr">
        <is>
          <t>61.01</t>
        </is>
      </c>
      <c r="J1536" s="15" t="inlineStr">
        <is>
          <t>0.05</t>
        </is>
      </c>
      <c r="K1536" s="14" t="inlineStr">
        <is>
          <t>21.96</t>
        </is>
      </c>
      <c r="L1536" s="13" t="inlineStr">
        <is>
          <t>3</t>
        </is>
      </c>
      <c r="M1536" s="13" t="inlineStr">
        <is>
          <t>Completed</t>
        </is>
      </c>
      <c r="N1536" s="13" t="inlineStr">
        <is>
          <t>K. Mensah</t>
        </is>
      </c>
    </row>
    <row r="1537">
      <c r="A1537" s="13" t="inlineStr">
        <is>
          <t>HC-101535</t>
        </is>
      </c>
      <c r="B1537" s="13" t="inlineStr">
        <is>
          <t>13.12.2024</t>
        </is>
      </c>
      <c r="C1537" s="13" t="inlineStr">
        <is>
          <t>North</t>
        </is>
      </c>
      <c r="D1537" s="13" t="inlineStr">
        <is>
          <t>web</t>
        </is>
      </c>
      <c r="E1537" s="13" t="inlineStr">
        <is>
          <t>Lighting</t>
        </is>
      </c>
      <c r="F1537" s="13" t="inlineStr">
        <is>
          <t>Pendant Light</t>
        </is>
      </c>
      <c r="G1537" s="13" t="inlineStr">
        <is>
          <t>Consumer</t>
        </is>
      </c>
      <c r="H1537" s="13" t="inlineStr">
        <is>
          <t>4</t>
        </is>
      </c>
      <c r="I1537" s="14" t="inlineStr">
        <is>
          <t>175.26</t>
        </is>
      </c>
      <c r="J1537" s="15" t="inlineStr">
        <is>
          <t>0.03</t>
        </is>
      </c>
      <c r="K1537" s="14" t="inlineStr">
        <is>
          <t>87.63</t>
        </is>
      </c>
      <c r="L1537" s="13" t="inlineStr">
        <is>
          <t>4</t>
        </is>
      </c>
      <c r="M1537" s="13" t="inlineStr">
        <is>
          <t>Returned</t>
        </is>
      </c>
      <c r="N1537" s="13" t="inlineStr">
        <is>
          <t>L. Berger</t>
        </is>
      </c>
    </row>
    <row r="1538">
      <c r="A1538" s="13" t="inlineStr">
        <is>
          <t>HC-101536</t>
        </is>
      </c>
      <c r="B1538" s="13" t="inlineStr">
        <is>
          <t>06/30/2024</t>
        </is>
      </c>
      <c r="C1538" s="13" t="inlineStr">
        <is>
          <t>North</t>
        </is>
      </c>
      <c r="D1538" s="13" t="inlineStr">
        <is>
          <t>B2B</t>
        </is>
      </c>
      <c r="E1538" s="13" t="inlineStr">
        <is>
          <t>Furniture</t>
        </is>
      </c>
      <c r="F1538" s="13" t="inlineStr">
        <is>
          <t>Linen Sofa</t>
        </is>
      </c>
      <c r="G1538" s="13" t="inlineStr">
        <is>
          <t>Consumer</t>
        </is>
      </c>
      <c r="H1538" s="13" t="inlineStr">
        <is>
          <t>18</t>
        </is>
      </c>
      <c r="I1538" s="14" t="inlineStr">
        <is>
          <t>1312.16</t>
        </is>
      </c>
      <c r="J1538" s="15" t="inlineStr">
        <is>
          <t>0.24</t>
        </is>
      </c>
      <c r="K1538" s="14" t="inlineStr">
        <is>
          <t>866.03</t>
        </is>
      </c>
      <c r="L1538" s="13" t="inlineStr">
        <is>
          <t>N/A</t>
        </is>
      </c>
      <c r="M1538" s="13" t="inlineStr">
        <is>
          <t>Completed</t>
        </is>
      </c>
      <c r="N1538" s="13" t="inlineStr">
        <is>
          <t>K. Mensah</t>
        </is>
      </c>
    </row>
    <row r="1539">
      <c r="A1539" s="13" t="inlineStr">
        <is>
          <t>HC-101537</t>
        </is>
      </c>
      <c r="B1539" s="13" t="inlineStr">
        <is>
          <t>22-Apr-25</t>
        </is>
      </c>
      <c r="C1539" s="13" t="inlineStr">
        <is>
          <t>North</t>
        </is>
      </c>
      <c r="D1539" s="13" t="inlineStr">
        <is>
          <t>Wholesale</t>
        </is>
      </c>
      <c r="E1539" s="13" t="inlineStr">
        <is>
          <t>Furniture</t>
        </is>
      </c>
      <c r="F1539" s="13" t="inlineStr">
        <is>
          <t>Oak Desk</t>
        </is>
      </c>
      <c r="G1539" s="13" t="inlineStr">
        <is>
          <t>Consumer</t>
        </is>
      </c>
      <c r="H1539" s="13" t="inlineStr">
        <is>
          <t>32</t>
        </is>
      </c>
      <c r="I1539" s="14" t="inlineStr">
        <is>
          <t>820.31</t>
        </is>
      </c>
      <c r="J1539" s="15" t="inlineStr">
        <is>
          <t>0.20</t>
        </is>
      </c>
      <c r="K1539" s="14" t="inlineStr">
        <is>
          <t>508.59</t>
        </is>
      </c>
      <c r="L1539" s="13" t="inlineStr">
        <is>
          <t>7</t>
        </is>
      </c>
      <c r="M1539" s="13" t="inlineStr">
        <is>
          <t>complete</t>
        </is>
      </c>
      <c r="N1539" s="13" t="inlineStr">
        <is>
          <t>J. Patel</t>
        </is>
      </c>
    </row>
    <row r="1540">
      <c r="A1540" s="13" t="inlineStr">
        <is>
          <t>HC-101538</t>
        </is>
      </c>
      <c r="B1540" s="13" t="inlineStr">
        <is>
          <t>2024/11/25</t>
        </is>
      </c>
      <c r="C1540" s="13" t="inlineStr">
        <is>
          <t>WEST</t>
        </is>
      </c>
      <c r="D1540" s="13" t="inlineStr">
        <is>
          <t>Online</t>
        </is>
      </c>
      <c r="E1540" s="13" t="inlineStr">
        <is>
          <t>Textiles</t>
        </is>
      </c>
      <c r="F1540" s="13" t="inlineStr">
        <is>
          <t>Cotton Duvet</t>
        </is>
      </c>
      <c r="G1540" s="13" t="inlineStr">
        <is>
          <t>Consumer</t>
        </is>
      </c>
      <c r="H1540" s="13" t="inlineStr">
        <is>
          <t>3</t>
        </is>
      </c>
      <c r="I1540" s="14" t="inlineStr">
        <is>
          <t>116.45</t>
        </is>
      </c>
      <c r="J1540" s="15" t="inlineStr">
        <is>
          <t>0.02</t>
        </is>
      </c>
      <c r="K1540" s="14" t="inlineStr">
        <is>
          <t>51.24</t>
        </is>
      </c>
      <c r="L1540" s="13" t="inlineStr">
        <is>
          <t>3</t>
        </is>
      </c>
      <c r="M1540" s="13" t="inlineStr">
        <is>
          <t>Completed</t>
        </is>
      </c>
      <c r="N1540" s="13" t="inlineStr">
        <is>
          <t>J. Patel</t>
        </is>
      </c>
    </row>
    <row r="1541">
      <c r="A1541" s="13" t="inlineStr">
        <is>
          <t>HC-101539</t>
        </is>
      </c>
      <c r="B1541" s="13" t="inlineStr">
        <is>
          <t>29.05.2024</t>
        </is>
      </c>
      <c r="C1541" s="13" t="inlineStr">
        <is>
          <t>North</t>
        </is>
      </c>
      <c r="D1541" s="13" t="inlineStr">
        <is>
          <t>Online</t>
        </is>
      </c>
      <c r="E1541" s="13" t="inlineStr">
        <is>
          <t>Textiles</t>
        </is>
      </c>
      <c r="F1541" s="13" t="inlineStr">
        <is>
          <t>Cotton Duvet</t>
        </is>
      </c>
      <c r="G1541" s="13" t="inlineStr">
        <is>
          <t>Corporate</t>
        </is>
      </c>
      <c r="H1541" s="13" t="inlineStr">
        <is>
          <t>1</t>
        </is>
      </c>
      <c r="I1541" s="14" t="inlineStr">
        <is>
          <t>126.46</t>
        </is>
      </c>
      <c r="J1541" s="15" t="inlineStr">
        <is>
          <t>0.02</t>
        </is>
      </c>
      <c r="K1541" s="14" t="inlineStr">
        <is>
          <t>55.64</t>
        </is>
      </c>
      <c r="L1541" s="13" t="inlineStr">
        <is>
          <t>5</t>
        </is>
      </c>
      <c r="M1541" s="13" t="inlineStr">
        <is>
          <t>Completed</t>
        </is>
      </c>
      <c r="N1541" s="13" t="inlineStr">
        <is>
          <t>P. Rossi</t>
        </is>
      </c>
    </row>
    <row r="1542">
      <c r="A1542" s="13" t="inlineStr">
        <is>
          <t>HC-101540</t>
        </is>
      </c>
      <c r="B1542" s="13" t="inlineStr">
        <is>
          <t>03/03/2025</t>
        </is>
      </c>
      <c r="C1542" s="13" t="inlineStr">
        <is>
          <t>South</t>
        </is>
      </c>
      <c r="D1542" s="13" t="inlineStr">
        <is>
          <t>Wholesale</t>
        </is>
      </c>
      <c r="E1542" s="13" t="inlineStr">
        <is>
          <t>Furniture</t>
        </is>
      </c>
      <c r="F1542" s="13" t="inlineStr">
        <is>
          <t>Oak Desk</t>
        </is>
      </c>
      <c r="G1542" s="13" t="inlineStr">
        <is>
          <t>Consumer</t>
        </is>
      </c>
      <c r="H1542" s="13" t="inlineStr">
        <is>
          <t>16</t>
        </is>
      </c>
      <c r="I1542" s="14" t="inlineStr">
        <is>
          <t>798.93</t>
        </is>
      </c>
      <c r="J1542" s="15" t="inlineStr">
        <is>
          <t>0.27</t>
        </is>
      </c>
      <c r="K1542" s="14" t="inlineStr">
        <is>
          <t>495.34</t>
        </is>
      </c>
      <c r="L1542" s="13" t="inlineStr">
        <is>
          <t>7</t>
        </is>
      </c>
      <c r="M1542" s="13" t="inlineStr">
        <is>
          <t>Completed</t>
        </is>
      </c>
      <c r="N1542" s="13" t="inlineStr">
        <is>
          <t>M. Okonkwo</t>
        </is>
      </c>
    </row>
    <row r="1543">
      <c r="A1543" s="13" t="inlineStr">
        <is>
          <t>HC-101541</t>
        </is>
      </c>
      <c r="B1543" s="13" t="inlineStr">
        <is>
          <t>07-Sep-24</t>
        </is>
      </c>
      <c r="C1543" s="13" t="inlineStr">
        <is>
          <t>North</t>
        </is>
      </c>
      <c r="D1543" s="13" t="inlineStr">
        <is>
          <t>Store</t>
        </is>
      </c>
      <c r="E1543" s="13" t="inlineStr">
        <is>
          <t>Kitchen</t>
        </is>
      </c>
      <c r="F1543" s="13" t="inlineStr">
        <is>
          <t>Ceramic Set</t>
        </is>
      </c>
      <c r="G1543" s="13" t="inlineStr">
        <is>
          <t>Corporate</t>
        </is>
      </c>
      <c r="H1543" s="13" t="inlineStr">
        <is>
          <t>1</t>
        </is>
      </c>
      <c r="I1543" s="14" t="inlineStr">
        <is>
          <t>85.69</t>
        </is>
      </c>
      <c r="J1543" s="15" t="inlineStr">
        <is>
          <t>0.06</t>
        </is>
      </c>
      <c r="K1543" s="14" t="inlineStr">
        <is>
          <t>32.56</t>
        </is>
      </c>
      <c r="L1543" s="13" t="inlineStr">
        <is>
          <t>3</t>
        </is>
      </c>
      <c r="M1543" s="13" t="inlineStr">
        <is>
          <t>Completed</t>
        </is>
      </c>
      <c r="N1543" s="13" t="inlineStr">
        <is>
          <t>K. Mensah</t>
        </is>
      </c>
    </row>
    <row r="1544">
      <c r="A1544" s="13" t="inlineStr">
        <is>
          <t>HC-101542</t>
        </is>
      </c>
      <c r="B1544" s="13" t="inlineStr">
        <is>
          <t>2024/10/01</t>
        </is>
      </c>
      <c r="C1544" s="13" t="inlineStr">
        <is>
          <t>West</t>
        </is>
      </c>
      <c r="D1544" s="13" t="inlineStr">
        <is>
          <t>Online</t>
        </is>
      </c>
      <c r="E1544" s="13" t="inlineStr">
        <is>
          <t>Lighting</t>
        </is>
      </c>
      <c r="F1544" s="13" t="inlineStr">
        <is>
          <t>Pendant Light</t>
        </is>
      </c>
      <c r="G1544" s="13" t="inlineStr">
        <is>
          <t>Corporate</t>
        </is>
      </c>
      <c r="H1544" s="13" t="inlineStr">
        <is>
          <t>2</t>
        </is>
      </c>
      <c r="I1544" s="14" t="inlineStr">
        <is>
          <t>$177.63</t>
        </is>
      </c>
      <c r="J1544" s="15" t="inlineStr">
        <is>
          <t>0.10</t>
        </is>
      </c>
      <c r="K1544" s="14" t="inlineStr">
        <is>
          <t>88.81</t>
        </is>
      </c>
      <c r="L1544" s="13" t="inlineStr">
        <is>
          <t>4</t>
        </is>
      </c>
      <c r="M1544" s="13" t="inlineStr">
        <is>
          <t>Completed</t>
        </is>
      </c>
      <c r="N1544" s="13" t="inlineStr">
        <is>
          <t>K. Mensah</t>
        </is>
      </c>
    </row>
    <row r="1545">
      <c r="A1545" s="13" t="inlineStr">
        <is>
          <t>HC-101543</t>
        </is>
      </c>
      <c r="B1545" s="13" t="inlineStr">
        <is>
          <t>16.06.2025</t>
        </is>
      </c>
      <c r="C1545" s="13" t="inlineStr">
        <is>
          <t>North</t>
        </is>
      </c>
      <c r="D1545" s="13" t="inlineStr">
        <is>
          <t>Store</t>
        </is>
      </c>
      <c r="E1545" s="13" t="inlineStr">
        <is>
          <t>Furniture</t>
        </is>
      </c>
      <c r="F1545" s="13" t="inlineStr">
        <is>
          <t>Lounge Chair</t>
        </is>
      </c>
      <c r="G1545" s="13" t="inlineStr"/>
      <c r="H1545" s="13" t="inlineStr">
        <is>
          <t>4</t>
        </is>
      </c>
      <c r="I1545" s="14" t="inlineStr">
        <is>
          <t>486.81</t>
        </is>
      </c>
      <c r="J1545" s="15" t="inlineStr">
        <is>
          <t>0.06</t>
        </is>
      </c>
      <c r="K1545" s="14" t="inlineStr">
        <is>
          <t>292.09</t>
        </is>
      </c>
      <c r="L1545" s="13" t="inlineStr">
        <is>
          <t>6</t>
        </is>
      </c>
      <c r="M1545" s="13" t="inlineStr">
        <is>
          <t>Completed</t>
        </is>
      </c>
      <c r="N1545" s="13" t="inlineStr">
        <is>
          <t>P. Rossi</t>
        </is>
      </c>
    </row>
    <row r="1546">
      <c r="A1546" s="13" t="inlineStr">
        <is>
          <t>HC-101544</t>
        </is>
      </c>
      <c r="B1546" s="13" t="inlineStr">
        <is>
          <t>11/16/2024</t>
        </is>
      </c>
      <c r="C1546" s="13" t="inlineStr">
        <is>
          <t>West</t>
        </is>
      </c>
      <c r="D1546" s="13" t="inlineStr">
        <is>
          <t>Store</t>
        </is>
      </c>
      <c r="E1546" s="13" t="inlineStr">
        <is>
          <t>Furniture</t>
        </is>
      </c>
      <c r="F1546" s="13" t="inlineStr">
        <is>
          <t>Lounge Chair</t>
        </is>
      </c>
      <c r="G1546" s="13" t="inlineStr">
        <is>
          <t>Consumer</t>
        </is>
      </c>
      <c r="H1546" s="13" t="inlineStr">
        <is>
          <t>3</t>
        </is>
      </c>
      <c r="I1546" s="14" t="inlineStr">
        <is>
          <t>500.99</t>
        </is>
      </c>
      <c r="J1546" s="15" t="inlineStr">
        <is>
          <t>0.05</t>
        </is>
      </c>
      <c r="K1546" s="14" t="inlineStr">
        <is>
          <t>300.60</t>
        </is>
      </c>
      <c r="L1546" s="13" t="inlineStr">
        <is>
          <t>6</t>
        </is>
      </c>
      <c r="M1546" s="13" t="inlineStr">
        <is>
          <t>Completed</t>
        </is>
      </c>
      <c r="N1546" s="13" t="inlineStr">
        <is>
          <t>L. Berger</t>
        </is>
      </c>
    </row>
    <row r="1547">
      <c r="A1547" s="13" t="inlineStr">
        <is>
          <t>HC-101545</t>
        </is>
      </c>
      <c r="B1547" s="13" t="inlineStr">
        <is>
          <t>30-May-24</t>
        </is>
      </c>
      <c r="C1547" s="13" t="inlineStr">
        <is>
          <t>NORTH</t>
        </is>
      </c>
      <c r="D1547" s="13" t="inlineStr">
        <is>
          <t>Store</t>
        </is>
      </c>
      <c r="E1547" s="13" t="inlineStr">
        <is>
          <t>Furniture</t>
        </is>
      </c>
      <c r="F1547" s="13" t="inlineStr">
        <is>
          <t>Walnut Shelf</t>
        </is>
      </c>
      <c r="G1547" s="13" t="inlineStr">
        <is>
          <t>Consumer</t>
        </is>
      </c>
      <c r="H1547" s="13" t="inlineStr">
        <is>
          <t>3</t>
        </is>
      </c>
      <c r="I1547" s="14" t="inlineStr">
        <is>
          <t>221.94</t>
        </is>
      </c>
      <c r="J1547" s="15" t="inlineStr">
        <is>
          <t>0.05</t>
        </is>
      </c>
      <c r="K1547" s="14" t="inlineStr">
        <is>
          <t>122.07</t>
        </is>
      </c>
      <c r="L1547" s="13" t="inlineStr">
        <is>
          <t>8</t>
        </is>
      </c>
      <c r="M1547" s="13" t="inlineStr">
        <is>
          <t>Completed</t>
        </is>
      </c>
      <c r="N1547" s="13" t="inlineStr">
        <is>
          <t>A. Shah</t>
        </is>
      </c>
    </row>
    <row r="1548">
      <c r="A1548" s="13" t="inlineStr">
        <is>
          <t>HC-101546</t>
        </is>
      </c>
      <c r="B1548" s="13" t="inlineStr">
        <is>
          <t>2024/12/19</t>
        </is>
      </c>
      <c r="C1548" s="13" t="inlineStr">
        <is>
          <t>West</t>
        </is>
      </c>
      <c r="D1548" s="13" t="inlineStr">
        <is>
          <t>Store</t>
        </is>
      </c>
      <c r="E1548" s="13" t="inlineStr">
        <is>
          <t>Textiles</t>
        </is>
      </c>
      <c r="F1548" s="13" t="inlineStr">
        <is>
          <t>Wool Throw</t>
        </is>
      </c>
      <c r="G1548" s="13" t="inlineStr">
        <is>
          <t>Corporate</t>
        </is>
      </c>
      <c r="H1548" s="13" t="inlineStr">
        <is>
          <t>3</t>
        </is>
      </c>
      <c r="I1548" s="14" t="inlineStr">
        <is>
          <t>72.18</t>
        </is>
      </c>
      <c r="J1548" s="15" t="inlineStr">
        <is>
          <t>0.11</t>
        </is>
      </c>
      <c r="K1548" s="14" t="inlineStr">
        <is>
          <t>30.31</t>
        </is>
      </c>
      <c r="L1548" s="13" t="inlineStr">
        <is>
          <t>2</t>
        </is>
      </c>
      <c r="M1548" s="13" t="inlineStr">
        <is>
          <t>Completed</t>
        </is>
      </c>
      <c r="N1548" s="13" t="inlineStr">
        <is>
          <t>K. Mensah</t>
        </is>
      </c>
    </row>
    <row r="1549">
      <c r="A1549" s="13" t="inlineStr">
        <is>
          <t>HC-101547</t>
        </is>
      </c>
      <c r="B1549" s="13" t="inlineStr">
        <is>
          <t>21.02.2025</t>
        </is>
      </c>
      <c r="C1549" s="13" t="inlineStr">
        <is>
          <t>East</t>
        </is>
      </c>
      <c r="D1549" s="13" t="inlineStr">
        <is>
          <t>Store</t>
        </is>
      </c>
      <c r="E1549" s="13" t="inlineStr">
        <is>
          <t>Furniture</t>
        </is>
      </c>
      <c r="F1549" s="13" t="inlineStr">
        <is>
          <t>Oak Desk</t>
        </is>
      </c>
      <c r="G1549" s="13" t="inlineStr">
        <is>
          <t>Home Office</t>
        </is>
      </c>
      <c r="H1549" s="13" t="inlineStr">
        <is>
          <t>Four</t>
        </is>
      </c>
      <c r="I1549" s="14" t="inlineStr">
        <is>
          <t>800.82</t>
        </is>
      </c>
      <c r="J1549" s="15" t="inlineStr">
        <is>
          <t>0.09</t>
        </is>
      </c>
      <c r="K1549" s="14" t="inlineStr">
        <is>
          <t>496.51</t>
        </is>
      </c>
      <c r="L1549" s="13" t="inlineStr">
        <is>
          <t>8</t>
        </is>
      </c>
      <c r="M1549" s="13" t="inlineStr">
        <is>
          <t>Completed</t>
        </is>
      </c>
      <c r="N1549" s="13" t="inlineStr">
        <is>
          <t>S. Nguyen</t>
        </is>
      </c>
    </row>
    <row r="1550">
      <c r="A1550" s="13" t="inlineStr">
        <is>
          <t>HC-101548</t>
        </is>
      </c>
      <c r="B1550" s="13" t="inlineStr">
        <is>
          <t>04/14/2024</t>
        </is>
      </c>
      <c r="C1550" s="13" t="inlineStr">
        <is>
          <t>North</t>
        </is>
      </c>
      <c r="D1550" s="13" t="inlineStr">
        <is>
          <t>retail</t>
        </is>
      </c>
      <c r="E1550" s="13" t="inlineStr">
        <is>
          <t>Kitchen</t>
        </is>
      </c>
      <c r="F1550" s="13" t="inlineStr">
        <is>
          <t>Cast Skillet</t>
        </is>
      </c>
      <c r="G1550" s="13" t="inlineStr">
        <is>
          <t>Consumer</t>
        </is>
      </c>
      <c r="H1550" s="13" t="inlineStr">
        <is>
          <t>4</t>
        </is>
      </c>
      <c r="I1550" s="14" t="inlineStr">
        <is>
          <t>$57.28</t>
        </is>
      </c>
      <c r="J1550" s="15" t="inlineStr">
        <is>
          <t>0.09</t>
        </is>
      </c>
      <c r="K1550" s="14" t="inlineStr">
        <is>
          <t>22.91</t>
        </is>
      </c>
      <c r="L1550" s="13" t="inlineStr">
        <is>
          <t>4</t>
        </is>
      </c>
      <c r="M1550" s="13" t="inlineStr">
        <is>
          <t>Completed</t>
        </is>
      </c>
      <c r="N1550" s="13" t="inlineStr">
        <is>
          <t>R. Ibarra</t>
        </is>
      </c>
    </row>
    <row r="1551">
      <c r="A1551" s="13" t="inlineStr">
        <is>
          <t>HC-101549</t>
        </is>
      </c>
      <c r="B1551" s="13" t="inlineStr">
        <is>
          <t>11-Dec-24</t>
        </is>
      </c>
      <c r="C1551" s="13" t="inlineStr">
        <is>
          <t>North</t>
        </is>
      </c>
      <c r="D1551" s="13" t="inlineStr">
        <is>
          <t>Store</t>
        </is>
      </c>
      <c r="E1551" s="13" t="inlineStr">
        <is>
          <t>Kitchen</t>
        </is>
      </c>
      <c r="F1551" s="13" t="inlineStr">
        <is>
          <t>Ceramic Set</t>
        </is>
      </c>
      <c r="G1551" s="13" t="inlineStr">
        <is>
          <t>Consumer</t>
        </is>
      </c>
      <c r="H1551" s="13" t="inlineStr">
        <is>
          <t>4</t>
        </is>
      </c>
      <c r="I1551" s="14" t="inlineStr">
        <is>
          <t>88.65</t>
        </is>
      </c>
      <c r="J1551" s="15" t="inlineStr">
        <is>
          <t>0.03</t>
        </is>
      </c>
      <c r="K1551" s="14" t="inlineStr">
        <is>
          <t>33.69</t>
        </is>
      </c>
      <c r="L1551" s="13" t="inlineStr">
        <is>
          <t>6</t>
        </is>
      </c>
      <c r="M1551" s="13" t="inlineStr">
        <is>
          <t>Completed</t>
        </is>
      </c>
      <c r="N1551" s="13" t="inlineStr">
        <is>
          <t>M. Okonkwo</t>
        </is>
      </c>
    </row>
    <row r="1552">
      <c r="A1552" s="13" t="inlineStr">
        <is>
          <t>HC-101550</t>
        </is>
      </c>
      <c r="B1552" s="13" t="inlineStr">
        <is>
          <t>2024/12/29</t>
        </is>
      </c>
      <c r="C1552" s="13" t="inlineStr">
        <is>
          <t xml:space="preserve"> North </t>
        </is>
      </c>
      <c r="D1552" s="13" t="inlineStr">
        <is>
          <t>Online</t>
        </is>
      </c>
      <c r="E1552" s="13" t="inlineStr">
        <is>
          <t>Textiles</t>
        </is>
      </c>
      <c r="F1552" s="13" t="inlineStr">
        <is>
          <t>Linen Curtain</t>
        </is>
      </c>
      <c r="G1552" s="13" t="inlineStr">
        <is>
          <t>Corporate</t>
        </is>
      </c>
      <c r="H1552" s="13" t="inlineStr">
        <is>
          <t>3</t>
        </is>
      </c>
      <c r="I1552" s="14" t="inlineStr">
        <is>
          <t>98.19</t>
        </is>
      </c>
      <c r="J1552" s="15" t="inlineStr">
        <is>
          <t>0.16</t>
        </is>
      </c>
      <c r="K1552" s="14" t="inlineStr">
        <is>
          <t>44.18</t>
        </is>
      </c>
      <c r="L1552" s="13" t="inlineStr">
        <is>
          <t>5</t>
        </is>
      </c>
      <c r="M1552" s="13" t="inlineStr">
        <is>
          <t>Completed</t>
        </is>
      </c>
      <c r="N1552" s="13" t="inlineStr">
        <is>
          <t>S. Nguyen</t>
        </is>
      </c>
    </row>
    <row r="1553">
      <c r="A1553" s="13" t="inlineStr">
        <is>
          <t>HC-101551</t>
        </is>
      </c>
      <c r="B1553" s="13" t="inlineStr">
        <is>
          <t>06.11.2024</t>
        </is>
      </c>
      <c r="C1553" s="13" t="inlineStr">
        <is>
          <t>East</t>
        </is>
      </c>
      <c r="D1553" s="13" t="inlineStr">
        <is>
          <t>Online</t>
        </is>
      </c>
      <c r="E1553" s="13" t="inlineStr">
        <is>
          <t>Kitchen</t>
        </is>
      </c>
      <c r="F1553" s="13" t="inlineStr">
        <is>
          <t>Ceramic Set</t>
        </is>
      </c>
      <c r="G1553" s="13" t="inlineStr">
        <is>
          <t>Home Office</t>
        </is>
      </c>
      <c r="H1553" s="13" t="inlineStr">
        <is>
          <t>4</t>
        </is>
      </c>
      <c r="I1553" s="14" t="inlineStr">
        <is>
          <t>76.44</t>
        </is>
      </c>
      <c r="J1553" s="15" t="inlineStr">
        <is>
          <t>0.06</t>
        </is>
      </c>
      <c r="K1553" s="14" t="inlineStr">
        <is>
          <t>29.05</t>
        </is>
      </c>
      <c r="L1553" s="13" t="inlineStr">
        <is>
          <t>9</t>
        </is>
      </c>
      <c r="M1553" s="13" t="inlineStr">
        <is>
          <t>Compleated</t>
        </is>
      </c>
      <c r="N1553" s="13" t="inlineStr">
        <is>
          <t>A. Shah</t>
        </is>
      </c>
    </row>
    <row r="1554">
      <c r="A1554" s="13" t="inlineStr">
        <is>
          <t>HC-101552</t>
        </is>
      </c>
      <c r="B1554" s="13" t="inlineStr">
        <is>
          <t>10/12/2024</t>
        </is>
      </c>
      <c r="C1554" s="13" t="inlineStr">
        <is>
          <t>North</t>
        </is>
      </c>
      <c r="D1554" s="13" t="inlineStr">
        <is>
          <t>Store</t>
        </is>
      </c>
      <c r="E1554" s="13" t="inlineStr">
        <is>
          <t>LIGHTING</t>
        </is>
      </c>
      <c r="F1554" s="13" t="inlineStr">
        <is>
          <t>Brass Sconce</t>
        </is>
      </c>
      <c r="G1554" s="13" t="inlineStr"/>
      <c r="H1554" s="13" t="inlineStr">
        <is>
          <t>3</t>
        </is>
      </c>
      <c r="I1554" s="14" t="inlineStr">
        <is>
          <t>130.59</t>
        </is>
      </c>
      <c r="J1554" s="15" t="inlineStr">
        <is>
          <t>0.02</t>
        </is>
      </c>
      <c r="K1554" s="14" t="inlineStr">
        <is>
          <t>60.07</t>
        </is>
      </c>
      <c r="L1554" s="13" t="inlineStr">
        <is>
          <t>5</t>
        </is>
      </c>
      <c r="M1554" s="13" t="inlineStr">
        <is>
          <t>Completed</t>
        </is>
      </c>
      <c r="N1554" s="13" t="inlineStr">
        <is>
          <t>K. Mensah</t>
        </is>
      </c>
    </row>
    <row r="1555">
      <c r="A1555" s="13" t="inlineStr">
        <is>
          <t>HC-101553</t>
        </is>
      </c>
      <c r="B1555" s="13" t="inlineStr">
        <is>
          <t>12-Jan-24</t>
        </is>
      </c>
      <c r="C1555" s="13" t="inlineStr">
        <is>
          <t>North</t>
        </is>
      </c>
      <c r="D1555" s="13" t="inlineStr">
        <is>
          <t>Store</t>
        </is>
      </c>
      <c r="E1555" s="13" t="inlineStr">
        <is>
          <t>Lighting</t>
        </is>
      </c>
      <c r="F1555" s="13" t="inlineStr">
        <is>
          <t>Arc Lamp</t>
        </is>
      </c>
      <c r="G1555" s="13" t="inlineStr">
        <is>
          <t>Corporate</t>
        </is>
      </c>
      <c r="H1555" s="13" t="inlineStr">
        <is>
          <t>4</t>
        </is>
      </c>
      <c r="I1555" s="14" t="inlineStr">
        <is>
          <t>302.61</t>
        </is>
      </c>
      <c r="J1555" s="15" t="inlineStr">
        <is>
          <t>0%</t>
        </is>
      </c>
      <c r="K1555" s="14" t="inlineStr">
        <is>
          <t>145.25</t>
        </is>
      </c>
      <c r="L1555" s="13" t="inlineStr">
        <is>
          <t>7</t>
        </is>
      </c>
      <c r="M1555" s="13" t="inlineStr">
        <is>
          <t>Completed</t>
        </is>
      </c>
      <c r="N1555" s="13" t="inlineStr">
        <is>
          <t>K. Mensah</t>
        </is>
      </c>
    </row>
    <row r="1556">
      <c r="A1556" s="13" t="inlineStr">
        <is>
          <t>HC-101554</t>
        </is>
      </c>
      <c r="B1556" s="13" t="inlineStr">
        <is>
          <t>2024/02/06</t>
        </is>
      </c>
      <c r="C1556" s="13" t="inlineStr">
        <is>
          <t>South</t>
        </is>
      </c>
      <c r="D1556" s="13" t="inlineStr">
        <is>
          <t>Online</t>
        </is>
      </c>
      <c r="E1556" s="13" t="inlineStr">
        <is>
          <t>Lighting</t>
        </is>
      </c>
      <c r="F1556" s="13" t="inlineStr">
        <is>
          <t>Arc Lamp</t>
        </is>
      </c>
      <c r="G1556" s="13" t="inlineStr">
        <is>
          <t>Consumer</t>
        </is>
      </c>
      <c r="H1556" s="13" t="inlineStr">
        <is>
          <t>3</t>
        </is>
      </c>
      <c r="I1556" s="14" t="inlineStr">
        <is>
          <t>328.58</t>
        </is>
      </c>
      <c r="J1556" s="15" t="inlineStr">
        <is>
          <t>0.03</t>
        </is>
      </c>
      <c r="K1556" s="14" t="inlineStr">
        <is>
          <t>157.72</t>
        </is>
      </c>
      <c r="L1556" s="13" t="inlineStr">
        <is>
          <t>8</t>
        </is>
      </c>
      <c r="M1556" s="13" t="inlineStr">
        <is>
          <t>Completed</t>
        </is>
      </c>
      <c r="N1556" s="13" t="inlineStr">
        <is>
          <t>K. Mensah</t>
        </is>
      </c>
    </row>
    <row r="1557">
      <c r="A1557" s="13" t="inlineStr">
        <is>
          <t>HC-101555</t>
        </is>
      </c>
      <c r="B1557" s="13" t="inlineStr">
        <is>
          <t>26.02.2024</t>
        </is>
      </c>
      <c r="C1557" s="13" t="inlineStr">
        <is>
          <t>South</t>
        </is>
      </c>
      <c r="D1557" s="13" t="inlineStr">
        <is>
          <t>Online</t>
        </is>
      </c>
      <c r="E1557" s="13" t="inlineStr">
        <is>
          <t>Kitchen</t>
        </is>
      </c>
      <c r="F1557" s="13" t="inlineStr">
        <is>
          <t>Ceramic Set</t>
        </is>
      </c>
      <c r="G1557" s="13" t="inlineStr">
        <is>
          <t>Consumer</t>
        </is>
      </c>
      <c r="H1557" s="13" t="inlineStr">
        <is>
          <t>2</t>
        </is>
      </c>
      <c r="I1557" s="14" t="inlineStr">
        <is>
          <t>89.54</t>
        </is>
      </c>
      <c r="J1557" s="15" t="inlineStr">
        <is>
          <t>0.15</t>
        </is>
      </c>
      <c r="K1557" s="14" t="inlineStr">
        <is>
          <t>34.02</t>
        </is>
      </c>
      <c r="L1557" s="13" t="inlineStr">
        <is>
          <t>8</t>
        </is>
      </c>
      <c r="M1557" s="13" t="inlineStr">
        <is>
          <t>complete</t>
        </is>
      </c>
      <c r="N1557" s="13" t="inlineStr">
        <is>
          <t>L. Berger</t>
        </is>
      </c>
    </row>
    <row r="1558">
      <c r="A1558" s="13" t="inlineStr">
        <is>
          <t>HC-101556</t>
        </is>
      </c>
      <c r="B1558" s="13" t="inlineStr">
        <is>
          <t>02/07/2024</t>
        </is>
      </c>
      <c r="C1558" s="13" t="inlineStr">
        <is>
          <t>Nort</t>
        </is>
      </c>
      <c r="D1558" s="13" t="inlineStr">
        <is>
          <t>e-commerce</t>
        </is>
      </c>
      <c r="E1558" s="13" t="inlineStr">
        <is>
          <t>Furniture</t>
        </is>
      </c>
      <c r="F1558" s="13" t="inlineStr">
        <is>
          <t>Lounge Chair</t>
        </is>
      </c>
      <c r="G1558" s="13" t="inlineStr">
        <is>
          <t>consumer</t>
        </is>
      </c>
      <c r="H1558" s="13" t="inlineStr">
        <is>
          <t>3</t>
        </is>
      </c>
      <c r="I1558" s="14" t="inlineStr">
        <is>
          <t>491.97</t>
        </is>
      </c>
      <c r="J1558" s="15" t="inlineStr">
        <is>
          <t>0.08</t>
        </is>
      </c>
      <c r="K1558" s="14" t="inlineStr">
        <is>
          <t>295.18</t>
        </is>
      </c>
      <c r="L1558" s="13" t="inlineStr">
        <is>
          <t>4</t>
        </is>
      </c>
      <c r="M1558" s="13" t="inlineStr">
        <is>
          <t>Completed</t>
        </is>
      </c>
      <c r="N1558" s="13" t="inlineStr">
        <is>
          <t>K. Mensah</t>
        </is>
      </c>
    </row>
    <row r="1559">
      <c r="A1559" s="13" t="inlineStr">
        <is>
          <t>HC-101557</t>
        </is>
      </c>
      <c r="B1559" s="13" t="inlineStr">
        <is>
          <t>22-Jun-25</t>
        </is>
      </c>
      <c r="C1559" s="13" t="inlineStr">
        <is>
          <t>East</t>
        </is>
      </c>
      <c r="D1559" s="13" t="inlineStr">
        <is>
          <t>Store</t>
        </is>
      </c>
      <c r="E1559" s="13" t="inlineStr">
        <is>
          <t>Textiles</t>
        </is>
      </c>
      <c r="F1559" s="13" t="inlineStr">
        <is>
          <t>Wool Throw</t>
        </is>
      </c>
      <c r="G1559" s="13" t="inlineStr">
        <is>
          <t>Home Office</t>
        </is>
      </c>
      <c r="H1559" s="13" t="inlineStr">
        <is>
          <t>4</t>
        </is>
      </c>
      <c r="I1559" s="14" t="inlineStr">
        <is>
          <t>63.78</t>
        </is>
      </c>
      <c r="J1559" s="15" t="inlineStr">
        <is>
          <t>0.00</t>
        </is>
      </c>
      <c r="K1559" s="14" t="inlineStr">
        <is>
          <t>26.79</t>
        </is>
      </c>
      <c r="L1559" s="13" t="inlineStr">
        <is>
          <t>6</t>
        </is>
      </c>
      <c r="M1559" s="13" t="inlineStr">
        <is>
          <t>Completed</t>
        </is>
      </c>
      <c r="N1559" s="13" t="inlineStr">
        <is>
          <t>M. Okonkwo</t>
        </is>
      </c>
    </row>
    <row r="1560">
      <c r="A1560" s="13" t="inlineStr">
        <is>
          <t>HC-101558</t>
        </is>
      </c>
      <c r="B1560" s="13" t="inlineStr">
        <is>
          <t>2025/06/16</t>
        </is>
      </c>
      <c r="C1560" s="13" t="inlineStr">
        <is>
          <t>West</t>
        </is>
      </c>
      <c r="D1560" s="13" t="inlineStr">
        <is>
          <t>Wholesale</t>
        </is>
      </c>
      <c r="E1560" s="13" t="inlineStr">
        <is>
          <t>Textiles</t>
        </is>
      </c>
      <c r="F1560" s="13" t="inlineStr">
        <is>
          <t>Wool Throw</t>
        </is>
      </c>
      <c r="G1560" s="13" t="inlineStr">
        <is>
          <t>Consumer</t>
        </is>
      </c>
      <c r="H1560" s="13" t="inlineStr">
        <is>
          <t>11</t>
        </is>
      </c>
      <c r="I1560" s="14" t="inlineStr">
        <is>
          <t>74.24</t>
        </is>
      </c>
      <c r="J1560" s="15" t="inlineStr">
        <is>
          <t>0.13</t>
        </is>
      </c>
      <c r="K1560" s="14" t="inlineStr">
        <is>
          <t>31.18</t>
        </is>
      </c>
      <c r="L1560" s="13" t="inlineStr">
        <is>
          <t>5</t>
        </is>
      </c>
      <c r="M1560" s="13" t="inlineStr">
        <is>
          <t>Returned</t>
        </is>
      </c>
      <c r="N1560" s="13" t="inlineStr">
        <is>
          <t>P. Rossi</t>
        </is>
      </c>
    </row>
    <row r="1561">
      <c r="A1561" s="13" t="inlineStr">
        <is>
          <t>HC-101559</t>
        </is>
      </c>
      <c r="B1561" s="13" t="inlineStr">
        <is>
          <t>31.01.2024</t>
        </is>
      </c>
      <c r="C1561" s="13" t="inlineStr">
        <is>
          <t>South</t>
        </is>
      </c>
      <c r="D1561" s="13" t="inlineStr">
        <is>
          <t>Store</t>
        </is>
      </c>
      <c r="E1561" s="13" t="inlineStr">
        <is>
          <t>Kitchen</t>
        </is>
      </c>
      <c r="F1561" s="13" t="inlineStr">
        <is>
          <t>Ceramic Set</t>
        </is>
      </c>
      <c r="G1561" s="13" t="inlineStr">
        <is>
          <t>Consumer</t>
        </is>
      </c>
      <c r="H1561" s="13" t="inlineStr">
        <is>
          <t>1</t>
        </is>
      </c>
      <c r="I1561" s="14" t="inlineStr">
        <is>
          <t>85.16</t>
        </is>
      </c>
      <c r="J1561" s="15" t="inlineStr">
        <is>
          <t>0.08</t>
        </is>
      </c>
      <c r="K1561" s="14" t="inlineStr">
        <is>
          <t>32.36</t>
        </is>
      </c>
      <c r="L1561" s="13" t="inlineStr">
        <is>
          <t>7</t>
        </is>
      </c>
      <c r="M1561" s="13" t="inlineStr">
        <is>
          <t>Completed</t>
        </is>
      </c>
      <c r="N1561" s="13" t="inlineStr">
        <is>
          <t>K. Mensah</t>
        </is>
      </c>
    </row>
    <row r="1562">
      <c r="A1562" s="13" t="inlineStr">
        <is>
          <t>HC-101560</t>
        </is>
      </c>
      <c r="B1562" s="13" t="inlineStr">
        <is>
          <t>03/23/2024</t>
        </is>
      </c>
      <c r="C1562" s="13" t="inlineStr">
        <is>
          <t>South</t>
        </is>
      </c>
      <c r="D1562" s="13" t="inlineStr">
        <is>
          <t>Store</t>
        </is>
      </c>
      <c r="E1562" s="13" t="inlineStr">
        <is>
          <t>Kitchen</t>
        </is>
      </c>
      <c r="F1562" s="13" t="inlineStr">
        <is>
          <t>Chef Knife</t>
        </is>
      </c>
      <c r="G1562" s="13" t="inlineStr">
        <is>
          <t>Consumer</t>
        </is>
      </c>
      <c r="H1562" s="13" t="inlineStr">
        <is>
          <t>1</t>
        </is>
      </c>
      <c r="I1562" s="14" t="inlineStr">
        <is>
          <t>65.68</t>
        </is>
      </c>
      <c r="J1562" s="15" t="inlineStr">
        <is>
          <t>0.10</t>
        </is>
      </c>
      <c r="K1562" s="14" t="inlineStr">
        <is>
          <t>23.64</t>
        </is>
      </c>
      <c r="L1562" s="13" t="inlineStr">
        <is>
          <t>5</t>
        </is>
      </c>
      <c r="M1562" s="13" t="inlineStr">
        <is>
          <t>Completed</t>
        </is>
      </c>
      <c r="N1562" s="13" t="inlineStr">
        <is>
          <t>A. Shah</t>
        </is>
      </c>
    </row>
    <row r="1563">
      <c r="A1563" s="13" t="inlineStr">
        <is>
          <t>HC-101561</t>
        </is>
      </c>
      <c r="B1563" s="13" t="inlineStr">
        <is>
          <t>17-Jul-24</t>
        </is>
      </c>
      <c r="C1563" s="13" t="inlineStr">
        <is>
          <t>South</t>
        </is>
      </c>
      <c r="D1563" s="13" t="inlineStr">
        <is>
          <t>Online</t>
        </is>
      </c>
      <c r="E1563" s="13" t="inlineStr">
        <is>
          <t>Furniture</t>
        </is>
      </c>
      <c r="F1563" s="13" t="inlineStr">
        <is>
          <t>Lounge Chair</t>
        </is>
      </c>
      <c r="G1563" s="13" t="inlineStr">
        <is>
          <t>Consumer</t>
        </is>
      </c>
      <c r="H1563" s="13" t="inlineStr">
        <is>
          <t>3</t>
        </is>
      </c>
      <c r="I1563" s="14" t="inlineStr">
        <is>
          <t>453.76</t>
        </is>
      </c>
      <c r="J1563" s="15" t="inlineStr">
        <is>
          <t>0.03</t>
        </is>
      </c>
      <c r="K1563" s="14" t="inlineStr">
        <is>
          <t>272.26</t>
        </is>
      </c>
      <c r="L1563" s="13" t="inlineStr">
        <is>
          <t>5</t>
        </is>
      </c>
      <c r="M1563" s="13" t="inlineStr">
        <is>
          <t>Completed</t>
        </is>
      </c>
      <c r="N1563" s="13" t="inlineStr">
        <is>
          <t>K. Mensah</t>
        </is>
      </c>
    </row>
    <row r="1564">
      <c r="A1564" s="13" t="inlineStr">
        <is>
          <t>HC-101562</t>
        </is>
      </c>
      <c r="B1564" s="13" t="inlineStr">
        <is>
          <t>2025/06/04</t>
        </is>
      </c>
      <c r="C1564" s="13" t="inlineStr">
        <is>
          <t>North</t>
        </is>
      </c>
      <c r="D1564" s="13" t="inlineStr">
        <is>
          <t>In-Store</t>
        </is>
      </c>
      <c r="E1564" s="13" t="inlineStr">
        <is>
          <t>Kitchen</t>
        </is>
      </c>
      <c r="F1564" s="13" t="inlineStr">
        <is>
          <t>Chef Knife</t>
        </is>
      </c>
      <c r="G1564" s="13" t="inlineStr">
        <is>
          <t>Consumer</t>
        </is>
      </c>
      <c r="H1564" s="13" t="inlineStr">
        <is>
          <t>2</t>
        </is>
      </c>
      <c r="I1564" s="14" t="inlineStr">
        <is>
          <t>65.79</t>
        </is>
      </c>
      <c r="J1564" s="15" t="inlineStr">
        <is>
          <t>0.06</t>
        </is>
      </c>
      <c r="K1564" s="14" t="inlineStr">
        <is>
          <t>23.69</t>
        </is>
      </c>
      <c r="L1564" s="13" t="inlineStr">
        <is>
          <t>5</t>
        </is>
      </c>
      <c r="M1564" s="13" t="inlineStr">
        <is>
          <t>Completed</t>
        </is>
      </c>
      <c r="N1564" s="13" t="inlineStr">
        <is>
          <t>S. Nguyen</t>
        </is>
      </c>
    </row>
    <row r="1565">
      <c r="A1565" s="13" t="inlineStr">
        <is>
          <t>HC-101563</t>
        </is>
      </c>
      <c r="B1565" s="13" t="inlineStr">
        <is>
          <t>20.05.2024</t>
        </is>
      </c>
      <c r="C1565" s="13" t="inlineStr">
        <is>
          <t>North</t>
        </is>
      </c>
      <c r="D1565" s="13" t="inlineStr">
        <is>
          <t>Wholesale</t>
        </is>
      </c>
      <c r="E1565" s="13" t="inlineStr">
        <is>
          <t>Textiles</t>
        </is>
      </c>
      <c r="F1565" s="13" t="inlineStr">
        <is>
          <t>Cotton Duvet</t>
        </is>
      </c>
      <c r="G1565" s="13" t="inlineStr">
        <is>
          <t>Consumer</t>
        </is>
      </c>
      <c r="H1565" s="13" t="inlineStr">
        <is>
          <t>22</t>
        </is>
      </c>
      <c r="I1565" s="14" t="inlineStr">
        <is>
          <t>121.81</t>
        </is>
      </c>
      <c r="J1565" s="15" t="inlineStr">
        <is>
          <t>30%</t>
        </is>
      </c>
      <c r="K1565" s="14" t="inlineStr">
        <is>
          <t>53.60</t>
        </is>
      </c>
      <c r="L1565" s="13" t="inlineStr">
        <is>
          <t>7</t>
        </is>
      </c>
      <c r="M1565" s="13" t="inlineStr">
        <is>
          <t>complete</t>
        </is>
      </c>
      <c r="N1565" s="13" t="inlineStr">
        <is>
          <t>M. Okonkwo</t>
        </is>
      </c>
    </row>
    <row r="1566">
      <c r="A1566" s="13" t="inlineStr">
        <is>
          <t>HC-101564</t>
        </is>
      </c>
      <c r="B1566" s="13" t="inlineStr">
        <is>
          <t>10/12/2024</t>
        </is>
      </c>
      <c r="C1566" s="13" t="inlineStr">
        <is>
          <t>South</t>
        </is>
      </c>
      <c r="D1566" s="13" t="inlineStr">
        <is>
          <t>Online</t>
        </is>
      </c>
      <c r="E1566" s="13" t="inlineStr">
        <is>
          <t>Furniture</t>
        </is>
      </c>
      <c r="F1566" s="13" t="inlineStr">
        <is>
          <t>Walnut Shelf</t>
        </is>
      </c>
      <c r="G1566" s="13" t="inlineStr">
        <is>
          <t>Consumer</t>
        </is>
      </c>
      <c r="H1566" s="13" t="inlineStr">
        <is>
          <t>2</t>
        </is>
      </c>
      <c r="I1566" s="14" t="inlineStr">
        <is>
          <t>230.72</t>
        </is>
      </c>
      <c r="J1566" s="15" t="inlineStr">
        <is>
          <t>0.12</t>
        </is>
      </c>
      <c r="K1566" s="14" t="inlineStr">
        <is>
          <t>126.90</t>
        </is>
      </c>
      <c r="L1566" s="13" t="inlineStr">
        <is>
          <t>8</t>
        </is>
      </c>
      <c r="M1566" s="13" t="inlineStr">
        <is>
          <t>Completed</t>
        </is>
      </c>
      <c r="N1566" s="13" t="inlineStr">
        <is>
          <t>M. Okonkwo</t>
        </is>
      </c>
    </row>
    <row r="1567">
      <c r="A1567" s="13" t="inlineStr">
        <is>
          <t>HC-101565</t>
        </is>
      </c>
      <c r="B1567" s="13" t="inlineStr">
        <is>
          <t>26-Jul-24</t>
        </is>
      </c>
      <c r="C1567" s="13" t="inlineStr">
        <is>
          <t>East</t>
        </is>
      </c>
      <c r="D1567" s="13" t="inlineStr">
        <is>
          <t>Store</t>
        </is>
      </c>
      <c r="E1567" s="13" t="inlineStr">
        <is>
          <t>Textiles</t>
        </is>
      </c>
      <c r="F1567" s="13" t="inlineStr">
        <is>
          <t>Cotton Duvet</t>
        </is>
      </c>
      <c r="G1567" s="13" t="inlineStr">
        <is>
          <t>Consumer</t>
        </is>
      </c>
      <c r="H1567" s="13" t="inlineStr">
        <is>
          <t>4</t>
        </is>
      </c>
      <c r="I1567" s="14" t="inlineStr">
        <is>
          <t>112.19</t>
        </is>
      </c>
      <c r="J1567" s="15" t="inlineStr">
        <is>
          <t>0.04</t>
        </is>
      </c>
      <c r="K1567" s="14" t="inlineStr">
        <is>
          <t>49.37</t>
        </is>
      </c>
      <c r="L1567" s="13" t="inlineStr">
        <is>
          <t>7</t>
        </is>
      </c>
      <c r="M1567" s="13" t="inlineStr">
        <is>
          <t>Completed</t>
        </is>
      </c>
      <c r="N1567" s="13" t="inlineStr">
        <is>
          <t>M. Okonkwo</t>
        </is>
      </c>
    </row>
    <row r="1568">
      <c r="A1568" s="13" t="inlineStr">
        <is>
          <t>HC-101566</t>
        </is>
      </c>
      <c r="B1568" s="13" t="inlineStr">
        <is>
          <t>2025/08/18</t>
        </is>
      </c>
      <c r="C1568" s="13" t="inlineStr">
        <is>
          <t>WEST</t>
        </is>
      </c>
      <c r="D1568" s="13" t="inlineStr">
        <is>
          <t>Store</t>
        </is>
      </c>
      <c r="E1568" s="13" t="inlineStr">
        <is>
          <t>Furniture</t>
        </is>
      </c>
      <c r="F1568" s="13" t="inlineStr">
        <is>
          <t>Lounge Chair</t>
        </is>
      </c>
      <c r="G1568" s="13" t="inlineStr">
        <is>
          <t>Consumer</t>
        </is>
      </c>
      <c r="H1568" s="13" t="inlineStr">
        <is>
          <t>2</t>
        </is>
      </c>
      <c r="I1568" s="14" t="inlineStr">
        <is>
          <t>501.23</t>
        </is>
      </c>
      <c r="J1568" s="15" t="inlineStr">
        <is>
          <t>10%</t>
        </is>
      </c>
      <c r="K1568" s="14" t="inlineStr">
        <is>
          <t>300.74</t>
        </is>
      </c>
      <c r="L1568" s="13" t="inlineStr">
        <is>
          <t>5</t>
        </is>
      </c>
      <c r="M1568" s="13" t="inlineStr">
        <is>
          <t>Completed</t>
        </is>
      </c>
      <c r="N1568" s="13" t="inlineStr">
        <is>
          <t>R. Ibarra</t>
        </is>
      </c>
    </row>
    <row r="1569">
      <c r="A1569" s="13" t="inlineStr">
        <is>
          <t>HC-101567</t>
        </is>
      </c>
      <c r="B1569" s="13" t="inlineStr">
        <is>
          <t>14.11.2024</t>
        </is>
      </c>
      <c r="C1569" s="13" t="inlineStr">
        <is>
          <t>West</t>
        </is>
      </c>
      <c r="D1569" s="13" t="inlineStr">
        <is>
          <t>Online</t>
        </is>
      </c>
      <c r="E1569" s="13" t="inlineStr">
        <is>
          <t>Furniture</t>
        </is>
      </c>
      <c r="F1569" s="13" t="inlineStr">
        <is>
          <t>Lounge Chair</t>
        </is>
      </c>
      <c r="G1569" s="13" t="inlineStr">
        <is>
          <t>Consumer</t>
        </is>
      </c>
      <c r="H1569" s="13" t="inlineStr">
        <is>
          <t>3</t>
        </is>
      </c>
      <c r="I1569" s="14" t="inlineStr">
        <is>
          <t>460.82</t>
        </is>
      </c>
      <c r="J1569" s="15" t="inlineStr">
        <is>
          <t>0.10</t>
        </is>
      </c>
      <c r="K1569" s="14" t="inlineStr">
        <is>
          <t>276.49</t>
        </is>
      </c>
      <c r="L1569" s="13" t="inlineStr">
        <is>
          <t>N/A</t>
        </is>
      </c>
      <c r="M1569" s="13" t="inlineStr">
        <is>
          <t>Compleated</t>
        </is>
      </c>
      <c r="N1569" s="13" t="inlineStr">
        <is>
          <t>L. Berger</t>
        </is>
      </c>
    </row>
    <row r="1570">
      <c r="A1570" s="13" t="inlineStr">
        <is>
          <t>HC-101568</t>
        </is>
      </c>
      <c r="B1570" s="13" t="inlineStr">
        <is>
          <t>02/15/2025</t>
        </is>
      </c>
      <c r="C1570" s="13" t="inlineStr">
        <is>
          <t>North</t>
        </is>
      </c>
      <c r="D1570" s="13" t="inlineStr">
        <is>
          <t>Wholesale</t>
        </is>
      </c>
      <c r="E1570" s="13" t="inlineStr">
        <is>
          <t>Furniture</t>
        </is>
      </c>
      <c r="F1570" s="13" t="inlineStr">
        <is>
          <t>Linen Sofa</t>
        </is>
      </c>
      <c r="G1570" s="13" t="inlineStr">
        <is>
          <t>Corporate</t>
        </is>
      </c>
      <c r="H1570" s="13" t="inlineStr">
        <is>
          <t>28</t>
        </is>
      </c>
      <c r="I1570" s="14" t="inlineStr">
        <is>
          <t>1219.32</t>
        </is>
      </c>
      <c r="J1570" s="15" t="inlineStr">
        <is>
          <t>0.32</t>
        </is>
      </c>
      <c r="K1570" s="14" t="inlineStr">
        <is>
          <t>804.75</t>
        </is>
      </c>
      <c r="L1570" s="13" t="inlineStr">
        <is>
          <t>10</t>
        </is>
      </c>
      <c r="M1570" s="13" t="inlineStr">
        <is>
          <t>Completed</t>
        </is>
      </c>
      <c r="N1570" s="13" t="inlineStr">
        <is>
          <t>K. Mensah</t>
        </is>
      </c>
    </row>
    <row r="1571">
      <c r="A1571" s="13" t="inlineStr">
        <is>
          <t>HC-101569</t>
        </is>
      </c>
      <c r="B1571" s="13" t="inlineStr">
        <is>
          <t>30-Nov-24</t>
        </is>
      </c>
      <c r="C1571" s="13" t="inlineStr">
        <is>
          <t>South</t>
        </is>
      </c>
      <c r="D1571" s="13" t="inlineStr">
        <is>
          <t>Wholesale</t>
        </is>
      </c>
      <c r="E1571" s="13" t="inlineStr">
        <is>
          <t>Furniture</t>
        </is>
      </c>
      <c r="F1571" s="13" t="inlineStr">
        <is>
          <t>Lounge Chair</t>
        </is>
      </c>
      <c r="G1571" s="13" t="inlineStr">
        <is>
          <t>Home Office</t>
        </is>
      </c>
      <c r="H1571" s="13" t="inlineStr">
        <is>
          <t>25</t>
        </is>
      </c>
      <c r="I1571" s="14" t="inlineStr">
        <is>
          <t>470.89</t>
        </is>
      </c>
      <c r="J1571" s="15" t="inlineStr">
        <is>
          <t>0.22</t>
        </is>
      </c>
      <c r="K1571" s="14" t="inlineStr">
        <is>
          <t>282.53</t>
        </is>
      </c>
      <c r="L1571" s="13" t="inlineStr">
        <is>
          <t>6</t>
        </is>
      </c>
      <c r="M1571" s="13" t="inlineStr">
        <is>
          <t>Completed</t>
        </is>
      </c>
      <c r="N1571" s="13" t="inlineStr">
        <is>
          <t>R. Ibarra</t>
        </is>
      </c>
    </row>
    <row r="1572">
      <c r="A1572" s="13" t="inlineStr">
        <is>
          <t>HC-101570</t>
        </is>
      </c>
      <c r="B1572" s="13" t="inlineStr">
        <is>
          <t>2024/10/26</t>
        </is>
      </c>
      <c r="C1572" s="13" t="inlineStr">
        <is>
          <t>west</t>
        </is>
      </c>
      <c r="D1572" s="13" t="inlineStr">
        <is>
          <t>B2B</t>
        </is>
      </c>
      <c r="E1572" s="13" t="inlineStr">
        <is>
          <t>FURNITURE</t>
        </is>
      </c>
      <c r="F1572" s="13" t="inlineStr">
        <is>
          <t>Walnut Shelf</t>
        </is>
      </c>
      <c r="G1572" s="13" t="inlineStr">
        <is>
          <t>Consumer</t>
        </is>
      </c>
      <c r="H1572" s="13" t="inlineStr">
        <is>
          <t>9</t>
        </is>
      </c>
      <c r="I1572" s="14" t="inlineStr">
        <is>
          <t>229.99</t>
        </is>
      </c>
      <c r="J1572" s="15" t="inlineStr">
        <is>
          <t>0.26</t>
        </is>
      </c>
      <c r="K1572" s="14" t="inlineStr">
        <is>
          <t>126.49</t>
        </is>
      </c>
      <c r="L1572" s="13" t="inlineStr">
        <is>
          <t>8</t>
        </is>
      </c>
      <c r="M1572" s="13" t="inlineStr">
        <is>
          <t>COMPLETED</t>
        </is>
      </c>
      <c r="N1572" s="13" t="inlineStr">
        <is>
          <t>M. Okonkwo</t>
        </is>
      </c>
    </row>
    <row r="1573">
      <c r="A1573" s="13" t="inlineStr">
        <is>
          <t>HC-101571</t>
        </is>
      </c>
      <c r="B1573" s="13" t="inlineStr">
        <is>
          <t>26.07.2024</t>
        </is>
      </c>
      <c r="C1573" s="13" t="inlineStr">
        <is>
          <t>North</t>
        </is>
      </c>
      <c r="D1573" s="13" t="inlineStr">
        <is>
          <t>Store</t>
        </is>
      </c>
      <c r="E1573" s="13" t="inlineStr">
        <is>
          <t>FURNITURE</t>
        </is>
      </c>
      <c r="F1573" s="13" t="inlineStr">
        <is>
          <t>Linen Sofa</t>
        </is>
      </c>
      <c r="G1573" s="13" t="inlineStr">
        <is>
          <t>Consumer</t>
        </is>
      </c>
      <c r="H1573" s="13" t="inlineStr">
        <is>
          <t>1</t>
        </is>
      </c>
      <c r="I1573" s="14" t="inlineStr">
        <is>
          <t>1336.57</t>
        </is>
      </c>
      <c r="J1573" s="15" t="inlineStr">
        <is>
          <t>0.07</t>
        </is>
      </c>
      <c r="K1573" s="14" t="inlineStr">
        <is>
          <t>882.14</t>
        </is>
      </c>
      <c r="L1573" s="13" t="inlineStr">
        <is>
          <t>7</t>
        </is>
      </c>
      <c r="M1573" s="13" t="inlineStr">
        <is>
          <t>Completed</t>
        </is>
      </c>
      <c r="N1573" s="13" t="inlineStr">
        <is>
          <t>R. Ibarra</t>
        </is>
      </c>
    </row>
    <row r="1574">
      <c r="A1574" s="13" t="inlineStr">
        <is>
          <t>HC-101572</t>
        </is>
      </c>
      <c r="B1574" s="13" t="inlineStr">
        <is>
          <t>04/07/2025</t>
        </is>
      </c>
      <c r="C1574" s="13" t="inlineStr">
        <is>
          <t>North</t>
        </is>
      </c>
      <c r="D1574" s="13" t="inlineStr">
        <is>
          <t>Online</t>
        </is>
      </c>
      <c r="E1574" s="13" t="inlineStr">
        <is>
          <t>Textiles</t>
        </is>
      </c>
      <c r="F1574" s="13" t="inlineStr">
        <is>
          <t>Wool Throw</t>
        </is>
      </c>
      <c r="G1574" s="13" t="inlineStr">
        <is>
          <t>Consumer</t>
        </is>
      </c>
      <c r="H1574" s="13" t="inlineStr">
        <is>
          <t>1</t>
        </is>
      </c>
      <c r="I1574" s="14" t="inlineStr">
        <is>
          <t>$76.63</t>
        </is>
      </c>
      <c r="J1574" s="15" t="inlineStr">
        <is>
          <t>0.17</t>
        </is>
      </c>
      <c r="K1574" s="14" t="inlineStr">
        <is>
          <t>32.18</t>
        </is>
      </c>
      <c r="L1574" s="13" t="inlineStr">
        <is>
          <t>3</t>
        </is>
      </c>
      <c r="M1574" s="13" t="inlineStr">
        <is>
          <t>Returned</t>
        </is>
      </c>
      <c r="N1574" s="13" t="inlineStr">
        <is>
          <t>L. Berger</t>
        </is>
      </c>
    </row>
    <row r="1575">
      <c r="A1575" s="13" t="inlineStr">
        <is>
          <t>HC-101573</t>
        </is>
      </c>
      <c r="B1575" s="13" t="inlineStr">
        <is>
          <t>07-May-25</t>
        </is>
      </c>
      <c r="C1575" s="13" t="inlineStr">
        <is>
          <t>North</t>
        </is>
      </c>
      <c r="D1575" s="13" t="inlineStr">
        <is>
          <t>Online</t>
        </is>
      </c>
      <c r="E1575" s="13" t="inlineStr">
        <is>
          <t>Kitchen</t>
        </is>
      </c>
      <c r="F1575" s="13" t="inlineStr">
        <is>
          <t>Chef Knife</t>
        </is>
      </c>
      <c r="G1575" s="13" t="inlineStr">
        <is>
          <t>Consumer</t>
        </is>
      </c>
      <c r="H1575" s="13" t="inlineStr">
        <is>
          <t>1</t>
        </is>
      </c>
      <c r="I1575" s="14" t="inlineStr">
        <is>
          <t>68.28</t>
        </is>
      </c>
      <c r="J1575" s="15" t="inlineStr">
        <is>
          <t>0.16</t>
        </is>
      </c>
      <c r="K1575" s="14" t="inlineStr">
        <is>
          <t>24.58</t>
        </is>
      </c>
      <c r="L1575" s="13" t="inlineStr">
        <is>
          <t>5</t>
        </is>
      </c>
      <c r="M1575" s="13" t="inlineStr">
        <is>
          <t>Completed</t>
        </is>
      </c>
      <c r="N1575" s="13" t="inlineStr">
        <is>
          <t>J. Patel</t>
        </is>
      </c>
    </row>
    <row r="1576">
      <c r="A1576" s="13" t="inlineStr">
        <is>
          <t>HC-101574</t>
        </is>
      </c>
      <c r="B1576" s="13" t="inlineStr">
        <is>
          <t>2024/08/10</t>
        </is>
      </c>
      <c r="C1576" s="13" t="inlineStr">
        <is>
          <t>West</t>
        </is>
      </c>
      <c r="D1576" s="13" t="inlineStr">
        <is>
          <t>Store</t>
        </is>
      </c>
      <c r="E1576" s="13" t="inlineStr">
        <is>
          <t>Kitchen</t>
        </is>
      </c>
      <c r="F1576" s="13" t="inlineStr">
        <is>
          <t>Chef Knife</t>
        </is>
      </c>
      <c r="G1576" s="13" t="inlineStr">
        <is>
          <t>Consumer</t>
        </is>
      </c>
      <c r="H1576" s="13" t="inlineStr">
        <is>
          <t>3</t>
        </is>
      </c>
      <c r="I1576" s="14" t="inlineStr">
        <is>
          <t>59.53</t>
        </is>
      </c>
      <c r="J1576" s="15" t="inlineStr">
        <is>
          <t>0.01</t>
        </is>
      </c>
      <c r="K1576" s="14" t="inlineStr">
        <is>
          <t>21.43</t>
        </is>
      </c>
      <c r="L1576" s="13" t="inlineStr">
        <is>
          <t>6</t>
        </is>
      </c>
      <c r="M1576" s="13" t="inlineStr">
        <is>
          <t>complete</t>
        </is>
      </c>
      <c r="N1576" s="13" t="inlineStr">
        <is>
          <t>J. Patel</t>
        </is>
      </c>
    </row>
    <row r="1577">
      <c r="A1577" s="13" t="inlineStr">
        <is>
          <t>HC-101575</t>
        </is>
      </c>
      <c r="B1577" s="13" t="inlineStr">
        <is>
          <t>14.06.2024</t>
        </is>
      </c>
      <c r="C1577" s="13" t="inlineStr">
        <is>
          <t>EAST</t>
        </is>
      </c>
      <c r="D1577" s="13" t="inlineStr">
        <is>
          <t>retail</t>
        </is>
      </c>
      <c r="E1577" s="13" t="inlineStr">
        <is>
          <t>Lighting</t>
        </is>
      </c>
      <c r="F1577" s="13" t="inlineStr">
        <is>
          <t>Pendant Light</t>
        </is>
      </c>
      <c r="G1577" s="13" t="inlineStr">
        <is>
          <t>Consumer</t>
        </is>
      </c>
      <c r="H1577" s="13" t="inlineStr">
        <is>
          <t>1</t>
        </is>
      </c>
      <c r="I1577" s="14" t="inlineStr">
        <is>
          <t>159.76</t>
        </is>
      </c>
      <c r="J1577" s="15" t="inlineStr">
        <is>
          <t>0%</t>
        </is>
      </c>
      <c r="K1577" s="14" t="inlineStr">
        <is>
          <t>79.88</t>
        </is>
      </c>
      <c r="L1577" s="13" t="inlineStr">
        <is>
          <t>9</t>
        </is>
      </c>
      <c r="M1577" s="13" t="inlineStr">
        <is>
          <t>Completed</t>
        </is>
      </c>
      <c r="N1577" s="13" t="inlineStr">
        <is>
          <t>K. Mensah</t>
        </is>
      </c>
    </row>
    <row r="1578">
      <c r="A1578" s="13" t="inlineStr">
        <is>
          <t>HC-101576</t>
        </is>
      </c>
      <c r="B1578" s="13" t="inlineStr">
        <is>
          <t>12/20/2024</t>
        </is>
      </c>
      <c r="C1578" s="13" t="inlineStr">
        <is>
          <t>West</t>
        </is>
      </c>
      <c r="D1578" s="13" t="inlineStr">
        <is>
          <t>Store</t>
        </is>
      </c>
      <c r="E1578" s="13" t="inlineStr">
        <is>
          <t>Textiles</t>
        </is>
      </c>
      <c r="F1578" s="13" t="inlineStr">
        <is>
          <t>Linen Curtain</t>
        </is>
      </c>
      <c r="G1578" s="13" t="inlineStr">
        <is>
          <t>Consumer</t>
        </is>
      </c>
      <c r="H1578" s="13" t="inlineStr">
        <is>
          <t>3</t>
        </is>
      </c>
      <c r="I1578" s="14" t="inlineStr">
        <is>
          <t>89.70</t>
        </is>
      </c>
      <c r="J1578" s="15" t="inlineStr">
        <is>
          <t>0.07</t>
        </is>
      </c>
      <c r="K1578" s="14" t="inlineStr">
        <is>
          <t>40.37</t>
        </is>
      </c>
      <c r="L1578" s="13" t="inlineStr">
        <is>
          <t>6</t>
        </is>
      </c>
      <c r="M1578" s="13" t="inlineStr">
        <is>
          <t>Completed</t>
        </is>
      </c>
      <c r="N1578" s="13" t="inlineStr">
        <is>
          <t>R. Ibarra</t>
        </is>
      </c>
    </row>
    <row r="1579">
      <c r="A1579" s="13" t="inlineStr">
        <is>
          <t>HC-101577</t>
        </is>
      </c>
      <c r="B1579" s="13" t="inlineStr">
        <is>
          <t>06-May-24</t>
        </is>
      </c>
      <c r="C1579" s="13" t="inlineStr">
        <is>
          <t>North</t>
        </is>
      </c>
      <c r="D1579" s="13" t="inlineStr">
        <is>
          <t>Store</t>
        </is>
      </c>
      <c r="E1579" s="13" t="inlineStr">
        <is>
          <t>Furniture</t>
        </is>
      </c>
      <c r="F1579" s="13" t="inlineStr">
        <is>
          <t>Walnut Shelf</t>
        </is>
      </c>
      <c r="G1579" s="13" t="inlineStr">
        <is>
          <t>Corporate</t>
        </is>
      </c>
      <c r="H1579" s="13" t="inlineStr">
        <is>
          <t>3</t>
        </is>
      </c>
      <c r="I1579" s="14" t="inlineStr">
        <is>
          <t>207.90</t>
        </is>
      </c>
      <c r="J1579" s="15" t="inlineStr">
        <is>
          <t>0.05</t>
        </is>
      </c>
      <c r="K1579" s="14" t="inlineStr">
        <is>
          <t>114.34</t>
        </is>
      </c>
      <c r="L1579" s="13" t="inlineStr">
        <is>
          <t>3</t>
        </is>
      </c>
      <c r="M1579" s="13" t="inlineStr">
        <is>
          <t>Completed</t>
        </is>
      </c>
      <c r="N1579" s="13" t="inlineStr">
        <is>
          <t>P. Rossi</t>
        </is>
      </c>
    </row>
    <row r="1580">
      <c r="A1580" s="13" t="inlineStr">
        <is>
          <t>HC-101578</t>
        </is>
      </c>
      <c r="B1580" s="13" t="inlineStr">
        <is>
          <t>2025/03/03</t>
        </is>
      </c>
      <c r="C1580" s="13" t="inlineStr">
        <is>
          <t>north</t>
        </is>
      </c>
      <c r="D1580" s="13" t="inlineStr">
        <is>
          <t>Store</t>
        </is>
      </c>
      <c r="E1580" s="13" t="inlineStr">
        <is>
          <t>Furniture</t>
        </is>
      </c>
      <c r="F1580" s="13" t="inlineStr">
        <is>
          <t>Lounge Chair</t>
        </is>
      </c>
      <c r="G1580" s="13" t="inlineStr">
        <is>
          <t>Corporate</t>
        </is>
      </c>
      <c r="H1580" s="13" t="inlineStr">
        <is>
          <t>2</t>
        </is>
      </c>
      <c r="I1580" s="14" t="inlineStr">
        <is>
          <t>492.85</t>
        </is>
      </c>
      <c r="J1580" s="15" t="inlineStr">
        <is>
          <t>0.06</t>
        </is>
      </c>
      <c r="K1580" s="14" t="inlineStr">
        <is>
          <t>295.71</t>
        </is>
      </c>
      <c r="L1580" s="13" t="inlineStr">
        <is>
          <t>7</t>
        </is>
      </c>
      <c r="M1580" s="13" t="inlineStr">
        <is>
          <t>Completed</t>
        </is>
      </c>
      <c r="N1580" s="13" t="inlineStr">
        <is>
          <t>R. Ibarra</t>
        </is>
      </c>
    </row>
    <row r="1581">
      <c r="A1581" s="13" t="inlineStr">
        <is>
          <t>HC-101579</t>
        </is>
      </c>
      <c r="B1581" s="13" t="inlineStr">
        <is>
          <t>21.12.2024</t>
        </is>
      </c>
      <c r="C1581" s="13" t="inlineStr">
        <is>
          <t xml:space="preserve"> west </t>
        </is>
      </c>
      <c r="D1581" s="13" t="inlineStr">
        <is>
          <t>Store</t>
        </is>
      </c>
      <c r="E1581" s="13" t="inlineStr">
        <is>
          <t>Furniture</t>
        </is>
      </c>
      <c r="F1581" s="13" t="inlineStr">
        <is>
          <t>Oak Desk</t>
        </is>
      </c>
      <c r="G1581" s="13" t="inlineStr">
        <is>
          <t>Consumer</t>
        </is>
      </c>
      <c r="H1581" s="13" t="inlineStr">
        <is>
          <t>3</t>
        </is>
      </c>
      <c r="I1581" s="14" t="inlineStr">
        <is>
          <t>899.56</t>
        </is>
      </c>
      <c r="J1581" s="15" t="inlineStr">
        <is>
          <t>0.05</t>
        </is>
      </c>
      <c r="K1581" s="14" t="inlineStr">
        <is>
          <t>557.72</t>
        </is>
      </c>
      <c r="L1581" s="13" t="inlineStr">
        <is>
          <t>7</t>
        </is>
      </c>
      <c r="M1581" s="13" t="inlineStr">
        <is>
          <t>Completed</t>
        </is>
      </c>
      <c r="N1581" s="13" t="inlineStr">
        <is>
          <t>R. Ibarra</t>
        </is>
      </c>
    </row>
    <row r="1582">
      <c r="A1582" s="13" t="inlineStr">
        <is>
          <t>HC-101580</t>
        </is>
      </c>
      <c r="B1582" s="13" t="inlineStr">
        <is>
          <t>03/23/2024</t>
        </is>
      </c>
      <c r="C1582" s="13" t="inlineStr">
        <is>
          <t>West</t>
        </is>
      </c>
      <c r="D1582" s="13" t="inlineStr">
        <is>
          <t>Online</t>
        </is>
      </c>
      <c r="E1582" s="13" t="inlineStr">
        <is>
          <t>Kitchen</t>
        </is>
      </c>
      <c r="F1582" s="13" t="inlineStr">
        <is>
          <t>Chef Knife</t>
        </is>
      </c>
      <c r="G1582" s="13" t="inlineStr"/>
      <c r="H1582" s="13" t="inlineStr">
        <is>
          <t>3</t>
        </is>
      </c>
      <c r="I1582" s="14" t="inlineStr">
        <is>
          <t>66.76</t>
        </is>
      </c>
      <c r="J1582" s="15" t="inlineStr">
        <is>
          <t>0.09</t>
        </is>
      </c>
      <c r="K1582" s="14" t="inlineStr">
        <is>
          <t>24.03</t>
        </is>
      </c>
      <c r="L1582" s="13" t="inlineStr">
        <is>
          <t>6</t>
        </is>
      </c>
      <c r="M1582" s="13" t="inlineStr">
        <is>
          <t>Compleated</t>
        </is>
      </c>
      <c r="N1582" s="13" t="inlineStr">
        <is>
          <t>J. Patel</t>
        </is>
      </c>
    </row>
    <row r="1583">
      <c r="A1583" s="13" t="inlineStr">
        <is>
          <t>HC-101581</t>
        </is>
      </c>
      <c r="B1583" s="13" t="inlineStr">
        <is>
          <t>11-Dec-24</t>
        </is>
      </c>
      <c r="C1583" s="13" t="inlineStr">
        <is>
          <t>West</t>
        </is>
      </c>
      <c r="D1583" s="13" t="inlineStr">
        <is>
          <t>retail</t>
        </is>
      </c>
      <c r="E1583" s="13" t="inlineStr">
        <is>
          <t>Lighting</t>
        </is>
      </c>
      <c r="F1583" s="13" t="inlineStr">
        <is>
          <t>Pendant Light</t>
        </is>
      </c>
      <c r="G1583" s="13" t="inlineStr">
        <is>
          <t>Consumer</t>
        </is>
      </c>
      <c r="H1583" s="13" t="inlineStr">
        <is>
          <t>5</t>
        </is>
      </c>
      <c r="I1583" s="14" t="inlineStr">
        <is>
          <t>183.04</t>
        </is>
      </c>
      <c r="J1583" s="15" t="inlineStr">
        <is>
          <t>1%</t>
        </is>
      </c>
      <c r="K1583" s="14" t="inlineStr">
        <is>
          <t>91.52</t>
        </is>
      </c>
      <c r="L1583" s="13" t="inlineStr">
        <is>
          <t>3</t>
        </is>
      </c>
      <c r="M1583" s="13" t="inlineStr">
        <is>
          <t>Completed</t>
        </is>
      </c>
      <c r="N1583" s="13" t="inlineStr">
        <is>
          <t>L. Berger</t>
        </is>
      </c>
    </row>
    <row r="1584">
      <c r="A1584" s="13" t="inlineStr">
        <is>
          <t>HC-101582</t>
        </is>
      </c>
      <c r="B1584" s="13" t="inlineStr">
        <is>
          <t>2025/05/28</t>
        </is>
      </c>
      <c r="C1584" s="13" t="inlineStr">
        <is>
          <t>West</t>
        </is>
      </c>
      <c r="D1584" s="13" t="inlineStr">
        <is>
          <t>Store</t>
        </is>
      </c>
      <c r="E1584" s="13" t="inlineStr">
        <is>
          <t>Textiles</t>
        </is>
      </c>
      <c r="F1584" s="13" t="inlineStr">
        <is>
          <t>Wool Throw</t>
        </is>
      </c>
      <c r="G1584" s="13" t="inlineStr"/>
      <c r="H1584" s="13" t="inlineStr">
        <is>
          <t>2</t>
        </is>
      </c>
      <c r="I1584" s="14" t="inlineStr">
        <is>
          <t>80.28</t>
        </is>
      </c>
      <c r="J1584" s="15" t="inlineStr">
        <is>
          <t>0.09</t>
        </is>
      </c>
      <c r="K1584" s="14" t="inlineStr">
        <is>
          <t>33.72</t>
        </is>
      </c>
      <c r="L1584" s="13" t="inlineStr">
        <is>
          <t>4</t>
        </is>
      </c>
      <c r="M1584" s="13" t="inlineStr">
        <is>
          <t>Completed</t>
        </is>
      </c>
      <c r="N1584" s="13" t="inlineStr">
        <is>
          <t>R. Ibarra</t>
        </is>
      </c>
    </row>
    <row r="1585">
      <c r="A1585" s="13" t="inlineStr">
        <is>
          <t>HC-101583</t>
        </is>
      </c>
      <c r="B1585" s="13" t="inlineStr">
        <is>
          <t>16.04.2025</t>
        </is>
      </c>
      <c r="C1585" s="13" t="inlineStr">
        <is>
          <t>North</t>
        </is>
      </c>
      <c r="D1585" s="13" t="inlineStr">
        <is>
          <t>Store</t>
        </is>
      </c>
      <c r="E1585" s="13" t="inlineStr">
        <is>
          <t>Textiles</t>
        </is>
      </c>
      <c r="F1585" s="13" t="inlineStr">
        <is>
          <t>Wool Throw</t>
        </is>
      </c>
      <c r="G1585" s="13" t="inlineStr">
        <is>
          <t>Consumer</t>
        </is>
      </c>
      <c r="H1585" s="13" t="inlineStr">
        <is>
          <t>2</t>
        </is>
      </c>
      <c r="I1585" s="14" t="inlineStr">
        <is>
          <t>77.74</t>
        </is>
      </c>
      <c r="J1585" s="15" t="inlineStr">
        <is>
          <t>0.01</t>
        </is>
      </c>
      <c r="K1585" s="14" t="inlineStr">
        <is>
          <t>32.65</t>
        </is>
      </c>
      <c r="L1585" s="13" t="inlineStr">
        <is>
          <t>2</t>
        </is>
      </c>
      <c r="M1585" s="13" t="inlineStr">
        <is>
          <t>Completed</t>
        </is>
      </c>
      <c r="N1585" s="13" t="inlineStr">
        <is>
          <t>R. Ibarra</t>
        </is>
      </c>
    </row>
    <row r="1586">
      <c r="A1586" s="13" t="inlineStr">
        <is>
          <t>HC-101584</t>
        </is>
      </c>
      <c r="B1586" s="13" t="inlineStr">
        <is>
          <t>01/12/2024</t>
        </is>
      </c>
      <c r="C1586" s="13" t="inlineStr">
        <is>
          <t>South</t>
        </is>
      </c>
      <c r="D1586" s="13" t="inlineStr">
        <is>
          <t>Store</t>
        </is>
      </c>
      <c r="E1586" s="13" t="inlineStr">
        <is>
          <t>Furniture</t>
        </is>
      </c>
      <c r="F1586" s="13" t="inlineStr">
        <is>
          <t>Oak Desk</t>
        </is>
      </c>
      <c r="G1586" s="13" t="inlineStr">
        <is>
          <t>Corporate</t>
        </is>
      </c>
      <c r="H1586" s="13" t="inlineStr">
        <is>
          <t>2</t>
        </is>
      </c>
      <c r="I1586" s="14" t="inlineStr">
        <is>
          <t>$880.10</t>
        </is>
      </c>
      <c r="J1586" s="15" t="inlineStr">
        <is>
          <t>0.06</t>
        </is>
      </c>
      <c r="K1586" s="14" t="inlineStr">
        <is>
          <t>545.66</t>
        </is>
      </c>
      <c r="L1586" s="13" t="inlineStr">
        <is>
          <t>7</t>
        </is>
      </c>
      <c r="M1586" s="13" t="inlineStr">
        <is>
          <t>Completed</t>
        </is>
      </c>
      <c r="N1586" s="13" t="inlineStr">
        <is>
          <t>K. Mensah</t>
        </is>
      </c>
    </row>
    <row r="1587">
      <c r="A1587" s="13" t="inlineStr">
        <is>
          <t>HC-101585</t>
        </is>
      </c>
      <c r="B1587" s="13" t="inlineStr">
        <is>
          <t>13-Apr-24</t>
        </is>
      </c>
      <c r="C1587" s="13" t="inlineStr">
        <is>
          <t>East</t>
        </is>
      </c>
      <c r="D1587" s="13" t="inlineStr">
        <is>
          <t>Store</t>
        </is>
      </c>
      <c r="E1587" s="13" t="inlineStr">
        <is>
          <t>Kitchen</t>
        </is>
      </c>
      <c r="F1587" s="13" t="inlineStr">
        <is>
          <t>Cast Skillet</t>
        </is>
      </c>
      <c r="G1587" s="13" t="inlineStr">
        <is>
          <t>consumer</t>
        </is>
      </c>
      <c r="H1587" s="13" t="inlineStr">
        <is>
          <t>2</t>
        </is>
      </c>
      <c r="I1587" s="14" t="inlineStr">
        <is>
          <t>$46.37</t>
        </is>
      </c>
      <c r="J1587" s="15" t="inlineStr">
        <is>
          <t>0.07</t>
        </is>
      </c>
      <c r="K1587" s="14" t="inlineStr">
        <is>
          <t>18.55</t>
        </is>
      </c>
      <c r="L1587" s="13" t="inlineStr">
        <is>
          <t>9</t>
        </is>
      </c>
      <c r="M1587" s="13" t="inlineStr">
        <is>
          <t>Completed</t>
        </is>
      </c>
      <c r="N1587" s="13" t="inlineStr">
        <is>
          <t>M. Okonkwo</t>
        </is>
      </c>
    </row>
    <row r="1588">
      <c r="A1588" s="13" t="inlineStr">
        <is>
          <t>HC-101586</t>
        </is>
      </c>
      <c r="B1588" s="13" t="inlineStr">
        <is>
          <t>2025/06/21</t>
        </is>
      </c>
      <c r="C1588" s="13" t="inlineStr">
        <is>
          <t>East</t>
        </is>
      </c>
      <c r="D1588" s="13" t="inlineStr">
        <is>
          <t>Wholesale</t>
        </is>
      </c>
      <c r="E1588" s="13" t="inlineStr">
        <is>
          <t>Furniture</t>
        </is>
      </c>
      <c r="F1588" s="13" t="inlineStr">
        <is>
          <t>Lounge Chair</t>
        </is>
      </c>
      <c r="G1588" s="13" t="inlineStr">
        <is>
          <t>Corporate</t>
        </is>
      </c>
      <c r="H1588" s="13" t="inlineStr">
        <is>
          <t>23</t>
        </is>
      </c>
      <c r="I1588" s="14" t="inlineStr">
        <is>
          <t>398.69</t>
        </is>
      </c>
      <c r="J1588" s="15" t="inlineStr">
        <is>
          <t>0.16</t>
        </is>
      </c>
      <c r="K1588" s="14" t="inlineStr">
        <is>
          <t>239.21</t>
        </is>
      </c>
      <c r="L1588" s="13" t="inlineStr">
        <is>
          <t>11</t>
        </is>
      </c>
      <c r="M1588" s="13" t="inlineStr">
        <is>
          <t>Completed</t>
        </is>
      </c>
      <c r="N1588" s="13" t="inlineStr">
        <is>
          <t>L. Berger</t>
        </is>
      </c>
    </row>
    <row r="1589">
      <c r="A1589" s="13" t="inlineStr">
        <is>
          <t>HC-101587</t>
        </is>
      </c>
      <c r="B1589" s="13" t="inlineStr">
        <is>
          <t>15.04.2025</t>
        </is>
      </c>
      <c r="C1589" s="13" t="inlineStr">
        <is>
          <t>West</t>
        </is>
      </c>
      <c r="D1589" s="13" t="inlineStr">
        <is>
          <t>Store</t>
        </is>
      </c>
      <c r="E1589" s="13" t="inlineStr">
        <is>
          <t>Kitchen</t>
        </is>
      </c>
      <c r="F1589" s="13" t="inlineStr">
        <is>
          <t>Ceramic Set</t>
        </is>
      </c>
      <c r="G1589" s="13" t="inlineStr">
        <is>
          <t>Consumer</t>
        </is>
      </c>
      <c r="H1589" s="13" t="inlineStr">
        <is>
          <t>3</t>
        </is>
      </c>
      <c r="I1589" s="14" t="inlineStr">
        <is>
          <t>84.50</t>
        </is>
      </c>
      <c r="J1589" s="15" t="inlineStr">
        <is>
          <t>0.00</t>
        </is>
      </c>
      <c r="K1589" s="14" t="inlineStr">
        <is>
          <t>32.11</t>
        </is>
      </c>
      <c r="L1589" s="13" t="inlineStr">
        <is>
          <t>2</t>
        </is>
      </c>
      <c r="M1589" s="13" t="inlineStr">
        <is>
          <t>Completed</t>
        </is>
      </c>
      <c r="N1589" s="13" t="inlineStr">
        <is>
          <t>L. Berger</t>
        </is>
      </c>
    </row>
    <row r="1590">
      <c r="A1590" s="13" t="inlineStr">
        <is>
          <t>HC-101588</t>
        </is>
      </c>
      <c r="B1590" s="13" t="inlineStr">
        <is>
          <t>09/10/2024</t>
        </is>
      </c>
      <c r="C1590" s="13" t="inlineStr">
        <is>
          <t>North</t>
        </is>
      </c>
      <c r="D1590" s="13" t="inlineStr">
        <is>
          <t>Online</t>
        </is>
      </c>
      <c r="E1590" s="13" t="inlineStr">
        <is>
          <t>FURNITURE</t>
        </is>
      </c>
      <c r="F1590" s="13" t="inlineStr">
        <is>
          <t>Lounge Chair</t>
        </is>
      </c>
      <c r="G1590" s="13" t="inlineStr">
        <is>
          <t>Corporate</t>
        </is>
      </c>
      <c r="H1590" s="13" t="inlineStr">
        <is>
          <t>2</t>
        </is>
      </c>
      <c r="I1590" s="14" t="inlineStr">
        <is>
          <t>507.93</t>
        </is>
      </c>
      <c r="J1590" s="15" t="inlineStr">
        <is>
          <t>0.07</t>
        </is>
      </c>
      <c r="K1590" s="14" t="inlineStr">
        <is>
          <t>304.76</t>
        </is>
      </c>
      <c r="L1590" s="13" t="inlineStr">
        <is>
          <t>N/A</t>
        </is>
      </c>
      <c r="M1590" s="13" t="inlineStr">
        <is>
          <t>Completed</t>
        </is>
      </c>
      <c r="N1590" s="13" t="inlineStr">
        <is>
          <t>K. Mensah</t>
        </is>
      </c>
    </row>
    <row r="1591">
      <c r="A1591" s="13" t="inlineStr">
        <is>
          <t>HC-101589</t>
        </is>
      </c>
      <c r="B1591" s="13" t="inlineStr">
        <is>
          <t>17-Jul-24</t>
        </is>
      </c>
      <c r="C1591" s="13" t="inlineStr">
        <is>
          <t>South</t>
        </is>
      </c>
      <c r="D1591" s="13" t="inlineStr">
        <is>
          <t>Online</t>
        </is>
      </c>
      <c r="E1591" s="13" t="inlineStr">
        <is>
          <t>Kitchen</t>
        </is>
      </c>
      <c r="F1591" s="13" t="inlineStr">
        <is>
          <t>Cast Skillet</t>
        </is>
      </c>
      <c r="G1591" s="13" t="inlineStr">
        <is>
          <t>Corporate</t>
        </is>
      </c>
      <c r="H1591" s="13" t="inlineStr">
        <is>
          <t>1</t>
        </is>
      </c>
      <c r="I1591" s="14" t="inlineStr">
        <is>
          <t>57.04</t>
        </is>
      </c>
      <c r="J1591" s="15" t="inlineStr">
        <is>
          <t>0.11</t>
        </is>
      </c>
      <c r="K1591" s="14" t="inlineStr">
        <is>
          <t>22.82</t>
        </is>
      </c>
      <c r="L1591" s="13" t="inlineStr">
        <is>
          <t>4</t>
        </is>
      </c>
      <c r="M1591" s="13" t="inlineStr">
        <is>
          <t>Completed</t>
        </is>
      </c>
      <c r="N1591" s="13" t="inlineStr">
        <is>
          <t>L. Berger</t>
        </is>
      </c>
    </row>
    <row r="1592">
      <c r="A1592" s="13" t="inlineStr">
        <is>
          <t>HC-101590</t>
        </is>
      </c>
      <c r="B1592" s="13" t="inlineStr">
        <is>
          <t>2025/03/17</t>
        </is>
      </c>
      <c r="C1592" s="13" t="inlineStr">
        <is>
          <t>West</t>
        </is>
      </c>
      <c r="D1592" s="13" t="inlineStr">
        <is>
          <t>Store</t>
        </is>
      </c>
      <c r="E1592" s="13" t="inlineStr">
        <is>
          <t>Textiles</t>
        </is>
      </c>
      <c r="F1592" s="13" t="inlineStr">
        <is>
          <t>Linen Curtain</t>
        </is>
      </c>
      <c r="G1592" s="13" t="inlineStr">
        <is>
          <t>Consumer</t>
        </is>
      </c>
      <c r="H1592" s="13" t="inlineStr">
        <is>
          <t>2</t>
        </is>
      </c>
      <c r="I1592" s="14" t="inlineStr">
        <is>
          <t>95.21</t>
        </is>
      </c>
      <c r="J1592" s="15" t="inlineStr">
        <is>
          <t>0.01</t>
        </is>
      </c>
      <c r="K1592" s="14" t="inlineStr">
        <is>
          <t>42.84</t>
        </is>
      </c>
      <c r="L1592" s="13" t="inlineStr">
        <is>
          <t>8</t>
        </is>
      </c>
      <c r="M1592" s="13" t="inlineStr">
        <is>
          <t>Cancelled</t>
        </is>
      </c>
      <c r="N1592" s="13" t="inlineStr">
        <is>
          <t>M. Okonkwo</t>
        </is>
      </c>
    </row>
    <row r="1593">
      <c r="A1593" s="13" t="inlineStr">
        <is>
          <t>HC-101591</t>
        </is>
      </c>
      <c r="B1593" s="13" t="inlineStr">
        <is>
          <t>07.08.2024</t>
        </is>
      </c>
      <c r="C1593" s="13" t="inlineStr">
        <is>
          <t>East</t>
        </is>
      </c>
      <c r="D1593" s="13" t="inlineStr">
        <is>
          <t>Store</t>
        </is>
      </c>
      <c r="E1593" s="13" t="inlineStr">
        <is>
          <t>Lighting</t>
        </is>
      </c>
      <c r="F1593" s="13" t="inlineStr">
        <is>
          <t>Pendant Light</t>
        </is>
      </c>
      <c r="G1593" s="13" t="inlineStr"/>
      <c r="H1593" s="13" t="inlineStr">
        <is>
          <t>2</t>
        </is>
      </c>
      <c r="I1593" s="14" t="inlineStr">
        <is>
          <t>163.83</t>
        </is>
      </c>
      <c r="J1593" s="15" t="inlineStr">
        <is>
          <t>0.03</t>
        </is>
      </c>
      <c r="K1593" s="14" t="inlineStr">
        <is>
          <t>81.91</t>
        </is>
      </c>
      <c r="L1593" s="13" t="inlineStr">
        <is>
          <t>6</t>
        </is>
      </c>
      <c r="M1593" s="13" t="inlineStr">
        <is>
          <t>Cancelled</t>
        </is>
      </c>
      <c r="N1593" s="13" t="inlineStr">
        <is>
          <t>P. Rossi</t>
        </is>
      </c>
    </row>
    <row r="1594">
      <c r="A1594" s="13" t="inlineStr">
        <is>
          <t>HC-101592</t>
        </is>
      </c>
      <c r="B1594" s="13" t="inlineStr">
        <is>
          <t>05/10/2024</t>
        </is>
      </c>
      <c r="C1594" s="13" t="inlineStr">
        <is>
          <t>South</t>
        </is>
      </c>
      <c r="D1594" s="13" t="inlineStr">
        <is>
          <t>Online</t>
        </is>
      </c>
      <c r="E1594" s="13" t="inlineStr">
        <is>
          <t>Furniture</t>
        </is>
      </c>
      <c r="F1594" s="13" t="inlineStr">
        <is>
          <t>Oak Desk</t>
        </is>
      </c>
      <c r="G1594" s="13" t="inlineStr">
        <is>
          <t>Home Office</t>
        </is>
      </c>
      <c r="H1594" s="13" t="inlineStr">
        <is>
          <t>1</t>
        </is>
      </c>
      <c r="I1594" s="14" t="inlineStr">
        <is>
          <t>867.86</t>
        </is>
      </c>
      <c r="J1594" s="15" t="inlineStr">
        <is>
          <t>0.07</t>
        </is>
      </c>
      <c r="K1594" s="14" t="inlineStr">
        <is>
          <t>538.07</t>
        </is>
      </c>
      <c r="L1594" s="13" t="inlineStr">
        <is>
          <t>5</t>
        </is>
      </c>
      <c r="M1594" s="13" t="inlineStr">
        <is>
          <t>Cancelled</t>
        </is>
      </c>
      <c r="N1594" s="13" t="inlineStr">
        <is>
          <t>A. Shah</t>
        </is>
      </c>
    </row>
    <row r="1595">
      <c r="A1595" s="13" t="inlineStr">
        <is>
          <t>HC-101593</t>
        </is>
      </c>
      <c r="B1595" s="13" t="inlineStr">
        <is>
          <t>05-Nov-24</t>
        </is>
      </c>
      <c r="C1595" s="13" t="inlineStr">
        <is>
          <t>east</t>
        </is>
      </c>
      <c r="D1595" s="13" t="inlineStr">
        <is>
          <t>Online</t>
        </is>
      </c>
      <c r="E1595" s="13" t="inlineStr">
        <is>
          <t>Furniture</t>
        </is>
      </c>
      <c r="F1595" s="13" t="inlineStr">
        <is>
          <t>Walnut Shelf</t>
        </is>
      </c>
      <c r="G1595" s="13" t="inlineStr">
        <is>
          <t>consumer</t>
        </is>
      </c>
      <c r="H1595" s="13" t="inlineStr">
        <is>
          <t>2</t>
        </is>
      </c>
      <c r="I1595" s="14" t="inlineStr">
        <is>
          <t>189.96</t>
        </is>
      </c>
      <c r="J1595" s="15" t="inlineStr">
        <is>
          <t>0.07</t>
        </is>
      </c>
      <c r="K1595" s="14" t="inlineStr">
        <is>
          <t>104.48</t>
        </is>
      </c>
      <c r="L1595" s="13" t="inlineStr">
        <is>
          <t>11</t>
        </is>
      </c>
      <c r="M1595" s="13" t="inlineStr">
        <is>
          <t>Compleated</t>
        </is>
      </c>
      <c r="N1595" s="13" t="inlineStr">
        <is>
          <t>J. Patel</t>
        </is>
      </c>
    </row>
    <row r="1596">
      <c r="A1596" s="13" t="inlineStr">
        <is>
          <t>HC-101594</t>
        </is>
      </c>
      <c r="B1596" s="13" t="inlineStr">
        <is>
          <t>2024/04/30</t>
        </is>
      </c>
      <c r="C1596" s="13" t="inlineStr">
        <is>
          <t>North</t>
        </is>
      </c>
      <c r="D1596" s="13" t="inlineStr">
        <is>
          <t>Wholesale</t>
        </is>
      </c>
      <c r="E1596" s="13" t="inlineStr">
        <is>
          <t>Lighting</t>
        </is>
      </c>
      <c r="F1596" s="13" t="inlineStr">
        <is>
          <t>Brass Sconce</t>
        </is>
      </c>
      <c r="G1596" s="13" t="inlineStr"/>
      <c r="H1596" s="13" t="inlineStr">
        <is>
          <t>12</t>
        </is>
      </c>
      <c r="I1596" s="14" t="inlineStr">
        <is>
          <t>145.02</t>
        </is>
      </c>
      <c r="J1596" s="15" t="inlineStr">
        <is>
          <t>0.16</t>
        </is>
      </c>
      <c r="K1596" s="14" t="inlineStr">
        <is>
          <t>66.71</t>
        </is>
      </c>
      <c r="L1596" s="13" t="inlineStr">
        <is>
          <t>4</t>
        </is>
      </c>
      <c r="M1596" s="13" t="inlineStr">
        <is>
          <t>Completed</t>
        </is>
      </c>
      <c r="N1596" s="13" t="inlineStr">
        <is>
          <t>R. Ibarra</t>
        </is>
      </c>
    </row>
    <row r="1597">
      <c r="A1597" s="13" t="inlineStr">
        <is>
          <t>HC-101595</t>
        </is>
      </c>
      <c r="B1597" s="13" t="inlineStr">
        <is>
          <t>09.04.2025</t>
        </is>
      </c>
      <c r="C1597" s="13" t="inlineStr">
        <is>
          <t>North</t>
        </is>
      </c>
      <c r="D1597" s="13" t="inlineStr">
        <is>
          <t>Online</t>
        </is>
      </c>
      <c r="E1597" s="13" t="inlineStr">
        <is>
          <t>Furniture</t>
        </is>
      </c>
      <c r="F1597" s="13" t="inlineStr">
        <is>
          <t>Linen Sofa</t>
        </is>
      </c>
      <c r="G1597" s="13" t="inlineStr">
        <is>
          <t>Consumer</t>
        </is>
      </c>
      <c r="H1597" s="13" t="inlineStr">
        <is>
          <t>2</t>
        </is>
      </c>
      <c r="I1597" s="14" t="inlineStr">
        <is>
          <t>1300.20</t>
        </is>
      </c>
      <c r="J1597" s="15" t="inlineStr">
        <is>
          <t>0.08</t>
        </is>
      </c>
      <c r="K1597" s="14" t="inlineStr">
        <is>
          <t>858.13</t>
        </is>
      </c>
      <c r="L1597" s="13" t="inlineStr">
        <is>
          <t>5</t>
        </is>
      </c>
      <c r="M1597" s="13" t="inlineStr">
        <is>
          <t>Completed</t>
        </is>
      </c>
      <c r="N1597" s="13" t="inlineStr">
        <is>
          <t>A. Shah</t>
        </is>
      </c>
    </row>
    <row r="1598">
      <c r="A1598" s="13" t="inlineStr">
        <is>
          <t>HC-101596</t>
        </is>
      </c>
      <c r="B1598" s="13" t="inlineStr">
        <is>
          <t>01/04/2024</t>
        </is>
      </c>
      <c r="C1598" s="13" t="inlineStr">
        <is>
          <t>south</t>
        </is>
      </c>
      <c r="D1598" s="13" t="inlineStr">
        <is>
          <t>Online</t>
        </is>
      </c>
      <c r="E1598" s="13" t="inlineStr">
        <is>
          <t>Kitchen</t>
        </is>
      </c>
      <c r="F1598" s="13" t="inlineStr">
        <is>
          <t>Ceramic Set</t>
        </is>
      </c>
      <c r="G1598" s="13" t="inlineStr"/>
      <c r="H1598" s="13" t="inlineStr">
        <is>
          <t>2</t>
        </is>
      </c>
      <c r="I1598" s="14" t="inlineStr">
        <is>
          <t>79.56</t>
        </is>
      </c>
      <c r="J1598" s="15" t="inlineStr">
        <is>
          <t>0.13</t>
        </is>
      </c>
      <c r="K1598" s="14" t="inlineStr">
        <is>
          <t>30.23</t>
        </is>
      </c>
      <c r="L1598" s="13" t="inlineStr">
        <is>
          <t>7</t>
        </is>
      </c>
      <c r="M1598" s="13" t="inlineStr">
        <is>
          <t>Returned</t>
        </is>
      </c>
      <c r="N1598" s="13" t="inlineStr">
        <is>
          <t>P. Rossi</t>
        </is>
      </c>
    </row>
    <row r="1599">
      <c r="A1599" s="13" t="inlineStr">
        <is>
          <t>HC-101597</t>
        </is>
      </c>
      <c r="B1599" s="13" t="inlineStr">
        <is>
          <t>08-May-24</t>
        </is>
      </c>
      <c r="C1599" s="13" t="inlineStr">
        <is>
          <t>East</t>
        </is>
      </c>
      <c r="D1599" s="13" t="inlineStr">
        <is>
          <t>Wholesale</t>
        </is>
      </c>
      <c r="E1599" s="13" t="inlineStr">
        <is>
          <t>Lighting</t>
        </is>
      </c>
      <c r="F1599" s="13" t="inlineStr">
        <is>
          <t>Pendant Light</t>
        </is>
      </c>
      <c r="G1599" s="13" t="inlineStr">
        <is>
          <t>Consumer</t>
        </is>
      </c>
      <c r="H1599" s="13" t="inlineStr">
        <is>
          <t>18</t>
        </is>
      </c>
      <c r="I1599" s="14" t="inlineStr">
        <is>
          <t>167.37</t>
        </is>
      </c>
      <c r="J1599" s="15" t="inlineStr">
        <is>
          <t>0.22</t>
        </is>
      </c>
      <c r="K1599" s="14" t="inlineStr">
        <is>
          <t>83.68</t>
        </is>
      </c>
      <c r="L1599" s="13" t="inlineStr">
        <is>
          <t>9</t>
        </is>
      </c>
      <c r="M1599" s="13" t="inlineStr">
        <is>
          <t>Completed</t>
        </is>
      </c>
      <c r="N1599" s="13" t="inlineStr">
        <is>
          <t>P. Rossi</t>
        </is>
      </c>
    </row>
    <row r="1600">
      <c r="A1600" s="13" t="inlineStr">
        <is>
          <t>HC-101598</t>
        </is>
      </c>
      <c r="B1600" s="13" t="inlineStr">
        <is>
          <t>2025/05/07</t>
        </is>
      </c>
      <c r="C1600" s="13" t="inlineStr">
        <is>
          <t>West</t>
        </is>
      </c>
      <c r="D1600" s="13" t="inlineStr">
        <is>
          <t>Store</t>
        </is>
      </c>
      <c r="E1600" s="13" t="inlineStr">
        <is>
          <t>LIGHTING</t>
        </is>
      </c>
      <c r="F1600" s="13" t="inlineStr">
        <is>
          <t>Pendant Light</t>
        </is>
      </c>
      <c r="G1600" s="13" t="inlineStr">
        <is>
          <t>Consumer</t>
        </is>
      </c>
      <c r="H1600" s="13" t="inlineStr">
        <is>
          <t>4</t>
        </is>
      </c>
      <c r="I1600" s="14" t="inlineStr">
        <is>
          <t>182.33</t>
        </is>
      </c>
      <c r="J1600" s="15" t="inlineStr">
        <is>
          <t>0.09</t>
        </is>
      </c>
      <c r="K1600" s="14" t="inlineStr">
        <is>
          <t>91.17</t>
        </is>
      </c>
      <c r="L1600" s="13" t="inlineStr">
        <is>
          <t>7</t>
        </is>
      </c>
      <c r="M1600" s="13" t="inlineStr">
        <is>
          <t>Completed</t>
        </is>
      </c>
      <c r="N1600" s="13" t="inlineStr">
        <is>
          <t>A. Shah</t>
        </is>
      </c>
    </row>
    <row r="1601">
      <c r="A1601" s="13" t="inlineStr">
        <is>
          <t>HC-101599</t>
        </is>
      </c>
      <c r="B1601" s="13" t="inlineStr">
        <is>
          <t>01.11.2024</t>
        </is>
      </c>
      <c r="C1601" s="13" t="inlineStr">
        <is>
          <t>West</t>
        </is>
      </c>
      <c r="D1601" s="13" t="inlineStr">
        <is>
          <t>Store</t>
        </is>
      </c>
      <c r="E1601" s="13" t="inlineStr">
        <is>
          <t>Textiles</t>
        </is>
      </c>
      <c r="F1601" s="13" t="inlineStr">
        <is>
          <t>Linen Curtain</t>
        </is>
      </c>
      <c r="G1601" s="13" t="inlineStr">
        <is>
          <t>consumer</t>
        </is>
      </c>
      <c r="H1601" s="13" t="inlineStr">
        <is>
          <t>5</t>
        </is>
      </c>
      <c r="I1601" s="14" t="inlineStr">
        <is>
          <t>96.11</t>
        </is>
      </c>
      <c r="J1601" s="15" t="inlineStr">
        <is>
          <t>0.11</t>
        </is>
      </c>
      <c r="K1601" s="14" t="inlineStr">
        <is>
          <t>43.25</t>
        </is>
      </c>
      <c r="L1601" s="13" t="inlineStr">
        <is>
          <t>6</t>
        </is>
      </c>
      <c r="M1601" s="13" t="inlineStr">
        <is>
          <t>Completed</t>
        </is>
      </c>
      <c r="N1601" s="13" t="inlineStr">
        <is>
          <t>R. Ibarra</t>
        </is>
      </c>
    </row>
    <row r="1602">
      <c r="A1602" s="13" t="inlineStr">
        <is>
          <t>HC-100112</t>
        </is>
      </c>
      <c r="B1602" s="13" t="inlineStr">
        <is>
          <t>11/15/2024</t>
        </is>
      </c>
      <c r="C1602" s="13" t="inlineStr">
        <is>
          <t>Sout</t>
        </is>
      </c>
      <c r="D1602" s="13" t="inlineStr">
        <is>
          <t>retail</t>
        </is>
      </c>
      <c r="E1602" s="13" t="inlineStr">
        <is>
          <t>Furniture</t>
        </is>
      </c>
      <c r="F1602" s="13" t="inlineStr">
        <is>
          <t>Lounge Chair</t>
        </is>
      </c>
      <c r="G1602" s="13" t="inlineStr">
        <is>
          <t>Corporate</t>
        </is>
      </c>
      <c r="H1602" s="13" t="inlineStr">
        <is>
          <t>3</t>
        </is>
      </c>
      <c r="I1602" s="14" t="inlineStr">
        <is>
          <t>508.58</t>
        </is>
      </c>
      <c r="J1602" s="15" t="inlineStr">
        <is>
          <t>0.02</t>
        </is>
      </c>
      <c r="K1602" s="14" t="inlineStr">
        <is>
          <t>305.15</t>
        </is>
      </c>
      <c r="L1602" s="13" t="inlineStr">
        <is>
          <t>6</t>
        </is>
      </c>
      <c r="M1602" s="13" t="inlineStr">
        <is>
          <t>Completed</t>
        </is>
      </c>
      <c r="N1602" s="13" t="inlineStr">
        <is>
          <t>J. Patel</t>
        </is>
      </c>
    </row>
    <row r="1603">
      <c r="A1603" s="13" t="inlineStr">
        <is>
          <t>HC-100049</t>
        </is>
      </c>
      <c r="B1603" s="13" t="inlineStr">
        <is>
          <t>22-Aug-24</t>
        </is>
      </c>
      <c r="C1603" s="13" t="inlineStr">
        <is>
          <t>South</t>
        </is>
      </c>
      <c r="D1603" s="13" t="inlineStr">
        <is>
          <t>Store</t>
        </is>
      </c>
      <c r="E1603" s="13" t="inlineStr">
        <is>
          <t>Furniture</t>
        </is>
      </c>
      <c r="F1603" s="13" t="inlineStr">
        <is>
          <t>Linen Sofa</t>
        </is>
      </c>
      <c r="G1603" s="13" t="inlineStr">
        <is>
          <t>Consumer</t>
        </is>
      </c>
      <c r="H1603" s="13" t="inlineStr">
        <is>
          <t>2</t>
        </is>
      </c>
      <c r="I1603" s="14" t="inlineStr">
        <is>
          <t>1282.58</t>
        </is>
      </c>
      <c r="J1603" s="15" t="inlineStr">
        <is>
          <t>0.08</t>
        </is>
      </c>
      <c r="K1603" s="14" t="inlineStr">
        <is>
          <t>846.50</t>
        </is>
      </c>
      <c r="L1603" s="13" t="inlineStr">
        <is>
          <t>3</t>
        </is>
      </c>
      <c r="M1603" s="13" t="inlineStr">
        <is>
          <t>Completed</t>
        </is>
      </c>
      <c r="N1603" s="13" t="inlineStr">
        <is>
          <t>P. Rossi</t>
        </is>
      </c>
    </row>
    <row r="1604">
      <c r="A1604" s="13" t="inlineStr">
        <is>
          <t>HC-101167</t>
        </is>
      </c>
      <c r="B1604" s="13" t="inlineStr">
        <is>
          <t>29.04.2025</t>
        </is>
      </c>
      <c r="C1604" s="13" t="inlineStr">
        <is>
          <t>south</t>
        </is>
      </c>
      <c r="D1604" s="13" t="inlineStr">
        <is>
          <t>Store</t>
        </is>
      </c>
      <c r="E1604" s="13" t="inlineStr">
        <is>
          <t>Lighting</t>
        </is>
      </c>
      <c r="F1604" s="13" t="inlineStr">
        <is>
          <t>Arc Lamp</t>
        </is>
      </c>
      <c r="G1604" s="13" t="inlineStr">
        <is>
          <t>Home Office</t>
        </is>
      </c>
      <c r="H1604" s="13" t="inlineStr">
        <is>
          <t>4</t>
        </is>
      </c>
      <c r="I1604" s="14" t="inlineStr">
        <is>
          <t>324.16</t>
        </is>
      </c>
      <c r="J1604" s="15" t="inlineStr">
        <is>
          <t>9%</t>
        </is>
      </c>
      <c r="K1604" s="14" t="inlineStr">
        <is>
          <t>155.60</t>
        </is>
      </c>
      <c r="L1604" s="13" t="inlineStr">
        <is>
          <t>4</t>
        </is>
      </c>
      <c r="M1604" s="13" t="inlineStr">
        <is>
          <t>Canceled</t>
        </is>
      </c>
      <c r="N1604" s="13" t="inlineStr">
        <is>
          <t>L. Berger</t>
        </is>
      </c>
    </row>
    <row r="1605">
      <c r="A1605" s="13" t="inlineStr">
        <is>
          <t>HC-101111</t>
        </is>
      </c>
      <c r="B1605" s="13" t="inlineStr">
        <is>
          <t>08.01.2025</t>
        </is>
      </c>
      <c r="C1605" s="13" t="inlineStr">
        <is>
          <t>East</t>
        </is>
      </c>
      <c r="D1605" s="13" t="inlineStr">
        <is>
          <t>Store</t>
        </is>
      </c>
      <c r="E1605" s="13" t="inlineStr">
        <is>
          <t>Textiles</t>
        </is>
      </c>
      <c r="F1605" s="13" t="inlineStr">
        <is>
          <t>Wool Throw</t>
        </is>
      </c>
      <c r="G1605" s="13" t="inlineStr">
        <is>
          <t>Consumer</t>
        </is>
      </c>
      <c r="H1605" s="13" t="inlineStr">
        <is>
          <t>4</t>
        </is>
      </c>
      <c r="I1605" s="14" t="inlineStr">
        <is>
          <t>67.85</t>
        </is>
      </c>
      <c r="J1605" s="15" t="inlineStr">
        <is>
          <t>0.02</t>
        </is>
      </c>
      <c r="K1605" s="14" t="inlineStr">
        <is>
          <t>28.50</t>
        </is>
      </c>
      <c r="L1605" s="13" t="inlineStr">
        <is>
          <t>6</t>
        </is>
      </c>
      <c r="M1605" s="13" t="inlineStr">
        <is>
          <t>Completed</t>
        </is>
      </c>
      <c r="N1605" s="13" t="inlineStr">
        <is>
          <t>A. Shah</t>
        </is>
      </c>
    </row>
    <row r="1606">
      <c r="A1606" s="13" t="inlineStr">
        <is>
          <t>HC-101006</t>
        </is>
      </c>
      <c r="B1606" s="13" t="inlineStr">
        <is>
          <t>2025/06/11</t>
        </is>
      </c>
      <c r="C1606" s="13" t="inlineStr">
        <is>
          <t>East</t>
        </is>
      </c>
      <c r="D1606" s="13" t="inlineStr">
        <is>
          <t>e-commerce</t>
        </is>
      </c>
      <c r="E1606" s="13" t="inlineStr">
        <is>
          <t>Kitchen</t>
        </is>
      </c>
      <c r="F1606" s="13" t="inlineStr">
        <is>
          <t>Cast Skillet</t>
        </is>
      </c>
      <c r="G1606" s="13" t="inlineStr">
        <is>
          <t>Consumer</t>
        </is>
      </c>
      <c r="H1606" s="13" t="inlineStr">
        <is>
          <t>3</t>
        </is>
      </c>
      <c r="I1606" s="14" t="inlineStr">
        <is>
          <t>48.02</t>
        </is>
      </c>
      <c r="J1606" s="15" t="inlineStr">
        <is>
          <t>0.07</t>
        </is>
      </c>
      <c r="K1606" s="14" t="inlineStr">
        <is>
          <t>19.21</t>
        </is>
      </c>
      <c r="L1606" s="13" t="inlineStr">
        <is>
          <t>9</t>
        </is>
      </c>
      <c r="M1606" s="13" t="inlineStr">
        <is>
          <t>Cancelled</t>
        </is>
      </c>
      <c r="N1606" s="13" t="inlineStr">
        <is>
          <t>L. Berger</t>
        </is>
      </c>
    </row>
    <row r="1607">
      <c r="A1607" s="13" t="inlineStr">
        <is>
          <t>HC-100294</t>
        </is>
      </c>
      <c r="B1607" s="13" t="inlineStr">
        <is>
          <t>2024/05/29</t>
        </is>
      </c>
      <c r="C1607" s="13" t="inlineStr">
        <is>
          <t>North</t>
        </is>
      </c>
      <c r="D1607" s="13" t="inlineStr">
        <is>
          <t>Online</t>
        </is>
      </c>
      <c r="E1607" s="13" t="inlineStr">
        <is>
          <t>Furniture</t>
        </is>
      </c>
      <c r="F1607" s="13" t="inlineStr">
        <is>
          <t>Walnut Shelf</t>
        </is>
      </c>
      <c r="G1607" s="13" t="inlineStr">
        <is>
          <t>Corporate</t>
        </is>
      </c>
      <c r="H1607" s="13" t="inlineStr">
        <is>
          <t>1</t>
        </is>
      </c>
      <c r="I1607" s="14" t="inlineStr">
        <is>
          <t>236.32</t>
        </is>
      </c>
      <c r="J1607" s="15" t="inlineStr">
        <is>
          <t>0.17</t>
        </is>
      </c>
      <c r="K1607" s="14" t="inlineStr">
        <is>
          <t>129.97</t>
        </is>
      </c>
      <c r="L1607" s="13" t="inlineStr">
        <is>
          <t>5</t>
        </is>
      </c>
      <c r="M1607" s="13" t="inlineStr">
        <is>
          <t>Completed</t>
        </is>
      </c>
      <c r="N1607" s="13" t="inlineStr">
        <is>
          <t>M. Okonkwo</t>
        </is>
      </c>
    </row>
    <row r="1608">
      <c r="A1608" s="13" t="inlineStr">
        <is>
          <t>HC-101226</t>
        </is>
      </c>
      <c r="B1608" s="13" t="inlineStr">
        <is>
          <t>2024/08/19</t>
        </is>
      </c>
      <c r="C1608" s="13" t="inlineStr">
        <is>
          <t>North</t>
        </is>
      </c>
      <c r="D1608" s="13" t="inlineStr">
        <is>
          <t>Store</t>
        </is>
      </c>
      <c r="E1608" s="13" t="inlineStr">
        <is>
          <t>Kitchen</t>
        </is>
      </c>
      <c r="F1608" s="13" t="inlineStr">
        <is>
          <t>Cast Skillet</t>
        </is>
      </c>
      <c r="G1608" s="13" t="inlineStr">
        <is>
          <t>Consumer</t>
        </is>
      </c>
      <c r="H1608" s="13" t="inlineStr">
        <is>
          <t>4</t>
        </is>
      </c>
      <c r="I1608" s="14" t="inlineStr">
        <is>
          <t>$54.35</t>
        </is>
      </c>
      <c r="J1608" s="15" t="inlineStr">
        <is>
          <t>0.06</t>
        </is>
      </c>
      <c r="K1608" s="14" t="inlineStr">
        <is>
          <t>21.74</t>
        </is>
      </c>
      <c r="L1608" s="13" t="inlineStr">
        <is>
          <t>4</t>
        </is>
      </c>
      <c r="M1608" s="13" t="inlineStr">
        <is>
          <t>Completed</t>
        </is>
      </c>
      <c r="N1608" s="13" t="inlineStr">
        <is>
          <t>J. Patel</t>
        </is>
      </c>
    </row>
    <row r="1609">
      <c r="A1609" s="13" t="inlineStr">
        <is>
          <t>HC-100099</t>
        </is>
      </c>
      <c r="B1609" s="13" t="inlineStr">
        <is>
          <t>02.06.2024</t>
        </is>
      </c>
      <c r="C1609" s="13" t="inlineStr">
        <is>
          <t>South</t>
        </is>
      </c>
      <c r="D1609" s="13" t="inlineStr">
        <is>
          <t>Store</t>
        </is>
      </c>
      <c r="E1609" s="13" t="inlineStr">
        <is>
          <t>Lighting</t>
        </is>
      </c>
      <c r="F1609" s="13" t="inlineStr">
        <is>
          <t>Brass Sconce</t>
        </is>
      </c>
      <c r="G1609" s="13" t="inlineStr">
        <is>
          <t>Home Office</t>
        </is>
      </c>
      <c r="H1609" s="13" t="inlineStr">
        <is>
          <t>3</t>
        </is>
      </c>
      <c r="I1609" s="14" t="inlineStr">
        <is>
          <t>145.54</t>
        </is>
      </c>
      <c r="J1609" s="15" t="inlineStr">
        <is>
          <t>0.03</t>
        </is>
      </c>
      <c r="K1609" s="14" t="inlineStr">
        <is>
          <t>66.95</t>
        </is>
      </c>
      <c r="L1609" s="13" t="inlineStr">
        <is>
          <t>7</t>
        </is>
      </c>
      <c r="M1609" s="13" t="inlineStr">
        <is>
          <t>Completed</t>
        </is>
      </c>
      <c r="N1609" s="13" t="inlineStr">
        <is>
          <t>A. Shah</t>
        </is>
      </c>
    </row>
    <row r="1610">
      <c r="A1610" s="13" t="inlineStr">
        <is>
          <t>HC-101428</t>
        </is>
      </c>
      <c r="B1610" s="13" t="inlineStr">
        <is>
          <t>05/06/2024</t>
        </is>
      </c>
      <c r="C1610" s="13" t="inlineStr">
        <is>
          <t>West</t>
        </is>
      </c>
      <c r="D1610" s="13" t="inlineStr">
        <is>
          <t>Online</t>
        </is>
      </c>
      <c r="E1610" s="13" t="inlineStr">
        <is>
          <t>Lighting</t>
        </is>
      </c>
      <c r="F1610" s="13" t="inlineStr">
        <is>
          <t>Arc Lamp</t>
        </is>
      </c>
      <c r="G1610" s="13" t="inlineStr">
        <is>
          <t>Corporate</t>
        </is>
      </c>
      <c r="H1610" s="13" t="inlineStr">
        <is>
          <t>2</t>
        </is>
      </c>
      <c r="I1610" s="14" t="inlineStr">
        <is>
          <t>288.98</t>
        </is>
      </c>
      <c r="J1610" s="15" t="inlineStr">
        <is>
          <t>0.03</t>
        </is>
      </c>
      <c r="K1610" s="14" t="inlineStr">
        <is>
          <t>138.71</t>
        </is>
      </c>
      <c r="L1610" s="13" t="inlineStr">
        <is>
          <t>5</t>
        </is>
      </c>
      <c r="M1610" s="13" t="inlineStr">
        <is>
          <t>Completed</t>
        </is>
      </c>
      <c r="N1610" s="13" t="inlineStr">
        <is>
          <t>K. Mensah</t>
        </is>
      </c>
    </row>
    <row r="1611">
      <c r="A1611" s="13" t="inlineStr">
        <is>
          <t>HC-101016</t>
        </is>
      </c>
      <c r="B1611" s="13" t="inlineStr">
        <is>
          <t>07/23/2024</t>
        </is>
      </c>
      <c r="C1611" s="13" t="inlineStr">
        <is>
          <t>South</t>
        </is>
      </c>
      <c r="D1611" s="13" t="inlineStr">
        <is>
          <t>web</t>
        </is>
      </c>
      <c r="E1611" s="13" t="inlineStr">
        <is>
          <t>Textiles</t>
        </is>
      </c>
      <c r="F1611" s="13" t="inlineStr">
        <is>
          <t>Wool Throw</t>
        </is>
      </c>
      <c r="G1611" s="13" t="inlineStr">
        <is>
          <t>Consumer</t>
        </is>
      </c>
      <c r="H1611" s="13" t="inlineStr">
        <is>
          <t>1</t>
        </is>
      </c>
      <c r="I1611" s="14" t="inlineStr">
        <is>
          <t>$78.74</t>
        </is>
      </c>
      <c r="J1611" s="15" t="inlineStr">
        <is>
          <t>0.09</t>
        </is>
      </c>
      <c r="K1611" s="14" t="inlineStr">
        <is>
          <t>33.07</t>
        </is>
      </c>
      <c r="L1611" s="13" t="inlineStr">
        <is>
          <t>8</t>
        </is>
      </c>
      <c r="M1611" s="13" t="inlineStr">
        <is>
          <t>Cancelled</t>
        </is>
      </c>
      <c r="N1611" s="13" t="inlineStr">
        <is>
          <t>R. Ibarra</t>
        </is>
      </c>
    </row>
    <row r="1612">
      <c r="A1612" s="13" t="inlineStr">
        <is>
          <t>HC-100872</t>
        </is>
      </c>
      <c r="B1612" s="13" t="inlineStr">
        <is>
          <t>08/22/2024</t>
        </is>
      </c>
      <c r="C1612" s="13" t="inlineStr">
        <is>
          <t>North</t>
        </is>
      </c>
      <c r="D1612" s="13" t="inlineStr">
        <is>
          <t>Wholesale</t>
        </is>
      </c>
      <c r="E1612" s="13" t="inlineStr">
        <is>
          <t>Furniture</t>
        </is>
      </c>
      <c r="F1612" s="13" t="inlineStr">
        <is>
          <t>Linen Sofa</t>
        </is>
      </c>
      <c r="G1612" s="13" t="inlineStr">
        <is>
          <t>consumer</t>
        </is>
      </c>
      <c r="H1612" s="13" t="inlineStr">
        <is>
          <t>13</t>
        </is>
      </c>
      <c r="I1612" s="14" t="inlineStr">
        <is>
          <t>1176.84</t>
        </is>
      </c>
      <c r="J1612" s="15" t="inlineStr">
        <is>
          <t>0.20</t>
        </is>
      </c>
      <c r="K1612" s="14" t="inlineStr">
        <is>
          <t>776.72</t>
        </is>
      </c>
      <c r="L1612" s="13" t="inlineStr">
        <is>
          <t>5</t>
        </is>
      </c>
      <c r="M1612" s="13" t="inlineStr">
        <is>
          <t>Compleated</t>
        </is>
      </c>
      <c r="N1612" s="13" t="inlineStr">
        <is>
          <t>S. Nguyen</t>
        </is>
      </c>
    </row>
    <row r="1613">
      <c r="A1613" s="13" t="inlineStr">
        <is>
          <t>HC-100858</t>
        </is>
      </c>
      <c r="B1613" s="13" t="inlineStr">
        <is>
          <t>2024/04/18</t>
        </is>
      </c>
      <c r="C1613" s="13" t="inlineStr">
        <is>
          <t>South</t>
        </is>
      </c>
      <c r="D1613" s="13" t="inlineStr">
        <is>
          <t>Online</t>
        </is>
      </c>
      <c r="E1613" s="13" t="inlineStr">
        <is>
          <t>Furniture</t>
        </is>
      </c>
      <c r="F1613" s="13" t="inlineStr">
        <is>
          <t>Lounge Chair</t>
        </is>
      </c>
      <c r="G1613" s="13" t="inlineStr">
        <is>
          <t>Corporate</t>
        </is>
      </c>
      <c r="H1613" s="13" t="inlineStr">
        <is>
          <t>3</t>
        </is>
      </c>
      <c r="I1613" s="14" t="inlineStr">
        <is>
          <t>$496.78</t>
        </is>
      </c>
      <c r="J1613" s="15" t="inlineStr">
        <is>
          <t>0.02</t>
        </is>
      </c>
      <c r="K1613" s="14" t="inlineStr">
        <is>
          <t>298.07</t>
        </is>
      </c>
      <c r="L1613" s="13" t="inlineStr">
        <is>
          <t>3</t>
        </is>
      </c>
      <c r="M1613" s="13" t="inlineStr">
        <is>
          <t>Completed</t>
        </is>
      </c>
      <c r="N1613" s="13" t="inlineStr">
        <is>
          <t>L. Berger</t>
        </is>
      </c>
    </row>
    <row r="1614">
      <c r="A1614" s="13" t="inlineStr">
        <is>
          <t>HC-100702</t>
        </is>
      </c>
      <c r="B1614" s="13" t="inlineStr">
        <is>
          <t>2024/02/10</t>
        </is>
      </c>
      <c r="C1614" s="13" t="inlineStr">
        <is>
          <t>West</t>
        </is>
      </c>
      <c r="D1614" s="13" t="inlineStr">
        <is>
          <t>Store</t>
        </is>
      </c>
      <c r="E1614" s="13" t="inlineStr">
        <is>
          <t>Furniture</t>
        </is>
      </c>
      <c r="F1614" s="13" t="inlineStr">
        <is>
          <t>Walnut Shelf</t>
        </is>
      </c>
      <c r="G1614" s="13" t="inlineStr">
        <is>
          <t>Consumer</t>
        </is>
      </c>
      <c r="H1614" s="13" t="inlineStr">
        <is>
          <t>4</t>
        </is>
      </c>
      <c r="I1614" s="14" t="inlineStr">
        <is>
          <t>225.05</t>
        </is>
      </c>
      <c r="J1614" s="15" t="inlineStr">
        <is>
          <t>0.04</t>
        </is>
      </c>
      <c r="K1614" s="14" t="inlineStr">
        <is>
          <t>123.78</t>
        </is>
      </c>
      <c r="L1614" s="13" t="inlineStr">
        <is>
          <t>9</t>
        </is>
      </c>
      <c r="M1614" s="13" t="inlineStr">
        <is>
          <t>Completed</t>
        </is>
      </c>
      <c r="N1614" s="13" t="inlineStr">
        <is>
          <t>L. Berger</t>
        </is>
      </c>
    </row>
    <row r="1615">
      <c r="A1615" s="13" t="inlineStr">
        <is>
          <t>HC-100493</t>
        </is>
      </c>
      <c r="B1615" s="13" t="inlineStr">
        <is>
          <t>12-Jun-24</t>
        </is>
      </c>
      <c r="C1615" s="13" t="inlineStr">
        <is>
          <t>west</t>
        </is>
      </c>
      <c r="D1615" s="13" t="inlineStr">
        <is>
          <t>Store</t>
        </is>
      </c>
      <c r="E1615" s="13" t="inlineStr">
        <is>
          <t>Furniture</t>
        </is>
      </c>
      <c r="F1615" s="13" t="inlineStr">
        <is>
          <t>Linen Sofa</t>
        </is>
      </c>
      <c r="G1615" s="13" t="inlineStr">
        <is>
          <t>Corporate</t>
        </is>
      </c>
      <c r="H1615" s="13" t="inlineStr">
        <is>
          <t>2</t>
        </is>
      </c>
      <c r="I1615" s="14" t="inlineStr">
        <is>
          <t>$1,197.16</t>
        </is>
      </c>
      <c r="J1615" s="15" t="inlineStr">
        <is>
          <t>0.03</t>
        </is>
      </c>
      <c r="K1615" s="14" t="inlineStr">
        <is>
          <t>790.13</t>
        </is>
      </c>
      <c r="L1615" s="13" t="inlineStr">
        <is>
          <t>6</t>
        </is>
      </c>
      <c r="M1615" s="13" t="inlineStr">
        <is>
          <t>Completed</t>
        </is>
      </c>
      <c r="N1615" s="13" t="inlineStr">
        <is>
          <t>L. Berger</t>
        </is>
      </c>
    </row>
    <row r="1616">
      <c r="A1616" s="13" t="inlineStr">
        <is>
          <t>HC-100746</t>
        </is>
      </c>
      <c r="B1616" s="13" t="inlineStr">
        <is>
          <t>2024/12/24</t>
        </is>
      </c>
      <c r="C1616" s="13" t="inlineStr">
        <is>
          <t>South</t>
        </is>
      </c>
      <c r="D1616" s="13" t="inlineStr">
        <is>
          <t>Store</t>
        </is>
      </c>
      <c r="E1616" s="13" t="inlineStr">
        <is>
          <t>Kitchen</t>
        </is>
      </c>
      <c r="F1616" s="13" t="inlineStr">
        <is>
          <t>Chef Knife</t>
        </is>
      </c>
      <c r="G1616" s="13" t="inlineStr">
        <is>
          <t>Consumer</t>
        </is>
      </c>
      <c r="H1616" s="13" t="inlineStr">
        <is>
          <t>2</t>
        </is>
      </c>
      <c r="I1616" s="14" t="inlineStr">
        <is>
          <t>60.84</t>
        </is>
      </c>
      <c r="J1616" s="15" t="inlineStr">
        <is>
          <t>0.04</t>
        </is>
      </c>
      <c r="K1616" s="14" t="inlineStr">
        <is>
          <t>21.90</t>
        </is>
      </c>
      <c r="L1616" s="13" t="inlineStr">
        <is>
          <t>3</t>
        </is>
      </c>
      <c r="M1616" s="13" t="inlineStr">
        <is>
          <t>Cancelled</t>
        </is>
      </c>
      <c r="N1616" s="13" t="inlineStr">
        <is>
          <t>L. Berger</t>
        </is>
      </c>
    </row>
    <row r="1617">
      <c r="A1617" s="13" t="inlineStr">
        <is>
          <t>HC-101235</t>
        </is>
      </c>
      <c r="B1617" s="13" t="inlineStr">
        <is>
          <t>01.02.2024</t>
        </is>
      </c>
      <c r="C1617" s="13" t="inlineStr">
        <is>
          <t>North</t>
        </is>
      </c>
      <c r="D1617" s="13" t="inlineStr">
        <is>
          <t>Store</t>
        </is>
      </c>
      <c r="E1617" s="13" t="inlineStr">
        <is>
          <t>Textiles</t>
        </is>
      </c>
      <c r="F1617" s="13" t="inlineStr">
        <is>
          <t>Linen Curtain</t>
        </is>
      </c>
      <c r="G1617" s="13" t="inlineStr">
        <is>
          <t>Consumer</t>
        </is>
      </c>
      <c r="H1617" s="13" t="inlineStr">
        <is>
          <t>2</t>
        </is>
      </c>
      <c r="I1617" s="14" t="inlineStr">
        <is>
          <t>93.61</t>
        </is>
      </c>
      <c r="J1617" s="15" t="inlineStr">
        <is>
          <t>0.03</t>
        </is>
      </c>
      <c r="K1617" s="14" t="inlineStr">
        <is>
          <t>42.13</t>
        </is>
      </c>
      <c r="L1617" s="13" t="inlineStr">
        <is>
          <t>5</t>
        </is>
      </c>
      <c r="M1617" s="13" t="inlineStr">
        <is>
          <t>Completed</t>
        </is>
      </c>
      <c r="N1617" s="13" t="inlineStr">
        <is>
          <t>J. Patel</t>
        </is>
      </c>
    </row>
    <row r="1618">
      <c r="A1618" s="13" t="inlineStr">
        <is>
          <t>HC-101099</t>
        </is>
      </c>
      <c r="B1618" s="13" t="inlineStr">
        <is>
          <t>09.07.2024</t>
        </is>
      </c>
      <c r="C1618" s="13" t="inlineStr">
        <is>
          <t>West</t>
        </is>
      </c>
      <c r="D1618" s="13" t="inlineStr">
        <is>
          <t>retail</t>
        </is>
      </c>
      <c r="E1618" s="13" t="inlineStr">
        <is>
          <t>TEXTILES</t>
        </is>
      </c>
      <c r="F1618" s="13" t="inlineStr">
        <is>
          <t>Cotton Duvet</t>
        </is>
      </c>
      <c r="G1618" s="13" t="inlineStr">
        <is>
          <t>Consumer</t>
        </is>
      </c>
      <c r="H1618" s="13" t="inlineStr">
        <is>
          <t>3</t>
        </is>
      </c>
      <c r="I1618" s="14" t="inlineStr">
        <is>
          <t>111.45</t>
        </is>
      </c>
      <c r="J1618" s="15" t="inlineStr">
        <is>
          <t>8%</t>
        </is>
      </c>
      <c r="K1618" s="14" t="inlineStr">
        <is>
          <t>49.04</t>
        </is>
      </c>
      <c r="L1618" s="13" t="inlineStr">
        <is>
          <t>3</t>
        </is>
      </c>
      <c r="M1618" s="13" t="inlineStr">
        <is>
          <t>COMPLETED</t>
        </is>
      </c>
      <c r="N1618" s="13" t="inlineStr">
        <is>
          <t>K. Mensah</t>
        </is>
      </c>
    </row>
    <row r="1619">
      <c r="A1619" s="13" t="inlineStr">
        <is>
          <t>HC-101360</t>
        </is>
      </c>
      <c r="B1619" s="13" t="inlineStr">
        <is>
          <t>02/21/2024</t>
        </is>
      </c>
      <c r="C1619" s="13" t="inlineStr">
        <is>
          <t>South</t>
        </is>
      </c>
      <c r="D1619" s="13" t="inlineStr">
        <is>
          <t>Wholesale</t>
        </is>
      </c>
      <c r="E1619" s="13" t="inlineStr">
        <is>
          <t>Lighting</t>
        </is>
      </c>
      <c r="F1619" s="13" t="inlineStr">
        <is>
          <t>Brass Sconce</t>
        </is>
      </c>
      <c r="G1619" s="13" t="inlineStr">
        <is>
          <t>Corporate</t>
        </is>
      </c>
      <c r="H1619" s="13" t="inlineStr">
        <is>
          <t>17</t>
        </is>
      </c>
      <c r="I1619" s="14" t="inlineStr">
        <is>
          <t>142.12</t>
        </is>
      </c>
      <c r="J1619" s="15" t="inlineStr">
        <is>
          <t>0.23</t>
        </is>
      </c>
      <c r="K1619" s="14" t="inlineStr">
        <is>
          <t>65.37</t>
        </is>
      </c>
      <c r="L1619" s="13" t="inlineStr">
        <is>
          <t>4</t>
        </is>
      </c>
      <c r="M1619" s="13" t="inlineStr">
        <is>
          <t>Completed</t>
        </is>
      </c>
      <c r="N1619" s="13" t="inlineStr">
        <is>
          <t>A. Shah</t>
        </is>
      </c>
    </row>
    <row r="1620">
      <c r="A1620" s="13" t="inlineStr">
        <is>
          <t>HC-100139</t>
        </is>
      </c>
      <c r="B1620" s="13" t="inlineStr">
        <is>
          <t>30.06.2025</t>
        </is>
      </c>
      <c r="C1620" s="13" t="inlineStr">
        <is>
          <t>South</t>
        </is>
      </c>
      <c r="D1620" s="13" t="inlineStr">
        <is>
          <t>Store</t>
        </is>
      </c>
      <c r="E1620" s="13" t="inlineStr">
        <is>
          <t>Furniture</t>
        </is>
      </c>
      <c r="F1620" s="13" t="inlineStr">
        <is>
          <t>Oak Desk</t>
        </is>
      </c>
      <c r="G1620" s="13" t="inlineStr">
        <is>
          <t>consumer</t>
        </is>
      </c>
      <c r="H1620" s="13" t="inlineStr">
        <is>
          <t>3</t>
        </is>
      </c>
      <c r="I1620" s="14" t="inlineStr">
        <is>
          <t>890.44</t>
        </is>
      </c>
      <c r="J1620" s="15" t="inlineStr">
        <is>
          <t>0.11</t>
        </is>
      </c>
      <c r="K1620" s="14" t="inlineStr">
        <is>
          <t>552.07</t>
        </is>
      </c>
      <c r="L1620" s="13" t="inlineStr">
        <is>
          <t>7</t>
        </is>
      </c>
      <c r="M1620" s="13" t="inlineStr">
        <is>
          <t>Completed</t>
        </is>
      </c>
      <c r="N1620" s="13" t="inlineStr">
        <is>
          <t>K. Mensah</t>
        </is>
      </c>
    </row>
    <row r="1621">
      <c r="A1621" s="13" t="inlineStr">
        <is>
          <t>HC-100570</t>
        </is>
      </c>
      <c r="B1621" s="13" t="inlineStr">
        <is>
          <t>2025/01/04</t>
        </is>
      </c>
      <c r="C1621" s="13" t="inlineStr">
        <is>
          <t xml:space="preserve"> North </t>
        </is>
      </c>
      <c r="D1621" s="13" t="inlineStr">
        <is>
          <t>Store</t>
        </is>
      </c>
      <c r="E1621" s="13" t="inlineStr">
        <is>
          <t>Lighting</t>
        </is>
      </c>
      <c r="F1621" s="13" t="inlineStr">
        <is>
          <t>Pendant Light</t>
        </is>
      </c>
      <c r="G1621" s="13" t="inlineStr">
        <is>
          <t>Consumer</t>
        </is>
      </c>
      <c r="H1621" s="13" t="inlineStr">
        <is>
          <t>2</t>
        </is>
      </c>
      <c r="I1621" s="14" t="inlineStr">
        <is>
          <t>176.75</t>
        </is>
      </c>
      <c r="J1621" s="15" t="inlineStr">
        <is>
          <t>0.05</t>
        </is>
      </c>
      <c r="K1621" s="14" t="inlineStr">
        <is>
          <t>88.38</t>
        </is>
      </c>
      <c r="L1621" s="13" t="inlineStr">
        <is>
          <t>N/A</t>
        </is>
      </c>
      <c r="M1621" s="13" t="inlineStr">
        <is>
          <t>Completed</t>
        </is>
      </c>
      <c r="N1621" s="13" t="inlineStr">
        <is>
          <t>R. Ibarra</t>
        </is>
      </c>
    </row>
    <row r="1622">
      <c r="A1622" s="13" t="inlineStr">
        <is>
          <t>HC-101423</t>
        </is>
      </c>
      <c r="B1622" s="13" t="inlineStr">
        <is>
          <t>24.04.2025</t>
        </is>
      </c>
      <c r="C1622" s="13" t="inlineStr">
        <is>
          <t>East</t>
        </is>
      </c>
      <c r="D1622" s="13" t="inlineStr">
        <is>
          <t>Store</t>
        </is>
      </c>
      <c r="E1622" s="13" t="inlineStr">
        <is>
          <t>Textiles</t>
        </is>
      </c>
      <c r="F1622" s="13" t="inlineStr">
        <is>
          <t>Wool Throw</t>
        </is>
      </c>
      <c r="G1622" s="13" t="inlineStr">
        <is>
          <t>Consumer</t>
        </is>
      </c>
      <c r="H1622" s="13" t="inlineStr">
        <is>
          <t>3</t>
        </is>
      </c>
      <c r="I1622" s="14" t="inlineStr">
        <is>
          <t>69.16</t>
        </is>
      </c>
      <c r="J1622" s="15" t="inlineStr">
        <is>
          <t>0.10</t>
        </is>
      </c>
      <c r="K1622" s="14" t="inlineStr">
        <is>
          <t>29.05</t>
        </is>
      </c>
      <c r="L1622" s="13" t="inlineStr">
        <is>
          <t>9</t>
        </is>
      </c>
      <c r="M1622" s="13" t="inlineStr">
        <is>
          <t>Completed</t>
        </is>
      </c>
      <c r="N1622" s="13" t="inlineStr">
        <is>
          <t>M. Okonkwo</t>
        </is>
      </c>
    </row>
    <row r="1623">
      <c r="A1623" s="13" t="inlineStr">
        <is>
          <t>HC-100583</t>
        </is>
      </c>
      <c r="B1623" s="13" t="inlineStr">
        <is>
          <t>16.06.2024</t>
        </is>
      </c>
      <c r="C1623" s="13" t="inlineStr">
        <is>
          <t>West</t>
        </is>
      </c>
      <c r="D1623" s="13" t="inlineStr">
        <is>
          <t>Store</t>
        </is>
      </c>
      <c r="E1623" s="13" t="inlineStr">
        <is>
          <t>Furniture</t>
        </is>
      </c>
      <c r="F1623" s="13" t="inlineStr">
        <is>
          <t>Linen Sofa</t>
        </is>
      </c>
      <c r="G1623" s="13" t="inlineStr">
        <is>
          <t>Corporate</t>
        </is>
      </c>
      <c r="H1623" s="13" t="inlineStr">
        <is>
          <t>1</t>
        </is>
      </c>
      <c r="I1623" s="14" t="inlineStr">
        <is>
          <t>1187.95</t>
        </is>
      </c>
      <c r="J1623" s="15" t="inlineStr">
        <is>
          <t>0.02</t>
        </is>
      </c>
      <c r="K1623" s="14" t="inlineStr">
        <is>
          <t>784.05</t>
        </is>
      </c>
      <c r="L1623" s="13" t="inlineStr">
        <is>
          <t>2</t>
        </is>
      </c>
      <c r="M1623" s="13" t="inlineStr">
        <is>
          <t>Completed</t>
        </is>
      </c>
      <c r="N1623" s="13" t="inlineStr">
        <is>
          <t>S. Nguyen</t>
        </is>
      </c>
    </row>
    <row r="1624">
      <c r="A1624" s="13" t="inlineStr">
        <is>
          <t>HC-101280</t>
        </is>
      </c>
      <c r="B1624" s="13" t="inlineStr">
        <is>
          <t>02/11/2024</t>
        </is>
      </c>
      <c r="C1624" s="13" t="inlineStr">
        <is>
          <t>North</t>
        </is>
      </c>
      <c r="D1624" s="13" t="inlineStr">
        <is>
          <t>Online</t>
        </is>
      </c>
      <c r="E1624" s="13" t="inlineStr">
        <is>
          <t>Lighting</t>
        </is>
      </c>
      <c r="F1624" s="13" t="inlineStr">
        <is>
          <t>Brass Sconce</t>
        </is>
      </c>
      <c r="G1624" s="13" t="inlineStr">
        <is>
          <t>Corporate</t>
        </is>
      </c>
      <c r="H1624" s="13" t="inlineStr">
        <is>
          <t>1</t>
        </is>
      </c>
      <c r="I1624" s="14" t="inlineStr">
        <is>
          <t>144.64</t>
        </is>
      </c>
      <c r="J1624" s="15" t="inlineStr">
        <is>
          <t>0.12</t>
        </is>
      </c>
      <c r="K1624" s="14" t="inlineStr">
        <is>
          <t>66.53</t>
        </is>
      </c>
      <c r="L1624" s="13" t="inlineStr">
        <is>
          <t>4</t>
        </is>
      </c>
      <c r="M1624" s="13" t="inlineStr">
        <is>
          <t>Completed</t>
        </is>
      </c>
      <c r="N1624" s="13" t="inlineStr">
        <is>
          <t>A. Shah</t>
        </is>
      </c>
    </row>
    <row r="1625">
      <c r="A1625" s="13" t="inlineStr">
        <is>
          <t>HC-101386</t>
        </is>
      </c>
      <c r="B1625" s="13" t="inlineStr">
        <is>
          <t>2024/05/25</t>
        </is>
      </c>
      <c r="C1625" s="13" t="inlineStr">
        <is>
          <t>South</t>
        </is>
      </c>
      <c r="D1625" s="13" t="inlineStr">
        <is>
          <t>Online</t>
        </is>
      </c>
      <c r="E1625" s="13" t="inlineStr">
        <is>
          <t>Kitchen</t>
        </is>
      </c>
      <c r="F1625" s="13" t="inlineStr">
        <is>
          <t>Ceramic Set</t>
        </is>
      </c>
      <c r="G1625" s="13" t="inlineStr">
        <is>
          <t>Consumer</t>
        </is>
      </c>
      <c r="H1625" s="13" t="inlineStr">
        <is>
          <t>3</t>
        </is>
      </c>
      <c r="I1625" s="14" t="inlineStr">
        <is>
          <t>89.26</t>
        </is>
      </c>
      <c r="J1625" s="15" t="inlineStr">
        <is>
          <t>0.02</t>
        </is>
      </c>
      <c r="K1625" s="14" t="inlineStr">
        <is>
          <t>33.92</t>
        </is>
      </c>
      <c r="L1625" s="13" t="inlineStr">
        <is>
          <t>8</t>
        </is>
      </c>
      <c r="M1625" s="13" t="inlineStr">
        <is>
          <t>Completed</t>
        </is>
      </c>
      <c r="N1625" s="13" t="inlineStr">
        <is>
          <t>S. Nguyen</t>
        </is>
      </c>
    </row>
    <row r="1626">
      <c r="A1626" s="13" t="inlineStr">
        <is>
          <t>HC-100011</t>
        </is>
      </c>
      <c r="B1626" s="13" t="inlineStr">
        <is>
          <t>05.09.2025</t>
        </is>
      </c>
      <c r="C1626" s="13" t="inlineStr">
        <is>
          <t>West</t>
        </is>
      </c>
      <c r="D1626" s="13" t="inlineStr">
        <is>
          <t>Online</t>
        </is>
      </c>
      <c r="E1626" s="13" t="inlineStr">
        <is>
          <t>Lighting</t>
        </is>
      </c>
      <c r="F1626" s="13" t="inlineStr">
        <is>
          <t>Pendant Light</t>
        </is>
      </c>
      <c r="G1626" s="13" t="inlineStr">
        <is>
          <t>Consumer</t>
        </is>
      </c>
      <c r="H1626" s="13" t="inlineStr">
        <is>
          <t>2</t>
        </is>
      </c>
      <c r="I1626" s="14" t="inlineStr">
        <is>
          <t>168.74</t>
        </is>
      </c>
      <c r="J1626" s="15" t="inlineStr">
        <is>
          <t>0.02</t>
        </is>
      </c>
      <c r="K1626" s="14" t="inlineStr">
        <is>
          <t>84.37</t>
        </is>
      </c>
      <c r="L1626" s="13" t="inlineStr">
        <is>
          <t>4</t>
        </is>
      </c>
      <c r="M1626" s="13" t="inlineStr">
        <is>
          <t>Completed</t>
        </is>
      </c>
      <c r="N1626" s="13" t="inlineStr">
        <is>
          <t>K. Mensah</t>
        </is>
      </c>
    </row>
    <row r="1627">
      <c r="A1627" s="13" t="inlineStr">
        <is>
          <t>EDGE-DUP</t>
        </is>
      </c>
      <c r="B1627" s="13" t="inlineStr">
        <is>
          <t>02/02/2024</t>
        </is>
      </c>
      <c r="C1627" s="13" t="inlineStr">
        <is>
          <t>South</t>
        </is>
      </c>
      <c r="D1627" s="13" t="inlineStr">
        <is>
          <t>Store</t>
        </is>
      </c>
      <c r="E1627" s="13" t="inlineStr">
        <is>
          <t>Lighting</t>
        </is>
      </c>
      <c r="F1627" s="13" t="inlineStr">
        <is>
          <t>Arc Lamp</t>
        </is>
      </c>
      <c r="G1627" s="13" t="inlineStr">
        <is>
          <t>Consumer</t>
        </is>
      </c>
      <c r="H1627" s="13" t="inlineStr">
        <is>
          <t>3</t>
        </is>
      </c>
      <c r="I1627" s="14" t="inlineStr">
        <is>
          <t>180.00</t>
        </is>
      </c>
      <c r="J1627" s="15" t="inlineStr">
        <is>
          <t>0.05</t>
        </is>
      </c>
      <c r="K1627" s="14" t="inlineStr">
        <is>
          <t>148.80</t>
        </is>
      </c>
      <c r="L1627" s="13" t="inlineStr">
        <is>
          <t>4</t>
        </is>
      </c>
      <c r="M1627" s="13" t="inlineStr">
        <is>
          <t>Completed</t>
        </is>
      </c>
      <c r="N1627" s="13" t="inlineStr">
        <is>
          <t>A. Shah</t>
        </is>
      </c>
    </row>
    <row r="1628">
      <c r="A1628" s="13" t="inlineStr">
        <is>
          <t>EDGE-DUP</t>
        </is>
      </c>
      <c r="B1628" s="13" t="inlineStr">
        <is>
          <t>02/02/2024</t>
        </is>
      </c>
      <c r="C1628" s="13" t="inlineStr">
        <is>
          <t>South</t>
        </is>
      </c>
      <c r="D1628" s="13" t="inlineStr">
        <is>
          <t>Store</t>
        </is>
      </c>
      <c r="E1628" s="13" t="inlineStr">
        <is>
          <t>Lighting</t>
        </is>
      </c>
      <c r="F1628" s="13" t="inlineStr">
        <is>
          <t>Arc Lamp</t>
        </is>
      </c>
      <c r="G1628" s="13" t="inlineStr">
        <is>
          <t>Consumer</t>
        </is>
      </c>
      <c r="H1628" s="13" t="inlineStr">
        <is>
          <t>3</t>
        </is>
      </c>
      <c r="I1628" s="14" t="inlineStr">
        <is>
          <t>180.00</t>
        </is>
      </c>
      <c r="J1628" s="15" t="inlineStr">
        <is>
          <t>0.05</t>
        </is>
      </c>
      <c r="K1628" s="14" t="inlineStr">
        <is>
          <t>148.80</t>
        </is>
      </c>
      <c r="L1628" s="13" t="inlineStr">
        <is>
          <t>4</t>
        </is>
      </c>
      <c r="M1628" s="13" t="inlineStr">
        <is>
          <t>Completed</t>
        </is>
      </c>
      <c r="N1628" s="13" t="inlineStr">
        <is>
          <t>A. Shah</t>
        </is>
      </c>
    </row>
    <row r="1629">
      <c r="A1629" s="13" t="inlineStr">
        <is>
          <t>EDGE-WORD</t>
        </is>
      </c>
      <c r="B1629" s="13" t="inlineStr">
        <is>
          <t>04/04/2024</t>
        </is>
      </c>
      <c r="C1629" s="13" t="inlineStr">
        <is>
          <t>North</t>
        </is>
      </c>
      <c r="D1629" s="13" t="inlineStr">
        <is>
          <t>Store</t>
        </is>
      </c>
      <c r="E1629" s="13" t="inlineStr">
        <is>
          <t>Lighting</t>
        </is>
      </c>
      <c r="F1629" s="13" t="inlineStr">
        <is>
          <t>Arc Lamp</t>
        </is>
      </c>
      <c r="G1629" s="13" t="inlineStr">
        <is>
          <t>Consumer</t>
        </is>
      </c>
      <c r="H1629" s="13" t="inlineStr">
        <is>
          <t>Five</t>
        </is>
      </c>
      <c r="I1629" s="14" t="inlineStr">
        <is>
          <t>TwoHundredForty</t>
        </is>
      </c>
      <c r="J1629" s="15" t="inlineStr">
        <is>
          <t>0.05</t>
        </is>
      </c>
      <c r="K1629" s="14" t="inlineStr">
        <is>
          <t>148.80</t>
        </is>
      </c>
      <c r="L1629" s="13" t="inlineStr">
        <is>
          <t>4</t>
        </is>
      </c>
      <c r="M1629" s="13" t="inlineStr">
        <is>
          <t>Completed</t>
        </is>
      </c>
      <c r="N1629" s="13" t="inlineStr">
        <is>
          <t>A. Shah</t>
        </is>
      </c>
    </row>
    <row r="1630">
      <c r="A1630" s="13" t="inlineStr">
        <is>
          <t>EDGE-CURRENCY</t>
        </is>
      </c>
      <c r="B1630" s="13" t="inlineStr">
        <is>
          <t>05/05/2024</t>
        </is>
      </c>
      <c r="C1630" s="13" t="inlineStr">
        <is>
          <t>North</t>
        </is>
      </c>
      <c r="D1630" s="13" t="inlineStr">
        <is>
          <t>Store</t>
        </is>
      </c>
      <c r="E1630" s="13" t="inlineStr">
        <is>
          <t>Furniture</t>
        </is>
      </c>
      <c r="F1630" s="13" t="inlineStr">
        <is>
          <t>Linen Sofa</t>
        </is>
      </c>
      <c r="G1630" s="13" t="inlineStr">
        <is>
          <t>Consumer</t>
        </is>
      </c>
      <c r="H1630" s="13" t="inlineStr">
        <is>
          <t>1</t>
        </is>
      </c>
      <c r="I1630" s="14" t="inlineStr">
        <is>
          <t>$1,250.50</t>
        </is>
      </c>
      <c r="J1630" s="15" t="inlineStr">
        <is>
          <t>0.05</t>
        </is>
      </c>
      <c r="K1630" s="14" t="inlineStr">
        <is>
          <t>700.00</t>
        </is>
      </c>
      <c r="L1630" s="13" t="inlineStr">
        <is>
          <t>4</t>
        </is>
      </c>
      <c r="M1630" s="13" t="inlineStr">
        <is>
          <t>Completed</t>
        </is>
      </c>
      <c r="N1630" s="13" t="inlineStr">
        <is>
          <t>A. Shah</t>
        </is>
      </c>
    </row>
    <row r="1631">
      <c r="A1631" s="13" t="inlineStr">
        <is>
          <t>EDGE-NEGQ</t>
        </is>
      </c>
      <c r="B1631" s="13" t="inlineStr">
        <is>
          <t>06/06/2024</t>
        </is>
      </c>
      <c r="C1631" s="13" t="inlineStr">
        <is>
          <t>North</t>
        </is>
      </c>
      <c r="D1631" s="13" t="inlineStr">
        <is>
          <t>Store</t>
        </is>
      </c>
      <c r="E1631" s="13" t="inlineStr">
        <is>
          <t>Lighting</t>
        </is>
      </c>
      <c r="F1631" s="13" t="inlineStr">
        <is>
          <t>Arc Lamp</t>
        </is>
      </c>
      <c r="G1631" s="13" t="inlineStr">
        <is>
          <t>Consumer</t>
        </is>
      </c>
      <c r="H1631" s="13" t="inlineStr">
        <is>
          <t>-3</t>
        </is>
      </c>
      <c r="I1631" s="14" t="inlineStr">
        <is>
          <t>310.00</t>
        </is>
      </c>
      <c r="J1631" s="15" t="inlineStr">
        <is>
          <t>0.05</t>
        </is>
      </c>
      <c r="K1631" s="14" t="inlineStr">
        <is>
          <t>148.80</t>
        </is>
      </c>
      <c r="L1631" s="13" t="inlineStr">
        <is>
          <t>4</t>
        </is>
      </c>
      <c r="M1631" s="13" t="inlineStr">
        <is>
          <t>Completed</t>
        </is>
      </c>
      <c r="N1631" s="13" t="inlineStr">
        <is>
          <t>A. Shah</t>
        </is>
      </c>
    </row>
    <row r="1632">
      <c r="A1632" s="13" t="inlineStr">
        <is>
          <t>EDGE-BADREG</t>
        </is>
      </c>
      <c r="B1632" s="13" t="inlineStr">
        <is>
          <t>01/20/2024</t>
        </is>
      </c>
      <c r="C1632" s="13" t="inlineStr">
        <is>
          <t>Atlantis</t>
        </is>
      </c>
      <c r="D1632" s="13" t="inlineStr">
        <is>
          <t>Store</t>
        </is>
      </c>
      <c r="E1632" s="13" t="inlineStr">
        <is>
          <t>Lighting</t>
        </is>
      </c>
      <c r="F1632" s="13" t="inlineStr">
        <is>
          <t>Arc Lamp</t>
        </is>
      </c>
      <c r="G1632" s="13" t="inlineStr">
        <is>
          <t>Consumer</t>
        </is>
      </c>
      <c r="H1632" s="13" t="inlineStr">
        <is>
          <t>2</t>
        </is>
      </c>
      <c r="I1632" s="14" t="inlineStr">
        <is>
          <t>310.00</t>
        </is>
      </c>
      <c r="J1632" s="15" t="inlineStr">
        <is>
          <t>0.05</t>
        </is>
      </c>
      <c r="K1632" s="14" t="inlineStr">
        <is>
          <t>148.80</t>
        </is>
      </c>
      <c r="L1632" s="13" t="inlineStr">
        <is>
          <t>4</t>
        </is>
      </c>
      <c r="M1632" s="13" t="inlineStr">
        <is>
          <t>Completed</t>
        </is>
      </c>
      <c r="N1632" s="13" t="inlineStr">
        <is>
          <t>A. Shah</t>
        </is>
      </c>
    </row>
    <row r="1633">
      <c r="A1633" s="13" t="inlineStr">
        <is>
          <t>EDGE-BADDATE</t>
        </is>
      </c>
      <c r="B1633" s="13" t="inlineStr">
        <is>
          <t>yesterday</t>
        </is>
      </c>
      <c r="C1633" s="13" t="inlineStr">
        <is>
          <t>North</t>
        </is>
      </c>
      <c r="D1633" s="13" t="inlineStr">
        <is>
          <t>Store</t>
        </is>
      </c>
      <c r="E1633" s="13" t="inlineStr">
        <is>
          <t>Lighting</t>
        </is>
      </c>
      <c r="F1633" s="13" t="inlineStr">
        <is>
          <t>Arc Lamp</t>
        </is>
      </c>
      <c r="G1633" s="13" t="inlineStr">
        <is>
          <t>Consumer</t>
        </is>
      </c>
      <c r="H1633" s="13" t="inlineStr">
        <is>
          <t>2</t>
        </is>
      </c>
      <c r="I1633" s="14" t="inlineStr">
        <is>
          <t>310.00</t>
        </is>
      </c>
      <c r="J1633" s="15" t="inlineStr">
        <is>
          <t>0.05</t>
        </is>
      </c>
      <c r="K1633" s="14" t="inlineStr">
        <is>
          <t>148.80</t>
        </is>
      </c>
      <c r="L1633" s="13" t="inlineStr">
        <is>
          <t>4</t>
        </is>
      </c>
      <c r="M1633" s="13" t="inlineStr">
        <is>
          <t>Completed</t>
        </is>
      </c>
      <c r="N1633" s="13" t="inlineStr">
        <is>
          <t>A. Shah</t>
        </is>
      </c>
    </row>
    <row r="1634">
      <c r="A1634" s="13" t="inlineStr">
        <is>
          <t>EDGE-CANCEL</t>
        </is>
      </c>
      <c r="B1634" s="13" t="inlineStr">
        <is>
          <t>07/07/2024</t>
        </is>
      </c>
      <c r="C1634" s="13" t="inlineStr">
        <is>
          <t>North</t>
        </is>
      </c>
      <c r="D1634" s="13" t="inlineStr">
        <is>
          <t>Store</t>
        </is>
      </c>
      <c r="E1634" s="13" t="inlineStr">
        <is>
          <t>Lighting</t>
        </is>
      </c>
      <c r="F1634" s="13" t="inlineStr">
        <is>
          <t>Arc Lamp</t>
        </is>
      </c>
      <c r="G1634" s="13" t="inlineStr">
        <is>
          <t>Consumer</t>
        </is>
      </c>
      <c r="H1634" s="13" t="inlineStr">
        <is>
          <t>2</t>
        </is>
      </c>
      <c r="I1634" s="14" t="inlineStr">
        <is>
          <t>310.00</t>
        </is>
      </c>
      <c r="J1634" s="15" t="inlineStr">
        <is>
          <t>0.05</t>
        </is>
      </c>
      <c r="K1634" s="14" t="inlineStr">
        <is>
          <t>148.80</t>
        </is>
      </c>
      <c r="L1634" s="13" t="inlineStr">
        <is>
          <t>4</t>
        </is>
      </c>
      <c r="M1634" s="13" t="inlineStr">
        <is>
          <t>cancled</t>
        </is>
      </c>
      <c r="N1634" s="13" t="inlineStr">
        <is>
          <t>A. Shah</t>
        </is>
      </c>
    </row>
    <row r="1635">
      <c r="A1635" s="13" t="inlineStr">
        <is>
          <t>EDGE-COMPLETE</t>
        </is>
      </c>
      <c r="B1635" s="13" t="inlineStr">
        <is>
          <t>07/08/2024</t>
        </is>
      </c>
      <c r="C1635" s="13" t="inlineStr">
        <is>
          <t>North</t>
        </is>
      </c>
      <c r="D1635" s="13" t="inlineStr">
        <is>
          <t>Store</t>
        </is>
      </c>
      <c r="E1635" s="13" t="inlineStr">
        <is>
          <t>Lighting</t>
        </is>
      </c>
      <c r="F1635" s="13" t="inlineStr">
        <is>
          <t>Arc Lamp</t>
        </is>
      </c>
      <c r="G1635" s="13" t="inlineStr">
        <is>
          <t>Consumer</t>
        </is>
      </c>
      <c r="H1635" s="13" t="inlineStr">
        <is>
          <t>2</t>
        </is>
      </c>
      <c r="I1635" s="14" t="inlineStr">
        <is>
          <t>310.00</t>
        </is>
      </c>
      <c r="J1635" s="15" t="inlineStr">
        <is>
          <t>0.05</t>
        </is>
      </c>
      <c r="K1635" s="14" t="inlineStr">
        <is>
          <t>148.80</t>
        </is>
      </c>
      <c r="L1635" s="13" t="inlineStr">
        <is>
          <t>4</t>
        </is>
      </c>
      <c r="M1635" s="13" t="inlineStr">
        <is>
          <t>Compleated</t>
        </is>
      </c>
      <c r="N1635" s="13" t="inlineStr">
        <is>
          <t>A. Shah</t>
        </is>
      </c>
    </row>
    <row r="1636">
      <c r="A1636" s="13" t="inlineStr">
        <is>
          <t>EDGE-REGION</t>
        </is>
      </c>
      <c r="B1636" s="13" t="inlineStr">
        <is>
          <t>15-Aug-24</t>
        </is>
      </c>
      <c r="C1636" s="13" t="inlineStr">
        <is>
          <t xml:space="preserve">  nort </t>
        </is>
      </c>
      <c r="D1636" s="13" t="inlineStr">
        <is>
          <t>Store</t>
        </is>
      </c>
      <c r="E1636" s="13" t="inlineStr">
        <is>
          <t>Lighting</t>
        </is>
      </c>
      <c r="F1636" s="13" t="inlineStr">
        <is>
          <t>Arc Lamp</t>
        </is>
      </c>
      <c r="G1636" s="13" t="inlineStr">
        <is>
          <t>Consumer</t>
        </is>
      </c>
      <c r="H1636" s="13" t="inlineStr">
        <is>
          <t>2</t>
        </is>
      </c>
      <c r="I1636" s="14" t="inlineStr">
        <is>
          <t>310.00</t>
        </is>
      </c>
      <c r="J1636" s="15" t="inlineStr">
        <is>
          <t>0.05</t>
        </is>
      </c>
      <c r="K1636" s="14" t="inlineStr">
        <is>
          <t>148.80</t>
        </is>
      </c>
      <c r="L1636" s="13" t="inlineStr">
        <is>
          <t>4</t>
        </is>
      </c>
      <c r="M1636" s="13" t="inlineStr">
        <is>
          <t>Completed</t>
        </is>
      </c>
      <c r="N1636" s="13" t="inlineStr">
        <is>
          <t>A. Shah</t>
        </is>
      </c>
    </row>
    <row r="1637">
      <c r="A1637" s="13" t="inlineStr">
        <is>
          <t>EDGE-ZERO</t>
        </is>
      </c>
      <c r="B1637" s="13" t="inlineStr">
        <is>
          <t>08/01/2024</t>
        </is>
      </c>
      <c r="C1637" s="13" t="inlineStr">
        <is>
          <t>North</t>
        </is>
      </c>
      <c r="D1637" s="13" t="inlineStr">
        <is>
          <t>Store</t>
        </is>
      </c>
      <c r="E1637" s="13" t="inlineStr">
        <is>
          <t>Lighting</t>
        </is>
      </c>
      <c r="F1637" s="13" t="inlineStr">
        <is>
          <t>Arc Lamp</t>
        </is>
      </c>
      <c r="G1637" s="13" t="inlineStr">
        <is>
          <t>Consumer</t>
        </is>
      </c>
      <c r="H1637" s="13" t="inlineStr">
        <is>
          <t>0</t>
        </is>
      </c>
      <c r="I1637" s="14" t="inlineStr">
        <is>
          <t>310.00</t>
        </is>
      </c>
      <c r="J1637" s="15" t="inlineStr">
        <is>
          <t>0.05</t>
        </is>
      </c>
      <c r="K1637" s="14" t="inlineStr">
        <is>
          <t>148.80</t>
        </is>
      </c>
      <c r="L1637" s="13" t="inlineStr">
        <is>
          <t>4</t>
        </is>
      </c>
      <c r="M1637" s="13" t="inlineStr">
        <is>
          <t>Completed</t>
        </is>
      </c>
      <c r="N1637" s="13" t="inlineStr">
        <is>
          <t>A. Shah</t>
        </is>
      </c>
    </row>
    <row r="1638">
      <c r="A1638" s="13" t="inlineStr">
        <is>
          <t>EDGE-CONF</t>
        </is>
      </c>
      <c r="B1638" s="13" t="inlineStr">
        <is>
          <t>03/03/2024</t>
        </is>
      </c>
      <c r="C1638" s="13" t="inlineStr">
        <is>
          <t>North</t>
        </is>
      </c>
      <c r="D1638" s="13" t="inlineStr">
        <is>
          <t>Store</t>
        </is>
      </c>
      <c r="E1638" s="13" t="inlineStr">
        <is>
          <t>Lighting</t>
        </is>
      </c>
      <c r="F1638" s="13" t="inlineStr">
        <is>
          <t>Arc Lamp</t>
        </is>
      </c>
      <c r="G1638" s="13" t="inlineStr">
        <is>
          <t>Consumer</t>
        </is>
      </c>
      <c r="H1638" s="13" t="inlineStr">
        <is>
          <t>1</t>
        </is>
      </c>
      <c r="I1638" s="14" t="inlineStr">
        <is>
          <t>100.00</t>
        </is>
      </c>
      <c r="J1638" s="15" t="inlineStr">
        <is>
          <t>0.05</t>
        </is>
      </c>
      <c r="K1638" s="14" t="inlineStr">
        <is>
          <t>40.00</t>
        </is>
      </c>
      <c r="L1638" s="13" t="inlineStr">
        <is>
          <t>4</t>
        </is>
      </c>
      <c r="M1638" s="13" t="inlineStr">
        <is>
          <t>Completed</t>
        </is>
      </c>
      <c r="N1638" s="13" t="inlineStr">
        <is>
          <t>A. Shah</t>
        </is>
      </c>
    </row>
    <row r="1639">
      <c r="A1639" s="13" t="inlineStr">
        <is>
          <t>EDGE-CONF</t>
        </is>
      </c>
      <c r="B1639" s="13" t="inlineStr">
        <is>
          <t>03/04/2024</t>
        </is>
      </c>
      <c r="C1639" s="13" t="inlineStr">
        <is>
          <t>West</t>
        </is>
      </c>
      <c r="D1639" s="13" t="inlineStr">
        <is>
          <t>Store</t>
        </is>
      </c>
      <c r="E1639" s="13" t="inlineStr">
        <is>
          <t>Lighting</t>
        </is>
      </c>
      <c r="F1639" s="13" t="inlineStr">
        <is>
          <t>Arc Lamp</t>
        </is>
      </c>
      <c r="G1639" s="13" t="inlineStr">
        <is>
          <t>Consumer</t>
        </is>
      </c>
      <c r="H1639" s="13" t="inlineStr">
        <is>
          <t>2</t>
        </is>
      </c>
      <c r="I1639" s="14" t="inlineStr">
        <is>
          <t>400.00</t>
        </is>
      </c>
      <c r="J1639" s="15" t="inlineStr">
        <is>
          <t>0.05</t>
        </is>
      </c>
      <c r="K1639" s="14" t="inlineStr">
        <is>
          <t>120.00</t>
        </is>
      </c>
      <c r="L1639" s="13" t="inlineStr">
        <is>
          <t>4</t>
        </is>
      </c>
      <c r="M1639" s="13" t="inlineStr">
        <is>
          <t>Completed</t>
        </is>
      </c>
      <c r="N1639" s="13" t="inlineStr">
        <is>
          <t>A. Shah</t>
        </is>
      </c>
    </row>
    <row r="1640">
      <c r="A1640" s="13" t="inlineStr">
        <is>
          <t>EDGE-PCT</t>
        </is>
      </c>
      <c r="B1640" s="13" t="inlineStr">
        <is>
          <t>09/09/2024</t>
        </is>
      </c>
      <c r="C1640" s="13" t="inlineStr">
        <is>
          <t>North</t>
        </is>
      </c>
      <c r="D1640" s="13" t="inlineStr">
        <is>
          <t>Store</t>
        </is>
      </c>
      <c r="E1640" s="13" t="inlineStr">
        <is>
          <t>Lighting</t>
        </is>
      </c>
      <c r="F1640" s="13" t="inlineStr">
        <is>
          <t>Arc Lamp</t>
        </is>
      </c>
      <c r="G1640" s="13" t="inlineStr">
        <is>
          <t>Consumer</t>
        </is>
      </c>
      <c r="H1640" s="13" t="inlineStr">
        <is>
          <t>2</t>
        </is>
      </c>
      <c r="I1640" s="14" t="inlineStr">
        <is>
          <t>310.00</t>
        </is>
      </c>
      <c r="J1640" s="15" t="inlineStr">
        <is>
          <t>20%</t>
        </is>
      </c>
      <c r="K1640" s="14" t="inlineStr">
        <is>
          <t>148.80</t>
        </is>
      </c>
      <c r="L1640" s="13" t="inlineStr">
        <is>
          <t>4</t>
        </is>
      </c>
      <c r="M1640" s="13" t="inlineStr">
        <is>
          <t>Completed</t>
        </is>
      </c>
      <c r="N1640" s="13" t="inlineStr">
        <is>
          <t>A. Shah</t>
        </is>
      </c>
    </row>
    <row r="1641">
      <c r="A1641" s="13" t="inlineStr">
        <is>
          <t>EDGE-LEAP</t>
        </is>
      </c>
      <c r="B1641" s="13" t="inlineStr">
        <is>
          <t>2024/02/29</t>
        </is>
      </c>
      <c r="C1641" s="13" t="inlineStr">
        <is>
          <t>North</t>
        </is>
      </c>
      <c r="D1641" s="13" t="inlineStr">
        <is>
          <t>Store</t>
        </is>
      </c>
      <c r="E1641" s="13" t="inlineStr">
        <is>
          <t>Lighting</t>
        </is>
      </c>
      <c r="F1641" s="13" t="inlineStr">
        <is>
          <t>Arc Lamp</t>
        </is>
      </c>
      <c r="G1641" s="13" t="inlineStr">
        <is>
          <t>Consumer</t>
        </is>
      </c>
      <c r="H1641" s="13" t="inlineStr">
        <is>
          <t>1</t>
        </is>
      </c>
      <c r="I1641" s="14" t="inlineStr">
        <is>
          <t>310.00</t>
        </is>
      </c>
      <c r="J1641" s="15" t="inlineStr">
        <is>
          <t>0.05</t>
        </is>
      </c>
      <c r="K1641" s="14" t="inlineStr">
        <is>
          <t>148.80</t>
        </is>
      </c>
      <c r="L1641" s="13" t="inlineStr">
        <is>
          <t>4</t>
        </is>
      </c>
      <c r="M1641" s="13" t="inlineStr">
        <is>
          <t>Completed</t>
        </is>
      </c>
      <c r="N1641" s="13" t="inlineStr">
        <is>
          <t>A. Shah</t>
        </is>
      </c>
    </row>
    <row r="1642">
      <c r="A1642" s="13" t="inlineStr">
        <is>
          <t>EDGE-SEG</t>
        </is>
      </c>
      <c r="B1642" s="13" t="inlineStr">
        <is>
          <t>10/10/2024</t>
        </is>
      </c>
      <c r="C1642" s="13" t="inlineStr">
        <is>
          <t>North</t>
        </is>
      </c>
      <c r="D1642" s="13" t="inlineStr">
        <is>
          <t>Store</t>
        </is>
      </c>
      <c r="E1642" s="13" t="inlineStr">
        <is>
          <t>Lighting</t>
        </is>
      </c>
      <c r="F1642" s="13" t="inlineStr">
        <is>
          <t>Arc Lamp</t>
        </is>
      </c>
      <c r="G1642" s="13" t="inlineStr"/>
      <c r="H1642" s="13" t="inlineStr">
        <is>
          <t>2</t>
        </is>
      </c>
      <c r="I1642" s="14" t="inlineStr">
        <is>
          <t>310.00</t>
        </is>
      </c>
      <c r="J1642" s="15" t="inlineStr">
        <is>
          <t>0.05</t>
        </is>
      </c>
      <c r="K1642" s="14" t="inlineStr">
        <is>
          <t>148.80</t>
        </is>
      </c>
      <c r="L1642" s="13" t="inlineStr">
        <is>
          <t>4</t>
        </is>
      </c>
      <c r="M1642" s="13" t="inlineStr">
        <is>
          <t>Completed</t>
        </is>
      </c>
      <c r="N1642" s="13" t="inlineStr">
        <is>
          <t>A. Shah</t>
        </is>
      </c>
    </row>
    <row r="1643">
      <c r="A1643" s="13" t="inlineStr">
        <is>
          <t>EDGE-SHIP</t>
        </is>
      </c>
      <c r="B1643" s="13" t="inlineStr">
        <is>
          <t>11/11/2024</t>
        </is>
      </c>
      <c r="C1643" s="13" t="inlineStr">
        <is>
          <t>North</t>
        </is>
      </c>
      <c r="D1643" s="13" t="inlineStr">
        <is>
          <t>Store</t>
        </is>
      </c>
      <c r="E1643" s="13" t="inlineStr">
        <is>
          <t>Lighting</t>
        </is>
      </c>
      <c r="F1643" s="13" t="inlineStr">
        <is>
          <t>Arc Lamp</t>
        </is>
      </c>
      <c r="G1643" s="13" t="inlineStr">
        <is>
          <t>Consumer</t>
        </is>
      </c>
      <c r="H1643" s="13" t="inlineStr">
        <is>
          <t>2</t>
        </is>
      </c>
      <c r="I1643" s="14" t="inlineStr">
        <is>
          <t>310.00</t>
        </is>
      </c>
      <c r="J1643" s="15" t="inlineStr">
        <is>
          <t>0.05</t>
        </is>
      </c>
      <c r="K1643" s="14" t="inlineStr">
        <is>
          <t>148.80</t>
        </is>
      </c>
      <c r="L1643" s="13" t="inlineStr">
        <is>
          <t>N/A</t>
        </is>
      </c>
      <c r="M1643" s="13" t="inlineStr">
        <is>
          <t>Completed</t>
        </is>
      </c>
      <c r="N1643" s="13" t="inlineStr">
        <is>
          <t>A. Shah</t>
        </is>
      </c>
    </row>
    <row r="1644">
      <c r="A1644" s="13" t="inlineStr">
        <is>
          <t>EDGE-SHIPNEG</t>
        </is>
      </c>
      <c r="B1644" s="13" t="inlineStr">
        <is>
          <t>11/12/2024</t>
        </is>
      </c>
      <c r="C1644" s="13" t="inlineStr">
        <is>
          <t>North</t>
        </is>
      </c>
      <c r="D1644" s="13" t="inlineStr">
        <is>
          <t>Store</t>
        </is>
      </c>
      <c r="E1644" s="13" t="inlineStr">
        <is>
          <t>Lighting</t>
        </is>
      </c>
      <c r="F1644" s="13" t="inlineStr">
        <is>
          <t>Arc Lamp</t>
        </is>
      </c>
      <c r="G1644" s="13" t="inlineStr">
        <is>
          <t>Consumer</t>
        </is>
      </c>
      <c r="H1644" s="13" t="inlineStr">
        <is>
          <t>2</t>
        </is>
      </c>
      <c r="I1644" s="14" t="inlineStr">
        <is>
          <t>310.00</t>
        </is>
      </c>
      <c r="J1644" s="15" t="inlineStr">
        <is>
          <t>0.05</t>
        </is>
      </c>
      <c r="K1644" s="14" t="inlineStr">
        <is>
          <t>148.80</t>
        </is>
      </c>
      <c r="L1644" s="13" t="inlineStr">
        <is>
          <t>-4</t>
        </is>
      </c>
      <c r="M1644" s="13" t="inlineStr">
        <is>
          <t>Completed</t>
        </is>
      </c>
      <c r="N1644" s="13" t="inlineStr">
        <is>
          <t>A. Shah</t>
        </is>
      </c>
    </row>
    <row r="1645">
      <c r="A1645" s="13" t="inlineStr">
        <is>
          <t>EDGE-PRICE</t>
        </is>
      </c>
      <c r="B1645" s="13" t="inlineStr">
        <is>
          <t>12/01/2024</t>
        </is>
      </c>
      <c r="C1645" s="13" t="inlineStr">
        <is>
          <t>North</t>
        </is>
      </c>
      <c r="D1645" s="13" t="inlineStr">
        <is>
          <t>Store</t>
        </is>
      </c>
      <c r="E1645" s="13" t="inlineStr">
        <is>
          <t>Lighting</t>
        </is>
      </c>
      <c r="F1645" s="13" t="inlineStr">
        <is>
          <t>Arc Lamp</t>
        </is>
      </c>
      <c r="G1645" s="13" t="inlineStr">
        <is>
          <t>Consumer</t>
        </is>
      </c>
      <c r="H1645" s="13" t="inlineStr">
        <is>
          <t>2</t>
        </is>
      </c>
      <c r="I1645" s="14" t="inlineStr">
        <is>
          <t>(50.00)</t>
        </is>
      </c>
      <c r="J1645" s="15" t="inlineStr">
        <is>
          <t>0.05</t>
        </is>
      </c>
      <c r="K1645" s="14" t="inlineStr">
        <is>
          <t>148.80</t>
        </is>
      </c>
      <c r="L1645" s="13" t="inlineStr">
        <is>
          <t>4</t>
        </is>
      </c>
      <c r="M1645" s="13" t="inlineStr">
        <is>
          <t>Completed</t>
        </is>
      </c>
      <c r="N1645" s="13" t="inlineStr">
        <is>
          <t>A. Shah</t>
        </is>
      </c>
    </row>
    <row r="1646">
      <c r="A1646" s="13" t="inlineStr">
        <is>
          <t>EDGE-OLD</t>
        </is>
      </c>
      <c r="B1646" s="13" t="inlineStr">
        <is>
          <t>2023-12-01</t>
        </is>
      </c>
      <c r="C1646" s="13" t="inlineStr">
        <is>
          <t>East</t>
        </is>
      </c>
      <c r="D1646" s="13" t="inlineStr">
        <is>
          <t>Store</t>
        </is>
      </c>
      <c r="E1646" s="13" t="inlineStr">
        <is>
          <t>Lighting</t>
        </is>
      </c>
      <c r="F1646" s="13" t="inlineStr">
        <is>
          <t>Arc Lamp</t>
        </is>
      </c>
      <c r="G1646" s="13" t="inlineStr">
        <is>
          <t>Consumer</t>
        </is>
      </c>
      <c r="H1646" s="13" t="inlineStr">
        <is>
          <t>2</t>
        </is>
      </c>
      <c r="I1646" s="14" t="inlineStr">
        <is>
          <t>310.00</t>
        </is>
      </c>
      <c r="J1646" s="15" t="inlineStr">
        <is>
          <t>0.05</t>
        </is>
      </c>
      <c r="K1646" s="14" t="inlineStr">
        <is>
          <t>148.80</t>
        </is>
      </c>
      <c r="L1646" s="13" t="inlineStr">
        <is>
          <t>4</t>
        </is>
      </c>
      <c r="M1646" s="13" t="inlineStr">
        <is>
          <t>Completed</t>
        </is>
      </c>
      <c r="N1646" s="13" t="inlineStr">
        <is>
          <t>A. Shah</t>
        </is>
      </c>
    </row>
    <row r="1647">
      <c r="A1647" s="13" t="inlineStr">
        <is>
          <t>EDGE-FUTURE</t>
        </is>
      </c>
      <c r="B1647" s="13" t="inlineStr">
        <is>
          <t>10/15/2025</t>
        </is>
      </c>
      <c r="C1647" s="13" t="inlineStr">
        <is>
          <t>West</t>
        </is>
      </c>
      <c r="D1647" s="13" t="inlineStr">
        <is>
          <t>Store</t>
        </is>
      </c>
      <c r="E1647" s="13" t="inlineStr">
        <is>
          <t>Lighting</t>
        </is>
      </c>
      <c r="F1647" s="13" t="inlineStr">
        <is>
          <t>Arc Lamp</t>
        </is>
      </c>
      <c r="G1647" s="13" t="inlineStr">
        <is>
          <t>Consumer</t>
        </is>
      </c>
      <c r="H1647" s="13" t="inlineStr">
        <is>
          <t>2</t>
        </is>
      </c>
      <c r="I1647" s="14" t="inlineStr">
        <is>
          <t>310.00</t>
        </is>
      </c>
      <c r="J1647" s="15" t="inlineStr">
        <is>
          <t>0.05</t>
        </is>
      </c>
      <c r="K1647" s="14" t="inlineStr">
        <is>
          <t>148.80</t>
        </is>
      </c>
      <c r="L1647" s="13" t="inlineStr">
        <is>
          <t>4</t>
        </is>
      </c>
      <c r="M1647" s="13" t="inlineStr">
        <is>
          <t>Completed</t>
        </is>
      </c>
      <c r="N1647" s="13" t="inlineStr">
        <is>
          <t>A. Shah</t>
        </is>
      </c>
    </row>
    <row r="1648">
      <c r="A1648" s="13" t="inlineStr">
        <is>
          <t>EDGE-SPACE</t>
        </is>
      </c>
      <c r="B1648" s="13" t="inlineStr">
        <is>
          <t>12.12.2024</t>
        </is>
      </c>
      <c r="C1648" s="13" t="inlineStr">
        <is>
          <t xml:space="preserve"> west </t>
        </is>
      </c>
      <c r="D1648" s="13" t="inlineStr">
        <is>
          <t>Store</t>
        </is>
      </c>
      <c r="E1648" s="13" t="inlineStr">
        <is>
          <t>Lighting</t>
        </is>
      </c>
      <c r="F1648" s="13" t="inlineStr">
        <is>
          <t>Arc Lamp</t>
        </is>
      </c>
      <c r="G1648" s="13" t="inlineStr">
        <is>
          <t>Consumer</t>
        </is>
      </c>
      <c r="H1648" s="13" t="inlineStr">
        <is>
          <t>2</t>
        </is>
      </c>
      <c r="I1648" s="14" t="inlineStr">
        <is>
          <t>310.00</t>
        </is>
      </c>
      <c r="J1648" s="15" t="inlineStr">
        <is>
          <t>0.05</t>
        </is>
      </c>
      <c r="K1648" s="14" t="inlineStr">
        <is>
          <t>148.80</t>
        </is>
      </c>
      <c r="L1648" s="13" t="inlineStr">
        <is>
          <t>4</t>
        </is>
      </c>
      <c r="M1648" s="13" t="inlineStr">
        <is>
          <t>Completed</t>
        </is>
      </c>
      <c r="N1648" s="13" t="inlineStr">
        <is>
          <t>A. Shah</t>
        </is>
      </c>
    </row>
    <row r="1649">
      <c r="A1649" s="13" t="inlineStr">
        <is>
          <t>EDGE-RETURN</t>
        </is>
      </c>
      <c r="B1649" s="13" t="inlineStr">
        <is>
          <t>01/18/2025</t>
        </is>
      </c>
      <c r="C1649" s="13" t="inlineStr">
        <is>
          <t>North</t>
        </is>
      </c>
      <c r="D1649" s="13" t="inlineStr">
        <is>
          <t>Store</t>
        </is>
      </c>
      <c r="E1649" s="13" t="inlineStr">
        <is>
          <t>Textiles</t>
        </is>
      </c>
      <c r="F1649" s="13" t="inlineStr">
        <is>
          <t>Wool Throw</t>
        </is>
      </c>
      <c r="G1649" s="13" t="inlineStr">
        <is>
          <t>Consumer</t>
        </is>
      </c>
      <c r="H1649" s="13" t="inlineStr">
        <is>
          <t>2</t>
        </is>
      </c>
      <c r="I1649" s="14" t="inlineStr">
        <is>
          <t>310.00</t>
        </is>
      </c>
      <c r="J1649" s="15" t="inlineStr">
        <is>
          <t>0.05</t>
        </is>
      </c>
      <c r="K1649" s="14" t="inlineStr">
        <is>
          <t>148.80</t>
        </is>
      </c>
      <c r="L1649" s="13" t="inlineStr">
        <is>
          <t>4</t>
        </is>
      </c>
      <c r="M1649" s="13" t="inlineStr">
        <is>
          <t>RETURNED</t>
        </is>
      </c>
      <c r="N1649" s="13" t="inlineStr">
        <is>
          <t>A. Shah</t>
        </is>
      </c>
    </row>
    <row r="1650">
      <c r="A1650" s="13" t="inlineStr">
        <is>
          <t>EDGE-CLEARANCE</t>
        </is>
      </c>
      <c r="B1650" s="13" t="inlineStr">
        <is>
          <t>02/14/2025</t>
        </is>
      </c>
      <c r="C1650" s="13" t="inlineStr">
        <is>
          <t>East</t>
        </is>
      </c>
      <c r="D1650" s="13" t="inlineStr">
        <is>
          <t>Store</t>
        </is>
      </c>
      <c r="E1650" s="13" t="inlineStr">
        <is>
          <t>Furniture</t>
        </is>
      </c>
      <c r="F1650" s="13" t="inlineStr">
        <is>
          <t>Lounge Chair</t>
        </is>
      </c>
      <c r="G1650" s="13" t="inlineStr">
        <is>
          <t>Consumer</t>
        </is>
      </c>
      <c r="H1650" s="13" t="inlineStr">
        <is>
          <t>1</t>
        </is>
      </c>
      <c r="I1650" s="14" t="inlineStr">
        <is>
          <t>200.00</t>
        </is>
      </c>
      <c r="J1650" s="15" t="inlineStr">
        <is>
          <t>15%</t>
        </is>
      </c>
      <c r="K1650" s="14" t="inlineStr">
        <is>
          <t>190.00</t>
        </is>
      </c>
      <c r="L1650" s="13" t="inlineStr">
        <is>
          <t>4</t>
        </is>
      </c>
      <c r="M1650" s="13" t="inlineStr">
        <is>
          <t>Completed</t>
        </is>
      </c>
      <c r="N1650" s="13" t="inlineStr">
        <is>
          <t>A. Shah</t>
        </is>
      </c>
    </row>
  </sheetData>
  <autoFilter ref="A1:N16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4" customWidth="1" min="3" max="3"/>
  </cols>
  <sheetData>
    <row r="1" ht="32" customHeight="1">
      <c r="A1" s="1" t="inlineStr">
        <is>
          <t>Alias maps</t>
        </is>
      </c>
      <c r="B1" s="2" t="n"/>
      <c r="C1" s="2" t="n"/>
      <c r="D1" s="2" t="n"/>
    </row>
    <row r="2" ht="20" customHeight="1">
      <c r="A2" s="3" t="inlineStr">
        <is>
          <t>The cleaning stage applies these maps. They are reproduced here so the workbook can be audited without opening the Python code.</t>
        </is>
      </c>
      <c r="B2" s="4" t="n"/>
      <c r="C2" s="4" t="n"/>
      <c r="D2" s="4" t="n"/>
    </row>
    <row r="4">
      <c r="B4" s="16" t="inlineStr">
        <is>
          <t>Alias</t>
        </is>
      </c>
      <c r="C4" s="16" t="inlineStr">
        <is>
          <t>Standard value</t>
        </is>
      </c>
    </row>
    <row r="5">
      <c r="B5" s="17" t="inlineStr">
        <is>
          <t>north</t>
        </is>
      </c>
      <c r="C5" s="17" t="inlineStr">
        <is>
          <t>North</t>
        </is>
      </c>
    </row>
    <row r="6">
      <c r="B6" s="17" t="inlineStr">
        <is>
          <t>nort</t>
        </is>
      </c>
      <c r="C6" s="17" t="inlineStr">
        <is>
          <t>North</t>
        </is>
      </c>
    </row>
    <row r="7">
      <c r="B7" s="17" t="inlineStr">
        <is>
          <t>south</t>
        </is>
      </c>
      <c r="C7" s="17" t="inlineStr">
        <is>
          <t>South</t>
        </is>
      </c>
    </row>
    <row r="8">
      <c r="B8" s="17" t="inlineStr">
        <is>
          <t>sout</t>
        </is>
      </c>
      <c r="C8" s="17" t="inlineStr">
        <is>
          <t>South</t>
        </is>
      </c>
    </row>
    <row r="9">
      <c r="B9" s="17" t="inlineStr">
        <is>
          <t>east</t>
        </is>
      </c>
      <c r="C9" s="17" t="inlineStr">
        <is>
          <t>East</t>
        </is>
      </c>
    </row>
    <row r="10">
      <c r="B10" s="17" t="inlineStr">
        <is>
          <t>eas</t>
        </is>
      </c>
      <c r="C10" s="17" t="inlineStr">
        <is>
          <t>East</t>
        </is>
      </c>
    </row>
    <row r="11">
      <c r="B11" s="17" t="inlineStr">
        <is>
          <t>west</t>
        </is>
      </c>
      <c r="C11" s="17" t="inlineStr">
        <is>
          <t>West</t>
        </is>
      </c>
    </row>
    <row r="12">
      <c r="B12" s="17" t="inlineStr">
        <is>
          <t>wes</t>
        </is>
      </c>
      <c r="C12" s="17" t="inlineStr">
        <is>
          <t>West</t>
        </is>
      </c>
    </row>
    <row r="14">
      <c r="B14" s="16" t="inlineStr">
        <is>
          <t>Alias</t>
        </is>
      </c>
      <c r="C14" s="16" t="inlineStr">
        <is>
          <t>Standard value</t>
        </is>
      </c>
    </row>
    <row r="15">
      <c r="B15" s="17" t="inlineStr">
        <is>
          <t>store</t>
        </is>
      </c>
      <c r="C15" s="17" t="inlineStr">
        <is>
          <t>Store</t>
        </is>
      </c>
    </row>
    <row r="16">
      <c r="B16" s="17" t="inlineStr">
        <is>
          <t>retail</t>
        </is>
      </c>
      <c r="C16" s="17" t="inlineStr">
        <is>
          <t>Store</t>
        </is>
      </c>
    </row>
    <row r="17">
      <c r="B17" s="17" t="inlineStr">
        <is>
          <t>in-store</t>
        </is>
      </c>
      <c r="C17" s="17" t="inlineStr">
        <is>
          <t>Store</t>
        </is>
      </c>
    </row>
    <row r="18">
      <c r="B18" s="17" t="inlineStr">
        <is>
          <t>instore</t>
        </is>
      </c>
      <c r="C18" s="17" t="inlineStr">
        <is>
          <t>Store</t>
        </is>
      </c>
    </row>
    <row r="19">
      <c r="B19" s="17" t="inlineStr">
        <is>
          <t>online</t>
        </is>
      </c>
      <c r="C19" s="17" t="inlineStr">
        <is>
          <t>Online</t>
        </is>
      </c>
    </row>
    <row r="20">
      <c r="B20" s="17" t="inlineStr">
        <is>
          <t>web</t>
        </is>
      </c>
      <c r="C20" s="17" t="inlineStr">
        <is>
          <t>Online</t>
        </is>
      </c>
    </row>
    <row r="21">
      <c r="B21" s="17" t="inlineStr">
        <is>
          <t>ecommerce</t>
        </is>
      </c>
      <c r="C21" s="17" t="inlineStr">
        <is>
          <t>Online</t>
        </is>
      </c>
    </row>
    <row r="22">
      <c r="B22" s="17" t="inlineStr">
        <is>
          <t>e-commerce</t>
        </is>
      </c>
      <c r="C22" s="17" t="inlineStr">
        <is>
          <t>Online</t>
        </is>
      </c>
    </row>
    <row r="23">
      <c r="B23" s="17" t="inlineStr">
        <is>
          <t>wholesale</t>
        </is>
      </c>
      <c r="C23" s="17" t="inlineStr">
        <is>
          <t>Wholesale</t>
        </is>
      </c>
    </row>
    <row r="24">
      <c r="B24" s="17" t="inlineStr">
        <is>
          <t>b2b</t>
        </is>
      </c>
      <c r="C24" s="17" t="inlineStr">
        <is>
          <t>Wholesale</t>
        </is>
      </c>
    </row>
    <row r="26">
      <c r="B26" s="16" t="inlineStr">
        <is>
          <t>Alias</t>
        </is>
      </c>
      <c r="C26" s="16" t="inlineStr">
        <is>
          <t>Standard value</t>
        </is>
      </c>
    </row>
    <row r="27">
      <c r="B27" s="17" t="inlineStr">
        <is>
          <t>furniture</t>
        </is>
      </c>
      <c r="C27" s="17" t="inlineStr">
        <is>
          <t>Furniture</t>
        </is>
      </c>
    </row>
    <row r="28">
      <c r="B28" s="17" t="inlineStr">
        <is>
          <t>lighting</t>
        </is>
      </c>
      <c r="C28" s="17" t="inlineStr">
        <is>
          <t>Lighting</t>
        </is>
      </c>
    </row>
    <row r="29">
      <c r="B29" s="17" t="inlineStr">
        <is>
          <t>textiles</t>
        </is>
      </c>
      <c r="C29" s="17" t="inlineStr">
        <is>
          <t>Textiles</t>
        </is>
      </c>
    </row>
    <row r="30">
      <c r="B30" s="17" t="inlineStr">
        <is>
          <t>kitchen</t>
        </is>
      </c>
      <c r="C30" s="17" t="inlineStr">
        <is>
          <t>Kitchen</t>
        </is>
      </c>
    </row>
    <row r="32">
      <c r="B32" s="16" t="inlineStr">
        <is>
          <t>Alias</t>
        </is>
      </c>
      <c r="C32" s="16" t="inlineStr">
        <is>
          <t>Standard value</t>
        </is>
      </c>
    </row>
    <row r="33">
      <c r="B33" s="17" t="inlineStr">
        <is>
          <t>completed</t>
        </is>
      </c>
      <c r="C33" s="17" t="inlineStr">
        <is>
          <t>Completed</t>
        </is>
      </c>
    </row>
    <row r="34">
      <c r="B34" s="17" t="inlineStr">
        <is>
          <t>complete</t>
        </is>
      </c>
      <c r="C34" s="17" t="inlineStr">
        <is>
          <t>Completed</t>
        </is>
      </c>
    </row>
    <row r="35">
      <c r="B35" s="17" t="inlineStr">
        <is>
          <t>compleated</t>
        </is>
      </c>
      <c r="C35" s="17" t="inlineStr">
        <is>
          <t>Completed</t>
        </is>
      </c>
    </row>
    <row r="36">
      <c r="B36" s="17" t="inlineStr">
        <is>
          <t>closed</t>
        </is>
      </c>
      <c r="C36" s="17" t="inlineStr">
        <is>
          <t>Completed</t>
        </is>
      </c>
    </row>
    <row r="37">
      <c r="B37" s="17" t="inlineStr">
        <is>
          <t>returned</t>
        </is>
      </c>
      <c r="C37" s="17" t="inlineStr">
        <is>
          <t>Returned</t>
        </is>
      </c>
    </row>
    <row r="38">
      <c r="B38" s="17" t="inlineStr">
        <is>
          <t>return</t>
        </is>
      </c>
      <c r="C38" s="17" t="inlineStr">
        <is>
          <t>Returned</t>
        </is>
      </c>
    </row>
    <row r="39">
      <c r="B39" s="17" t="inlineStr">
        <is>
          <t>retrned</t>
        </is>
      </c>
      <c r="C39" s="17" t="inlineStr">
        <is>
          <t>Returned</t>
        </is>
      </c>
    </row>
    <row r="40">
      <c r="B40" s="17" t="inlineStr">
        <is>
          <t>cancelled</t>
        </is>
      </c>
      <c r="C40" s="17" t="inlineStr">
        <is>
          <t>Cancelled</t>
        </is>
      </c>
    </row>
    <row r="41">
      <c r="B41" s="17" t="inlineStr">
        <is>
          <t>canceled</t>
        </is>
      </c>
      <c r="C41" s="17" t="inlineStr">
        <is>
          <t>Cancelled</t>
        </is>
      </c>
    </row>
    <row r="42">
      <c r="B42" s="17" t="inlineStr">
        <is>
          <t>cancled</t>
        </is>
      </c>
      <c r="C42" s="17" t="inlineStr">
        <is>
          <t>Cancelled</t>
        </is>
      </c>
    </row>
    <row r="44">
      <c r="B44" s="16" t="inlineStr">
        <is>
          <t>Alias</t>
        </is>
      </c>
      <c r="C44" s="16" t="inlineStr">
        <is>
          <t>Standard value</t>
        </is>
      </c>
    </row>
    <row r="45">
      <c r="B45" s="17" t="inlineStr">
        <is>
          <t>consumer</t>
        </is>
      </c>
      <c r="C45" s="17" t="inlineStr">
        <is>
          <t>Consumer</t>
        </is>
      </c>
    </row>
    <row r="46">
      <c r="B46" s="17" t="inlineStr">
        <is>
          <t>corporate</t>
        </is>
      </c>
      <c r="C46" s="17" t="inlineStr">
        <is>
          <t>Corporate</t>
        </is>
      </c>
    </row>
    <row r="47">
      <c r="B47" s="17" t="inlineStr">
        <is>
          <t>home office</t>
        </is>
      </c>
      <c r="C47" s="17" t="inlineStr">
        <is>
          <t>Home Office</t>
        </is>
      </c>
    </row>
    <row r="48">
      <c r="B48" s="17" t="inlineStr">
        <is>
          <t>homeoffice</t>
        </is>
      </c>
      <c r="C48" s="17" t="inlineStr">
        <is>
          <t>Home Office</t>
        </is>
      </c>
    </row>
    <row r="49">
      <c r="B49" s="17" t="inlineStr">
        <is>
          <t>home-office</t>
        </is>
      </c>
      <c r="C49" s="17" t="inlineStr">
        <is>
          <t>Home Office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6F64"/>
    <outlinePr summaryBelow="1" summaryRight="1"/>
    <pageSetUpPr/>
  </sheetPr>
  <dimension ref="A1:Y1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7" t="inlineStr">
        <is>
          <t>OrderID</t>
        </is>
      </c>
      <c r="B1" s="7" t="inlineStr">
        <is>
          <t>OrderDate</t>
        </is>
      </c>
      <c r="C1" s="7" t="inlineStr">
        <is>
          <t>Region</t>
        </is>
      </c>
      <c r="D1" s="7" t="inlineStr">
        <is>
          <t>Channel</t>
        </is>
      </c>
      <c r="E1" s="7" t="inlineStr">
        <is>
          <t>Category</t>
        </is>
      </c>
      <c r="F1" s="7" t="inlineStr">
        <is>
          <t>Product</t>
        </is>
      </c>
      <c r="G1" s="7" t="inlineStr">
        <is>
          <t>Segment</t>
        </is>
      </c>
      <c r="H1" s="7" t="inlineStr">
        <is>
          <t>Quantity</t>
        </is>
      </c>
      <c r="I1" s="7" t="inlineStr">
        <is>
          <t>UnitPrice</t>
        </is>
      </c>
      <c r="J1" s="7" t="inlineStr">
        <is>
          <t>Discount</t>
        </is>
      </c>
      <c r="K1" s="7" t="inlineStr">
        <is>
          <t>UnitCost</t>
        </is>
      </c>
      <c r="L1" s="7" t="inlineStr">
        <is>
          <t>ShipDays</t>
        </is>
      </c>
      <c r="M1" s="7" t="inlineStr">
        <is>
          <t>Status</t>
        </is>
      </c>
      <c r="N1" s="7" t="inlineStr">
        <is>
          <t>SalesRep</t>
        </is>
      </c>
      <c r="O1" s="7" t="inlineStr">
        <is>
          <t>QtyAdjusted</t>
        </is>
      </c>
      <c r="P1" s="7" t="inlineStr">
        <is>
          <t>GrossRevenue</t>
        </is>
      </c>
      <c r="Q1" s="7" t="inlineStr">
        <is>
          <t>NetRevenue</t>
        </is>
      </c>
      <c r="R1" s="7" t="inlineStr">
        <is>
          <t>TotalCost</t>
        </is>
      </c>
      <c r="S1" s="7" t="inlineStr">
        <is>
          <t>Margin</t>
        </is>
      </c>
      <c r="T1" s="7" t="inlineStr">
        <is>
          <t>Year</t>
        </is>
      </c>
      <c r="U1" s="7" t="inlineStr">
        <is>
          <t>Quarter</t>
        </is>
      </c>
      <c r="V1" s="7" t="inlineStr">
        <is>
          <t>YearMonth</t>
        </is>
      </c>
      <c r="W1" s="7" t="inlineStr">
        <is>
          <t>LateFlag</t>
        </is>
      </c>
      <c r="X1" s="7" t="inlineStr">
        <is>
          <t>HighValueFlag</t>
        </is>
      </c>
      <c r="Y1" s="7" t="inlineStr">
        <is>
          <t>ReturnFlag</t>
        </is>
      </c>
    </row>
    <row r="2">
      <c r="A2" s="13" t="inlineStr">
        <is>
          <t>HC-100000</t>
        </is>
      </c>
      <c r="B2" s="18" t="n">
        <v>45798</v>
      </c>
      <c r="C2" s="13" t="inlineStr">
        <is>
          <t>West</t>
        </is>
      </c>
      <c r="D2" s="13" t="inlineStr">
        <is>
          <t>Online</t>
        </is>
      </c>
      <c r="E2" s="13" t="inlineStr">
        <is>
          <t>Furniture</t>
        </is>
      </c>
      <c r="F2" s="13" t="inlineStr">
        <is>
          <t>Linen Sofa</t>
        </is>
      </c>
      <c r="G2" s="13" t="inlineStr">
        <is>
          <t>Consumer</t>
        </is>
      </c>
      <c r="H2" s="13" t="n">
        <v>2</v>
      </c>
      <c r="I2" s="14" t="n">
        <v>1307.21</v>
      </c>
      <c r="J2" s="15" t="n">
        <v>0.14</v>
      </c>
      <c r="K2" s="14" t="n">
        <v>862.76</v>
      </c>
      <c r="L2" s="13" t="n">
        <v>4</v>
      </c>
      <c r="M2" s="13" t="inlineStr">
        <is>
          <t>Completed</t>
        </is>
      </c>
      <c r="N2" s="13" t="inlineStr">
        <is>
          <t>J. Patel</t>
        </is>
      </c>
      <c r="O2" s="13" t="inlineStr">
        <is>
          <t>No</t>
        </is>
      </c>
      <c r="P2" s="14">
        <f>H2*I2</f>
        <v/>
      </c>
      <c r="Q2" s="14">
        <f>P2*(1-J2)</f>
        <v/>
      </c>
      <c r="R2" s="14">
        <f>H2*K2</f>
        <v/>
      </c>
      <c r="S2" s="15">
        <f>IF(Q2=0,"",(Q2-R2)/Q2)</f>
        <v/>
      </c>
      <c r="T2" s="13">
        <f>YEAR(B2)</f>
        <v/>
      </c>
      <c r="U2" s="13">
        <f>YEAR(B2)&amp;"-Q"&amp;ROUNDUP(MONTH(B2)/3,0)</f>
        <v/>
      </c>
      <c r="V2" s="13">
        <f>TEXT(B2,"YYYY-MM")</f>
        <v/>
      </c>
      <c r="W2" s="13">
        <f>IF(L2="","",IF(L2&gt;pLateDays,1,0))</f>
        <v/>
      </c>
      <c r="X2" s="13">
        <f>IF(Q2&gt;=pHighCutoff,1,0)</f>
        <v/>
      </c>
      <c r="Y2" s="13">
        <f>IF(M2="Returned",1,0)</f>
        <v/>
      </c>
    </row>
    <row r="3">
      <c r="A3" s="13" t="inlineStr">
        <is>
          <t>HC-100001</t>
        </is>
      </c>
      <c r="B3" s="18" t="n">
        <v>45538</v>
      </c>
      <c r="C3" s="13" t="inlineStr">
        <is>
          <t>West</t>
        </is>
      </c>
      <c r="D3" s="13" t="inlineStr">
        <is>
          <t>Online</t>
        </is>
      </c>
      <c r="E3" s="13" t="inlineStr">
        <is>
          <t>Furniture</t>
        </is>
      </c>
      <c r="F3" s="13" t="inlineStr">
        <is>
          <t>Lounge Chair</t>
        </is>
      </c>
      <c r="G3" s="13" t="inlineStr">
        <is>
          <t>Home Office</t>
        </is>
      </c>
      <c r="H3" s="13" t="n">
        <v>2</v>
      </c>
      <c r="I3" s="14" t="n">
        <v>453.45</v>
      </c>
      <c r="J3" s="15" t="n">
        <v>0.03</v>
      </c>
      <c r="K3" s="14" t="n">
        <v>272.07</v>
      </c>
      <c r="L3" s="13" t="n">
        <v>10</v>
      </c>
      <c r="M3" s="13" t="inlineStr">
        <is>
          <t>Completed</t>
        </is>
      </c>
      <c r="N3" s="13" t="inlineStr">
        <is>
          <t>R. Ibarra</t>
        </is>
      </c>
      <c r="O3" s="13" t="inlineStr">
        <is>
          <t>No</t>
        </is>
      </c>
      <c r="P3" s="14">
        <f>H3*I3</f>
        <v/>
      </c>
      <c r="Q3" s="14">
        <f>P3*(1-J3)</f>
        <v/>
      </c>
      <c r="R3" s="14">
        <f>H3*K3</f>
        <v/>
      </c>
      <c r="S3" s="15">
        <f>IF(Q3=0,"",(Q3-R3)/Q3)</f>
        <v/>
      </c>
      <c r="T3" s="13">
        <f>YEAR(B3)</f>
        <v/>
      </c>
      <c r="U3" s="13">
        <f>YEAR(B3)&amp;"-Q"&amp;ROUNDUP(MONTH(B3)/3,0)</f>
        <v/>
      </c>
      <c r="V3" s="13">
        <f>TEXT(B3,"YYYY-MM")</f>
        <v/>
      </c>
      <c r="W3" s="13">
        <f>IF(L3="","",IF(L3&gt;pLateDays,1,0))</f>
        <v/>
      </c>
      <c r="X3" s="13">
        <f>IF(Q3&gt;=pHighCutoff,1,0)</f>
        <v/>
      </c>
      <c r="Y3" s="13">
        <f>IF(M3="Returned",1,0)</f>
        <v/>
      </c>
    </row>
    <row r="4">
      <c r="A4" s="13" t="inlineStr">
        <is>
          <t>HC-100002</t>
        </is>
      </c>
      <c r="B4" s="18" t="n">
        <v>45720</v>
      </c>
      <c r="C4" s="13" t="inlineStr">
        <is>
          <t>West</t>
        </is>
      </c>
      <c r="D4" s="13" t="inlineStr">
        <is>
          <t>Online</t>
        </is>
      </c>
      <c r="E4" s="13" t="inlineStr">
        <is>
          <t>Lighting</t>
        </is>
      </c>
      <c r="F4" s="13" t="inlineStr">
        <is>
          <t>Arc Lamp</t>
        </is>
      </c>
      <c r="G4" s="13" t="inlineStr">
        <is>
          <t>Corporate</t>
        </is>
      </c>
      <c r="H4" s="13" t="n">
        <v>3</v>
      </c>
      <c r="I4" s="14" t="n">
        <v>292.13</v>
      </c>
      <c r="J4" s="15" t="n">
        <v>0.13</v>
      </c>
      <c r="K4" s="14" t="n">
        <v>140.22</v>
      </c>
      <c r="L4" s="13" t="n">
        <v>6</v>
      </c>
      <c r="M4" s="13" t="inlineStr">
        <is>
          <t>Completed</t>
        </is>
      </c>
      <c r="N4" s="13" t="inlineStr">
        <is>
          <t>L. Berger</t>
        </is>
      </c>
      <c r="O4" s="13" t="inlineStr">
        <is>
          <t>No</t>
        </is>
      </c>
      <c r="P4" s="14">
        <f>H4*I4</f>
        <v/>
      </c>
      <c r="Q4" s="14">
        <f>P4*(1-J4)</f>
        <v/>
      </c>
      <c r="R4" s="14">
        <f>H4*K4</f>
        <v/>
      </c>
      <c r="S4" s="15">
        <f>IF(Q4=0,"",(Q4-R4)/Q4)</f>
        <v/>
      </c>
      <c r="T4" s="13">
        <f>YEAR(B4)</f>
        <v/>
      </c>
      <c r="U4" s="13">
        <f>YEAR(B4)&amp;"-Q"&amp;ROUNDUP(MONTH(B4)/3,0)</f>
        <v/>
      </c>
      <c r="V4" s="13">
        <f>TEXT(B4,"YYYY-MM")</f>
        <v/>
      </c>
      <c r="W4" s="13">
        <f>IF(L4="","",IF(L4&gt;pLateDays,1,0))</f>
        <v/>
      </c>
      <c r="X4" s="13">
        <f>IF(Q4&gt;=pHighCutoff,1,0)</f>
        <v/>
      </c>
      <c r="Y4" s="13">
        <f>IF(M4="Returned",1,0)</f>
        <v/>
      </c>
    </row>
    <row r="5">
      <c r="A5" s="13" t="inlineStr">
        <is>
          <t>HC-100003</t>
        </is>
      </c>
      <c r="B5" s="18" t="n">
        <v>45795</v>
      </c>
      <c r="C5" s="13" t="inlineStr">
        <is>
          <t>East</t>
        </is>
      </c>
      <c r="D5" s="13" t="inlineStr">
        <is>
          <t>Online</t>
        </is>
      </c>
      <c r="E5" s="13" t="inlineStr">
        <is>
          <t>Furniture</t>
        </is>
      </c>
      <c r="F5" s="13" t="inlineStr">
        <is>
          <t>Walnut Shelf</t>
        </is>
      </c>
      <c r="G5" s="13" t="inlineStr">
        <is>
          <t>Consumer</t>
        </is>
      </c>
      <c r="H5" s="13" t="n">
        <v>2</v>
      </c>
      <c r="I5" s="14" t="n">
        <v>188.96</v>
      </c>
      <c r="J5" s="15" t="n">
        <v>0.09</v>
      </c>
      <c r="K5" s="14" t="n">
        <v>103.93</v>
      </c>
      <c r="L5" s="13" t="n">
        <v>6</v>
      </c>
      <c r="M5" s="13" t="inlineStr">
        <is>
          <t>Completed</t>
        </is>
      </c>
      <c r="N5" s="13" t="inlineStr">
        <is>
          <t>A. Shah</t>
        </is>
      </c>
      <c r="O5" s="13" t="inlineStr">
        <is>
          <t>No</t>
        </is>
      </c>
      <c r="P5" s="14">
        <f>H5*I5</f>
        <v/>
      </c>
      <c r="Q5" s="14">
        <f>P5*(1-J5)</f>
        <v/>
      </c>
      <c r="R5" s="14">
        <f>H5*K5</f>
        <v/>
      </c>
      <c r="S5" s="15">
        <f>IF(Q5=0,"",(Q5-R5)/Q5)</f>
        <v/>
      </c>
      <c r="T5" s="13">
        <f>YEAR(B5)</f>
        <v/>
      </c>
      <c r="U5" s="13">
        <f>YEAR(B5)&amp;"-Q"&amp;ROUNDUP(MONTH(B5)/3,0)</f>
        <v/>
      </c>
      <c r="V5" s="13">
        <f>TEXT(B5,"YYYY-MM")</f>
        <v/>
      </c>
      <c r="W5" s="13">
        <f>IF(L5="","",IF(L5&gt;pLateDays,1,0))</f>
        <v/>
      </c>
      <c r="X5" s="13">
        <f>IF(Q5&gt;=pHighCutoff,1,0)</f>
        <v/>
      </c>
      <c r="Y5" s="13">
        <f>IF(M5="Returned",1,0)</f>
        <v/>
      </c>
    </row>
    <row r="6">
      <c r="A6" s="13" t="inlineStr">
        <is>
          <t>HC-100004</t>
        </is>
      </c>
      <c r="B6" s="18" t="n">
        <v>45360</v>
      </c>
      <c r="C6" s="13" t="inlineStr">
        <is>
          <t>West</t>
        </is>
      </c>
      <c r="D6" s="13" t="inlineStr">
        <is>
          <t>Online</t>
        </is>
      </c>
      <c r="E6" s="13" t="inlineStr">
        <is>
          <t>Furniture</t>
        </is>
      </c>
      <c r="F6" s="13" t="inlineStr">
        <is>
          <t>Lounge Chair</t>
        </is>
      </c>
      <c r="G6" s="13" t="inlineStr">
        <is>
          <t>Consumer</t>
        </is>
      </c>
      <c r="H6" s="13" t="n">
        <v>2</v>
      </c>
      <c r="I6" s="14" t="n">
        <v>495.08</v>
      </c>
      <c r="J6" s="15" t="n">
        <v>0.04</v>
      </c>
      <c r="K6" s="14" t="n">
        <v>297.05</v>
      </c>
      <c r="L6" s="13" t="n">
        <v>5</v>
      </c>
      <c r="M6" s="13" t="inlineStr">
        <is>
          <t>Completed</t>
        </is>
      </c>
      <c r="N6" s="13" t="inlineStr">
        <is>
          <t>P. Rossi</t>
        </is>
      </c>
      <c r="O6" s="13" t="inlineStr">
        <is>
          <t>No</t>
        </is>
      </c>
      <c r="P6" s="14">
        <f>H6*I6</f>
        <v/>
      </c>
      <c r="Q6" s="14">
        <f>P6*(1-J6)</f>
        <v/>
      </c>
      <c r="R6" s="14">
        <f>H6*K6</f>
        <v/>
      </c>
      <c r="S6" s="15">
        <f>IF(Q6=0,"",(Q6-R6)/Q6)</f>
        <v/>
      </c>
      <c r="T6" s="13">
        <f>YEAR(B6)</f>
        <v/>
      </c>
      <c r="U6" s="13">
        <f>YEAR(B6)&amp;"-Q"&amp;ROUNDUP(MONTH(B6)/3,0)</f>
        <v/>
      </c>
      <c r="V6" s="13">
        <f>TEXT(B6,"YYYY-MM")</f>
        <v/>
      </c>
      <c r="W6" s="13">
        <f>IF(L6="","",IF(L6&gt;pLateDays,1,0))</f>
        <v/>
      </c>
      <c r="X6" s="13">
        <f>IF(Q6&gt;=pHighCutoff,1,0)</f>
        <v/>
      </c>
      <c r="Y6" s="13">
        <f>IF(M6="Returned",1,0)</f>
        <v/>
      </c>
    </row>
    <row r="7">
      <c r="A7" s="13" t="inlineStr">
        <is>
          <t>HC-100005</t>
        </is>
      </c>
      <c r="B7" s="18" t="n">
        <v>45503</v>
      </c>
      <c r="C7" s="13" t="inlineStr">
        <is>
          <t>North</t>
        </is>
      </c>
      <c r="D7" s="13" t="inlineStr">
        <is>
          <t>Wholesale</t>
        </is>
      </c>
      <c r="E7" s="13" t="inlineStr">
        <is>
          <t>Lighting</t>
        </is>
      </c>
      <c r="F7" s="13" t="inlineStr">
        <is>
          <t>Brass Sconce</t>
        </is>
      </c>
      <c r="G7" s="13" t="inlineStr">
        <is>
          <t>Corporate</t>
        </is>
      </c>
      <c r="H7" s="13" t="n">
        <v>13</v>
      </c>
      <c r="I7" s="14" t="n">
        <v>141.77</v>
      </c>
      <c r="J7" s="15" t="n">
        <v>0.18</v>
      </c>
      <c r="K7" s="14" t="n">
        <v>65.22</v>
      </c>
      <c r="L7" s="13" t="n">
        <v>3</v>
      </c>
      <c r="M7" s="13" t="inlineStr">
        <is>
          <t>Completed</t>
        </is>
      </c>
      <c r="N7" s="13" t="inlineStr">
        <is>
          <t>R. Ibarra</t>
        </is>
      </c>
      <c r="O7" s="13" t="inlineStr">
        <is>
          <t>No</t>
        </is>
      </c>
      <c r="P7" s="14">
        <f>H7*I7</f>
        <v/>
      </c>
      <c r="Q7" s="14">
        <f>P7*(1-J7)</f>
        <v/>
      </c>
      <c r="R7" s="14">
        <f>H7*K7</f>
        <v/>
      </c>
      <c r="S7" s="15">
        <f>IF(Q7=0,"",(Q7-R7)/Q7)</f>
        <v/>
      </c>
      <c r="T7" s="13">
        <f>YEAR(B7)</f>
        <v/>
      </c>
      <c r="U7" s="13">
        <f>YEAR(B7)&amp;"-Q"&amp;ROUNDUP(MONTH(B7)/3,0)</f>
        <v/>
      </c>
      <c r="V7" s="13">
        <f>TEXT(B7,"YYYY-MM")</f>
        <v/>
      </c>
      <c r="W7" s="13">
        <f>IF(L7="","",IF(L7&gt;pLateDays,1,0))</f>
        <v/>
      </c>
      <c r="X7" s="13">
        <f>IF(Q7&gt;=pHighCutoff,1,0)</f>
        <v/>
      </c>
      <c r="Y7" s="13">
        <f>IF(M7="Returned",1,0)</f>
        <v/>
      </c>
    </row>
    <row r="8">
      <c r="A8" s="13" t="inlineStr">
        <is>
          <t>HC-100006</t>
        </is>
      </c>
      <c r="B8" s="18" t="n">
        <v>45404</v>
      </c>
      <c r="C8" s="13" t="inlineStr">
        <is>
          <t>North</t>
        </is>
      </c>
      <c r="D8" s="13" t="inlineStr">
        <is>
          <t>Online</t>
        </is>
      </c>
      <c r="E8" s="13" t="inlineStr">
        <is>
          <t>Furniture</t>
        </is>
      </c>
      <c r="F8" s="13" t="inlineStr">
        <is>
          <t>Linen Sofa</t>
        </is>
      </c>
      <c r="G8" s="13" t="inlineStr">
        <is>
          <t>Home Office</t>
        </is>
      </c>
      <c r="H8" s="13" t="n">
        <v>3</v>
      </c>
      <c r="I8" s="14" t="n">
        <v>1219.37</v>
      </c>
      <c r="J8" s="15" t="n">
        <v>0.11</v>
      </c>
      <c r="K8" s="14" t="n">
        <v>804.79</v>
      </c>
      <c r="L8" s="13" t="n">
        <v>5</v>
      </c>
      <c r="M8" s="13" t="inlineStr">
        <is>
          <t>Completed</t>
        </is>
      </c>
      <c r="N8" s="13" t="inlineStr">
        <is>
          <t>R. Ibarra</t>
        </is>
      </c>
      <c r="O8" s="13" t="inlineStr">
        <is>
          <t>No</t>
        </is>
      </c>
      <c r="P8" s="14">
        <f>H8*I8</f>
        <v/>
      </c>
      <c r="Q8" s="14">
        <f>P8*(1-J8)</f>
        <v/>
      </c>
      <c r="R8" s="14">
        <f>H8*K8</f>
        <v/>
      </c>
      <c r="S8" s="15">
        <f>IF(Q8=0,"",(Q8-R8)/Q8)</f>
        <v/>
      </c>
      <c r="T8" s="13">
        <f>YEAR(B8)</f>
        <v/>
      </c>
      <c r="U8" s="13">
        <f>YEAR(B8)&amp;"-Q"&amp;ROUNDUP(MONTH(B8)/3,0)</f>
        <v/>
      </c>
      <c r="V8" s="13">
        <f>TEXT(B8,"YYYY-MM")</f>
        <v/>
      </c>
      <c r="W8" s="13">
        <f>IF(L8="","",IF(L8&gt;pLateDays,1,0))</f>
        <v/>
      </c>
      <c r="X8" s="13">
        <f>IF(Q8&gt;=pHighCutoff,1,0)</f>
        <v/>
      </c>
      <c r="Y8" s="13">
        <f>IF(M8="Returned",1,0)</f>
        <v/>
      </c>
    </row>
    <row r="9">
      <c r="A9" s="13" t="inlineStr">
        <is>
          <t>HC-100007</t>
        </is>
      </c>
      <c r="B9" s="18" t="n">
        <v>45574</v>
      </c>
      <c r="C9" s="13" t="inlineStr">
        <is>
          <t>West</t>
        </is>
      </c>
      <c r="D9" s="13" t="inlineStr">
        <is>
          <t>Wholesale</t>
        </is>
      </c>
      <c r="E9" s="13" t="inlineStr">
        <is>
          <t>Furniture</t>
        </is>
      </c>
      <c r="F9" s="13" t="inlineStr">
        <is>
          <t>Oak Desk</t>
        </is>
      </c>
      <c r="G9" s="13" t="inlineStr">
        <is>
          <t>Unknown</t>
        </is>
      </c>
      <c r="H9" s="13" t="n">
        <v>16</v>
      </c>
      <c r="I9" s="14" t="n">
        <v>863.15</v>
      </c>
      <c r="J9" s="15" t="n">
        <v>0.14</v>
      </c>
      <c r="K9" s="14" t="n">
        <v>535.15</v>
      </c>
      <c r="L9" s="13" t="n">
        <v>6</v>
      </c>
      <c r="M9" s="13" t="inlineStr">
        <is>
          <t>Completed</t>
        </is>
      </c>
      <c r="N9" s="13" t="inlineStr">
        <is>
          <t>S. Nguyen</t>
        </is>
      </c>
      <c r="O9" s="13" t="inlineStr">
        <is>
          <t>No</t>
        </is>
      </c>
      <c r="P9" s="14">
        <f>H9*I9</f>
        <v/>
      </c>
      <c r="Q9" s="14">
        <f>P9*(1-J9)</f>
        <v/>
      </c>
      <c r="R9" s="14">
        <f>H9*K9</f>
        <v/>
      </c>
      <c r="S9" s="15">
        <f>IF(Q9=0,"",(Q9-R9)/Q9)</f>
        <v/>
      </c>
      <c r="T9" s="13">
        <f>YEAR(B9)</f>
        <v/>
      </c>
      <c r="U9" s="13">
        <f>YEAR(B9)&amp;"-Q"&amp;ROUNDUP(MONTH(B9)/3,0)</f>
        <v/>
      </c>
      <c r="V9" s="13">
        <f>TEXT(B9,"YYYY-MM")</f>
        <v/>
      </c>
      <c r="W9" s="13">
        <f>IF(L9="","",IF(L9&gt;pLateDays,1,0))</f>
        <v/>
      </c>
      <c r="X9" s="13">
        <f>IF(Q9&gt;=pHighCutoff,1,0)</f>
        <v/>
      </c>
      <c r="Y9" s="13">
        <f>IF(M9="Returned",1,0)</f>
        <v/>
      </c>
    </row>
    <row r="10">
      <c r="A10" s="13" t="inlineStr">
        <is>
          <t>HC-100008</t>
        </is>
      </c>
      <c r="B10" s="18" t="n">
        <v>45533</v>
      </c>
      <c r="C10" s="13" t="inlineStr">
        <is>
          <t>West</t>
        </is>
      </c>
      <c r="D10" s="13" t="inlineStr">
        <is>
          <t>Store</t>
        </is>
      </c>
      <c r="E10" s="13" t="inlineStr">
        <is>
          <t>Lighting</t>
        </is>
      </c>
      <c r="F10" s="13" t="inlineStr">
        <is>
          <t>Brass Sconce</t>
        </is>
      </c>
      <c r="G10" s="13" t="inlineStr">
        <is>
          <t>Home Office</t>
        </is>
      </c>
      <c r="H10" s="13" t="n">
        <v>2</v>
      </c>
      <c r="I10" s="14" t="n">
        <v>132.49</v>
      </c>
      <c r="J10" s="15" t="n">
        <v>0.11</v>
      </c>
      <c r="K10" s="14" t="n">
        <v>60.94</v>
      </c>
      <c r="L10" s="13" t="n">
        <v>3</v>
      </c>
      <c r="M10" s="13" t="inlineStr">
        <is>
          <t>Completed</t>
        </is>
      </c>
      <c r="N10" s="13" t="inlineStr">
        <is>
          <t>M. Okonkwo</t>
        </is>
      </c>
      <c r="O10" s="13" t="inlineStr">
        <is>
          <t>No</t>
        </is>
      </c>
      <c r="P10" s="14">
        <f>H10*I10</f>
        <v/>
      </c>
      <c r="Q10" s="14">
        <f>P10*(1-J10)</f>
        <v/>
      </c>
      <c r="R10" s="14">
        <f>H10*K10</f>
        <v/>
      </c>
      <c r="S10" s="15">
        <f>IF(Q10=0,"",(Q10-R10)/Q10)</f>
        <v/>
      </c>
      <c r="T10" s="13">
        <f>YEAR(B10)</f>
        <v/>
      </c>
      <c r="U10" s="13">
        <f>YEAR(B10)&amp;"-Q"&amp;ROUNDUP(MONTH(B10)/3,0)</f>
        <v/>
      </c>
      <c r="V10" s="13">
        <f>TEXT(B10,"YYYY-MM")</f>
        <v/>
      </c>
      <c r="W10" s="13">
        <f>IF(L10="","",IF(L10&gt;pLateDays,1,0))</f>
        <v/>
      </c>
      <c r="X10" s="13">
        <f>IF(Q10&gt;=pHighCutoff,1,0)</f>
        <v/>
      </c>
      <c r="Y10" s="13">
        <f>IF(M10="Returned",1,0)</f>
        <v/>
      </c>
    </row>
    <row r="11">
      <c r="A11" s="13" t="inlineStr">
        <is>
          <t>HC-100009</t>
        </is>
      </c>
      <c r="B11" s="18" t="n">
        <v>45501</v>
      </c>
      <c r="C11" s="13" t="inlineStr">
        <is>
          <t>West</t>
        </is>
      </c>
      <c r="D11" s="13" t="inlineStr">
        <is>
          <t>Store</t>
        </is>
      </c>
      <c r="E11" s="13" t="inlineStr">
        <is>
          <t>Furniture</t>
        </is>
      </c>
      <c r="F11" s="13" t="inlineStr">
        <is>
          <t>Oak Desk</t>
        </is>
      </c>
      <c r="G11" s="13" t="inlineStr">
        <is>
          <t>Unknown</t>
        </is>
      </c>
      <c r="H11" s="13" t="n">
        <v>4</v>
      </c>
      <c r="I11" s="14" t="n">
        <v>796.89</v>
      </c>
      <c r="J11" s="15" t="n">
        <v>0.02</v>
      </c>
      <c r="K11" s="14" t="n">
        <v>494.07</v>
      </c>
      <c r="L11" s="13" t="n">
        <v>3</v>
      </c>
      <c r="M11" s="13" t="inlineStr">
        <is>
          <t>Completed</t>
        </is>
      </c>
      <c r="N11" s="13" t="inlineStr">
        <is>
          <t>J. Patel</t>
        </is>
      </c>
      <c r="O11" s="13" t="inlineStr">
        <is>
          <t>No</t>
        </is>
      </c>
      <c r="P11" s="14">
        <f>H11*I11</f>
        <v/>
      </c>
      <c r="Q11" s="14">
        <f>P11*(1-J11)</f>
        <v/>
      </c>
      <c r="R11" s="14">
        <f>H11*K11</f>
        <v/>
      </c>
      <c r="S11" s="15">
        <f>IF(Q11=0,"",(Q11-R11)/Q11)</f>
        <v/>
      </c>
      <c r="T11" s="13">
        <f>YEAR(B11)</f>
        <v/>
      </c>
      <c r="U11" s="13">
        <f>YEAR(B11)&amp;"-Q"&amp;ROUNDUP(MONTH(B11)/3,0)</f>
        <v/>
      </c>
      <c r="V11" s="13">
        <f>TEXT(B11,"YYYY-MM")</f>
        <v/>
      </c>
      <c r="W11" s="13">
        <f>IF(L11="","",IF(L11&gt;pLateDays,1,0))</f>
        <v/>
      </c>
      <c r="X11" s="13">
        <f>IF(Q11&gt;=pHighCutoff,1,0)</f>
        <v/>
      </c>
      <c r="Y11" s="13">
        <f>IF(M11="Returned",1,0)</f>
        <v/>
      </c>
    </row>
    <row r="12">
      <c r="A12" s="13" t="inlineStr">
        <is>
          <t>HC-100010</t>
        </is>
      </c>
      <c r="B12" s="18" t="n">
        <v>45740</v>
      </c>
      <c r="C12" s="13" t="inlineStr">
        <is>
          <t>North</t>
        </is>
      </c>
      <c r="D12" s="13" t="inlineStr">
        <is>
          <t>Online</t>
        </is>
      </c>
      <c r="E12" s="13" t="inlineStr">
        <is>
          <t>Textiles</t>
        </is>
      </c>
      <c r="F12" s="13" t="inlineStr">
        <is>
          <t>Cotton Duvet</t>
        </is>
      </c>
      <c r="G12" s="13" t="inlineStr">
        <is>
          <t>Consumer</t>
        </is>
      </c>
      <c r="H12" s="13" t="n">
        <v>1</v>
      </c>
      <c r="I12" s="14" t="n">
        <v>112.78</v>
      </c>
      <c r="J12" s="15" t="n">
        <v>0.04</v>
      </c>
      <c r="K12" s="14" t="n">
        <v>49.62</v>
      </c>
      <c r="L12" s="13" t="n">
        <v>5</v>
      </c>
      <c r="M12" s="13" t="inlineStr">
        <is>
          <t>Returned</t>
        </is>
      </c>
      <c r="N12" s="13" t="inlineStr">
        <is>
          <t>P. Rossi</t>
        </is>
      </c>
      <c r="O12" s="13" t="inlineStr">
        <is>
          <t>No</t>
        </is>
      </c>
      <c r="P12" s="14">
        <f>H12*I12</f>
        <v/>
      </c>
      <c r="Q12" s="14">
        <f>P12*(1-J12)</f>
        <v/>
      </c>
      <c r="R12" s="14">
        <f>H12*K12</f>
        <v/>
      </c>
      <c r="S12" s="15">
        <f>IF(Q12=0,"",(Q12-R12)/Q12)</f>
        <v/>
      </c>
      <c r="T12" s="13">
        <f>YEAR(B12)</f>
        <v/>
      </c>
      <c r="U12" s="13">
        <f>YEAR(B12)&amp;"-Q"&amp;ROUNDUP(MONTH(B12)/3,0)</f>
        <v/>
      </c>
      <c r="V12" s="13">
        <f>TEXT(B12,"YYYY-MM")</f>
        <v/>
      </c>
      <c r="W12" s="13">
        <f>IF(L12="","",IF(L12&gt;pLateDays,1,0))</f>
        <v/>
      </c>
      <c r="X12" s="13">
        <f>IF(Q12&gt;=pHighCutoff,1,0)</f>
        <v/>
      </c>
      <c r="Y12" s="13">
        <f>IF(M12="Returned",1,0)</f>
        <v/>
      </c>
    </row>
    <row r="13">
      <c r="A13" s="13" t="inlineStr">
        <is>
          <t>HC-100011</t>
        </is>
      </c>
      <c r="B13" s="18" t="n">
        <v>45905</v>
      </c>
      <c r="C13" s="13" t="inlineStr">
        <is>
          <t>West</t>
        </is>
      </c>
      <c r="D13" s="13" t="inlineStr">
        <is>
          <t>Online</t>
        </is>
      </c>
      <c r="E13" s="13" t="inlineStr">
        <is>
          <t>Lighting</t>
        </is>
      </c>
      <c r="F13" s="13" t="inlineStr">
        <is>
          <t>Pendant Light</t>
        </is>
      </c>
      <c r="G13" s="13" t="inlineStr">
        <is>
          <t>Consumer</t>
        </is>
      </c>
      <c r="H13" s="13" t="n">
        <v>2</v>
      </c>
      <c r="I13" s="14" t="n">
        <v>168.74</v>
      </c>
      <c r="J13" s="15" t="n">
        <v>0.02</v>
      </c>
      <c r="K13" s="14" t="n">
        <v>84.37</v>
      </c>
      <c r="L13" s="13" t="n">
        <v>4</v>
      </c>
      <c r="M13" s="13" t="inlineStr">
        <is>
          <t>Completed</t>
        </is>
      </c>
      <c r="N13" s="13" t="inlineStr">
        <is>
          <t>K. Mensah</t>
        </is>
      </c>
      <c r="O13" s="13" t="inlineStr">
        <is>
          <t>No</t>
        </is>
      </c>
      <c r="P13" s="14">
        <f>H13*I13</f>
        <v/>
      </c>
      <c r="Q13" s="14">
        <f>P13*(1-J13)</f>
        <v/>
      </c>
      <c r="R13" s="14">
        <f>H13*K13</f>
        <v/>
      </c>
      <c r="S13" s="15">
        <f>IF(Q13=0,"",(Q13-R13)/Q13)</f>
        <v/>
      </c>
      <c r="T13" s="13">
        <f>YEAR(B13)</f>
        <v/>
      </c>
      <c r="U13" s="13">
        <f>YEAR(B13)&amp;"-Q"&amp;ROUNDUP(MONTH(B13)/3,0)</f>
        <v/>
      </c>
      <c r="V13" s="13">
        <f>TEXT(B13,"YYYY-MM")</f>
        <v/>
      </c>
      <c r="W13" s="13">
        <f>IF(L13="","",IF(L13&gt;pLateDays,1,0))</f>
        <v/>
      </c>
      <c r="X13" s="13">
        <f>IF(Q13&gt;=pHighCutoff,1,0)</f>
        <v/>
      </c>
      <c r="Y13" s="13">
        <f>IF(M13="Returned",1,0)</f>
        <v/>
      </c>
    </row>
    <row r="14">
      <c r="A14" s="13" t="inlineStr">
        <is>
          <t>HC-100012</t>
        </is>
      </c>
      <c r="B14" s="18" t="n">
        <v>45452</v>
      </c>
      <c r="C14" s="13" t="inlineStr">
        <is>
          <t>West</t>
        </is>
      </c>
      <c r="D14" s="13" t="inlineStr">
        <is>
          <t>Online</t>
        </is>
      </c>
      <c r="E14" s="13" t="inlineStr">
        <is>
          <t>Furniture</t>
        </is>
      </c>
      <c r="F14" s="13" t="inlineStr">
        <is>
          <t>Oak Desk</t>
        </is>
      </c>
      <c r="G14" s="13" t="inlineStr">
        <is>
          <t>Consumer</t>
        </is>
      </c>
      <c r="H14" s="13" t="n">
        <v>3</v>
      </c>
      <c r="I14" s="14" t="n">
        <v>792.45</v>
      </c>
      <c r="J14" s="15" t="n">
        <v>0.12</v>
      </c>
      <c r="K14" s="14" t="n">
        <v>491.32</v>
      </c>
      <c r="L14" s="13" t="n">
        <v>4</v>
      </c>
      <c r="M14" s="13" t="inlineStr">
        <is>
          <t>Completed</t>
        </is>
      </c>
      <c r="N14" s="13" t="inlineStr">
        <is>
          <t>A. Shah</t>
        </is>
      </c>
      <c r="O14" s="13" t="inlineStr">
        <is>
          <t>No</t>
        </is>
      </c>
      <c r="P14" s="14">
        <f>H14*I14</f>
        <v/>
      </c>
      <c r="Q14" s="14">
        <f>P14*(1-J14)</f>
        <v/>
      </c>
      <c r="R14" s="14">
        <f>H14*K14</f>
        <v/>
      </c>
      <c r="S14" s="15">
        <f>IF(Q14=0,"",(Q14-R14)/Q14)</f>
        <v/>
      </c>
      <c r="T14" s="13">
        <f>YEAR(B14)</f>
        <v/>
      </c>
      <c r="U14" s="13">
        <f>YEAR(B14)&amp;"-Q"&amp;ROUNDUP(MONTH(B14)/3,0)</f>
        <v/>
      </c>
      <c r="V14" s="13">
        <f>TEXT(B14,"YYYY-MM")</f>
        <v/>
      </c>
      <c r="W14" s="13">
        <f>IF(L14="","",IF(L14&gt;pLateDays,1,0))</f>
        <v/>
      </c>
      <c r="X14" s="13">
        <f>IF(Q14&gt;=pHighCutoff,1,0)</f>
        <v/>
      </c>
      <c r="Y14" s="13">
        <f>IF(M14="Returned",1,0)</f>
        <v/>
      </c>
    </row>
    <row r="15">
      <c r="A15" s="13" t="inlineStr">
        <is>
          <t>HC-100013</t>
        </is>
      </c>
      <c r="B15" s="18" t="n">
        <v>45560</v>
      </c>
      <c r="C15" s="13" t="inlineStr">
        <is>
          <t>South</t>
        </is>
      </c>
      <c r="D15" s="13" t="inlineStr">
        <is>
          <t>Wholesale</t>
        </is>
      </c>
      <c r="E15" s="13" t="inlineStr">
        <is>
          <t>Kitchen</t>
        </is>
      </c>
      <c r="F15" s="13" t="inlineStr">
        <is>
          <t>Ceramic Set</t>
        </is>
      </c>
      <c r="G15" s="13" t="inlineStr">
        <is>
          <t>Consumer</t>
        </is>
      </c>
      <c r="H15" s="13" t="n">
        <v>23</v>
      </c>
      <c r="I15" s="14" t="n">
        <v>82.38</v>
      </c>
      <c r="J15" s="15" t="n">
        <v>0.16</v>
      </c>
      <c r="K15" s="14" t="n">
        <v>31.3</v>
      </c>
      <c r="L15" s="13" t="n">
        <v>9</v>
      </c>
      <c r="M15" s="13" t="inlineStr">
        <is>
          <t>Completed</t>
        </is>
      </c>
      <c r="N15" s="13" t="inlineStr">
        <is>
          <t>A. Shah</t>
        </is>
      </c>
      <c r="O15" s="13" t="inlineStr">
        <is>
          <t>No</t>
        </is>
      </c>
      <c r="P15" s="14">
        <f>H15*I15</f>
        <v/>
      </c>
      <c r="Q15" s="14">
        <f>P15*(1-J15)</f>
        <v/>
      </c>
      <c r="R15" s="14">
        <f>H15*K15</f>
        <v/>
      </c>
      <c r="S15" s="15">
        <f>IF(Q15=0,"",(Q15-R15)/Q15)</f>
        <v/>
      </c>
      <c r="T15" s="13">
        <f>YEAR(B15)</f>
        <v/>
      </c>
      <c r="U15" s="13">
        <f>YEAR(B15)&amp;"-Q"&amp;ROUNDUP(MONTH(B15)/3,0)</f>
        <v/>
      </c>
      <c r="V15" s="13">
        <f>TEXT(B15,"YYYY-MM")</f>
        <v/>
      </c>
      <c r="W15" s="13">
        <f>IF(L15="","",IF(L15&gt;pLateDays,1,0))</f>
        <v/>
      </c>
      <c r="X15" s="13">
        <f>IF(Q15&gt;=pHighCutoff,1,0)</f>
        <v/>
      </c>
      <c r="Y15" s="13">
        <f>IF(M15="Returned",1,0)</f>
        <v/>
      </c>
    </row>
    <row r="16">
      <c r="A16" s="13" t="inlineStr">
        <is>
          <t>HC-100014</t>
        </is>
      </c>
      <c r="B16" s="18" t="n">
        <v>45910</v>
      </c>
      <c r="C16" s="13" t="inlineStr">
        <is>
          <t>West</t>
        </is>
      </c>
      <c r="D16" s="13" t="inlineStr">
        <is>
          <t>Online</t>
        </is>
      </c>
      <c r="E16" s="13" t="inlineStr">
        <is>
          <t>Textiles</t>
        </is>
      </c>
      <c r="F16" s="13" t="inlineStr">
        <is>
          <t>Linen Curtain</t>
        </is>
      </c>
      <c r="G16" s="13" t="inlineStr">
        <is>
          <t>Consumer</t>
        </is>
      </c>
      <c r="H16" s="13" t="n">
        <v>3</v>
      </c>
      <c r="I16" s="14" t="n">
        <v>95.22</v>
      </c>
      <c r="J16" s="15" t="n">
        <v>0.11</v>
      </c>
      <c r="K16" s="14" t="n">
        <v>42.85</v>
      </c>
      <c r="L16" s="13" t="n">
        <v>1</v>
      </c>
      <c r="M16" s="13" t="inlineStr">
        <is>
          <t>Returned</t>
        </is>
      </c>
      <c r="N16" s="13" t="inlineStr">
        <is>
          <t>M. Okonkwo</t>
        </is>
      </c>
      <c r="O16" s="13" t="inlineStr">
        <is>
          <t>No</t>
        </is>
      </c>
      <c r="P16" s="14">
        <f>H16*I16</f>
        <v/>
      </c>
      <c r="Q16" s="14">
        <f>P16*(1-J16)</f>
        <v/>
      </c>
      <c r="R16" s="14">
        <f>H16*K16</f>
        <v/>
      </c>
      <c r="S16" s="15">
        <f>IF(Q16=0,"",(Q16-R16)/Q16)</f>
        <v/>
      </c>
      <c r="T16" s="13">
        <f>YEAR(B16)</f>
        <v/>
      </c>
      <c r="U16" s="13">
        <f>YEAR(B16)&amp;"-Q"&amp;ROUNDUP(MONTH(B16)/3,0)</f>
        <v/>
      </c>
      <c r="V16" s="13">
        <f>TEXT(B16,"YYYY-MM")</f>
        <v/>
      </c>
      <c r="W16" s="13">
        <f>IF(L16="","",IF(L16&gt;pLateDays,1,0))</f>
        <v/>
      </c>
      <c r="X16" s="13">
        <f>IF(Q16&gt;=pHighCutoff,1,0)</f>
        <v/>
      </c>
      <c r="Y16" s="13">
        <f>IF(M16="Returned",1,0)</f>
        <v/>
      </c>
    </row>
    <row r="17">
      <c r="A17" s="13" t="inlineStr">
        <is>
          <t>HC-100015</t>
        </is>
      </c>
      <c r="B17" s="18" t="n">
        <v>45488</v>
      </c>
      <c r="C17" s="13" t="inlineStr">
        <is>
          <t>West</t>
        </is>
      </c>
      <c r="D17" s="13" t="inlineStr">
        <is>
          <t>Wholesale</t>
        </is>
      </c>
      <c r="E17" s="13" t="inlineStr">
        <is>
          <t>Lighting</t>
        </is>
      </c>
      <c r="F17" s="13" t="inlineStr">
        <is>
          <t>Brass Sconce</t>
        </is>
      </c>
      <c r="G17" s="13" t="inlineStr">
        <is>
          <t>Consumer</t>
        </is>
      </c>
      <c r="H17" s="13" t="n">
        <v>17</v>
      </c>
      <c r="I17" s="14" t="n">
        <v>147.81</v>
      </c>
      <c r="J17" s="15" t="n">
        <v>0.23</v>
      </c>
      <c r="K17" s="14" t="n">
        <v>67.98999999999999</v>
      </c>
      <c r="L17" s="13" t="n">
        <v>7</v>
      </c>
      <c r="M17" s="13" t="inlineStr">
        <is>
          <t>Completed</t>
        </is>
      </c>
      <c r="N17" s="13" t="inlineStr">
        <is>
          <t>K. Mensah</t>
        </is>
      </c>
      <c r="O17" s="13" t="inlineStr">
        <is>
          <t>No</t>
        </is>
      </c>
      <c r="P17" s="14">
        <f>H17*I17</f>
        <v/>
      </c>
      <c r="Q17" s="14">
        <f>P17*(1-J17)</f>
        <v/>
      </c>
      <c r="R17" s="14">
        <f>H17*K17</f>
        <v/>
      </c>
      <c r="S17" s="15">
        <f>IF(Q17=0,"",(Q17-R17)/Q17)</f>
        <v/>
      </c>
      <c r="T17" s="13">
        <f>YEAR(B17)</f>
        <v/>
      </c>
      <c r="U17" s="13">
        <f>YEAR(B17)&amp;"-Q"&amp;ROUNDUP(MONTH(B17)/3,0)</f>
        <v/>
      </c>
      <c r="V17" s="13">
        <f>TEXT(B17,"YYYY-MM")</f>
        <v/>
      </c>
      <c r="W17" s="13">
        <f>IF(L17="","",IF(L17&gt;pLateDays,1,0))</f>
        <v/>
      </c>
      <c r="X17" s="13">
        <f>IF(Q17&gt;=pHighCutoff,1,0)</f>
        <v/>
      </c>
      <c r="Y17" s="13">
        <f>IF(M17="Returned",1,0)</f>
        <v/>
      </c>
    </row>
    <row r="18">
      <c r="A18" s="13" t="inlineStr">
        <is>
          <t>HC-100016</t>
        </is>
      </c>
      <c r="B18" s="18" t="n">
        <v>45368</v>
      </c>
      <c r="C18" s="13" t="inlineStr">
        <is>
          <t>North</t>
        </is>
      </c>
      <c r="D18" s="13" t="inlineStr">
        <is>
          <t>Wholesale</t>
        </is>
      </c>
      <c r="E18" s="13" t="inlineStr">
        <is>
          <t>Kitchen</t>
        </is>
      </c>
      <c r="F18" s="13" t="inlineStr">
        <is>
          <t>Cast Skillet</t>
        </is>
      </c>
      <c r="G18" s="13" t="inlineStr">
        <is>
          <t>Consumer</t>
        </is>
      </c>
      <c r="H18" s="13" t="n">
        <v>19</v>
      </c>
      <c r="I18" s="14" t="n">
        <v>56.55</v>
      </c>
      <c r="J18" s="15" t="n">
        <v>0.28</v>
      </c>
      <c r="K18" s="14" t="n">
        <v>22.62</v>
      </c>
      <c r="L18" s="13" t="n">
        <v>6</v>
      </c>
      <c r="M18" s="13" t="inlineStr">
        <is>
          <t>Returned</t>
        </is>
      </c>
      <c r="N18" s="13" t="inlineStr">
        <is>
          <t>S. Nguyen</t>
        </is>
      </c>
      <c r="O18" s="13" t="inlineStr">
        <is>
          <t>No</t>
        </is>
      </c>
      <c r="P18" s="14">
        <f>H18*I18</f>
        <v/>
      </c>
      <c r="Q18" s="14">
        <f>P18*(1-J18)</f>
        <v/>
      </c>
      <c r="R18" s="14">
        <f>H18*K18</f>
        <v/>
      </c>
      <c r="S18" s="15">
        <f>IF(Q18=0,"",(Q18-R18)/Q18)</f>
        <v/>
      </c>
      <c r="T18" s="13">
        <f>YEAR(B18)</f>
        <v/>
      </c>
      <c r="U18" s="13">
        <f>YEAR(B18)&amp;"-Q"&amp;ROUNDUP(MONTH(B18)/3,0)</f>
        <v/>
      </c>
      <c r="V18" s="13">
        <f>TEXT(B18,"YYYY-MM")</f>
        <v/>
      </c>
      <c r="W18" s="13">
        <f>IF(L18="","",IF(L18&gt;pLateDays,1,0))</f>
        <v/>
      </c>
      <c r="X18" s="13">
        <f>IF(Q18&gt;=pHighCutoff,1,0)</f>
        <v/>
      </c>
      <c r="Y18" s="13">
        <f>IF(M18="Returned",1,0)</f>
        <v/>
      </c>
    </row>
    <row r="19">
      <c r="A19" s="13" t="inlineStr">
        <is>
          <t>HC-100017</t>
        </is>
      </c>
      <c r="B19" s="18" t="n">
        <v>45631</v>
      </c>
      <c r="C19" s="13" t="inlineStr">
        <is>
          <t>North</t>
        </is>
      </c>
      <c r="D19" s="13" t="inlineStr">
        <is>
          <t>Store</t>
        </is>
      </c>
      <c r="E19" s="13" t="inlineStr">
        <is>
          <t>Furniture</t>
        </is>
      </c>
      <c r="F19" s="13" t="inlineStr">
        <is>
          <t>Lounge Chair</t>
        </is>
      </c>
      <c r="G19" s="13" t="inlineStr">
        <is>
          <t>Home Office</t>
        </is>
      </c>
      <c r="H19" s="13" t="n">
        <v>3</v>
      </c>
      <c r="I19" s="14" t="n">
        <v>501.07</v>
      </c>
      <c r="J19" s="15" t="n">
        <v>0.05</v>
      </c>
      <c r="K19" s="14" t="n">
        <v>300.64</v>
      </c>
      <c r="L19" s="13" t="n">
        <v>8</v>
      </c>
      <c r="M19" s="13" t="inlineStr">
        <is>
          <t>Completed</t>
        </is>
      </c>
      <c r="N19" s="13" t="inlineStr">
        <is>
          <t>P. Rossi</t>
        </is>
      </c>
      <c r="O19" s="13" t="inlineStr">
        <is>
          <t>No</t>
        </is>
      </c>
      <c r="P19" s="14">
        <f>H19*I19</f>
        <v/>
      </c>
      <c r="Q19" s="14">
        <f>P19*(1-J19)</f>
        <v/>
      </c>
      <c r="R19" s="14">
        <f>H19*K19</f>
        <v/>
      </c>
      <c r="S19" s="15">
        <f>IF(Q19=0,"",(Q19-R19)/Q19)</f>
        <v/>
      </c>
      <c r="T19" s="13">
        <f>YEAR(B19)</f>
        <v/>
      </c>
      <c r="U19" s="13">
        <f>YEAR(B19)&amp;"-Q"&amp;ROUNDUP(MONTH(B19)/3,0)</f>
        <v/>
      </c>
      <c r="V19" s="13">
        <f>TEXT(B19,"YYYY-MM")</f>
        <v/>
      </c>
      <c r="W19" s="13">
        <f>IF(L19="","",IF(L19&gt;pLateDays,1,0))</f>
        <v/>
      </c>
      <c r="X19" s="13">
        <f>IF(Q19&gt;=pHighCutoff,1,0)</f>
        <v/>
      </c>
      <c r="Y19" s="13">
        <f>IF(M19="Returned",1,0)</f>
        <v/>
      </c>
    </row>
    <row r="20">
      <c r="A20" s="13" t="inlineStr">
        <is>
          <t>HC-100018</t>
        </is>
      </c>
      <c r="B20" s="18" t="n">
        <v>45656</v>
      </c>
      <c r="C20" s="13" t="inlineStr">
        <is>
          <t>West</t>
        </is>
      </c>
      <c r="D20" s="13" t="inlineStr">
        <is>
          <t>Online</t>
        </is>
      </c>
      <c r="E20" s="13" t="inlineStr">
        <is>
          <t>Lighting</t>
        </is>
      </c>
      <c r="F20" s="13" t="inlineStr">
        <is>
          <t>Brass Sconce</t>
        </is>
      </c>
      <c r="G20" s="13" t="inlineStr">
        <is>
          <t>Corporate</t>
        </is>
      </c>
      <c r="H20" s="13" t="n">
        <v>3</v>
      </c>
      <c r="I20" s="14" t="n">
        <v>150.11</v>
      </c>
      <c r="J20" s="15" t="n">
        <v>0.13</v>
      </c>
      <c r="K20" s="14" t="n">
        <v>69.05</v>
      </c>
      <c r="L20" s="13" t="n">
        <v>10</v>
      </c>
      <c r="M20" s="13" t="inlineStr">
        <is>
          <t>Completed</t>
        </is>
      </c>
      <c r="N20" s="13" t="inlineStr">
        <is>
          <t>J. Patel</t>
        </is>
      </c>
      <c r="O20" s="13" t="inlineStr">
        <is>
          <t>No</t>
        </is>
      </c>
      <c r="P20" s="14">
        <f>H20*I20</f>
        <v/>
      </c>
      <c r="Q20" s="14">
        <f>P20*(1-J20)</f>
        <v/>
      </c>
      <c r="R20" s="14">
        <f>H20*K20</f>
        <v/>
      </c>
      <c r="S20" s="15">
        <f>IF(Q20=0,"",(Q20-R20)/Q20)</f>
        <v/>
      </c>
      <c r="T20" s="13">
        <f>YEAR(B20)</f>
        <v/>
      </c>
      <c r="U20" s="13">
        <f>YEAR(B20)&amp;"-Q"&amp;ROUNDUP(MONTH(B20)/3,0)</f>
        <v/>
      </c>
      <c r="V20" s="13">
        <f>TEXT(B20,"YYYY-MM")</f>
        <v/>
      </c>
      <c r="W20" s="13">
        <f>IF(L20="","",IF(L20&gt;pLateDays,1,0))</f>
        <v/>
      </c>
      <c r="X20" s="13">
        <f>IF(Q20&gt;=pHighCutoff,1,0)</f>
        <v/>
      </c>
      <c r="Y20" s="13">
        <f>IF(M20="Returned",1,0)</f>
        <v/>
      </c>
    </row>
    <row r="21">
      <c r="A21" s="13" t="inlineStr">
        <is>
          <t>HC-100019</t>
        </is>
      </c>
      <c r="B21" s="18" t="n">
        <v>45794</v>
      </c>
      <c r="C21" s="13" t="inlineStr">
        <is>
          <t>West</t>
        </is>
      </c>
      <c r="D21" s="13" t="inlineStr">
        <is>
          <t>Wholesale</t>
        </is>
      </c>
      <c r="E21" s="13" t="inlineStr">
        <is>
          <t>Furniture</t>
        </is>
      </c>
      <c r="F21" s="13" t="inlineStr">
        <is>
          <t>Oak Desk</t>
        </is>
      </c>
      <c r="G21" s="13" t="inlineStr">
        <is>
          <t>Consumer</t>
        </is>
      </c>
      <c r="H21" s="13" t="n">
        <v>29</v>
      </c>
      <c r="I21" s="14" t="n">
        <v>907.08</v>
      </c>
      <c r="J21" s="15" t="n">
        <v>0.14</v>
      </c>
      <c r="K21" s="14" t="n">
        <v>562.39</v>
      </c>
      <c r="L21" s="13" t="n">
        <v>6</v>
      </c>
      <c r="M21" s="13" t="inlineStr">
        <is>
          <t>Completed</t>
        </is>
      </c>
      <c r="N21" s="13" t="inlineStr">
        <is>
          <t>K. Mensah</t>
        </is>
      </c>
      <c r="O21" s="13" t="inlineStr">
        <is>
          <t>No</t>
        </is>
      </c>
      <c r="P21" s="14">
        <f>H21*I21</f>
        <v/>
      </c>
      <c r="Q21" s="14">
        <f>P21*(1-J21)</f>
        <v/>
      </c>
      <c r="R21" s="14">
        <f>H21*K21</f>
        <v/>
      </c>
      <c r="S21" s="15">
        <f>IF(Q21=0,"",(Q21-R21)/Q21)</f>
        <v/>
      </c>
      <c r="T21" s="13">
        <f>YEAR(B21)</f>
        <v/>
      </c>
      <c r="U21" s="13">
        <f>YEAR(B21)&amp;"-Q"&amp;ROUNDUP(MONTH(B21)/3,0)</f>
        <v/>
      </c>
      <c r="V21" s="13">
        <f>TEXT(B21,"YYYY-MM")</f>
        <v/>
      </c>
      <c r="W21" s="13">
        <f>IF(L21="","",IF(L21&gt;pLateDays,1,0))</f>
        <v/>
      </c>
      <c r="X21" s="13">
        <f>IF(Q21&gt;=pHighCutoff,1,0)</f>
        <v/>
      </c>
      <c r="Y21" s="13">
        <f>IF(M21="Returned",1,0)</f>
        <v/>
      </c>
    </row>
    <row r="22">
      <c r="A22" s="13" t="inlineStr">
        <is>
          <t>HC-100020</t>
        </is>
      </c>
      <c r="B22" s="18" t="n">
        <v>45346</v>
      </c>
      <c r="C22" s="13" t="inlineStr">
        <is>
          <t>West</t>
        </is>
      </c>
      <c r="D22" s="13" t="inlineStr">
        <is>
          <t>Store</t>
        </is>
      </c>
      <c r="E22" s="13" t="inlineStr">
        <is>
          <t>Kitchen</t>
        </is>
      </c>
      <c r="F22" s="13" t="inlineStr">
        <is>
          <t>Chef Knife</t>
        </is>
      </c>
      <c r="G22" s="13" t="inlineStr">
        <is>
          <t>Corporate</t>
        </is>
      </c>
      <c r="H22" s="13" t="n">
        <v>1</v>
      </c>
      <c r="I22" s="14" t="n">
        <v>68.38</v>
      </c>
      <c r="J22" s="15" t="n">
        <v>0.1</v>
      </c>
      <c r="K22" s="14" t="n">
        <v>24.62</v>
      </c>
      <c r="L22" s="13" t="n">
        <v>8</v>
      </c>
      <c r="M22" s="13" t="inlineStr">
        <is>
          <t>Completed</t>
        </is>
      </c>
      <c r="N22" s="13" t="inlineStr">
        <is>
          <t>A. Shah</t>
        </is>
      </c>
      <c r="O22" s="13" t="inlineStr">
        <is>
          <t>No</t>
        </is>
      </c>
      <c r="P22" s="14">
        <f>H22*I22</f>
        <v/>
      </c>
      <c r="Q22" s="14">
        <f>P22*(1-J22)</f>
        <v/>
      </c>
      <c r="R22" s="14">
        <f>H22*K22</f>
        <v/>
      </c>
      <c r="S22" s="15">
        <f>IF(Q22=0,"",(Q22-R22)/Q22)</f>
        <v/>
      </c>
      <c r="T22" s="13">
        <f>YEAR(B22)</f>
        <v/>
      </c>
      <c r="U22" s="13">
        <f>YEAR(B22)&amp;"-Q"&amp;ROUNDUP(MONTH(B22)/3,0)</f>
        <v/>
      </c>
      <c r="V22" s="13">
        <f>TEXT(B22,"YYYY-MM")</f>
        <v/>
      </c>
      <c r="W22" s="13">
        <f>IF(L22="","",IF(L22&gt;pLateDays,1,0))</f>
        <v/>
      </c>
      <c r="X22" s="13">
        <f>IF(Q22&gt;=pHighCutoff,1,0)</f>
        <v/>
      </c>
      <c r="Y22" s="13">
        <f>IF(M22="Returned",1,0)</f>
        <v/>
      </c>
    </row>
    <row r="23">
      <c r="A23" s="13" t="inlineStr">
        <is>
          <t>HC-100021</t>
        </is>
      </c>
      <c r="B23" s="18" t="n">
        <v>45733</v>
      </c>
      <c r="C23" s="13" t="inlineStr">
        <is>
          <t>East</t>
        </is>
      </c>
      <c r="D23" s="13" t="inlineStr">
        <is>
          <t>Store</t>
        </is>
      </c>
      <c r="E23" s="13" t="inlineStr">
        <is>
          <t>Textiles</t>
        </is>
      </c>
      <c r="F23" s="13" t="inlineStr">
        <is>
          <t>Linen Curtain</t>
        </is>
      </c>
      <c r="G23" s="13" t="inlineStr">
        <is>
          <t>Consumer</t>
        </is>
      </c>
      <c r="H23" s="13" t="n">
        <v>1</v>
      </c>
      <c r="I23" s="14" t="n">
        <v>88.37</v>
      </c>
      <c r="J23" s="15" t="n">
        <v>0.11</v>
      </c>
      <c r="K23" s="14" t="n">
        <v>39.77</v>
      </c>
      <c r="L23" s="13" t="n">
        <v>7</v>
      </c>
      <c r="M23" s="13" t="inlineStr">
        <is>
          <t>Completed</t>
        </is>
      </c>
      <c r="N23" s="13" t="inlineStr">
        <is>
          <t>A. Shah</t>
        </is>
      </c>
      <c r="O23" s="13" t="inlineStr">
        <is>
          <t>No</t>
        </is>
      </c>
      <c r="P23" s="14">
        <f>H23*I23</f>
        <v/>
      </c>
      <c r="Q23" s="14">
        <f>P23*(1-J23)</f>
        <v/>
      </c>
      <c r="R23" s="14">
        <f>H23*K23</f>
        <v/>
      </c>
      <c r="S23" s="15">
        <f>IF(Q23=0,"",(Q23-R23)/Q23)</f>
        <v/>
      </c>
      <c r="T23" s="13">
        <f>YEAR(B23)</f>
        <v/>
      </c>
      <c r="U23" s="13">
        <f>YEAR(B23)&amp;"-Q"&amp;ROUNDUP(MONTH(B23)/3,0)</f>
        <v/>
      </c>
      <c r="V23" s="13">
        <f>TEXT(B23,"YYYY-MM")</f>
        <v/>
      </c>
      <c r="W23" s="13">
        <f>IF(L23="","",IF(L23&gt;pLateDays,1,0))</f>
        <v/>
      </c>
      <c r="X23" s="13">
        <f>IF(Q23&gt;=pHighCutoff,1,0)</f>
        <v/>
      </c>
      <c r="Y23" s="13">
        <f>IF(M23="Returned",1,0)</f>
        <v/>
      </c>
    </row>
    <row r="24">
      <c r="A24" s="13" t="inlineStr">
        <is>
          <t>HC-100022</t>
        </is>
      </c>
      <c r="B24" s="18" t="n">
        <v>45701</v>
      </c>
      <c r="C24" s="13" t="inlineStr">
        <is>
          <t>North</t>
        </is>
      </c>
      <c r="D24" s="13" t="inlineStr">
        <is>
          <t>Online</t>
        </is>
      </c>
      <c r="E24" s="13" t="inlineStr">
        <is>
          <t>Lighting</t>
        </is>
      </c>
      <c r="F24" s="13" t="inlineStr">
        <is>
          <t>Brass Sconce</t>
        </is>
      </c>
      <c r="G24" s="13" t="inlineStr">
        <is>
          <t>Consumer</t>
        </is>
      </c>
      <c r="H24" s="13" t="n">
        <v>3</v>
      </c>
      <c r="I24" s="14" t="n">
        <v>131.8</v>
      </c>
      <c r="J24" s="15" t="n">
        <v>0.04</v>
      </c>
      <c r="K24" s="14" t="n">
        <v>60.63</v>
      </c>
      <c r="L24" s="13" t="n">
        <v>8</v>
      </c>
      <c r="M24" s="13" t="inlineStr">
        <is>
          <t>Completed</t>
        </is>
      </c>
      <c r="N24" s="13" t="inlineStr">
        <is>
          <t>R. Ibarra</t>
        </is>
      </c>
      <c r="O24" s="13" t="inlineStr">
        <is>
          <t>No</t>
        </is>
      </c>
      <c r="P24" s="14">
        <f>H24*I24</f>
        <v/>
      </c>
      <c r="Q24" s="14">
        <f>P24*(1-J24)</f>
        <v/>
      </c>
      <c r="R24" s="14">
        <f>H24*K24</f>
        <v/>
      </c>
      <c r="S24" s="15">
        <f>IF(Q24=0,"",(Q24-R24)/Q24)</f>
        <v/>
      </c>
      <c r="T24" s="13">
        <f>YEAR(B24)</f>
        <v/>
      </c>
      <c r="U24" s="13">
        <f>YEAR(B24)&amp;"-Q"&amp;ROUNDUP(MONTH(B24)/3,0)</f>
        <v/>
      </c>
      <c r="V24" s="13">
        <f>TEXT(B24,"YYYY-MM")</f>
        <v/>
      </c>
      <c r="W24" s="13">
        <f>IF(L24="","",IF(L24&gt;pLateDays,1,0))</f>
        <v/>
      </c>
      <c r="X24" s="13">
        <f>IF(Q24&gt;=pHighCutoff,1,0)</f>
        <v/>
      </c>
      <c r="Y24" s="13">
        <f>IF(M24="Returned",1,0)</f>
        <v/>
      </c>
    </row>
    <row r="25">
      <c r="A25" s="13" t="inlineStr">
        <is>
          <t>HC-100023</t>
        </is>
      </c>
      <c r="B25" s="18" t="n">
        <v>45446</v>
      </c>
      <c r="C25" s="13" t="inlineStr">
        <is>
          <t>East</t>
        </is>
      </c>
      <c r="D25" s="13" t="inlineStr">
        <is>
          <t>Online</t>
        </is>
      </c>
      <c r="E25" s="13" t="inlineStr">
        <is>
          <t>Textiles</t>
        </is>
      </c>
      <c r="F25" s="13" t="inlineStr">
        <is>
          <t>Cotton Duvet</t>
        </is>
      </c>
      <c r="G25" s="13" t="inlineStr">
        <is>
          <t>Corporate</t>
        </is>
      </c>
      <c r="H25" s="13" t="n">
        <v>2</v>
      </c>
      <c r="I25" s="14" t="n">
        <v>112.97</v>
      </c>
      <c r="J25" s="15" t="n">
        <v>0.07000000000000001</v>
      </c>
      <c r="K25" s="14" t="n">
        <v>49.71</v>
      </c>
      <c r="L25" s="13" t="n">
        <v>6</v>
      </c>
      <c r="M25" s="13" t="inlineStr">
        <is>
          <t>Completed</t>
        </is>
      </c>
      <c r="N25" s="13" t="inlineStr">
        <is>
          <t>P. Rossi</t>
        </is>
      </c>
      <c r="O25" s="13" t="inlineStr">
        <is>
          <t>No</t>
        </is>
      </c>
      <c r="P25" s="14">
        <f>H25*I25</f>
        <v/>
      </c>
      <c r="Q25" s="14">
        <f>P25*(1-J25)</f>
        <v/>
      </c>
      <c r="R25" s="14">
        <f>H25*K25</f>
        <v/>
      </c>
      <c r="S25" s="15">
        <f>IF(Q25=0,"",(Q25-R25)/Q25)</f>
        <v/>
      </c>
      <c r="T25" s="13">
        <f>YEAR(B25)</f>
        <v/>
      </c>
      <c r="U25" s="13">
        <f>YEAR(B25)&amp;"-Q"&amp;ROUNDUP(MONTH(B25)/3,0)</f>
        <v/>
      </c>
      <c r="V25" s="13">
        <f>TEXT(B25,"YYYY-MM")</f>
        <v/>
      </c>
      <c r="W25" s="13">
        <f>IF(L25="","",IF(L25&gt;pLateDays,1,0))</f>
        <v/>
      </c>
      <c r="X25" s="13">
        <f>IF(Q25&gt;=pHighCutoff,1,0)</f>
        <v/>
      </c>
      <c r="Y25" s="13">
        <f>IF(M25="Returned",1,0)</f>
        <v/>
      </c>
    </row>
    <row r="26">
      <c r="A26" s="13" t="inlineStr">
        <is>
          <t>HC-100024</t>
        </is>
      </c>
      <c r="B26" s="18" t="n">
        <v>45598</v>
      </c>
      <c r="C26" s="13" t="inlineStr">
        <is>
          <t>North</t>
        </is>
      </c>
      <c r="D26" s="13" t="inlineStr">
        <is>
          <t>Online</t>
        </is>
      </c>
      <c r="E26" s="13" t="inlineStr">
        <is>
          <t>Furniture</t>
        </is>
      </c>
      <c r="F26" s="13" t="inlineStr">
        <is>
          <t>Oak Desk</t>
        </is>
      </c>
      <c r="G26" s="13" t="inlineStr">
        <is>
          <t>Consumer</t>
        </is>
      </c>
      <c r="H26" s="13" t="n">
        <v>2</v>
      </c>
      <c r="I26" s="14" t="n">
        <v>796.05</v>
      </c>
      <c r="J26" s="15" t="n">
        <v>0.07000000000000001</v>
      </c>
      <c r="K26" s="14" t="n">
        <v>493.55</v>
      </c>
      <c r="L26" s="13" t="n">
        <v>2</v>
      </c>
      <c r="M26" s="13" t="inlineStr">
        <is>
          <t>Completed</t>
        </is>
      </c>
      <c r="N26" s="13" t="inlineStr">
        <is>
          <t>L. Berger</t>
        </is>
      </c>
      <c r="O26" s="13" t="inlineStr">
        <is>
          <t>No</t>
        </is>
      </c>
      <c r="P26" s="14">
        <f>H26*I26</f>
        <v/>
      </c>
      <c r="Q26" s="14">
        <f>P26*(1-J26)</f>
        <v/>
      </c>
      <c r="R26" s="14">
        <f>H26*K26</f>
        <v/>
      </c>
      <c r="S26" s="15">
        <f>IF(Q26=0,"",(Q26-R26)/Q26)</f>
        <v/>
      </c>
      <c r="T26" s="13">
        <f>YEAR(B26)</f>
        <v/>
      </c>
      <c r="U26" s="13">
        <f>YEAR(B26)&amp;"-Q"&amp;ROUNDUP(MONTH(B26)/3,0)</f>
        <v/>
      </c>
      <c r="V26" s="13">
        <f>TEXT(B26,"YYYY-MM")</f>
        <v/>
      </c>
      <c r="W26" s="13">
        <f>IF(L26="","",IF(L26&gt;pLateDays,1,0))</f>
        <v/>
      </c>
      <c r="X26" s="13">
        <f>IF(Q26&gt;=pHighCutoff,1,0)</f>
        <v/>
      </c>
      <c r="Y26" s="13">
        <f>IF(M26="Returned",1,0)</f>
        <v/>
      </c>
    </row>
    <row r="27">
      <c r="A27" s="13" t="inlineStr">
        <is>
          <t>HC-100025</t>
        </is>
      </c>
      <c r="B27" s="18" t="n">
        <v>45528</v>
      </c>
      <c r="C27" s="13" t="inlineStr">
        <is>
          <t>West</t>
        </is>
      </c>
      <c r="D27" s="13" t="inlineStr">
        <is>
          <t>Store</t>
        </is>
      </c>
      <c r="E27" s="13" t="inlineStr">
        <is>
          <t>Textiles</t>
        </is>
      </c>
      <c r="F27" s="13" t="inlineStr">
        <is>
          <t>Linen Curtain</t>
        </is>
      </c>
      <c r="G27" s="13" t="inlineStr">
        <is>
          <t>Corporate</t>
        </is>
      </c>
      <c r="H27" s="13" t="n">
        <v>2</v>
      </c>
      <c r="I27" s="14" t="n">
        <v>95.38</v>
      </c>
      <c r="J27" s="15" t="n">
        <v>0.03</v>
      </c>
      <c r="K27" s="14" t="n">
        <v>42.92</v>
      </c>
      <c r="L27" s="13" t="n">
        <v>4</v>
      </c>
      <c r="M27" s="13" t="inlineStr">
        <is>
          <t>Completed</t>
        </is>
      </c>
      <c r="N27" s="13" t="inlineStr">
        <is>
          <t>A. Shah</t>
        </is>
      </c>
      <c r="O27" s="13" t="inlineStr">
        <is>
          <t>No</t>
        </is>
      </c>
      <c r="P27" s="14">
        <f>H27*I27</f>
        <v/>
      </c>
      <c r="Q27" s="14">
        <f>P27*(1-J27)</f>
        <v/>
      </c>
      <c r="R27" s="14">
        <f>H27*K27</f>
        <v/>
      </c>
      <c r="S27" s="15">
        <f>IF(Q27=0,"",(Q27-R27)/Q27)</f>
        <v/>
      </c>
      <c r="T27" s="13">
        <f>YEAR(B27)</f>
        <v/>
      </c>
      <c r="U27" s="13">
        <f>YEAR(B27)&amp;"-Q"&amp;ROUNDUP(MONTH(B27)/3,0)</f>
        <v/>
      </c>
      <c r="V27" s="13">
        <f>TEXT(B27,"YYYY-MM")</f>
        <v/>
      </c>
      <c r="W27" s="13">
        <f>IF(L27="","",IF(L27&gt;pLateDays,1,0))</f>
        <v/>
      </c>
      <c r="X27" s="13">
        <f>IF(Q27&gt;=pHighCutoff,1,0)</f>
        <v/>
      </c>
      <c r="Y27" s="13">
        <f>IF(M27="Returned",1,0)</f>
        <v/>
      </c>
    </row>
    <row r="28">
      <c r="A28" s="13" t="inlineStr">
        <is>
          <t>HC-100026</t>
        </is>
      </c>
      <c r="B28" s="18" t="n">
        <v>45624</v>
      </c>
      <c r="C28" s="13" t="inlineStr">
        <is>
          <t>North</t>
        </is>
      </c>
      <c r="D28" s="13" t="inlineStr">
        <is>
          <t>Wholesale</t>
        </is>
      </c>
      <c r="E28" s="13" t="inlineStr">
        <is>
          <t>Furniture</t>
        </is>
      </c>
      <c r="F28" s="13" t="inlineStr">
        <is>
          <t>Oak Desk</t>
        </is>
      </c>
      <c r="G28" s="13" t="inlineStr">
        <is>
          <t>Consumer</t>
        </is>
      </c>
      <c r="H28" s="13" t="n">
        <v>29</v>
      </c>
      <c r="I28" s="14" t="n">
        <v>838.6799999999999</v>
      </c>
      <c r="J28" s="15" t="n">
        <v>0.18</v>
      </c>
      <c r="K28" s="14" t="n">
        <v>519.98</v>
      </c>
      <c r="L28" s="13" t="n">
        <v>1</v>
      </c>
      <c r="M28" s="13" t="inlineStr">
        <is>
          <t>Completed</t>
        </is>
      </c>
      <c r="N28" s="13" t="inlineStr">
        <is>
          <t>M. Okonkwo</t>
        </is>
      </c>
      <c r="O28" s="13" t="inlineStr">
        <is>
          <t>No</t>
        </is>
      </c>
      <c r="P28" s="14">
        <f>H28*I28</f>
        <v/>
      </c>
      <c r="Q28" s="14">
        <f>P28*(1-J28)</f>
        <v/>
      </c>
      <c r="R28" s="14">
        <f>H28*K28</f>
        <v/>
      </c>
      <c r="S28" s="15">
        <f>IF(Q28=0,"",(Q28-R28)/Q28)</f>
        <v/>
      </c>
      <c r="T28" s="13">
        <f>YEAR(B28)</f>
        <v/>
      </c>
      <c r="U28" s="13">
        <f>YEAR(B28)&amp;"-Q"&amp;ROUNDUP(MONTH(B28)/3,0)</f>
        <v/>
      </c>
      <c r="V28" s="13">
        <f>TEXT(B28,"YYYY-MM")</f>
        <v/>
      </c>
      <c r="W28" s="13">
        <f>IF(L28="","",IF(L28&gt;pLateDays,1,0))</f>
        <v/>
      </c>
      <c r="X28" s="13">
        <f>IF(Q28&gt;=pHighCutoff,1,0)</f>
        <v/>
      </c>
      <c r="Y28" s="13">
        <f>IF(M28="Returned",1,0)</f>
        <v/>
      </c>
    </row>
    <row r="29">
      <c r="A29" s="13" t="inlineStr">
        <is>
          <t>HC-100027</t>
        </is>
      </c>
      <c r="B29" s="18" t="n">
        <v>45834</v>
      </c>
      <c r="C29" s="13" t="inlineStr">
        <is>
          <t>South</t>
        </is>
      </c>
      <c r="D29" s="13" t="inlineStr">
        <is>
          <t>Online</t>
        </is>
      </c>
      <c r="E29" s="13" t="inlineStr">
        <is>
          <t>Kitchen</t>
        </is>
      </c>
      <c r="F29" s="13" t="inlineStr">
        <is>
          <t>Chef Knife</t>
        </is>
      </c>
      <c r="G29" s="13" t="inlineStr">
        <is>
          <t>Consumer</t>
        </is>
      </c>
      <c r="H29" s="13" t="n">
        <v>2</v>
      </c>
      <c r="I29" s="14" t="n">
        <v>64.89</v>
      </c>
      <c r="J29" s="15" t="n">
        <v>0.17</v>
      </c>
      <c r="K29" s="14" t="n">
        <v>23.36</v>
      </c>
      <c r="L29" s="13" t="n">
        <v>3</v>
      </c>
      <c r="M29" s="13" t="inlineStr">
        <is>
          <t>Completed</t>
        </is>
      </c>
      <c r="N29" s="13" t="inlineStr">
        <is>
          <t>K. Mensah</t>
        </is>
      </c>
      <c r="O29" s="13" t="inlineStr">
        <is>
          <t>No</t>
        </is>
      </c>
      <c r="P29" s="14">
        <f>H29*I29</f>
        <v/>
      </c>
      <c r="Q29" s="14">
        <f>P29*(1-J29)</f>
        <v/>
      </c>
      <c r="R29" s="14">
        <f>H29*K29</f>
        <v/>
      </c>
      <c r="S29" s="15">
        <f>IF(Q29=0,"",(Q29-R29)/Q29)</f>
        <v/>
      </c>
      <c r="T29" s="13">
        <f>YEAR(B29)</f>
        <v/>
      </c>
      <c r="U29" s="13">
        <f>YEAR(B29)&amp;"-Q"&amp;ROUNDUP(MONTH(B29)/3,0)</f>
        <v/>
      </c>
      <c r="V29" s="13">
        <f>TEXT(B29,"YYYY-MM")</f>
        <v/>
      </c>
      <c r="W29" s="13">
        <f>IF(L29="","",IF(L29&gt;pLateDays,1,0))</f>
        <v/>
      </c>
      <c r="X29" s="13">
        <f>IF(Q29&gt;=pHighCutoff,1,0)</f>
        <v/>
      </c>
      <c r="Y29" s="13">
        <f>IF(M29="Returned",1,0)</f>
        <v/>
      </c>
    </row>
    <row r="30">
      <c r="A30" s="13" t="inlineStr">
        <is>
          <t>HC-100028</t>
        </is>
      </c>
      <c r="B30" s="18" t="n">
        <v>45509</v>
      </c>
      <c r="C30" s="13" t="inlineStr">
        <is>
          <t>North</t>
        </is>
      </c>
      <c r="D30" s="13" t="inlineStr">
        <is>
          <t>Store</t>
        </is>
      </c>
      <c r="E30" s="13" t="inlineStr">
        <is>
          <t>Textiles</t>
        </is>
      </c>
      <c r="F30" s="13" t="inlineStr">
        <is>
          <t>Cotton Duvet</t>
        </is>
      </c>
      <c r="G30" s="13" t="inlineStr">
        <is>
          <t>Home Office</t>
        </is>
      </c>
      <c r="H30" s="13" t="n">
        <v>3</v>
      </c>
      <c r="I30" s="14" t="n">
        <v>122.31</v>
      </c>
      <c r="J30" s="15" t="n">
        <v>0.12</v>
      </c>
      <c r="K30" s="14" t="n">
        <v>53.82</v>
      </c>
      <c r="L30" s="13" t="n">
        <v>5</v>
      </c>
      <c r="M30" s="13" t="inlineStr">
        <is>
          <t>Completed</t>
        </is>
      </c>
      <c r="N30" s="13" t="inlineStr">
        <is>
          <t>P. Rossi</t>
        </is>
      </c>
      <c r="O30" s="13" t="inlineStr">
        <is>
          <t>No</t>
        </is>
      </c>
      <c r="P30" s="14">
        <f>H30*I30</f>
        <v/>
      </c>
      <c r="Q30" s="14">
        <f>P30*(1-J30)</f>
        <v/>
      </c>
      <c r="R30" s="14">
        <f>H30*K30</f>
        <v/>
      </c>
      <c r="S30" s="15">
        <f>IF(Q30=0,"",(Q30-R30)/Q30)</f>
        <v/>
      </c>
      <c r="T30" s="13">
        <f>YEAR(B30)</f>
        <v/>
      </c>
      <c r="U30" s="13">
        <f>YEAR(B30)&amp;"-Q"&amp;ROUNDUP(MONTH(B30)/3,0)</f>
        <v/>
      </c>
      <c r="V30" s="13">
        <f>TEXT(B30,"YYYY-MM")</f>
        <v/>
      </c>
      <c r="W30" s="13">
        <f>IF(L30="","",IF(L30&gt;pLateDays,1,0))</f>
        <v/>
      </c>
      <c r="X30" s="13">
        <f>IF(Q30&gt;=pHighCutoff,1,0)</f>
        <v/>
      </c>
      <c r="Y30" s="13">
        <f>IF(M30="Returned",1,0)</f>
        <v/>
      </c>
    </row>
    <row r="31">
      <c r="A31" s="13" t="inlineStr">
        <is>
          <t>HC-100029</t>
        </is>
      </c>
      <c r="B31" s="18" t="n">
        <v>45905</v>
      </c>
      <c r="C31" s="13" t="inlineStr">
        <is>
          <t>West</t>
        </is>
      </c>
      <c r="D31" s="13" t="inlineStr">
        <is>
          <t>Online</t>
        </is>
      </c>
      <c r="E31" s="13" t="inlineStr">
        <is>
          <t>Lighting</t>
        </is>
      </c>
      <c r="F31" s="13" t="inlineStr">
        <is>
          <t>Arc Lamp</t>
        </is>
      </c>
      <c r="G31" s="13" t="inlineStr">
        <is>
          <t>Consumer</t>
        </is>
      </c>
      <c r="H31" s="13" t="n">
        <v>1</v>
      </c>
      <c r="I31" s="14" t="n">
        <v>323.76</v>
      </c>
      <c r="J31" s="15" t="n">
        <v>0.03</v>
      </c>
      <c r="K31" s="14" t="n">
        <v>155.4</v>
      </c>
      <c r="L31" s="13" t="n">
        <v>7</v>
      </c>
      <c r="M31" s="13" t="inlineStr">
        <is>
          <t>Completed</t>
        </is>
      </c>
      <c r="N31" s="13" t="inlineStr">
        <is>
          <t>A. Shah</t>
        </is>
      </c>
      <c r="O31" s="13" t="inlineStr">
        <is>
          <t>No</t>
        </is>
      </c>
      <c r="P31" s="14">
        <f>H31*I31</f>
        <v/>
      </c>
      <c r="Q31" s="14">
        <f>P31*(1-J31)</f>
        <v/>
      </c>
      <c r="R31" s="14">
        <f>H31*K31</f>
        <v/>
      </c>
      <c r="S31" s="15">
        <f>IF(Q31=0,"",(Q31-R31)/Q31)</f>
        <v/>
      </c>
      <c r="T31" s="13">
        <f>YEAR(B31)</f>
        <v/>
      </c>
      <c r="U31" s="13">
        <f>YEAR(B31)&amp;"-Q"&amp;ROUNDUP(MONTH(B31)/3,0)</f>
        <v/>
      </c>
      <c r="V31" s="13">
        <f>TEXT(B31,"YYYY-MM")</f>
        <v/>
      </c>
      <c r="W31" s="13">
        <f>IF(L31="","",IF(L31&gt;pLateDays,1,0))</f>
        <v/>
      </c>
      <c r="X31" s="13">
        <f>IF(Q31&gt;=pHighCutoff,1,0)</f>
        <v/>
      </c>
      <c r="Y31" s="13">
        <f>IF(M31="Returned",1,0)</f>
        <v/>
      </c>
    </row>
    <row r="32">
      <c r="A32" s="13" t="inlineStr">
        <is>
          <t>HC-100030</t>
        </is>
      </c>
      <c r="B32" s="18" t="n">
        <v>45333</v>
      </c>
      <c r="C32" s="13" t="inlineStr">
        <is>
          <t>East</t>
        </is>
      </c>
      <c r="D32" s="13" t="inlineStr">
        <is>
          <t>Online</t>
        </is>
      </c>
      <c r="E32" s="13" t="inlineStr">
        <is>
          <t>Textiles</t>
        </is>
      </c>
      <c r="F32" s="13" t="inlineStr">
        <is>
          <t>Wool Throw</t>
        </is>
      </c>
      <c r="G32" s="13" t="inlineStr">
        <is>
          <t>Unknown</t>
        </is>
      </c>
      <c r="H32" s="13" t="n">
        <v>1</v>
      </c>
      <c r="I32" s="14" t="n">
        <v>70.75</v>
      </c>
      <c r="J32" s="15" t="n">
        <v>0.14</v>
      </c>
      <c r="K32" s="14" t="n">
        <v>29.71</v>
      </c>
      <c r="L32" s="13" t="n">
        <v>7</v>
      </c>
      <c r="M32" s="13" t="inlineStr">
        <is>
          <t>Completed</t>
        </is>
      </c>
      <c r="N32" s="13" t="inlineStr">
        <is>
          <t>K. Mensah</t>
        </is>
      </c>
      <c r="O32" s="13" t="inlineStr">
        <is>
          <t>No</t>
        </is>
      </c>
      <c r="P32" s="14">
        <f>H32*I32</f>
        <v/>
      </c>
      <c r="Q32" s="14">
        <f>P32*(1-J32)</f>
        <v/>
      </c>
      <c r="R32" s="14">
        <f>H32*K32</f>
        <v/>
      </c>
      <c r="S32" s="15">
        <f>IF(Q32=0,"",(Q32-R32)/Q32)</f>
        <v/>
      </c>
      <c r="T32" s="13">
        <f>YEAR(B32)</f>
        <v/>
      </c>
      <c r="U32" s="13">
        <f>YEAR(B32)&amp;"-Q"&amp;ROUNDUP(MONTH(B32)/3,0)</f>
        <v/>
      </c>
      <c r="V32" s="13">
        <f>TEXT(B32,"YYYY-MM")</f>
        <v/>
      </c>
      <c r="W32" s="13">
        <f>IF(L32="","",IF(L32&gt;pLateDays,1,0))</f>
        <v/>
      </c>
      <c r="X32" s="13">
        <f>IF(Q32&gt;=pHighCutoff,1,0)</f>
        <v/>
      </c>
      <c r="Y32" s="13">
        <f>IF(M32="Returned",1,0)</f>
        <v/>
      </c>
    </row>
    <row r="33">
      <c r="A33" s="13" t="inlineStr">
        <is>
          <t>HC-100031</t>
        </is>
      </c>
      <c r="B33" s="18" t="n">
        <v>45520</v>
      </c>
      <c r="C33" s="13" t="inlineStr">
        <is>
          <t>West</t>
        </is>
      </c>
      <c r="D33" s="13" t="inlineStr">
        <is>
          <t>Store</t>
        </is>
      </c>
      <c r="E33" s="13" t="inlineStr">
        <is>
          <t>Textiles</t>
        </is>
      </c>
      <c r="F33" s="13" t="inlineStr">
        <is>
          <t>Cotton Duvet</t>
        </is>
      </c>
      <c r="G33" s="13" t="inlineStr">
        <is>
          <t>Consumer</t>
        </is>
      </c>
      <c r="H33" s="13" t="n">
        <v>2</v>
      </c>
      <c r="I33" s="14" t="n">
        <v>127.42</v>
      </c>
      <c r="J33" s="15" t="n">
        <v>0.03</v>
      </c>
      <c r="K33" s="14" t="n">
        <v>56.07</v>
      </c>
      <c r="L33" s="13" t="n">
        <v>7</v>
      </c>
      <c r="M33" s="13" t="inlineStr">
        <is>
          <t>Completed</t>
        </is>
      </c>
      <c r="N33" s="13" t="inlineStr">
        <is>
          <t>R. Ibarra</t>
        </is>
      </c>
      <c r="O33" s="13" t="inlineStr">
        <is>
          <t>No</t>
        </is>
      </c>
      <c r="P33" s="14">
        <f>H33*I33</f>
        <v/>
      </c>
      <c r="Q33" s="14">
        <f>P33*(1-J33)</f>
        <v/>
      </c>
      <c r="R33" s="14">
        <f>H33*K33</f>
        <v/>
      </c>
      <c r="S33" s="15">
        <f>IF(Q33=0,"",(Q33-R33)/Q33)</f>
        <v/>
      </c>
      <c r="T33" s="13">
        <f>YEAR(B33)</f>
        <v/>
      </c>
      <c r="U33" s="13">
        <f>YEAR(B33)&amp;"-Q"&amp;ROUNDUP(MONTH(B33)/3,0)</f>
        <v/>
      </c>
      <c r="V33" s="13">
        <f>TEXT(B33,"YYYY-MM")</f>
        <v/>
      </c>
      <c r="W33" s="13">
        <f>IF(L33="","",IF(L33&gt;pLateDays,1,0))</f>
        <v/>
      </c>
      <c r="X33" s="13">
        <f>IF(Q33&gt;=pHighCutoff,1,0)</f>
        <v/>
      </c>
      <c r="Y33" s="13">
        <f>IF(M33="Returned",1,0)</f>
        <v/>
      </c>
    </row>
    <row r="34">
      <c r="A34" s="13" t="inlineStr">
        <is>
          <t>HC-100032</t>
        </is>
      </c>
      <c r="B34" s="18" t="n">
        <v>45892</v>
      </c>
      <c r="C34" s="13" t="inlineStr">
        <is>
          <t>South</t>
        </is>
      </c>
      <c r="D34" s="13" t="inlineStr">
        <is>
          <t>Store</t>
        </is>
      </c>
      <c r="E34" s="13" t="inlineStr">
        <is>
          <t>Lighting</t>
        </is>
      </c>
      <c r="F34" s="13" t="inlineStr">
        <is>
          <t>Arc Lamp</t>
        </is>
      </c>
      <c r="G34" s="13" t="inlineStr">
        <is>
          <t>Consumer</t>
        </is>
      </c>
      <c r="H34" s="13" t="n">
        <v>1</v>
      </c>
      <c r="I34" s="14" t="n">
        <v>286.08</v>
      </c>
      <c r="J34" s="15" t="n">
        <v>0.02</v>
      </c>
      <c r="K34" s="14" t="n">
        <v>137.32</v>
      </c>
      <c r="L34" s="13" t="n">
        <v>6</v>
      </c>
      <c r="M34" s="13" t="inlineStr">
        <is>
          <t>Completed</t>
        </is>
      </c>
      <c r="N34" s="13" t="inlineStr">
        <is>
          <t>R. Ibarra</t>
        </is>
      </c>
      <c r="O34" s="13" t="inlineStr">
        <is>
          <t>No</t>
        </is>
      </c>
      <c r="P34" s="14">
        <f>H34*I34</f>
        <v/>
      </c>
      <c r="Q34" s="14">
        <f>P34*(1-J34)</f>
        <v/>
      </c>
      <c r="R34" s="14">
        <f>H34*K34</f>
        <v/>
      </c>
      <c r="S34" s="15">
        <f>IF(Q34=0,"",(Q34-R34)/Q34)</f>
        <v/>
      </c>
      <c r="T34" s="13">
        <f>YEAR(B34)</f>
        <v/>
      </c>
      <c r="U34" s="13">
        <f>YEAR(B34)&amp;"-Q"&amp;ROUNDUP(MONTH(B34)/3,0)</f>
        <v/>
      </c>
      <c r="V34" s="13">
        <f>TEXT(B34,"YYYY-MM")</f>
        <v/>
      </c>
      <c r="W34" s="13">
        <f>IF(L34="","",IF(L34&gt;pLateDays,1,0))</f>
        <v/>
      </c>
      <c r="X34" s="13">
        <f>IF(Q34&gt;=pHighCutoff,1,0)</f>
        <v/>
      </c>
      <c r="Y34" s="13">
        <f>IF(M34="Returned",1,0)</f>
        <v/>
      </c>
    </row>
    <row r="35">
      <c r="A35" s="13" t="inlineStr">
        <is>
          <t>HC-100033</t>
        </is>
      </c>
      <c r="B35" s="18" t="n">
        <v>45640</v>
      </c>
      <c r="C35" s="13" t="inlineStr">
        <is>
          <t>East</t>
        </is>
      </c>
      <c r="D35" s="13" t="inlineStr">
        <is>
          <t>Store</t>
        </is>
      </c>
      <c r="E35" s="13" t="inlineStr">
        <is>
          <t>Furniture</t>
        </is>
      </c>
      <c r="F35" s="13" t="inlineStr">
        <is>
          <t>Linen Sofa</t>
        </is>
      </c>
      <c r="G35" s="13" t="inlineStr">
        <is>
          <t>Corporate</t>
        </is>
      </c>
      <c r="H35" s="13" t="n">
        <v>3</v>
      </c>
      <c r="I35" s="14" t="n">
        <v>1192.38</v>
      </c>
      <c r="J35" s="15" t="n">
        <v>0.02</v>
      </c>
      <c r="K35" s="14" t="n">
        <v>786.97</v>
      </c>
      <c r="L35" s="13" t="n">
        <v>9</v>
      </c>
      <c r="M35" s="13" t="inlineStr">
        <is>
          <t>Completed</t>
        </is>
      </c>
      <c r="N35" s="13" t="inlineStr">
        <is>
          <t>S. Nguyen</t>
        </is>
      </c>
      <c r="O35" s="13" t="inlineStr">
        <is>
          <t>No</t>
        </is>
      </c>
      <c r="P35" s="14">
        <f>H35*I35</f>
        <v/>
      </c>
      <c r="Q35" s="14">
        <f>P35*(1-J35)</f>
        <v/>
      </c>
      <c r="R35" s="14">
        <f>H35*K35</f>
        <v/>
      </c>
      <c r="S35" s="15">
        <f>IF(Q35=0,"",(Q35-R35)/Q35)</f>
        <v/>
      </c>
      <c r="T35" s="13">
        <f>YEAR(B35)</f>
        <v/>
      </c>
      <c r="U35" s="13">
        <f>YEAR(B35)&amp;"-Q"&amp;ROUNDUP(MONTH(B35)/3,0)</f>
        <v/>
      </c>
      <c r="V35" s="13">
        <f>TEXT(B35,"YYYY-MM")</f>
        <v/>
      </c>
      <c r="W35" s="13">
        <f>IF(L35="","",IF(L35&gt;pLateDays,1,0))</f>
        <v/>
      </c>
      <c r="X35" s="13">
        <f>IF(Q35&gt;=pHighCutoff,1,0)</f>
        <v/>
      </c>
      <c r="Y35" s="13">
        <f>IF(M35="Returned",1,0)</f>
        <v/>
      </c>
    </row>
    <row r="36">
      <c r="A36" s="13" t="inlineStr">
        <is>
          <t>HC-100034</t>
        </is>
      </c>
      <c r="B36" s="18" t="n">
        <v>45710</v>
      </c>
      <c r="C36" s="13" t="inlineStr">
        <is>
          <t>West</t>
        </is>
      </c>
      <c r="D36" s="13" t="inlineStr">
        <is>
          <t>Online</t>
        </is>
      </c>
      <c r="E36" s="13" t="inlineStr">
        <is>
          <t>Lighting</t>
        </is>
      </c>
      <c r="F36" s="13" t="inlineStr">
        <is>
          <t>Arc Lamp</t>
        </is>
      </c>
      <c r="G36" s="13" t="inlineStr">
        <is>
          <t>Consumer</t>
        </is>
      </c>
      <c r="H36" s="13" t="n">
        <v>1</v>
      </c>
      <c r="I36" s="14" t="n">
        <v>290.31</v>
      </c>
      <c r="J36" s="15" t="n">
        <v>0.17</v>
      </c>
      <c r="K36" s="14" t="n">
        <v>139.35</v>
      </c>
      <c r="L36" s="13" t="n">
        <v>1</v>
      </c>
      <c r="M36" s="13" t="inlineStr">
        <is>
          <t>Completed</t>
        </is>
      </c>
      <c r="N36" s="13" t="inlineStr">
        <is>
          <t>J. Patel</t>
        </is>
      </c>
      <c r="O36" s="13" t="inlineStr">
        <is>
          <t>No</t>
        </is>
      </c>
      <c r="P36" s="14">
        <f>H36*I36</f>
        <v/>
      </c>
      <c r="Q36" s="14">
        <f>P36*(1-J36)</f>
        <v/>
      </c>
      <c r="R36" s="14">
        <f>H36*K36</f>
        <v/>
      </c>
      <c r="S36" s="15">
        <f>IF(Q36=0,"",(Q36-R36)/Q36)</f>
        <v/>
      </c>
      <c r="T36" s="13">
        <f>YEAR(B36)</f>
        <v/>
      </c>
      <c r="U36" s="13">
        <f>YEAR(B36)&amp;"-Q"&amp;ROUNDUP(MONTH(B36)/3,0)</f>
        <v/>
      </c>
      <c r="V36" s="13">
        <f>TEXT(B36,"YYYY-MM")</f>
        <v/>
      </c>
      <c r="W36" s="13">
        <f>IF(L36="","",IF(L36&gt;pLateDays,1,0))</f>
        <v/>
      </c>
      <c r="X36" s="13">
        <f>IF(Q36&gt;=pHighCutoff,1,0)</f>
        <v/>
      </c>
      <c r="Y36" s="13">
        <f>IF(M36="Returned",1,0)</f>
        <v/>
      </c>
    </row>
    <row r="37">
      <c r="A37" s="13" t="inlineStr">
        <is>
          <t>HC-100035</t>
        </is>
      </c>
      <c r="B37" s="18" t="n">
        <v>45570</v>
      </c>
      <c r="C37" s="13" t="inlineStr">
        <is>
          <t>North</t>
        </is>
      </c>
      <c r="D37" s="13" t="inlineStr">
        <is>
          <t>Wholesale</t>
        </is>
      </c>
      <c r="E37" s="13" t="inlineStr">
        <is>
          <t>Furniture</t>
        </is>
      </c>
      <c r="F37" s="13" t="inlineStr">
        <is>
          <t>Oak Desk</t>
        </is>
      </c>
      <c r="G37" s="13" t="inlineStr">
        <is>
          <t>Corporate</t>
        </is>
      </c>
      <c r="H37" s="13" t="n">
        <v>11</v>
      </c>
      <c r="I37" s="14" t="n">
        <v>817.5700000000001</v>
      </c>
      <c r="J37" s="15" t="n">
        <v>0.22</v>
      </c>
      <c r="K37" s="14" t="n">
        <v>506.89</v>
      </c>
      <c r="L37" s="13" t="n">
        <v>5</v>
      </c>
      <c r="M37" s="13" t="inlineStr">
        <is>
          <t>Completed</t>
        </is>
      </c>
      <c r="N37" s="13" t="inlineStr">
        <is>
          <t>S. Nguyen</t>
        </is>
      </c>
      <c r="O37" s="13" t="inlineStr">
        <is>
          <t>No</t>
        </is>
      </c>
      <c r="P37" s="14">
        <f>H37*I37</f>
        <v/>
      </c>
      <c r="Q37" s="14">
        <f>P37*(1-J37)</f>
        <v/>
      </c>
      <c r="R37" s="14">
        <f>H37*K37</f>
        <v/>
      </c>
      <c r="S37" s="15">
        <f>IF(Q37=0,"",(Q37-R37)/Q37)</f>
        <v/>
      </c>
      <c r="T37" s="13">
        <f>YEAR(B37)</f>
        <v/>
      </c>
      <c r="U37" s="13">
        <f>YEAR(B37)&amp;"-Q"&amp;ROUNDUP(MONTH(B37)/3,0)</f>
        <v/>
      </c>
      <c r="V37" s="13">
        <f>TEXT(B37,"YYYY-MM")</f>
        <v/>
      </c>
      <c r="W37" s="13">
        <f>IF(L37="","",IF(L37&gt;pLateDays,1,0))</f>
        <v/>
      </c>
      <c r="X37" s="13">
        <f>IF(Q37&gt;=pHighCutoff,1,0)</f>
        <v/>
      </c>
      <c r="Y37" s="13">
        <f>IF(M37="Returned",1,0)</f>
        <v/>
      </c>
    </row>
    <row r="38">
      <c r="A38" s="13" t="inlineStr">
        <is>
          <t>HC-100036</t>
        </is>
      </c>
      <c r="B38" s="18" t="n">
        <v>45392</v>
      </c>
      <c r="C38" s="13" t="inlineStr">
        <is>
          <t>North</t>
        </is>
      </c>
      <c r="D38" s="13" t="inlineStr">
        <is>
          <t>Store</t>
        </is>
      </c>
      <c r="E38" s="13" t="inlineStr">
        <is>
          <t>Kitchen</t>
        </is>
      </c>
      <c r="F38" s="13" t="inlineStr">
        <is>
          <t>Ceramic Set</t>
        </is>
      </c>
      <c r="G38" s="13" t="inlineStr">
        <is>
          <t>Consumer</t>
        </is>
      </c>
      <c r="H38" s="13" t="n">
        <v>1</v>
      </c>
      <c r="I38" s="14" t="n">
        <v>79.55</v>
      </c>
      <c r="J38" s="15" t="n">
        <v>0.02</v>
      </c>
      <c r="K38" s="14" t="n">
        <v>30.23</v>
      </c>
      <c r="L38" s="13" t="n">
        <v>1</v>
      </c>
      <c r="M38" s="13" t="inlineStr">
        <is>
          <t>Completed</t>
        </is>
      </c>
      <c r="N38" s="13" t="inlineStr">
        <is>
          <t>A. Shah</t>
        </is>
      </c>
      <c r="O38" s="13" t="inlineStr">
        <is>
          <t>No</t>
        </is>
      </c>
      <c r="P38" s="14">
        <f>H38*I38</f>
        <v/>
      </c>
      <c r="Q38" s="14">
        <f>P38*(1-J38)</f>
        <v/>
      </c>
      <c r="R38" s="14">
        <f>H38*K38</f>
        <v/>
      </c>
      <c r="S38" s="15">
        <f>IF(Q38=0,"",(Q38-R38)/Q38)</f>
        <v/>
      </c>
      <c r="T38" s="13">
        <f>YEAR(B38)</f>
        <v/>
      </c>
      <c r="U38" s="13">
        <f>YEAR(B38)&amp;"-Q"&amp;ROUNDUP(MONTH(B38)/3,0)</f>
        <v/>
      </c>
      <c r="V38" s="13">
        <f>TEXT(B38,"YYYY-MM")</f>
        <v/>
      </c>
      <c r="W38" s="13">
        <f>IF(L38="","",IF(L38&gt;pLateDays,1,0))</f>
        <v/>
      </c>
      <c r="X38" s="13">
        <f>IF(Q38&gt;=pHighCutoff,1,0)</f>
        <v/>
      </c>
      <c r="Y38" s="13">
        <f>IF(M38="Returned",1,0)</f>
        <v/>
      </c>
    </row>
    <row r="39">
      <c r="A39" s="13" t="inlineStr">
        <is>
          <t>HC-100037</t>
        </is>
      </c>
      <c r="B39" s="18" t="n">
        <v>45626</v>
      </c>
      <c r="C39" s="13" t="inlineStr">
        <is>
          <t>West</t>
        </is>
      </c>
      <c r="D39" s="13" t="inlineStr">
        <is>
          <t>Store</t>
        </is>
      </c>
      <c r="E39" s="13" t="inlineStr">
        <is>
          <t>Kitchen</t>
        </is>
      </c>
      <c r="F39" s="13" t="inlineStr">
        <is>
          <t>Chef Knife</t>
        </is>
      </c>
      <c r="G39" s="13" t="inlineStr">
        <is>
          <t>Consumer</t>
        </is>
      </c>
      <c r="H39" s="13" t="n">
        <v>2</v>
      </c>
      <c r="I39" s="14" t="n">
        <v>65.03</v>
      </c>
      <c r="J39" s="15" t="n">
        <v>0.1</v>
      </c>
      <c r="K39" s="14" t="n">
        <v>23.41</v>
      </c>
      <c r="L39" s="13" t="n">
        <v>7</v>
      </c>
      <c r="M39" s="13" t="inlineStr">
        <is>
          <t>Completed</t>
        </is>
      </c>
      <c r="N39" s="13" t="inlineStr">
        <is>
          <t>L. Berger</t>
        </is>
      </c>
      <c r="O39" s="13" t="inlineStr">
        <is>
          <t>No</t>
        </is>
      </c>
      <c r="P39" s="14">
        <f>H39*I39</f>
        <v/>
      </c>
      <c r="Q39" s="14">
        <f>P39*(1-J39)</f>
        <v/>
      </c>
      <c r="R39" s="14">
        <f>H39*K39</f>
        <v/>
      </c>
      <c r="S39" s="15">
        <f>IF(Q39=0,"",(Q39-R39)/Q39)</f>
        <v/>
      </c>
      <c r="T39" s="13">
        <f>YEAR(B39)</f>
        <v/>
      </c>
      <c r="U39" s="13">
        <f>YEAR(B39)&amp;"-Q"&amp;ROUNDUP(MONTH(B39)/3,0)</f>
        <v/>
      </c>
      <c r="V39" s="13">
        <f>TEXT(B39,"YYYY-MM")</f>
        <v/>
      </c>
      <c r="W39" s="13">
        <f>IF(L39="","",IF(L39&gt;pLateDays,1,0))</f>
        <v/>
      </c>
      <c r="X39" s="13">
        <f>IF(Q39&gt;=pHighCutoff,1,0)</f>
        <v/>
      </c>
      <c r="Y39" s="13">
        <f>IF(M39="Returned",1,0)</f>
        <v/>
      </c>
    </row>
    <row r="40">
      <c r="A40" s="13" t="inlineStr">
        <is>
          <t>HC-100038</t>
        </is>
      </c>
      <c r="B40" s="18" t="n">
        <v>45406</v>
      </c>
      <c r="C40" s="13" t="inlineStr">
        <is>
          <t>East</t>
        </is>
      </c>
      <c r="D40" s="13" t="inlineStr">
        <is>
          <t>Store</t>
        </is>
      </c>
      <c r="E40" s="13" t="inlineStr">
        <is>
          <t>Lighting</t>
        </is>
      </c>
      <c r="F40" s="13" t="inlineStr">
        <is>
          <t>Arc Lamp</t>
        </is>
      </c>
      <c r="G40" s="13" t="inlineStr">
        <is>
          <t>Consumer</t>
        </is>
      </c>
      <c r="H40" s="13" t="n">
        <v>1</v>
      </c>
      <c r="I40" s="14" t="n">
        <v>257.42</v>
      </c>
      <c r="J40" s="15" t="n">
        <v>0</v>
      </c>
      <c r="K40" s="14" t="n">
        <v>123.56</v>
      </c>
      <c r="L40" s="13" t="n">
        <v>10</v>
      </c>
      <c r="M40" s="13" t="inlineStr">
        <is>
          <t>Cancelled</t>
        </is>
      </c>
      <c r="N40" s="13" t="inlineStr">
        <is>
          <t>J. Patel</t>
        </is>
      </c>
      <c r="O40" s="13" t="inlineStr">
        <is>
          <t>No</t>
        </is>
      </c>
      <c r="P40" s="14">
        <f>H40*I40</f>
        <v/>
      </c>
      <c r="Q40" s="14">
        <f>P40*(1-J40)</f>
        <v/>
      </c>
      <c r="R40" s="14">
        <f>H40*K40</f>
        <v/>
      </c>
      <c r="S40" s="15">
        <f>IF(Q40=0,"",(Q40-R40)/Q40)</f>
        <v/>
      </c>
      <c r="T40" s="13">
        <f>YEAR(B40)</f>
        <v/>
      </c>
      <c r="U40" s="13">
        <f>YEAR(B40)&amp;"-Q"&amp;ROUNDUP(MONTH(B40)/3,0)</f>
        <v/>
      </c>
      <c r="V40" s="13">
        <f>TEXT(B40,"YYYY-MM")</f>
        <v/>
      </c>
      <c r="W40" s="13">
        <f>IF(L40="","",IF(L40&gt;pLateDays,1,0))</f>
        <v/>
      </c>
      <c r="X40" s="13">
        <f>IF(Q40&gt;=pHighCutoff,1,0)</f>
        <v/>
      </c>
      <c r="Y40" s="13">
        <f>IF(M40="Returned",1,0)</f>
        <v/>
      </c>
    </row>
    <row r="41">
      <c r="A41" s="13" t="inlineStr">
        <is>
          <t>HC-100039</t>
        </is>
      </c>
      <c r="B41" s="18" t="n">
        <v>45293</v>
      </c>
      <c r="C41" s="13" t="inlineStr">
        <is>
          <t>North</t>
        </is>
      </c>
      <c r="D41" s="13" t="inlineStr">
        <is>
          <t>Wholesale</t>
        </is>
      </c>
      <c r="E41" s="13" t="inlineStr">
        <is>
          <t>Furniture</t>
        </is>
      </c>
      <c r="F41" s="13" t="inlineStr">
        <is>
          <t>Walnut Shelf</t>
        </is>
      </c>
      <c r="G41" s="13" t="inlineStr">
        <is>
          <t>Consumer</t>
        </is>
      </c>
      <c r="H41" s="13" t="n">
        <v>25</v>
      </c>
      <c r="I41" s="14" t="n">
        <v>216.35</v>
      </c>
      <c r="J41" s="15" t="n">
        <v>0.23</v>
      </c>
      <c r="K41" s="14" t="n">
        <v>118.99</v>
      </c>
      <c r="L41" s="13" t="n">
        <v>8</v>
      </c>
      <c r="M41" s="13" t="inlineStr">
        <is>
          <t>Completed</t>
        </is>
      </c>
      <c r="N41" s="13" t="inlineStr">
        <is>
          <t>S. Nguyen</t>
        </is>
      </c>
      <c r="O41" s="13" t="inlineStr">
        <is>
          <t>No</t>
        </is>
      </c>
      <c r="P41" s="14">
        <f>H41*I41</f>
        <v/>
      </c>
      <c r="Q41" s="14">
        <f>P41*(1-J41)</f>
        <v/>
      </c>
      <c r="R41" s="14">
        <f>H41*K41</f>
        <v/>
      </c>
      <c r="S41" s="15">
        <f>IF(Q41=0,"",(Q41-R41)/Q41)</f>
        <v/>
      </c>
      <c r="T41" s="13">
        <f>YEAR(B41)</f>
        <v/>
      </c>
      <c r="U41" s="13">
        <f>YEAR(B41)&amp;"-Q"&amp;ROUNDUP(MONTH(B41)/3,0)</f>
        <v/>
      </c>
      <c r="V41" s="13">
        <f>TEXT(B41,"YYYY-MM")</f>
        <v/>
      </c>
      <c r="W41" s="13">
        <f>IF(L41="","",IF(L41&gt;pLateDays,1,0))</f>
        <v/>
      </c>
      <c r="X41" s="13">
        <f>IF(Q41&gt;=pHighCutoff,1,0)</f>
        <v/>
      </c>
      <c r="Y41" s="13">
        <f>IF(M41="Returned",1,0)</f>
        <v/>
      </c>
    </row>
    <row r="42">
      <c r="A42" s="13" t="inlineStr">
        <is>
          <t>HC-100040</t>
        </is>
      </c>
      <c r="B42" s="18" t="n">
        <v>45859</v>
      </c>
      <c r="C42" s="13" t="inlineStr">
        <is>
          <t>East</t>
        </is>
      </c>
      <c r="D42" s="13" t="inlineStr">
        <is>
          <t>Store</t>
        </is>
      </c>
      <c r="E42" s="13" t="inlineStr">
        <is>
          <t>Kitchen</t>
        </is>
      </c>
      <c r="F42" s="13" t="inlineStr">
        <is>
          <t>Chef Knife</t>
        </is>
      </c>
      <c r="G42" s="13" t="inlineStr">
        <is>
          <t>Consumer</t>
        </is>
      </c>
      <c r="H42" s="13" t="n">
        <v>2</v>
      </c>
      <c r="I42" s="14" t="n">
        <v>60.91</v>
      </c>
      <c r="J42" s="15" t="n">
        <v>0.02</v>
      </c>
      <c r="K42" s="14" t="n">
        <v>21.93</v>
      </c>
      <c r="L42" s="13" t="n">
        <v>6</v>
      </c>
      <c r="M42" s="13" t="inlineStr">
        <is>
          <t>Completed</t>
        </is>
      </c>
      <c r="N42" s="13" t="inlineStr">
        <is>
          <t>M. Okonkwo</t>
        </is>
      </c>
      <c r="O42" s="13" t="inlineStr">
        <is>
          <t>No</t>
        </is>
      </c>
      <c r="P42" s="14">
        <f>H42*I42</f>
        <v/>
      </c>
      <c r="Q42" s="14">
        <f>P42*(1-J42)</f>
        <v/>
      </c>
      <c r="R42" s="14">
        <f>H42*K42</f>
        <v/>
      </c>
      <c r="S42" s="15">
        <f>IF(Q42=0,"",(Q42-R42)/Q42)</f>
        <v/>
      </c>
      <c r="T42" s="13">
        <f>YEAR(B42)</f>
        <v/>
      </c>
      <c r="U42" s="13">
        <f>YEAR(B42)&amp;"-Q"&amp;ROUNDUP(MONTH(B42)/3,0)</f>
        <v/>
      </c>
      <c r="V42" s="13">
        <f>TEXT(B42,"YYYY-MM")</f>
        <v/>
      </c>
      <c r="W42" s="13">
        <f>IF(L42="","",IF(L42&gt;pLateDays,1,0))</f>
        <v/>
      </c>
      <c r="X42" s="13">
        <f>IF(Q42&gt;=pHighCutoff,1,0)</f>
        <v/>
      </c>
      <c r="Y42" s="13">
        <f>IF(M42="Returned",1,0)</f>
        <v/>
      </c>
    </row>
    <row r="43">
      <c r="A43" s="13" t="inlineStr">
        <is>
          <t>HC-100041</t>
        </is>
      </c>
      <c r="B43" s="18" t="n">
        <v>45865</v>
      </c>
      <c r="C43" s="13" t="inlineStr">
        <is>
          <t>North</t>
        </is>
      </c>
      <c r="D43" s="13" t="inlineStr">
        <is>
          <t>Store</t>
        </is>
      </c>
      <c r="E43" s="13" t="inlineStr">
        <is>
          <t>Textiles</t>
        </is>
      </c>
      <c r="F43" s="13" t="inlineStr">
        <is>
          <t>Linen Curtain</t>
        </is>
      </c>
      <c r="G43" s="13" t="inlineStr">
        <is>
          <t>Consumer</t>
        </is>
      </c>
      <c r="H43" s="13" t="n">
        <v>2</v>
      </c>
      <c r="I43" s="14" t="n">
        <v>93.13</v>
      </c>
      <c r="J43" s="15" t="n">
        <v>0.12</v>
      </c>
      <c r="K43" s="14" t="n">
        <v>41.91</v>
      </c>
      <c r="L43" s="13" t="n">
        <v>5</v>
      </c>
      <c r="M43" s="13" t="inlineStr">
        <is>
          <t>Completed</t>
        </is>
      </c>
      <c r="N43" s="13" t="inlineStr">
        <is>
          <t>A. Shah</t>
        </is>
      </c>
      <c r="O43" s="13" t="inlineStr">
        <is>
          <t>No</t>
        </is>
      </c>
      <c r="P43" s="14">
        <f>H43*I43</f>
        <v/>
      </c>
      <c r="Q43" s="14">
        <f>P43*(1-J43)</f>
        <v/>
      </c>
      <c r="R43" s="14">
        <f>H43*K43</f>
        <v/>
      </c>
      <c r="S43" s="15">
        <f>IF(Q43=0,"",(Q43-R43)/Q43)</f>
        <v/>
      </c>
      <c r="T43" s="13">
        <f>YEAR(B43)</f>
        <v/>
      </c>
      <c r="U43" s="13">
        <f>YEAR(B43)&amp;"-Q"&amp;ROUNDUP(MONTH(B43)/3,0)</f>
        <v/>
      </c>
      <c r="V43" s="13">
        <f>TEXT(B43,"YYYY-MM")</f>
        <v/>
      </c>
      <c r="W43" s="13">
        <f>IF(L43="","",IF(L43&gt;pLateDays,1,0))</f>
        <v/>
      </c>
      <c r="X43" s="13">
        <f>IF(Q43&gt;=pHighCutoff,1,0)</f>
        <v/>
      </c>
      <c r="Y43" s="13">
        <f>IF(M43="Returned",1,0)</f>
        <v/>
      </c>
    </row>
    <row r="44">
      <c r="A44" s="13" t="inlineStr">
        <is>
          <t>HC-100042</t>
        </is>
      </c>
      <c r="B44" s="18" t="n">
        <v>45392</v>
      </c>
      <c r="C44" s="13" t="inlineStr">
        <is>
          <t>East</t>
        </is>
      </c>
      <c r="D44" s="13" t="inlineStr">
        <is>
          <t>Store</t>
        </is>
      </c>
      <c r="E44" s="13" t="inlineStr">
        <is>
          <t>Kitchen</t>
        </is>
      </c>
      <c r="F44" s="13" t="inlineStr">
        <is>
          <t>Ceramic Set</t>
        </is>
      </c>
      <c r="G44" s="13" t="inlineStr">
        <is>
          <t>Consumer</t>
        </is>
      </c>
      <c r="H44" s="13" t="n">
        <v>3</v>
      </c>
      <c r="I44" s="14" t="n">
        <v>80.54000000000001</v>
      </c>
      <c r="J44" s="15" t="n">
        <v>0.01</v>
      </c>
      <c r="K44" s="14" t="n">
        <v>30.6</v>
      </c>
      <c r="L44" s="13" t="n">
        <v>7</v>
      </c>
      <c r="M44" s="13" t="inlineStr">
        <is>
          <t>Completed</t>
        </is>
      </c>
      <c r="N44" s="13" t="inlineStr">
        <is>
          <t>M. Okonkwo</t>
        </is>
      </c>
      <c r="O44" s="13" t="inlineStr">
        <is>
          <t>No</t>
        </is>
      </c>
      <c r="P44" s="14">
        <f>H44*I44</f>
        <v/>
      </c>
      <c r="Q44" s="14">
        <f>P44*(1-J44)</f>
        <v/>
      </c>
      <c r="R44" s="14">
        <f>H44*K44</f>
        <v/>
      </c>
      <c r="S44" s="15">
        <f>IF(Q44=0,"",(Q44-R44)/Q44)</f>
        <v/>
      </c>
      <c r="T44" s="13">
        <f>YEAR(B44)</f>
        <v/>
      </c>
      <c r="U44" s="13">
        <f>YEAR(B44)&amp;"-Q"&amp;ROUNDUP(MONTH(B44)/3,0)</f>
        <v/>
      </c>
      <c r="V44" s="13">
        <f>TEXT(B44,"YYYY-MM")</f>
        <v/>
      </c>
      <c r="W44" s="13">
        <f>IF(L44="","",IF(L44&gt;pLateDays,1,0))</f>
        <v/>
      </c>
      <c r="X44" s="13">
        <f>IF(Q44&gt;=pHighCutoff,1,0)</f>
        <v/>
      </c>
      <c r="Y44" s="13">
        <f>IF(M44="Returned",1,0)</f>
        <v/>
      </c>
    </row>
    <row r="45">
      <c r="A45" s="13" t="inlineStr">
        <is>
          <t>HC-100043</t>
        </is>
      </c>
      <c r="B45" s="18" t="n">
        <v>45490</v>
      </c>
      <c r="C45" s="13" t="inlineStr">
        <is>
          <t>West</t>
        </is>
      </c>
      <c r="D45" s="13" t="inlineStr">
        <is>
          <t>Wholesale</t>
        </is>
      </c>
      <c r="E45" s="13" t="inlineStr">
        <is>
          <t>Kitchen</t>
        </is>
      </c>
      <c r="F45" s="13" t="inlineStr">
        <is>
          <t>Ceramic Set</t>
        </is>
      </c>
      <c r="G45" s="13" t="inlineStr">
        <is>
          <t>Consumer</t>
        </is>
      </c>
      <c r="H45" s="13" t="n">
        <v>35</v>
      </c>
      <c r="I45" s="14" t="n">
        <v>92.23</v>
      </c>
      <c r="J45" s="15" t="n">
        <v>0.32</v>
      </c>
      <c r="K45" s="14" t="n">
        <v>35.05</v>
      </c>
      <c r="L45" s="13" t="n">
        <v>6</v>
      </c>
      <c r="M45" s="13" t="inlineStr">
        <is>
          <t>Completed</t>
        </is>
      </c>
      <c r="N45" s="13" t="inlineStr">
        <is>
          <t>M. Okonkwo</t>
        </is>
      </c>
      <c r="O45" s="13" t="inlineStr">
        <is>
          <t>No</t>
        </is>
      </c>
      <c r="P45" s="14">
        <f>H45*I45</f>
        <v/>
      </c>
      <c r="Q45" s="14">
        <f>P45*(1-J45)</f>
        <v/>
      </c>
      <c r="R45" s="14">
        <f>H45*K45</f>
        <v/>
      </c>
      <c r="S45" s="15">
        <f>IF(Q45=0,"",(Q45-R45)/Q45)</f>
        <v/>
      </c>
      <c r="T45" s="13">
        <f>YEAR(B45)</f>
        <v/>
      </c>
      <c r="U45" s="13">
        <f>YEAR(B45)&amp;"-Q"&amp;ROUNDUP(MONTH(B45)/3,0)</f>
        <v/>
      </c>
      <c r="V45" s="13">
        <f>TEXT(B45,"YYYY-MM")</f>
        <v/>
      </c>
      <c r="W45" s="13">
        <f>IF(L45="","",IF(L45&gt;pLateDays,1,0))</f>
        <v/>
      </c>
      <c r="X45" s="13">
        <f>IF(Q45&gt;=pHighCutoff,1,0)</f>
        <v/>
      </c>
      <c r="Y45" s="13">
        <f>IF(M45="Returned",1,0)</f>
        <v/>
      </c>
    </row>
    <row r="46">
      <c r="A46" s="13" t="inlineStr">
        <is>
          <t>HC-100044</t>
        </is>
      </c>
      <c r="B46" s="18" t="n">
        <v>45770</v>
      </c>
      <c r="C46" s="13" t="inlineStr">
        <is>
          <t>South</t>
        </is>
      </c>
      <c r="D46" s="13" t="inlineStr">
        <is>
          <t>Store</t>
        </is>
      </c>
      <c r="E46" s="13" t="inlineStr">
        <is>
          <t>Textiles</t>
        </is>
      </c>
      <c r="F46" s="13" t="inlineStr">
        <is>
          <t>Wool Throw</t>
        </is>
      </c>
      <c r="G46" s="13" t="inlineStr">
        <is>
          <t>Consumer</t>
        </is>
      </c>
      <c r="H46" s="13" t="n">
        <v>1</v>
      </c>
      <c r="I46" s="14" t="n">
        <v>80.3</v>
      </c>
      <c r="J46" s="15" t="n">
        <v>0.02</v>
      </c>
      <c r="K46" s="14" t="n">
        <v>33.73</v>
      </c>
      <c r="L46" s="13" t="n">
        <v>5</v>
      </c>
      <c r="M46" s="13" t="inlineStr">
        <is>
          <t>Completed</t>
        </is>
      </c>
      <c r="N46" s="13" t="inlineStr">
        <is>
          <t>K. Mensah</t>
        </is>
      </c>
      <c r="O46" s="13" t="inlineStr">
        <is>
          <t>No</t>
        </is>
      </c>
      <c r="P46" s="14">
        <f>H46*I46</f>
        <v/>
      </c>
      <c r="Q46" s="14">
        <f>P46*(1-J46)</f>
        <v/>
      </c>
      <c r="R46" s="14">
        <f>H46*K46</f>
        <v/>
      </c>
      <c r="S46" s="15">
        <f>IF(Q46=0,"",(Q46-R46)/Q46)</f>
        <v/>
      </c>
      <c r="T46" s="13">
        <f>YEAR(B46)</f>
        <v/>
      </c>
      <c r="U46" s="13">
        <f>YEAR(B46)&amp;"-Q"&amp;ROUNDUP(MONTH(B46)/3,0)</f>
        <v/>
      </c>
      <c r="V46" s="13">
        <f>TEXT(B46,"YYYY-MM")</f>
        <v/>
      </c>
      <c r="W46" s="13">
        <f>IF(L46="","",IF(L46&gt;pLateDays,1,0))</f>
        <v/>
      </c>
      <c r="X46" s="13">
        <f>IF(Q46&gt;=pHighCutoff,1,0)</f>
        <v/>
      </c>
      <c r="Y46" s="13">
        <f>IF(M46="Returned",1,0)</f>
        <v/>
      </c>
    </row>
    <row r="47">
      <c r="A47" s="13" t="inlineStr">
        <is>
          <t>HC-100045</t>
        </is>
      </c>
      <c r="B47" s="18" t="n">
        <v>45453</v>
      </c>
      <c r="C47" s="13" t="inlineStr">
        <is>
          <t>North</t>
        </is>
      </c>
      <c r="D47" s="13" t="inlineStr">
        <is>
          <t>Wholesale</t>
        </is>
      </c>
      <c r="E47" s="13" t="inlineStr">
        <is>
          <t>Kitchen</t>
        </is>
      </c>
      <c r="F47" s="13" t="inlineStr">
        <is>
          <t>Ceramic Set</t>
        </is>
      </c>
      <c r="G47" s="13" t="inlineStr">
        <is>
          <t>Consumer</t>
        </is>
      </c>
      <c r="H47" s="13" t="n">
        <v>8</v>
      </c>
      <c r="I47" s="14" t="n">
        <v>85.87</v>
      </c>
      <c r="J47" s="15" t="n">
        <v>0.22</v>
      </c>
      <c r="K47" s="14" t="n">
        <v>32.63</v>
      </c>
      <c r="L47" s="13" t="n">
        <v>6</v>
      </c>
      <c r="M47" s="13" t="inlineStr">
        <is>
          <t>Completed</t>
        </is>
      </c>
      <c r="N47" s="13" t="inlineStr">
        <is>
          <t>K. Mensah</t>
        </is>
      </c>
      <c r="O47" s="13" t="inlineStr">
        <is>
          <t>No</t>
        </is>
      </c>
      <c r="P47" s="14">
        <f>H47*I47</f>
        <v/>
      </c>
      <c r="Q47" s="14">
        <f>P47*(1-J47)</f>
        <v/>
      </c>
      <c r="R47" s="14">
        <f>H47*K47</f>
        <v/>
      </c>
      <c r="S47" s="15">
        <f>IF(Q47=0,"",(Q47-R47)/Q47)</f>
        <v/>
      </c>
      <c r="T47" s="13">
        <f>YEAR(B47)</f>
        <v/>
      </c>
      <c r="U47" s="13">
        <f>YEAR(B47)&amp;"-Q"&amp;ROUNDUP(MONTH(B47)/3,0)</f>
        <v/>
      </c>
      <c r="V47" s="13">
        <f>TEXT(B47,"YYYY-MM")</f>
        <v/>
      </c>
      <c r="W47" s="13">
        <f>IF(L47="","",IF(L47&gt;pLateDays,1,0))</f>
        <v/>
      </c>
      <c r="X47" s="13">
        <f>IF(Q47&gt;=pHighCutoff,1,0)</f>
        <v/>
      </c>
      <c r="Y47" s="13">
        <f>IF(M47="Returned",1,0)</f>
        <v/>
      </c>
    </row>
    <row r="48">
      <c r="A48" s="13" t="inlineStr">
        <is>
          <t>HC-100046</t>
        </is>
      </c>
      <c r="B48" s="18" t="n">
        <v>45873</v>
      </c>
      <c r="C48" s="13" t="inlineStr">
        <is>
          <t>South</t>
        </is>
      </c>
      <c r="D48" s="13" t="inlineStr">
        <is>
          <t>Online</t>
        </is>
      </c>
      <c r="E48" s="13" t="inlineStr">
        <is>
          <t>Lighting</t>
        </is>
      </c>
      <c r="F48" s="13" t="inlineStr">
        <is>
          <t>Brass Sconce</t>
        </is>
      </c>
      <c r="G48" s="13" t="inlineStr">
        <is>
          <t>Corporate</t>
        </is>
      </c>
      <c r="H48" s="13" t="n">
        <v>2</v>
      </c>
      <c r="I48" s="14" t="n">
        <v>132.99</v>
      </c>
      <c r="J48" s="15" t="n">
        <v>0.11</v>
      </c>
      <c r="K48" s="14" t="n">
        <v>61.18</v>
      </c>
      <c r="L48" s="13" t="n">
        <v>6</v>
      </c>
      <c r="M48" s="13" t="inlineStr">
        <is>
          <t>Cancelled</t>
        </is>
      </c>
      <c r="N48" s="13" t="inlineStr">
        <is>
          <t>L. Berger</t>
        </is>
      </c>
      <c r="O48" s="13" t="inlineStr">
        <is>
          <t>No</t>
        </is>
      </c>
      <c r="P48" s="14">
        <f>H48*I48</f>
        <v/>
      </c>
      <c r="Q48" s="14">
        <f>P48*(1-J48)</f>
        <v/>
      </c>
      <c r="R48" s="14">
        <f>H48*K48</f>
        <v/>
      </c>
      <c r="S48" s="15">
        <f>IF(Q48=0,"",(Q48-R48)/Q48)</f>
        <v/>
      </c>
      <c r="T48" s="13">
        <f>YEAR(B48)</f>
        <v/>
      </c>
      <c r="U48" s="13">
        <f>YEAR(B48)&amp;"-Q"&amp;ROUNDUP(MONTH(B48)/3,0)</f>
        <v/>
      </c>
      <c r="V48" s="13">
        <f>TEXT(B48,"YYYY-MM")</f>
        <v/>
      </c>
      <c r="W48" s="13">
        <f>IF(L48="","",IF(L48&gt;pLateDays,1,0))</f>
        <v/>
      </c>
      <c r="X48" s="13">
        <f>IF(Q48&gt;=pHighCutoff,1,0)</f>
        <v/>
      </c>
      <c r="Y48" s="13">
        <f>IF(M48="Returned",1,0)</f>
        <v/>
      </c>
    </row>
    <row r="49">
      <c r="A49" s="13" t="inlineStr">
        <is>
          <t>HC-100047</t>
        </is>
      </c>
      <c r="B49" s="18" t="n">
        <v>45886</v>
      </c>
      <c r="C49" s="13" t="inlineStr">
        <is>
          <t>East</t>
        </is>
      </c>
      <c r="D49" s="13" t="inlineStr">
        <is>
          <t>Store</t>
        </is>
      </c>
      <c r="E49" s="13" t="inlineStr">
        <is>
          <t>Kitchen</t>
        </is>
      </c>
      <c r="F49" s="13" t="inlineStr">
        <is>
          <t>Chef Knife</t>
        </is>
      </c>
      <c r="G49" s="13" t="inlineStr">
        <is>
          <t>Corporate</t>
        </is>
      </c>
      <c r="H49" s="13" t="n">
        <v>2</v>
      </c>
      <c r="I49" s="14" t="n">
        <v>57.22</v>
      </c>
      <c r="J49" s="15" t="n">
        <v>0.01</v>
      </c>
      <c r="K49" s="14" t="n">
        <v>20.6</v>
      </c>
      <c r="L49" s="13" t="n">
        <v>8</v>
      </c>
      <c r="M49" s="13" t="inlineStr">
        <is>
          <t>Completed</t>
        </is>
      </c>
      <c r="N49" s="13" t="inlineStr">
        <is>
          <t>L. Berger</t>
        </is>
      </c>
      <c r="O49" s="13" t="inlineStr">
        <is>
          <t>No</t>
        </is>
      </c>
      <c r="P49" s="14">
        <f>H49*I49</f>
        <v/>
      </c>
      <c r="Q49" s="14">
        <f>P49*(1-J49)</f>
        <v/>
      </c>
      <c r="R49" s="14">
        <f>H49*K49</f>
        <v/>
      </c>
      <c r="S49" s="15">
        <f>IF(Q49=0,"",(Q49-R49)/Q49)</f>
        <v/>
      </c>
      <c r="T49" s="13">
        <f>YEAR(B49)</f>
        <v/>
      </c>
      <c r="U49" s="13">
        <f>YEAR(B49)&amp;"-Q"&amp;ROUNDUP(MONTH(B49)/3,0)</f>
        <v/>
      </c>
      <c r="V49" s="13">
        <f>TEXT(B49,"YYYY-MM")</f>
        <v/>
      </c>
      <c r="W49" s="13">
        <f>IF(L49="","",IF(L49&gt;pLateDays,1,0))</f>
        <v/>
      </c>
      <c r="X49" s="13">
        <f>IF(Q49&gt;=pHighCutoff,1,0)</f>
        <v/>
      </c>
      <c r="Y49" s="13">
        <f>IF(M49="Returned",1,0)</f>
        <v/>
      </c>
    </row>
    <row r="50">
      <c r="A50" s="13" t="inlineStr">
        <is>
          <t>HC-100048</t>
        </is>
      </c>
      <c r="B50" s="18" t="n">
        <v>45415</v>
      </c>
      <c r="C50" s="13" t="inlineStr">
        <is>
          <t>West</t>
        </is>
      </c>
      <c r="D50" s="13" t="inlineStr">
        <is>
          <t>Store</t>
        </is>
      </c>
      <c r="E50" s="13" t="inlineStr">
        <is>
          <t>Lighting</t>
        </is>
      </c>
      <c r="F50" s="13" t="inlineStr">
        <is>
          <t>Brass Sconce</t>
        </is>
      </c>
      <c r="G50" s="13" t="inlineStr">
        <is>
          <t>Consumer</t>
        </is>
      </c>
      <c r="H50" s="13" t="n">
        <v>2</v>
      </c>
      <c r="I50" s="14" t="n">
        <v>151.02</v>
      </c>
      <c r="J50" s="15" t="n">
        <v>0.09</v>
      </c>
      <c r="K50" s="14" t="n">
        <v>69.47</v>
      </c>
      <c r="L50" s="13" t="n">
        <v>5</v>
      </c>
      <c r="M50" s="13" t="inlineStr">
        <is>
          <t>Completed</t>
        </is>
      </c>
      <c r="N50" s="13" t="inlineStr">
        <is>
          <t>J. Patel</t>
        </is>
      </c>
      <c r="O50" s="13" t="inlineStr">
        <is>
          <t>No</t>
        </is>
      </c>
      <c r="P50" s="14">
        <f>H50*I50</f>
        <v/>
      </c>
      <c r="Q50" s="14">
        <f>P50*(1-J50)</f>
        <v/>
      </c>
      <c r="R50" s="14">
        <f>H50*K50</f>
        <v/>
      </c>
      <c r="S50" s="15">
        <f>IF(Q50=0,"",(Q50-R50)/Q50)</f>
        <v/>
      </c>
      <c r="T50" s="13">
        <f>YEAR(B50)</f>
        <v/>
      </c>
      <c r="U50" s="13">
        <f>YEAR(B50)&amp;"-Q"&amp;ROUNDUP(MONTH(B50)/3,0)</f>
        <v/>
      </c>
      <c r="V50" s="13">
        <f>TEXT(B50,"YYYY-MM")</f>
        <v/>
      </c>
      <c r="W50" s="13">
        <f>IF(L50="","",IF(L50&gt;pLateDays,1,0))</f>
        <v/>
      </c>
      <c r="X50" s="13">
        <f>IF(Q50&gt;=pHighCutoff,1,0)</f>
        <v/>
      </c>
      <c r="Y50" s="13">
        <f>IF(M50="Returned",1,0)</f>
        <v/>
      </c>
    </row>
    <row r="51">
      <c r="A51" s="13" t="inlineStr">
        <is>
          <t>HC-100049</t>
        </is>
      </c>
      <c r="B51" s="18" t="n">
        <v>45526</v>
      </c>
      <c r="C51" s="13" t="inlineStr">
        <is>
          <t>South</t>
        </is>
      </c>
      <c r="D51" s="13" t="inlineStr">
        <is>
          <t>Store</t>
        </is>
      </c>
      <c r="E51" s="13" t="inlineStr">
        <is>
          <t>Furniture</t>
        </is>
      </c>
      <c r="F51" s="13" t="inlineStr">
        <is>
          <t>Linen Sofa</t>
        </is>
      </c>
      <c r="G51" s="13" t="inlineStr">
        <is>
          <t>Consumer</t>
        </is>
      </c>
      <c r="H51" s="13" t="n">
        <v>2</v>
      </c>
      <c r="I51" s="14" t="n">
        <v>1282.58</v>
      </c>
      <c r="J51" s="15" t="n">
        <v>0.08</v>
      </c>
      <c r="K51" s="14" t="n">
        <v>846.5</v>
      </c>
      <c r="L51" s="13" t="n">
        <v>3</v>
      </c>
      <c r="M51" s="13" t="inlineStr">
        <is>
          <t>Completed</t>
        </is>
      </c>
      <c r="N51" s="13" t="inlineStr">
        <is>
          <t>P. Rossi</t>
        </is>
      </c>
      <c r="O51" s="13" t="inlineStr">
        <is>
          <t>No</t>
        </is>
      </c>
      <c r="P51" s="14">
        <f>H51*I51</f>
        <v/>
      </c>
      <c r="Q51" s="14">
        <f>P51*(1-J51)</f>
        <v/>
      </c>
      <c r="R51" s="14">
        <f>H51*K51</f>
        <v/>
      </c>
      <c r="S51" s="15">
        <f>IF(Q51=0,"",(Q51-R51)/Q51)</f>
        <v/>
      </c>
      <c r="T51" s="13">
        <f>YEAR(B51)</f>
        <v/>
      </c>
      <c r="U51" s="13">
        <f>YEAR(B51)&amp;"-Q"&amp;ROUNDUP(MONTH(B51)/3,0)</f>
        <v/>
      </c>
      <c r="V51" s="13">
        <f>TEXT(B51,"YYYY-MM")</f>
        <v/>
      </c>
      <c r="W51" s="13">
        <f>IF(L51="","",IF(L51&gt;pLateDays,1,0))</f>
        <v/>
      </c>
      <c r="X51" s="13">
        <f>IF(Q51&gt;=pHighCutoff,1,0)</f>
        <v/>
      </c>
      <c r="Y51" s="13">
        <f>IF(M51="Returned",1,0)</f>
        <v/>
      </c>
    </row>
    <row r="52">
      <c r="A52" s="13" t="inlineStr">
        <is>
          <t>HC-100050</t>
        </is>
      </c>
      <c r="B52" s="18" t="n">
        <v>45472</v>
      </c>
      <c r="C52" s="13" t="inlineStr">
        <is>
          <t>West</t>
        </is>
      </c>
      <c r="D52" s="13" t="inlineStr">
        <is>
          <t>Wholesale</t>
        </is>
      </c>
      <c r="E52" s="13" t="inlineStr">
        <is>
          <t>Textiles</t>
        </is>
      </c>
      <c r="F52" s="13" t="inlineStr">
        <is>
          <t>Cotton Duvet</t>
        </is>
      </c>
      <c r="G52" s="13" t="inlineStr">
        <is>
          <t>Corporate</t>
        </is>
      </c>
      <c r="H52" s="13" t="n">
        <v>28</v>
      </c>
      <c r="I52" s="14" t="n">
        <v>116.55</v>
      </c>
      <c r="J52" s="15" t="n">
        <v>0.25</v>
      </c>
      <c r="K52" s="14" t="n">
        <v>51.28</v>
      </c>
      <c r="L52" s="13" t="n">
        <v>6</v>
      </c>
      <c r="M52" s="13" t="inlineStr">
        <is>
          <t>Cancelled</t>
        </is>
      </c>
      <c r="N52" s="13" t="inlineStr">
        <is>
          <t>L. Berger</t>
        </is>
      </c>
      <c r="O52" s="13" t="inlineStr">
        <is>
          <t>No</t>
        </is>
      </c>
      <c r="P52" s="14">
        <f>H52*I52</f>
        <v/>
      </c>
      <c r="Q52" s="14">
        <f>P52*(1-J52)</f>
        <v/>
      </c>
      <c r="R52" s="14">
        <f>H52*K52</f>
        <v/>
      </c>
      <c r="S52" s="15">
        <f>IF(Q52=0,"",(Q52-R52)/Q52)</f>
        <v/>
      </c>
      <c r="T52" s="13">
        <f>YEAR(B52)</f>
        <v/>
      </c>
      <c r="U52" s="13">
        <f>YEAR(B52)&amp;"-Q"&amp;ROUNDUP(MONTH(B52)/3,0)</f>
        <v/>
      </c>
      <c r="V52" s="13">
        <f>TEXT(B52,"YYYY-MM")</f>
        <v/>
      </c>
      <c r="W52" s="13">
        <f>IF(L52="","",IF(L52&gt;pLateDays,1,0))</f>
        <v/>
      </c>
      <c r="X52" s="13">
        <f>IF(Q52&gt;=pHighCutoff,1,0)</f>
        <v/>
      </c>
      <c r="Y52" s="13">
        <f>IF(M52="Returned",1,0)</f>
        <v/>
      </c>
    </row>
    <row r="53">
      <c r="A53" s="13" t="inlineStr">
        <is>
          <t>HC-100051</t>
        </is>
      </c>
      <c r="B53" s="18" t="n">
        <v>45670</v>
      </c>
      <c r="C53" s="13" t="inlineStr">
        <is>
          <t>South</t>
        </is>
      </c>
      <c r="D53" s="13" t="inlineStr">
        <is>
          <t>Store</t>
        </is>
      </c>
      <c r="E53" s="13" t="inlineStr">
        <is>
          <t>Kitchen</t>
        </is>
      </c>
      <c r="F53" s="13" t="inlineStr">
        <is>
          <t>Cast Skillet</t>
        </is>
      </c>
      <c r="G53" s="13" t="inlineStr">
        <is>
          <t>Corporate</t>
        </is>
      </c>
      <c r="H53" s="13" t="n">
        <v>4</v>
      </c>
      <c r="I53" s="14" t="n">
        <v>58.13</v>
      </c>
      <c r="J53" s="15" t="n">
        <v>0.1</v>
      </c>
      <c r="K53" s="14" t="n">
        <v>23.25</v>
      </c>
      <c r="L53" s="13" t="n">
        <v>5</v>
      </c>
      <c r="M53" s="13" t="inlineStr">
        <is>
          <t>Completed</t>
        </is>
      </c>
      <c r="N53" s="13" t="inlineStr">
        <is>
          <t>A. Shah</t>
        </is>
      </c>
      <c r="O53" s="13" t="inlineStr">
        <is>
          <t>No</t>
        </is>
      </c>
      <c r="P53" s="14">
        <f>H53*I53</f>
        <v/>
      </c>
      <c r="Q53" s="14">
        <f>P53*(1-J53)</f>
        <v/>
      </c>
      <c r="R53" s="14">
        <f>H53*K53</f>
        <v/>
      </c>
      <c r="S53" s="15">
        <f>IF(Q53=0,"",(Q53-R53)/Q53)</f>
        <v/>
      </c>
      <c r="T53" s="13">
        <f>YEAR(B53)</f>
        <v/>
      </c>
      <c r="U53" s="13">
        <f>YEAR(B53)&amp;"-Q"&amp;ROUNDUP(MONTH(B53)/3,0)</f>
        <v/>
      </c>
      <c r="V53" s="13">
        <f>TEXT(B53,"YYYY-MM")</f>
        <v/>
      </c>
      <c r="W53" s="13">
        <f>IF(L53="","",IF(L53&gt;pLateDays,1,0))</f>
        <v/>
      </c>
      <c r="X53" s="13">
        <f>IF(Q53&gt;=pHighCutoff,1,0)</f>
        <v/>
      </c>
      <c r="Y53" s="13">
        <f>IF(M53="Returned",1,0)</f>
        <v/>
      </c>
    </row>
    <row r="54">
      <c r="A54" s="13" t="inlineStr">
        <is>
          <t>HC-100052</t>
        </is>
      </c>
      <c r="B54" s="18" t="n">
        <v>45427</v>
      </c>
      <c r="C54" s="13" t="inlineStr">
        <is>
          <t>North</t>
        </is>
      </c>
      <c r="D54" s="13" t="inlineStr">
        <is>
          <t>Store</t>
        </is>
      </c>
      <c r="E54" s="13" t="inlineStr">
        <is>
          <t>Kitchen</t>
        </is>
      </c>
      <c r="F54" s="13" t="inlineStr">
        <is>
          <t>Ceramic Set</t>
        </is>
      </c>
      <c r="G54" s="13" t="inlineStr">
        <is>
          <t>Home Office</t>
        </is>
      </c>
      <c r="H54" s="13" t="n">
        <v>4</v>
      </c>
      <c r="I54" s="14" t="n">
        <v>89.77</v>
      </c>
      <c r="J54" s="15" t="n">
        <v>0.02</v>
      </c>
      <c r="K54" s="14" t="n">
        <v>34.11</v>
      </c>
      <c r="L54" s="13" t="n">
        <v>5</v>
      </c>
      <c r="M54" s="13" t="inlineStr">
        <is>
          <t>Completed</t>
        </is>
      </c>
      <c r="N54" s="13" t="inlineStr">
        <is>
          <t>L. Berger</t>
        </is>
      </c>
      <c r="O54" s="13" t="inlineStr">
        <is>
          <t>No</t>
        </is>
      </c>
      <c r="P54" s="14">
        <f>H54*I54</f>
        <v/>
      </c>
      <c r="Q54" s="14">
        <f>P54*(1-J54)</f>
        <v/>
      </c>
      <c r="R54" s="14">
        <f>H54*K54</f>
        <v/>
      </c>
      <c r="S54" s="15">
        <f>IF(Q54=0,"",(Q54-R54)/Q54)</f>
        <v/>
      </c>
      <c r="T54" s="13">
        <f>YEAR(B54)</f>
        <v/>
      </c>
      <c r="U54" s="13">
        <f>YEAR(B54)&amp;"-Q"&amp;ROUNDUP(MONTH(B54)/3,0)</f>
        <v/>
      </c>
      <c r="V54" s="13">
        <f>TEXT(B54,"YYYY-MM")</f>
        <v/>
      </c>
      <c r="W54" s="13">
        <f>IF(L54="","",IF(L54&gt;pLateDays,1,0))</f>
        <v/>
      </c>
      <c r="X54" s="13">
        <f>IF(Q54&gt;=pHighCutoff,1,0)</f>
        <v/>
      </c>
      <c r="Y54" s="13">
        <f>IF(M54="Returned",1,0)</f>
        <v/>
      </c>
    </row>
    <row r="55">
      <c r="A55" s="13" t="inlineStr">
        <is>
          <t>HC-100053</t>
        </is>
      </c>
      <c r="B55" s="18" t="n">
        <v>45701</v>
      </c>
      <c r="C55" s="13" t="inlineStr">
        <is>
          <t>West</t>
        </is>
      </c>
      <c r="D55" s="13" t="inlineStr">
        <is>
          <t>Store</t>
        </is>
      </c>
      <c r="E55" s="13" t="inlineStr">
        <is>
          <t>Lighting</t>
        </is>
      </c>
      <c r="F55" s="13" t="inlineStr">
        <is>
          <t>Arc Lamp</t>
        </is>
      </c>
      <c r="G55" s="13" t="inlineStr">
        <is>
          <t>Home Office</t>
        </is>
      </c>
      <c r="H55" s="13" t="n">
        <v>3</v>
      </c>
      <c r="I55" s="14" t="n">
        <v>319.23</v>
      </c>
      <c r="J55" s="15" t="n">
        <v>0.06</v>
      </c>
      <c r="K55" s="14" t="n">
        <v>153.23</v>
      </c>
      <c r="L55" s="13" t="n">
        <v>4</v>
      </c>
      <c r="M55" s="13" t="inlineStr">
        <is>
          <t>Completed</t>
        </is>
      </c>
      <c r="N55" s="13" t="inlineStr">
        <is>
          <t>S. Nguyen</t>
        </is>
      </c>
      <c r="O55" s="13" t="inlineStr">
        <is>
          <t>No</t>
        </is>
      </c>
      <c r="P55" s="14">
        <f>H55*I55</f>
        <v/>
      </c>
      <c r="Q55" s="14">
        <f>P55*(1-J55)</f>
        <v/>
      </c>
      <c r="R55" s="14">
        <f>H55*K55</f>
        <v/>
      </c>
      <c r="S55" s="15">
        <f>IF(Q55=0,"",(Q55-R55)/Q55)</f>
        <v/>
      </c>
      <c r="T55" s="13">
        <f>YEAR(B55)</f>
        <v/>
      </c>
      <c r="U55" s="13">
        <f>YEAR(B55)&amp;"-Q"&amp;ROUNDUP(MONTH(B55)/3,0)</f>
        <v/>
      </c>
      <c r="V55" s="13">
        <f>TEXT(B55,"YYYY-MM")</f>
        <v/>
      </c>
      <c r="W55" s="13">
        <f>IF(L55="","",IF(L55&gt;pLateDays,1,0))</f>
        <v/>
      </c>
      <c r="X55" s="13">
        <f>IF(Q55&gt;=pHighCutoff,1,0)</f>
        <v/>
      </c>
      <c r="Y55" s="13">
        <f>IF(M55="Returned",1,0)</f>
        <v/>
      </c>
    </row>
    <row r="56">
      <c r="A56" s="13" t="inlineStr">
        <is>
          <t>HC-100054</t>
        </is>
      </c>
      <c r="B56" s="18" t="n">
        <v>45830</v>
      </c>
      <c r="C56" s="13" t="inlineStr">
        <is>
          <t>West</t>
        </is>
      </c>
      <c r="D56" s="13" t="inlineStr">
        <is>
          <t>Store</t>
        </is>
      </c>
      <c r="E56" s="13" t="inlineStr">
        <is>
          <t>Furniture</t>
        </is>
      </c>
      <c r="F56" s="13" t="inlineStr">
        <is>
          <t>Oak Desk</t>
        </is>
      </c>
      <c r="G56" s="13" t="inlineStr">
        <is>
          <t>Unknown</t>
        </is>
      </c>
      <c r="H56" s="13" t="n">
        <v>3</v>
      </c>
      <c r="I56" s="14" t="n">
        <v>838.83</v>
      </c>
      <c r="J56" s="15" t="n">
        <v>0.1</v>
      </c>
      <c r="K56" s="14" t="n">
        <v>520.0700000000001</v>
      </c>
      <c r="L56" s="13" t="n">
        <v>6</v>
      </c>
      <c r="M56" s="13" t="inlineStr">
        <is>
          <t>Completed</t>
        </is>
      </c>
      <c r="N56" s="13" t="inlineStr">
        <is>
          <t>J. Patel</t>
        </is>
      </c>
      <c r="O56" s="13" t="inlineStr">
        <is>
          <t>No</t>
        </is>
      </c>
      <c r="P56" s="14">
        <f>H56*I56</f>
        <v/>
      </c>
      <c r="Q56" s="14">
        <f>P56*(1-J56)</f>
        <v/>
      </c>
      <c r="R56" s="14">
        <f>H56*K56</f>
        <v/>
      </c>
      <c r="S56" s="15">
        <f>IF(Q56=0,"",(Q56-R56)/Q56)</f>
        <v/>
      </c>
      <c r="T56" s="13">
        <f>YEAR(B56)</f>
        <v/>
      </c>
      <c r="U56" s="13">
        <f>YEAR(B56)&amp;"-Q"&amp;ROUNDUP(MONTH(B56)/3,0)</f>
        <v/>
      </c>
      <c r="V56" s="13">
        <f>TEXT(B56,"YYYY-MM")</f>
        <v/>
      </c>
      <c r="W56" s="13">
        <f>IF(L56="","",IF(L56&gt;pLateDays,1,0))</f>
        <v/>
      </c>
      <c r="X56" s="13">
        <f>IF(Q56&gt;=pHighCutoff,1,0)</f>
        <v/>
      </c>
      <c r="Y56" s="13">
        <f>IF(M56="Returned",1,0)</f>
        <v/>
      </c>
    </row>
    <row r="57">
      <c r="A57" s="13" t="inlineStr">
        <is>
          <t>HC-100055</t>
        </is>
      </c>
      <c r="B57" s="18" t="n">
        <v>45414</v>
      </c>
      <c r="C57" s="13" t="inlineStr">
        <is>
          <t>North</t>
        </is>
      </c>
      <c r="D57" s="13" t="inlineStr">
        <is>
          <t>Wholesale</t>
        </is>
      </c>
      <c r="E57" s="13" t="inlineStr">
        <is>
          <t>Kitchen</t>
        </is>
      </c>
      <c r="F57" s="13" t="inlineStr">
        <is>
          <t>Chef Knife</t>
        </is>
      </c>
      <c r="G57" s="13" t="inlineStr">
        <is>
          <t>Consumer</t>
        </is>
      </c>
      <c r="H57" s="13" t="n">
        <v>23</v>
      </c>
      <c r="I57" s="14" t="n">
        <v>59.83</v>
      </c>
      <c r="J57" s="15" t="n">
        <v>0.28</v>
      </c>
      <c r="K57" s="14" t="n">
        <v>21.54</v>
      </c>
      <c r="L57" s="13" t="n">
        <v>8</v>
      </c>
      <c r="M57" s="13" t="inlineStr">
        <is>
          <t>Completed</t>
        </is>
      </c>
      <c r="N57" s="13" t="inlineStr">
        <is>
          <t>L. Berger</t>
        </is>
      </c>
      <c r="O57" s="13" t="inlineStr">
        <is>
          <t>No</t>
        </is>
      </c>
      <c r="P57" s="14">
        <f>H57*I57</f>
        <v/>
      </c>
      <c r="Q57" s="14">
        <f>P57*(1-J57)</f>
        <v/>
      </c>
      <c r="R57" s="14">
        <f>H57*K57</f>
        <v/>
      </c>
      <c r="S57" s="15">
        <f>IF(Q57=0,"",(Q57-R57)/Q57)</f>
        <v/>
      </c>
      <c r="T57" s="13">
        <f>YEAR(B57)</f>
        <v/>
      </c>
      <c r="U57" s="13">
        <f>YEAR(B57)&amp;"-Q"&amp;ROUNDUP(MONTH(B57)/3,0)</f>
        <v/>
      </c>
      <c r="V57" s="13">
        <f>TEXT(B57,"YYYY-MM")</f>
        <v/>
      </c>
      <c r="W57" s="13">
        <f>IF(L57="","",IF(L57&gt;pLateDays,1,0))</f>
        <v/>
      </c>
      <c r="X57" s="13">
        <f>IF(Q57&gt;=pHighCutoff,1,0)</f>
        <v/>
      </c>
      <c r="Y57" s="13">
        <f>IF(M57="Returned",1,0)</f>
        <v/>
      </c>
    </row>
    <row r="58">
      <c r="A58" s="13" t="inlineStr">
        <is>
          <t>HC-100056</t>
        </is>
      </c>
      <c r="B58" s="18" t="n">
        <v>45436</v>
      </c>
      <c r="C58" s="13" t="inlineStr">
        <is>
          <t>North</t>
        </is>
      </c>
      <c r="D58" s="13" t="inlineStr">
        <is>
          <t>Online</t>
        </is>
      </c>
      <c r="E58" s="13" t="inlineStr">
        <is>
          <t>Lighting</t>
        </is>
      </c>
      <c r="F58" s="13" t="inlineStr">
        <is>
          <t>Brass Sconce</t>
        </is>
      </c>
      <c r="G58" s="13" t="inlineStr">
        <is>
          <t>Home Office</t>
        </is>
      </c>
      <c r="H58" s="13" t="n">
        <v>3</v>
      </c>
      <c r="I58" s="14" t="n">
        <v>143.44</v>
      </c>
      <c r="J58" s="15" t="n">
        <v>0.04</v>
      </c>
      <c r="K58" s="14" t="n">
        <v>65.98</v>
      </c>
      <c r="L58" s="13" t="n">
        <v>6</v>
      </c>
      <c r="M58" s="13" t="inlineStr">
        <is>
          <t>Completed</t>
        </is>
      </c>
      <c r="N58" s="13" t="inlineStr">
        <is>
          <t>J. Patel</t>
        </is>
      </c>
      <c r="O58" s="13" t="inlineStr">
        <is>
          <t>No</t>
        </is>
      </c>
      <c r="P58" s="14">
        <f>H58*I58</f>
        <v/>
      </c>
      <c r="Q58" s="14">
        <f>P58*(1-J58)</f>
        <v/>
      </c>
      <c r="R58" s="14">
        <f>H58*K58</f>
        <v/>
      </c>
      <c r="S58" s="15">
        <f>IF(Q58=0,"",(Q58-R58)/Q58)</f>
        <v/>
      </c>
      <c r="T58" s="13">
        <f>YEAR(B58)</f>
        <v/>
      </c>
      <c r="U58" s="13">
        <f>YEAR(B58)&amp;"-Q"&amp;ROUNDUP(MONTH(B58)/3,0)</f>
        <v/>
      </c>
      <c r="V58" s="13">
        <f>TEXT(B58,"YYYY-MM")</f>
        <v/>
      </c>
      <c r="W58" s="13">
        <f>IF(L58="","",IF(L58&gt;pLateDays,1,0))</f>
        <v/>
      </c>
      <c r="X58" s="13">
        <f>IF(Q58&gt;=pHighCutoff,1,0)</f>
        <v/>
      </c>
      <c r="Y58" s="13">
        <f>IF(M58="Returned",1,0)</f>
        <v/>
      </c>
    </row>
    <row r="59">
      <c r="A59" s="13" t="inlineStr">
        <is>
          <t>HC-100057</t>
        </is>
      </c>
      <c r="B59" s="18" t="n">
        <v>45308</v>
      </c>
      <c r="C59" s="13" t="inlineStr">
        <is>
          <t>East</t>
        </is>
      </c>
      <c r="D59" s="13" t="inlineStr">
        <is>
          <t>Online</t>
        </is>
      </c>
      <c r="E59" s="13" t="inlineStr">
        <is>
          <t>Furniture</t>
        </is>
      </c>
      <c r="F59" s="13" t="inlineStr">
        <is>
          <t>Oak Desk</t>
        </is>
      </c>
      <c r="G59" s="13" t="inlineStr">
        <is>
          <t>Consumer</t>
        </is>
      </c>
      <c r="H59" s="13" t="n">
        <v>1</v>
      </c>
      <c r="I59" s="14" t="n">
        <v>795.51</v>
      </c>
      <c r="J59" s="15" t="n">
        <v>0.14</v>
      </c>
      <c r="K59" s="14" t="n">
        <v>493.21</v>
      </c>
      <c r="L59" s="13" t="n">
        <v>9</v>
      </c>
      <c r="M59" s="13" t="inlineStr">
        <is>
          <t>Completed</t>
        </is>
      </c>
      <c r="N59" s="13" t="inlineStr">
        <is>
          <t>R. Ibarra</t>
        </is>
      </c>
      <c r="O59" s="13" t="inlineStr">
        <is>
          <t>No</t>
        </is>
      </c>
      <c r="P59" s="14">
        <f>H59*I59</f>
        <v/>
      </c>
      <c r="Q59" s="14">
        <f>P59*(1-J59)</f>
        <v/>
      </c>
      <c r="R59" s="14">
        <f>H59*K59</f>
        <v/>
      </c>
      <c r="S59" s="15">
        <f>IF(Q59=0,"",(Q59-R59)/Q59)</f>
        <v/>
      </c>
      <c r="T59" s="13">
        <f>YEAR(B59)</f>
        <v/>
      </c>
      <c r="U59" s="13">
        <f>YEAR(B59)&amp;"-Q"&amp;ROUNDUP(MONTH(B59)/3,0)</f>
        <v/>
      </c>
      <c r="V59" s="13">
        <f>TEXT(B59,"YYYY-MM")</f>
        <v/>
      </c>
      <c r="W59" s="13">
        <f>IF(L59="","",IF(L59&gt;pLateDays,1,0))</f>
        <v/>
      </c>
      <c r="X59" s="13">
        <f>IF(Q59&gt;=pHighCutoff,1,0)</f>
        <v/>
      </c>
      <c r="Y59" s="13">
        <f>IF(M59="Returned",1,0)</f>
        <v/>
      </c>
    </row>
    <row r="60">
      <c r="A60" s="13" t="inlineStr">
        <is>
          <t>HC-100058</t>
        </is>
      </c>
      <c r="B60" s="18" t="n">
        <v>45621</v>
      </c>
      <c r="C60" s="13" t="inlineStr">
        <is>
          <t>West</t>
        </is>
      </c>
      <c r="D60" s="13" t="inlineStr">
        <is>
          <t>Store</t>
        </is>
      </c>
      <c r="E60" s="13" t="inlineStr">
        <is>
          <t>Furniture</t>
        </is>
      </c>
      <c r="F60" s="13" t="inlineStr">
        <is>
          <t>Linen Sofa</t>
        </is>
      </c>
      <c r="G60" s="13" t="inlineStr">
        <is>
          <t>Consumer</t>
        </is>
      </c>
      <c r="H60" s="13" t="n">
        <v>3</v>
      </c>
      <c r="I60" s="14" t="n">
        <v>1285.91</v>
      </c>
      <c r="J60" s="15" t="n">
        <v>0.02</v>
      </c>
      <c r="K60" s="14" t="n">
        <v>848.7</v>
      </c>
      <c r="L60" s="13" t="n">
        <v>3</v>
      </c>
      <c r="M60" s="13" t="inlineStr">
        <is>
          <t>Completed</t>
        </is>
      </c>
      <c r="N60" s="13" t="inlineStr">
        <is>
          <t>S. Nguyen</t>
        </is>
      </c>
      <c r="O60" s="13" t="inlineStr">
        <is>
          <t>No</t>
        </is>
      </c>
      <c r="P60" s="14">
        <f>H60*I60</f>
        <v/>
      </c>
      <c r="Q60" s="14">
        <f>P60*(1-J60)</f>
        <v/>
      </c>
      <c r="R60" s="14">
        <f>H60*K60</f>
        <v/>
      </c>
      <c r="S60" s="15">
        <f>IF(Q60=0,"",(Q60-R60)/Q60)</f>
        <v/>
      </c>
      <c r="T60" s="13">
        <f>YEAR(B60)</f>
        <v/>
      </c>
      <c r="U60" s="13">
        <f>YEAR(B60)&amp;"-Q"&amp;ROUNDUP(MONTH(B60)/3,0)</f>
        <v/>
      </c>
      <c r="V60" s="13">
        <f>TEXT(B60,"YYYY-MM")</f>
        <v/>
      </c>
      <c r="W60" s="13">
        <f>IF(L60="","",IF(L60&gt;pLateDays,1,0))</f>
        <v/>
      </c>
      <c r="X60" s="13">
        <f>IF(Q60&gt;=pHighCutoff,1,0)</f>
        <v/>
      </c>
      <c r="Y60" s="13">
        <f>IF(M60="Returned",1,0)</f>
        <v/>
      </c>
    </row>
    <row r="61">
      <c r="A61" s="13" t="inlineStr">
        <is>
          <t>HC-100059</t>
        </is>
      </c>
      <c r="B61" s="18" t="n">
        <v>45843</v>
      </c>
      <c r="C61" s="13" t="inlineStr">
        <is>
          <t>West</t>
        </is>
      </c>
      <c r="D61" s="13" t="inlineStr">
        <is>
          <t>Store</t>
        </is>
      </c>
      <c r="E61" s="13" t="inlineStr">
        <is>
          <t>Furniture</t>
        </is>
      </c>
      <c r="F61" s="13" t="inlineStr">
        <is>
          <t>Oak Desk</t>
        </is>
      </c>
      <c r="G61" s="13" t="inlineStr">
        <is>
          <t>Corporate</t>
        </is>
      </c>
      <c r="H61" s="13" t="n">
        <v>1</v>
      </c>
      <c r="I61" s="14" t="n">
        <v>789.1900000000001</v>
      </c>
      <c r="J61" s="15" t="n">
        <v>0.07000000000000001</v>
      </c>
      <c r="K61" s="14" t="n">
        <v>489.3</v>
      </c>
      <c r="L61" s="13" t="n">
        <v>5</v>
      </c>
      <c r="M61" s="13" t="inlineStr">
        <is>
          <t>Completed</t>
        </is>
      </c>
      <c r="N61" s="13" t="inlineStr">
        <is>
          <t>P. Rossi</t>
        </is>
      </c>
      <c r="O61" s="13" t="inlineStr">
        <is>
          <t>No</t>
        </is>
      </c>
      <c r="P61" s="14">
        <f>H61*I61</f>
        <v/>
      </c>
      <c r="Q61" s="14">
        <f>P61*(1-J61)</f>
        <v/>
      </c>
      <c r="R61" s="14">
        <f>H61*K61</f>
        <v/>
      </c>
      <c r="S61" s="15">
        <f>IF(Q61=0,"",(Q61-R61)/Q61)</f>
        <v/>
      </c>
      <c r="T61" s="13">
        <f>YEAR(B61)</f>
        <v/>
      </c>
      <c r="U61" s="13">
        <f>YEAR(B61)&amp;"-Q"&amp;ROUNDUP(MONTH(B61)/3,0)</f>
        <v/>
      </c>
      <c r="V61" s="13">
        <f>TEXT(B61,"YYYY-MM")</f>
        <v/>
      </c>
      <c r="W61" s="13">
        <f>IF(L61="","",IF(L61&gt;pLateDays,1,0))</f>
        <v/>
      </c>
      <c r="X61" s="13">
        <f>IF(Q61&gt;=pHighCutoff,1,0)</f>
        <v/>
      </c>
      <c r="Y61" s="13">
        <f>IF(M61="Returned",1,0)</f>
        <v/>
      </c>
    </row>
    <row r="62">
      <c r="A62" s="13" t="inlineStr">
        <is>
          <t>HC-100060</t>
        </is>
      </c>
      <c r="B62" s="18" t="n">
        <v>45605</v>
      </c>
      <c r="C62" s="13" t="inlineStr">
        <is>
          <t>South</t>
        </is>
      </c>
      <c r="D62" s="13" t="inlineStr">
        <is>
          <t>Store</t>
        </is>
      </c>
      <c r="E62" s="13" t="inlineStr">
        <is>
          <t>Textiles</t>
        </is>
      </c>
      <c r="F62" s="13" t="inlineStr">
        <is>
          <t>Linen Curtain</t>
        </is>
      </c>
      <c r="G62" s="13" t="inlineStr">
        <is>
          <t>Consumer</t>
        </is>
      </c>
      <c r="H62" s="13" t="n">
        <v>3</v>
      </c>
      <c r="I62" s="14" t="n">
        <v>90.34</v>
      </c>
      <c r="J62" s="15" t="n">
        <v>0.04</v>
      </c>
      <c r="K62" s="14" t="n">
        <v>40.65</v>
      </c>
      <c r="L62" s="13" t="n">
        <v>8</v>
      </c>
      <c r="M62" s="13" t="inlineStr">
        <is>
          <t>Completed</t>
        </is>
      </c>
      <c r="N62" s="13" t="inlineStr">
        <is>
          <t>M. Okonkwo</t>
        </is>
      </c>
      <c r="O62" s="13" t="inlineStr">
        <is>
          <t>No</t>
        </is>
      </c>
      <c r="P62" s="14">
        <f>H62*I62</f>
        <v/>
      </c>
      <c r="Q62" s="14">
        <f>P62*(1-J62)</f>
        <v/>
      </c>
      <c r="R62" s="14">
        <f>H62*K62</f>
        <v/>
      </c>
      <c r="S62" s="15">
        <f>IF(Q62=0,"",(Q62-R62)/Q62)</f>
        <v/>
      </c>
      <c r="T62" s="13">
        <f>YEAR(B62)</f>
        <v/>
      </c>
      <c r="U62" s="13">
        <f>YEAR(B62)&amp;"-Q"&amp;ROUNDUP(MONTH(B62)/3,0)</f>
        <v/>
      </c>
      <c r="V62" s="13">
        <f>TEXT(B62,"YYYY-MM")</f>
        <v/>
      </c>
      <c r="W62" s="13">
        <f>IF(L62="","",IF(L62&gt;pLateDays,1,0))</f>
        <v/>
      </c>
      <c r="X62" s="13">
        <f>IF(Q62&gt;=pHighCutoff,1,0)</f>
        <v/>
      </c>
      <c r="Y62" s="13">
        <f>IF(M62="Returned",1,0)</f>
        <v/>
      </c>
    </row>
    <row r="63">
      <c r="A63" s="13" t="inlineStr">
        <is>
          <t>HC-100061</t>
        </is>
      </c>
      <c r="B63" s="18" t="n">
        <v>45605</v>
      </c>
      <c r="C63" s="13" t="inlineStr">
        <is>
          <t>East</t>
        </is>
      </c>
      <c r="D63" s="13" t="inlineStr">
        <is>
          <t>Store</t>
        </is>
      </c>
      <c r="E63" s="13" t="inlineStr">
        <is>
          <t>Lighting</t>
        </is>
      </c>
      <c r="F63" s="13" t="inlineStr">
        <is>
          <t>Pendant Light</t>
        </is>
      </c>
      <c r="G63" s="13" t="inlineStr">
        <is>
          <t>Consumer</t>
        </is>
      </c>
      <c r="H63" s="13" t="n">
        <v>2</v>
      </c>
      <c r="I63" s="14" t="n">
        <v>153.34</v>
      </c>
      <c r="J63" s="15" t="n">
        <v>0.01</v>
      </c>
      <c r="K63" s="14" t="n">
        <v>76.67</v>
      </c>
      <c r="L63" s="13" t="n">
        <v>9</v>
      </c>
      <c r="M63" s="13" t="inlineStr">
        <is>
          <t>Completed</t>
        </is>
      </c>
      <c r="N63" s="13" t="inlineStr">
        <is>
          <t>R. Ibarra</t>
        </is>
      </c>
      <c r="O63" s="13" t="inlineStr">
        <is>
          <t>No</t>
        </is>
      </c>
      <c r="P63" s="14">
        <f>H63*I63</f>
        <v/>
      </c>
      <c r="Q63" s="14">
        <f>P63*(1-J63)</f>
        <v/>
      </c>
      <c r="R63" s="14">
        <f>H63*K63</f>
        <v/>
      </c>
      <c r="S63" s="15">
        <f>IF(Q63=0,"",(Q63-R63)/Q63)</f>
        <v/>
      </c>
      <c r="T63" s="13">
        <f>YEAR(B63)</f>
        <v/>
      </c>
      <c r="U63" s="13">
        <f>YEAR(B63)&amp;"-Q"&amp;ROUNDUP(MONTH(B63)/3,0)</f>
        <v/>
      </c>
      <c r="V63" s="13">
        <f>TEXT(B63,"YYYY-MM")</f>
        <v/>
      </c>
      <c r="W63" s="13">
        <f>IF(L63="","",IF(L63&gt;pLateDays,1,0))</f>
        <v/>
      </c>
      <c r="X63" s="13">
        <f>IF(Q63&gt;=pHighCutoff,1,0)</f>
        <v/>
      </c>
      <c r="Y63" s="13">
        <f>IF(M63="Returned",1,0)</f>
        <v/>
      </c>
    </row>
    <row r="64">
      <c r="A64" s="13" t="inlineStr">
        <is>
          <t>HC-100062</t>
        </is>
      </c>
      <c r="B64" s="18" t="n">
        <v>45898</v>
      </c>
      <c r="C64" s="13" t="inlineStr">
        <is>
          <t>North</t>
        </is>
      </c>
      <c r="D64" s="13" t="inlineStr">
        <is>
          <t>Store</t>
        </is>
      </c>
      <c r="E64" s="13" t="inlineStr">
        <is>
          <t>Textiles</t>
        </is>
      </c>
      <c r="F64" s="13" t="inlineStr">
        <is>
          <t>Cotton Duvet</t>
        </is>
      </c>
      <c r="G64" s="13" t="inlineStr">
        <is>
          <t>Consumer</t>
        </is>
      </c>
      <c r="H64" s="13" t="n">
        <v>4</v>
      </c>
      <c r="I64" s="14" t="n">
        <v>124.67</v>
      </c>
      <c r="J64" s="15" t="n">
        <v>0</v>
      </c>
      <c r="K64" s="14" t="n">
        <v>54.86</v>
      </c>
      <c r="L64" s="13" t="n">
        <v>1</v>
      </c>
      <c r="M64" s="13" t="inlineStr">
        <is>
          <t>Returned</t>
        </is>
      </c>
      <c r="N64" s="13" t="inlineStr">
        <is>
          <t>S. Nguyen</t>
        </is>
      </c>
      <c r="O64" s="13" t="inlineStr">
        <is>
          <t>No</t>
        </is>
      </c>
      <c r="P64" s="14">
        <f>H64*I64</f>
        <v/>
      </c>
      <c r="Q64" s="14">
        <f>P64*(1-J64)</f>
        <v/>
      </c>
      <c r="R64" s="14">
        <f>H64*K64</f>
        <v/>
      </c>
      <c r="S64" s="15">
        <f>IF(Q64=0,"",(Q64-R64)/Q64)</f>
        <v/>
      </c>
      <c r="T64" s="13">
        <f>YEAR(B64)</f>
        <v/>
      </c>
      <c r="U64" s="13">
        <f>YEAR(B64)&amp;"-Q"&amp;ROUNDUP(MONTH(B64)/3,0)</f>
        <v/>
      </c>
      <c r="V64" s="13">
        <f>TEXT(B64,"YYYY-MM")</f>
        <v/>
      </c>
      <c r="W64" s="13">
        <f>IF(L64="","",IF(L64&gt;pLateDays,1,0))</f>
        <v/>
      </c>
      <c r="X64" s="13">
        <f>IF(Q64&gt;=pHighCutoff,1,0)</f>
        <v/>
      </c>
      <c r="Y64" s="13">
        <f>IF(M64="Returned",1,0)</f>
        <v/>
      </c>
    </row>
    <row r="65">
      <c r="A65" s="13" t="inlineStr">
        <is>
          <t>HC-100063</t>
        </is>
      </c>
      <c r="B65" s="18" t="n">
        <v>45924</v>
      </c>
      <c r="C65" s="13" t="inlineStr">
        <is>
          <t>West</t>
        </is>
      </c>
      <c r="D65" s="13" t="inlineStr">
        <is>
          <t>Wholesale</t>
        </is>
      </c>
      <c r="E65" s="13" t="inlineStr">
        <is>
          <t>Furniture</t>
        </is>
      </c>
      <c r="F65" s="13" t="inlineStr">
        <is>
          <t>Lounge Chair</t>
        </is>
      </c>
      <c r="G65" s="13" t="inlineStr">
        <is>
          <t>Consumer</t>
        </is>
      </c>
      <c r="H65" s="13" t="n">
        <v>24</v>
      </c>
      <c r="I65" s="14" t="n">
        <v>470.36</v>
      </c>
      <c r="J65" s="15" t="n">
        <v>0.3</v>
      </c>
      <c r="K65" s="14" t="n">
        <v>282.22</v>
      </c>
      <c r="L65" s="13" t="n">
        <v>7</v>
      </c>
      <c r="M65" s="13" t="inlineStr">
        <is>
          <t>Completed</t>
        </is>
      </c>
      <c r="N65" s="13" t="inlineStr">
        <is>
          <t>M. Okonkwo</t>
        </is>
      </c>
      <c r="O65" s="13" t="inlineStr">
        <is>
          <t>No</t>
        </is>
      </c>
      <c r="P65" s="14">
        <f>H65*I65</f>
        <v/>
      </c>
      <c r="Q65" s="14">
        <f>P65*(1-J65)</f>
        <v/>
      </c>
      <c r="R65" s="14">
        <f>H65*K65</f>
        <v/>
      </c>
      <c r="S65" s="15">
        <f>IF(Q65=0,"",(Q65-R65)/Q65)</f>
        <v/>
      </c>
      <c r="T65" s="13">
        <f>YEAR(B65)</f>
        <v/>
      </c>
      <c r="U65" s="13">
        <f>YEAR(B65)&amp;"-Q"&amp;ROUNDUP(MONTH(B65)/3,0)</f>
        <v/>
      </c>
      <c r="V65" s="13">
        <f>TEXT(B65,"YYYY-MM")</f>
        <v/>
      </c>
      <c r="W65" s="13">
        <f>IF(L65="","",IF(L65&gt;pLateDays,1,0))</f>
        <v/>
      </c>
      <c r="X65" s="13">
        <f>IF(Q65&gt;=pHighCutoff,1,0)</f>
        <v/>
      </c>
      <c r="Y65" s="13">
        <f>IF(M65="Returned",1,0)</f>
        <v/>
      </c>
    </row>
    <row r="66">
      <c r="A66" s="13" t="inlineStr">
        <is>
          <t>HC-100064</t>
        </is>
      </c>
      <c r="B66" s="18" t="n">
        <v>45491</v>
      </c>
      <c r="C66" s="13" t="inlineStr">
        <is>
          <t>West</t>
        </is>
      </c>
      <c r="D66" s="13" t="inlineStr">
        <is>
          <t>Store</t>
        </is>
      </c>
      <c r="E66" s="13" t="inlineStr">
        <is>
          <t>Textiles</t>
        </is>
      </c>
      <c r="F66" s="13" t="inlineStr">
        <is>
          <t>Cotton Duvet</t>
        </is>
      </c>
      <c r="G66" s="13" t="inlineStr">
        <is>
          <t>Consumer</t>
        </is>
      </c>
      <c r="H66" s="13" t="n">
        <v>2</v>
      </c>
      <c r="I66" s="14" t="n">
        <v>113.54</v>
      </c>
      <c r="J66" s="15" t="n">
        <v>0.08</v>
      </c>
      <c r="K66" s="14" t="n">
        <v>49.96</v>
      </c>
      <c r="L66" s="13" t="n">
        <v>5</v>
      </c>
      <c r="M66" s="13" t="inlineStr">
        <is>
          <t>Completed</t>
        </is>
      </c>
      <c r="N66" s="13" t="inlineStr">
        <is>
          <t>M. Okonkwo</t>
        </is>
      </c>
      <c r="O66" s="13" t="inlineStr">
        <is>
          <t>No</t>
        </is>
      </c>
      <c r="P66" s="14">
        <f>H66*I66</f>
        <v/>
      </c>
      <c r="Q66" s="14">
        <f>P66*(1-J66)</f>
        <v/>
      </c>
      <c r="R66" s="14">
        <f>H66*K66</f>
        <v/>
      </c>
      <c r="S66" s="15">
        <f>IF(Q66=0,"",(Q66-R66)/Q66)</f>
        <v/>
      </c>
      <c r="T66" s="13">
        <f>YEAR(B66)</f>
        <v/>
      </c>
      <c r="U66" s="13">
        <f>YEAR(B66)&amp;"-Q"&amp;ROUNDUP(MONTH(B66)/3,0)</f>
        <v/>
      </c>
      <c r="V66" s="13">
        <f>TEXT(B66,"YYYY-MM")</f>
        <v/>
      </c>
      <c r="W66" s="13">
        <f>IF(L66="","",IF(L66&gt;pLateDays,1,0))</f>
        <v/>
      </c>
      <c r="X66" s="13">
        <f>IF(Q66&gt;=pHighCutoff,1,0)</f>
        <v/>
      </c>
      <c r="Y66" s="13">
        <f>IF(M66="Returned",1,0)</f>
        <v/>
      </c>
    </row>
    <row r="67">
      <c r="A67" s="13" t="inlineStr">
        <is>
          <t>HC-100065</t>
        </is>
      </c>
      <c r="B67" s="18" t="n">
        <v>45902</v>
      </c>
      <c r="C67" s="13" t="inlineStr">
        <is>
          <t>North</t>
        </is>
      </c>
      <c r="D67" s="13" t="inlineStr">
        <is>
          <t>Online</t>
        </is>
      </c>
      <c r="E67" s="13" t="inlineStr">
        <is>
          <t>Kitchen</t>
        </is>
      </c>
      <c r="F67" s="13" t="inlineStr">
        <is>
          <t>Cast Skillet</t>
        </is>
      </c>
      <c r="G67" s="13" t="inlineStr">
        <is>
          <t>Home Office</t>
        </is>
      </c>
      <c r="H67" s="13" t="n">
        <v>2</v>
      </c>
      <c r="I67" s="14" t="n">
        <v>53.4</v>
      </c>
      <c r="J67" s="15" t="n">
        <v>0.09</v>
      </c>
      <c r="K67" s="14" t="n">
        <v>21.36</v>
      </c>
      <c r="L67" s="13" t="n">
        <v>4</v>
      </c>
      <c r="M67" s="13" t="inlineStr">
        <is>
          <t>Completed</t>
        </is>
      </c>
      <c r="N67" s="13" t="inlineStr">
        <is>
          <t>R. Ibarra</t>
        </is>
      </c>
      <c r="O67" s="13" t="inlineStr">
        <is>
          <t>No</t>
        </is>
      </c>
      <c r="P67" s="14">
        <f>H67*I67</f>
        <v/>
      </c>
      <c r="Q67" s="14">
        <f>P67*(1-J67)</f>
        <v/>
      </c>
      <c r="R67" s="14">
        <f>H67*K67</f>
        <v/>
      </c>
      <c r="S67" s="15">
        <f>IF(Q67=0,"",(Q67-R67)/Q67)</f>
        <v/>
      </c>
      <c r="T67" s="13">
        <f>YEAR(B67)</f>
        <v/>
      </c>
      <c r="U67" s="13">
        <f>YEAR(B67)&amp;"-Q"&amp;ROUNDUP(MONTH(B67)/3,0)</f>
        <v/>
      </c>
      <c r="V67" s="13">
        <f>TEXT(B67,"YYYY-MM")</f>
        <v/>
      </c>
      <c r="W67" s="13">
        <f>IF(L67="","",IF(L67&gt;pLateDays,1,0))</f>
        <v/>
      </c>
      <c r="X67" s="13">
        <f>IF(Q67&gt;=pHighCutoff,1,0)</f>
        <v/>
      </c>
      <c r="Y67" s="13">
        <f>IF(M67="Returned",1,0)</f>
        <v/>
      </c>
    </row>
    <row r="68">
      <c r="A68" s="13" t="inlineStr">
        <is>
          <t>HC-100066</t>
        </is>
      </c>
      <c r="B68" s="18" t="n">
        <v>45435</v>
      </c>
      <c r="C68" s="13" t="inlineStr">
        <is>
          <t>West</t>
        </is>
      </c>
      <c r="D68" s="13" t="inlineStr">
        <is>
          <t>Online</t>
        </is>
      </c>
      <c r="E68" s="13" t="inlineStr">
        <is>
          <t>Lighting</t>
        </is>
      </c>
      <c r="F68" s="13" t="inlineStr">
        <is>
          <t>Pendant Light</t>
        </is>
      </c>
      <c r="G68" s="13" t="inlineStr">
        <is>
          <t>Consumer</t>
        </is>
      </c>
      <c r="H68" s="13" t="n">
        <v>3</v>
      </c>
      <c r="I68" s="14" t="n">
        <v>193.5</v>
      </c>
      <c r="J68" s="15" t="n">
        <v>0.03</v>
      </c>
      <c r="K68" s="14" t="n">
        <v>96.75</v>
      </c>
      <c r="L68" s="13" t="n">
        <v>5</v>
      </c>
      <c r="M68" s="13" t="inlineStr">
        <is>
          <t>Completed</t>
        </is>
      </c>
      <c r="N68" s="13" t="inlineStr">
        <is>
          <t>R. Ibarra</t>
        </is>
      </c>
      <c r="O68" s="13" t="inlineStr">
        <is>
          <t>No</t>
        </is>
      </c>
      <c r="P68" s="14">
        <f>H68*I68</f>
        <v/>
      </c>
      <c r="Q68" s="14">
        <f>P68*(1-J68)</f>
        <v/>
      </c>
      <c r="R68" s="14">
        <f>H68*K68</f>
        <v/>
      </c>
      <c r="S68" s="15">
        <f>IF(Q68=0,"",(Q68-R68)/Q68)</f>
        <v/>
      </c>
      <c r="T68" s="13">
        <f>YEAR(B68)</f>
        <v/>
      </c>
      <c r="U68" s="13">
        <f>YEAR(B68)&amp;"-Q"&amp;ROUNDUP(MONTH(B68)/3,0)</f>
        <v/>
      </c>
      <c r="V68" s="13">
        <f>TEXT(B68,"YYYY-MM")</f>
        <v/>
      </c>
      <c r="W68" s="13">
        <f>IF(L68="","",IF(L68&gt;pLateDays,1,0))</f>
        <v/>
      </c>
      <c r="X68" s="13">
        <f>IF(Q68&gt;=pHighCutoff,1,0)</f>
        <v/>
      </c>
      <c r="Y68" s="13">
        <f>IF(M68="Returned",1,0)</f>
        <v/>
      </c>
    </row>
    <row r="69">
      <c r="A69" s="13" t="inlineStr">
        <is>
          <t>HC-100067</t>
        </is>
      </c>
      <c r="B69" s="18" t="n">
        <v>45653</v>
      </c>
      <c r="C69" s="13" t="inlineStr">
        <is>
          <t>West</t>
        </is>
      </c>
      <c r="D69" s="13" t="inlineStr">
        <is>
          <t>Wholesale</t>
        </is>
      </c>
      <c r="E69" s="13" t="inlineStr">
        <is>
          <t>Textiles</t>
        </is>
      </c>
      <c r="F69" s="13" t="inlineStr">
        <is>
          <t>Linen Curtain</t>
        </is>
      </c>
      <c r="G69" s="13" t="inlineStr">
        <is>
          <t>Consumer</t>
        </is>
      </c>
      <c r="H69" s="13" t="n">
        <v>25</v>
      </c>
      <c r="I69" s="14" t="n">
        <v>93.27</v>
      </c>
      <c r="J69" s="15" t="n">
        <v>0.21</v>
      </c>
      <c r="K69" s="14" t="n">
        <v>41.97</v>
      </c>
      <c r="L69" s="13" t="n">
        <v>6</v>
      </c>
      <c r="M69" s="13" t="inlineStr">
        <is>
          <t>Completed</t>
        </is>
      </c>
      <c r="N69" s="13" t="inlineStr">
        <is>
          <t>P. Rossi</t>
        </is>
      </c>
      <c r="O69" s="13" t="inlineStr">
        <is>
          <t>No</t>
        </is>
      </c>
      <c r="P69" s="14">
        <f>H69*I69</f>
        <v/>
      </c>
      <c r="Q69" s="14">
        <f>P69*(1-J69)</f>
        <v/>
      </c>
      <c r="R69" s="14">
        <f>H69*K69</f>
        <v/>
      </c>
      <c r="S69" s="15">
        <f>IF(Q69=0,"",(Q69-R69)/Q69)</f>
        <v/>
      </c>
      <c r="T69" s="13">
        <f>YEAR(B69)</f>
        <v/>
      </c>
      <c r="U69" s="13">
        <f>YEAR(B69)&amp;"-Q"&amp;ROUNDUP(MONTH(B69)/3,0)</f>
        <v/>
      </c>
      <c r="V69" s="13">
        <f>TEXT(B69,"YYYY-MM")</f>
        <v/>
      </c>
      <c r="W69" s="13">
        <f>IF(L69="","",IF(L69&gt;pLateDays,1,0))</f>
        <v/>
      </c>
      <c r="X69" s="13">
        <f>IF(Q69&gt;=pHighCutoff,1,0)</f>
        <v/>
      </c>
      <c r="Y69" s="13">
        <f>IF(M69="Returned",1,0)</f>
        <v/>
      </c>
    </row>
    <row r="70">
      <c r="A70" s="13" t="inlineStr">
        <is>
          <t>HC-100068</t>
        </is>
      </c>
      <c r="B70" s="18" t="n">
        <v>45599</v>
      </c>
      <c r="C70" s="13" t="inlineStr">
        <is>
          <t>West</t>
        </is>
      </c>
      <c r="D70" s="13" t="inlineStr">
        <is>
          <t>Wholesale</t>
        </is>
      </c>
      <c r="E70" s="13" t="inlineStr">
        <is>
          <t>Furniture</t>
        </is>
      </c>
      <c r="F70" s="13" t="inlineStr">
        <is>
          <t>Walnut Shelf</t>
        </is>
      </c>
      <c r="G70" s="13" t="inlineStr">
        <is>
          <t>Home Office</t>
        </is>
      </c>
      <c r="H70" s="13" t="n">
        <v>13</v>
      </c>
      <c r="I70" s="14" t="n">
        <v>204.63</v>
      </c>
      <c r="J70" s="15" t="n">
        <v>0.15</v>
      </c>
      <c r="K70" s="14" t="n">
        <v>112.55</v>
      </c>
      <c r="L70" s="13" t="n">
        <v>7</v>
      </c>
      <c r="M70" s="13" t="inlineStr">
        <is>
          <t>Completed</t>
        </is>
      </c>
      <c r="N70" s="13" t="inlineStr">
        <is>
          <t>L. Berger</t>
        </is>
      </c>
      <c r="O70" s="13" t="inlineStr">
        <is>
          <t>No</t>
        </is>
      </c>
      <c r="P70" s="14">
        <f>H70*I70</f>
        <v/>
      </c>
      <c r="Q70" s="14">
        <f>P70*(1-J70)</f>
        <v/>
      </c>
      <c r="R70" s="14">
        <f>H70*K70</f>
        <v/>
      </c>
      <c r="S70" s="15">
        <f>IF(Q70=0,"",(Q70-R70)/Q70)</f>
        <v/>
      </c>
      <c r="T70" s="13">
        <f>YEAR(B70)</f>
        <v/>
      </c>
      <c r="U70" s="13">
        <f>YEAR(B70)&amp;"-Q"&amp;ROUNDUP(MONTH(B70)/3,0)</f>
        <v/>
      </c>
      <c r="V70" s="13">
        <f>TEXT(B70,"YYYY-MM")</f>
        <v/>
      </c>
      <c r="W70" s="13">
        <f>IF(L70="","",IF(L70&gt;pLateDays,1,0))</f>
        <v/>
      </c>
      <c r="X70" s="13">
        <f>IF(Q70&gt;=pHighCutoff,1,0)</f>
        <v/>
      </c>
      <c r="Y70" s="13">
        <f>IF(M70="Returned",1,0)</f>
        <v/>
      </c>
    </row>
    <row r="71">
      <c r="A71" s="13" t="inlineStr">
        <is>
          <t>HC-100069</t>
        </is>
      </c>
      <c r="B71" s="18" t="n">
        <v>45585</v>
      </c>
      <c r="C71" s="13" t="inlineStr">
        <is>
          <t>South</t>
        </is>
      </c>
      <c r="D71" s="13" t="inlineStr">
        <is>
          <t>Online</t>
        </is>
      </c>
      <c r="E71" s="13" t="inlineStr">
        <is>
          <t>Textiles</t>
        </is>
      </c>
      <c r="F71" s="13" t="inlineStr">
        <is>
          <t>Linen Curtain</t>
        </is>
      </c>
      <c r="G71" s="13" t="inlineStr">
        <is>
          <t>Consumer</t>
        </is>
      </c>
      <c r="H71" s="13" t="n">
        <v>2</v>
      </c>
      <c r="I71" s="14" t="n">
        <v>97.33</v>
      </c>
      <c r="J71" s="15" t="n">
        <v>0.07000000000000001</v>
      </c>
      <c r="K71" s="14" t="n">
        <v>43.8</v>
      </c>
      <c r="L71" s="13" t="n">
        <v>7</v>
      </c>
      <c r="M71" s="13" t="inlineStr">
        <is>
          <t>Completed</t>
        </is>
      </c>
      <c r="N71" s="13" t="inlineStr">
        <is>
          <t>M. Okonkwo</t>
        </is>
      </c>
      <c r="O71" s="13" t="inlineStr">
        <is>
          <t>No</t>
        </is>
      </c>
      <c r="P71" s="14">
        <f>H71*I71</f>
        <v/>
      </c>
      <c r="Q71" s="14">
        <f>P71*(1-J71)</f>
        <v/>
      </c>
      <c r="R71" s="14">
        <f>H71*K71</f>
        <v/>
      </c>
      <c r="S71" s="15">
        <f>IF(Q71=0,"",(Q71-R71)/Q71)</f>
        <v/>
      </c>
      <c r="T71" s="13">
        <f>YEAR(B71)</f>
        <v/>
      </c>
      <c r="U71" s="13">
        <f>YEAR(B71)&amp;"-Q"&amp;ROUNDUP(MONTH(B71)/3,0)</f>
        <v/>
      </c>
      <c r="V71" s="13">
        <f>TEXT(B71,"YYYY-MM")</f>
        <v/>
      </c>
      <c r="W71" s="13">
        <f>IF(L71="","",IF(L71&gt;pLateDays,1,0))</f>
        <v/>
      </c>
      <c r="X71" s="13">
        <f>IF(Q71&gt;=pHighCutoff,1,0)</f>
        <v/>
      </c>
      <c r="Y71" s="13">
        <f>IF(M71="Returned",1,0)</f>
        <v/>
      </c>
    </row>
    <row r="72">
      <c r="A72" s="13" t="inlineStr">
        <is>
          <t>HC-100070</t>
        </is>
      </c>
      <c r="B72" s="18" t="n">
        <v>45624</v>
      </c>
      <c r="C72" s="13" t="inlineStr">
        <is>
          <t>North</t>
        </is>
      </c>
      <c r="D72" s="13" t="inlineStr">
        <is>
          <t>Online</t>
        </is>
      </c>
      <c r="E72" s="13" t="inlineStr">
        <is>
          <t>Furniture</t>
        </is>
      </c>
      <c r="F72" s="13" t="inlineStr">
        <is>
          <t>Linen Sofa</t>
        </is>
      </c>
      <c r="G72" s="13" t="inlineStr">
        <is>
          <t>Consumer</t>
        </is>
      </c>
      <c r="H72" s="13" t="n">
        <v>4</v>
      </c>
      <c r="I72" s="14" t="n">
        <v>1346.28</v>
      </c>
      <c r="J72" s="15" t="n">
        <v>0.03</v>
      </c>
      <c r="K72" s="14" t="n">
        <v>888.54</v>
      </c>
      <c r="L72" s="13" t="n">
        <v>5</v>
      </c>
      <c r="M72" s="13" t="inlineStr">
        <is>
          <t>Completed</t>
        </is>
      </c>
      <c r="N72" s="13" t="inlineStr">
        <is>
          <t>P. Rossi</t>
        </is>
      </c>
      <c r="O72" s="13" t="inlineStr">
        <is>
          <t>No</t>
        </is>
      </c>
      <c r="P72" s="14">
        <f>H72*I72</f>
        <v/>
      </c>
      <c r="Q72" s="14">
        <f>P72*(1-J72)</f>
        <v/>
      </c>
      <c r="R72" s="14">
        <f>H72*K72</f>
        <v/>
      </c>
      <c r="S72" s="15">
        <f>IF(Q72=0,"",(Q72-R72)/Q72)</f>
        <v/>
      </c>
      <c r="T72" s="13">
        <f>YEAR(B72)</f>
        <v/>
      </c>
      <c r="U72" s="13">
        <f>YEAR(B72)&amp;"-Q"&amp;ROUNDUP(MONTH(B72)/3,0)</f>
        <v/>
      </c>
      <c r="V72" s="13">
        <f>TEXT(B72,"YYYY-MM")</f>
        <v/>
      </c>
      <c r="W72" s="13">
        <f>IF(L72="","",IF(L72&gt;pLateDays,1,0))</f>
        <v/>
      </c>
      <c r="X72" s="13">
        <f>IF(Q72&gt;=pHighCutoff,1,0)</f>
        <v/>
      </c>
      <c r="Y72" s="13">
        <f>IF(M72="Returned",1,0)</f>
        <v/>
      </c>
    </row>
    <row r="73">
      <c r="A73" s="13" t="inlineStr">
        <is>
          <t>HC-100071</t>
        </is>
      </c>
      <c r="B73" s="18" t="n">
        <v>45925</v>
      </c>
      <c r="C73" s="13" t="inlineStr">
        <is>
          <t>South</t>
        </is>
      </c>
      <c r="D73" s="13" t="inlineStr">
        <is>
          <t>Store</t>
        </is>
      </c>
      <c r="E73" s="13" t="inlineStr">
        <is>
          <t>Kitchen</t>
        </is>
      </c>
      <c r="F73" s="13" t="inlineStr">
        <is>
          <t>Chef Knife</t>
        </is>
      </c>
      <c r="G73" s="13" t="inlineStr">
        <is>
          <t>Consumer</t>
        </is>
      </c>
      <c r="H73" s="13" t="n">
        <v>3</v>
      </c>
      <c r="I73" s="14" t="n">
        <v>63.59</v>
      </c>
      <c r="J73" s="15" t="n">
        <v>0.09</v>
      </c>
      <c r="K73" s="14" t="n">
        <v>22.89</v>
      </c>
      <c r="L73" s="13" t="n">
        <v>2</v>
      </c>
      <c r="M73" s="13" t="inlineStr">
        <is>
          <t>Completed</t>
        </is>
      </c>
      <c r="N73" s="13" t="inlineStr">
        <is>
          <t>R. Ibarra</t>
        </is>
      </c>
      <c r="O73" s="13" t="inlineStr">
        <is>
          <t>No</t>
        </is>
      </c>
      <c r="P73" s="14">
        <f>H73*I73</f>
        <v/>
      </c>
      <c r="Q73" s="14">
        <f>P73*(1-J73)</f>
        <v/>
      </c>
      <c r="R73" s="14">
        <f>H73*K73</f>
        <v/>
      </c>
      <c r="S73" s="15">
        <f>IF(Q73=0,"",(Q73-R73)/Q73)</f>
        <v/>
      </c>
      <c r="T73" s="13">
        <f>YEAR(B73)</f>
        <v/>
      </c>
      <c r="U73" s="13">
        <f>YEAR(B73)&amp;"-Q"&amp;ROUNDUP(MONTH(B73)/3,0)</f>
        <v/>
      </c>
      <c r="V73" s="13">
        <f>TEXT(B73,"YYYY-MM")</f>
        <v/>
      </c>
      <c r="W73" s="13">
        <f>IF(L73="","",IF(L73&gt;pLateDays,1,0))</f>
        <v/>
      </c>
      <c r="X73" s="13">
        <f>IF(Q73&gt;=pHighCutoff,1,0)</f>
        <v/>
      </c>
      <c r="Y73" s="13">
        <f>IF(M73="Returned",1,0)</f>
        <v/>
      </c>
    </row>
    <row r="74">
      <c r="A74" s="13" t="inlineStr">
        <is>
          <t>HC-100072</t>
        </is>
      </c>
      <c r="B74" s="18" t="n">
        <v>45845</v>
      </c>
      <c r="C74" s="13" t="inlineStr">
        <is>
          <t>West</t>
        </is>
      </c>
      <c r="D74" s="13" t="inlineStr">
        <is>
          <t>Online</t>
        </is>
      </c>
      <c r="E74" s="13" t="inlineStr">
        <is>
          <t>Furniture</t>
        </is>
      </c>
      <c r="F74" s="13" t="inlineStr">
        <is>
          <t>Lounge Chair</t>
        </is>
      </c>
      <c r="G74" s="13" t="inlineStr">
        <is>
          <t>Consumer</t>
        </is>
      </c>
      <c r="H74" s="13" t="n">
        <v>2</v>
      </c>
      <c r="I74" s="14" t="n">
        <v>452.92</v>
      </c>
      <c r="J74" s="15" t="n">
        <v>0.1</v>
      </c>
      <c r="K74" s="14" t="n">
        <v>271.75</v>
      </c>
      <c r="L74" s="13" t="n">
        <v>4</v>
      </c>
      <c r="M74" s="13" t="inlineStr">
        <is>
          <t>Completed</t>
        </is>
      </c>
      <c r="N74" s="13" t="inlineStr">
        <is>
          <t>P. Rossi</t>
        </is>
      </c>
      <c r="O74" s="13" t="inlineStr">
        <is>
          <t>No</t>
        </is>
      </c>
      <c r="P74" s="14">
        <f>H74*I74</f>
        <v/>
      </c>
      <c r="Q74" s="14">
        <f>P74*(1-J74)</f>
        <v/>
      </c>
      <c r="R74" s="14">
        <f>H74*K74</f>
        <v/>
      </c>
      <c r="S74" s="15">
        <f>IF(Q74=0,"",(Q74-R74)/Q74)</f>
        <v/>
      </c>
      <c r="T74" s="13">
        <f>YEAR(B74)</f>
        <v/>
      </c>
      <c r="U74" s="13">
        <f>YEAR(B74)&amp;"-Q"&amp;ROUNDUP(MONTH(B74)/3,0)</f>
        <v/>
      </c>
      <c r="V74" s="13">
        <f>TEXT(B74,"YYYY-MM")</f>
        <v/>
      </c>
      <c r="W74" s="13">
        <f>IF(L74="","",IF(L74&gt;pLateDays,1,0))</f>
        <v/>
      </c>
      <c r="X74" s="13">
        <f>IF(Q74&gt;=pHighCutoff,1,0)</f>
        <v/>
      </c>
      <c r="Y74" s="13">
        <f>IF(M74="Returned",1,0)</f>
        <v/>
      </c>
    </row>
    <row r="75">
      <c r="A75" s="13" t="inlineStr">
        <is>
          <t>HC-100073</t>
        </is>
      </c>
      <c r="B75" s="18" t="n">
        <v>45420</v>
      </c>
      <c r="C75" s="13" t="inlineStr">
        <is>
          <t>South</t>
        </is>
      </c>
      <c r="D75" s="13" t="inlineStr">
        <is>
          <t>Store</t>
        </is>
      </c>
      <c r="E75" s="13" t="inlineStr">
        <is>
          <t>Textiles</t>
        </is>
      </c>
      <c r="F75" s="13" t="inlineStr">
        <is>
          <t>Cotton Duvet</t>
        </is>
      </c>
      <c r="G75" s="13" t="inlineStr">
        <is>
          <t>Consumer</t>
        </is>
      </c>
      <c r="H75" s="13" t="n">
        <v>1</v>
      </c>
      <c r="I75" s="14" t="n">
        <v>112.91</v>
      </c>
      <c r="J75" s="15" t="n">
        <v>0.03</v>
      </c>
      <c r="K75" s="14" t="n">
        <v>49.68</v>
      </c>
      <c r="L75" s="13" t="n">
        <v>7</v>
      </c>
      <c r="M75" s="13" t="inlineStr">
        <is>
          <t>Completed</t>
        </is>
      </c>
      <c r="N75" s="13" t="inlineStr">
        <is>
          <t>L. Berger</t>
        </is>
      </c>
      <c r="O75" s="13" t="inlineStr">
        <is>
          <t>No</t>
        </is>
      </c>
      <c r="P75" s="14">
        <f>H75*I75</f>
        <v/>
      </c>
      <c r="Q75" s="14">
        <f>P75*(1-J75)</f>
        <v/>
      </c>
      <c r="R75" s="14">
        <f>H75*K75</f>
        <v/>
      </c>
      <c r="S75" s="15">
        <f>IF(Q75=0,"",(Q75-R75)/Q75)</f>
        <v/>
      </c>
      <c r="T75" s="13">
        <f>YEAR(B75)</f>
        <v/>
      </c>
      <c r="U75" s="13">
        <f>YEAR(B75)&amp;"-Q"&amp;ROUNDUP(MONTH(B75)/3,0)</f>
        <v/>
      </c>
      <c r="V75" s="13">
        <f>TEXT(B75,"YYYY-MM")</f>
        <v/>
      </c>
      <c r="W75" s="13">
        <f>IF(L75="","",IF(L75&gt;pLateDays,1,0))</f>
        <v/>
      </c>
      <c r="X75" s="13">
        <f>IF(Q75&gt;=pHighCutoff,1,0)</f>
        <v/>
      </c>
      <c r="Y75" s="13">
        <f>IF(M75="Returned",1,0)</f>
        <v/>
      </c>
    </row>
    <row r="76">
      <c r="A76" s="13" t="inlineStr">
        <is>
          <t>HC-100074</t>
        </is>
      </c>
      <c r="B76" s="18" t="n">
        <v>45619</v>
      </c>
      <c r="C76" s="13" t="inlineStr">
        <is>
          <t>North</t>
        </is>
      </c>
      <c r="D76" s="13" t="inlineStr">
        <is>
          <t>Store</t>
        </is>
      </c>
      <c r="E76" s="13" t="inlineStr">
        <is>
          <t>Lighting</t>
        </is>
      </c>
      <c r="F76" s="13" t="inlineStr">
        <is>
          <t>Pendant Light</t>
        </is>
      </c>
      <c r="G76" s="13" t="inlineStr">
        <is>
          <t>Consumer</t>
        </is>
      </c>
      <c r="H76" s="13" t="n">
        <v>3</v>
      </c>
      <c r="I76" s="14" t="n">
        <v>181.96</v>
      </c>
      <c r="J76" s="15" t="n">
        <v>0.05</v>
      </c>
      <c r="K76" s="14" t="n">
        <v>90.98</v>
      </c>
      <c r="L76" s="13" t="n">
        <v>3</v>
      </c>
      <c r="M76" s="13" t="inlineStr">
        <is>
          <t>Completed</t>
        </is>
      </c>
      <c r="N76" s="13" t="inlineStr">
        <is>
          <t>P. Rossi</t>
        </is>
      </c>
      <c r="O76" s="13" t="inlineStr">
        <is>
          <t>No</t>
        </is>
      </c>
      <c r="P76" s="14">
        <f>H76*I76</f>
        <v/>
      </c>
      <c r="Q76" s="14">
        <f>P76*(1-J76)</f>
        <v/>
      </c>
      <c r="R76" s="14">
        <f>H76*K76</f>
        <v/>
      </c>
      <c r="S76" s="15">
        <f>IF(Q76=0,"",(Q76-R76)/Q76)</f>
        <v/>
      </c>
      <c r="T76" s="13">
        <f>YEAR(B76)</f>
        <v/>
      </c>
      <c r="U76" s="13">
        <f>YEAR(B76)&amp;"-Q"&amp;ROUNDUP(MONTH(B76)/3,0)</f>
        <v/>
      </c>
      <c r="V76" s="13">
        <f>TEXT(B76,"YYYY-MM")</f>
        <v/>
      </c>
      <c r="W76" s="13">
        <f>IF(L76="","",IF(L76&gt;pLateDays,1,0))</f>
        <v/>
      </c>
      <c r="X76" s="13">
        <f>IF(Q76&gt;=pHighCutoff,1,0)</f>
        <v/>
      </c>
      <c r="Y76" s="13">
        <f>IF(M76="Returned",1,0)</f>
        <v/>
      </c>
    </row>
    <row r="77">
      <c r="A77" s="13" t="inlineStr">
        <is>
          <t>HC-100075</t>
        </is>
      </c>
      <c r="B77" s="18" t="n">
        <v>45511</v>
      </c>
      <c r="C77" s="13" t="inlineStr">
        <is>
          <t>East</t>
        </is>
      </c>
      <c r="D77" s="13" t="inlineStr">
        <is>
          <t>Store</t>
        </is>
      </c>
      <c r="E77" s="13" t="inlineStr">
        <is>
          <t>Furniture</t>
        </is>
      </c>
      <c r="F77" s="13" t="inlineStr">
        <is>
          <t>Oak Desk</t>
        </is>
      </c>
      <c r="G77" s="13" t="inlineStr">
        <is>
          <t>Corporate</t>
        </is>
      </c>
      <c r="H77" s="13" t="n">
        <v>1</v>
      </c>
      <c r="I77" s="14" t="n">
        <v>810.35</v>
      </c>
      <c r="J77" s="15" t="n">
        <v>0.01</v>
      </c>
      <c r="K77" s="14" t="n">
        <v>502.41</v>
      </c>
      <c r="L77" s="13" t="n">
        <v>6</v>
      </c>
      <c r="M77" s="13" t="inlineStr">
        <is>
          <t>Completed</t>
        </is>
      </c>
      <c r="N77" s="13" t="inlineStr">
        <is>
          <t>P. Rossi</t>
        </is>
      </c>
      <c r="O77" s="13" t="inlineStr">
        <is>
          <t>No</t>
        </is>
      </c>
      <c r="P77" s="14">
        <f>H77*I77</f>
        <v/>
      </c>
      <c r="Q77" s="14">
        <f>P77*(1-J77)</f>
        <v/>
      </c>
      <c r="R77" s="14">
        <f>H77*K77</f>
        <v/>
      </c>
      <c r="S77" s="15">
        <f>IF(Q77=0,"",(Q77-R77)/Q77)</f>
        <v/>
      </c>
      <c r="T77" s="13">
        <f>YEAR(B77)</f>
        <v/>
      </c>
      <c r="U77" s="13">
        <f>YEAR(B77)&amp;"-Q"&amp;ROUNDUP(MONTH(B77)/3,0)</f>
        <v/>
      </c>
      <c r="V77" s="13">
        <f>TEXT(B77,"YYYY-MM")</f>
        <v/>
      </c>
      <c r="W77" s="13">
        <f>IF(L77="","",IF(L77&gt;pLateDays,1,0))</f>
        <v/>
      </c>
      <c r="X77" s="13">
        <f>IF(Q77&gt;=pHighCutoff,1,0)</f>
        <v/>
      </c>
      <c r="Y77" s="13">
        <f>IF(M77="Returned",1,0)</f>
        <v/>
      </c>
    </row>
    <row r="78">
      <c r="A78" s="13" t="inlineStr">
        <is>
          <t>HC-100076</t>
        </is>
      </c>
      <c r="B78" s="18" t="n">
        <v>45474</v>
      </c>
      <c r="C78" s="13" t="inlineStr">
        <is>
          <t>South</t>
        </is>
      </c>
      <c r="D78" s="13" t="inlineStr">
        <is>
          <t>Store</t>
        </is>
      </c>
      <c r="E78" s="13" t="inlineStr">
        <is>
          <t>Textiles</t>
        </is>
      </c>
      <c r="F78" s="13" t="inlineStr">
        <is>
          <t>Cotton Duvet</t>
        </is>
      </c>
      <c r="G78" s="13" t="inlineStr">
        <is>
          <t>Consumer</t>
        </is>
      </c>
      <c r="H78" s="13" t="n">
        <v>3</v>
      </c>
      <c r="I78" s="14" t="n">
        <v>126.43</v>
      </c>
      <c r="J78" s="15" t="n">
        <v>0.05</v>
      </c>
      <c r="K78" s="14" t="n">
        <v>55.63</v>
      </c>
      <c r="L78" s="13" t="n">
        <v>6</v>
      </c>
      <c r="M78" s="13" t="inlineStr">
        <is>
          <t>Completed</t>
        </is>
      </c>
      <c r="N78" s="13" t="inlineStr">
        <is>
          <t>K. Mensah</t>
        </is>
      </c>
      <c r="O78" s="13" t="inlineStr">
        <is>
          <t>No</t>
        </is>
      </c>
      <c r="P78" s="14">
        <f>H78*I78</f>
        <v/>
      </c>
      <c r="Q78" s="14">
        <f>P78*(1-J78)</f>
        <v/>
      </c>
      <c r="R78" s="14">
        <f>H78*K78</f>
        <v/>
      </c>
      <c r="S78" s="15">
        <f>IF(Q78=0,"",(Q78-R78)/Q78)</f>
        <v/>
      </c>
      <c r="T78" s="13">
        <f>YEAR(B78)</f>
        <v/>
      </c>
      <c r="U78" s="13">
        <f>YEAR(B78)&amp;"-Q"&amp;ROUNDUP(MONTH(B78)/3,0)</f>
        <v/>
      </c>
      <c r="V78" s="13">
        <f>TEXT(B78,"YYYY-MM")</f>
        <v/>
      </c>
      <c r="W78" s="13">
        <f>IF(L78="","",IF(L78&gt;pLateDays,1,0))</f>
        <v/>
      </c>
      <c r="X78" s="13">
        <f>IF(Q78&gt;=pHighCutoff,1,0)</f>
        <v/>
      </c>
      <c r="Y78" s="13">
        <f>IF(M78="Returned",1,0)</f>
        <v/>
      </c>
    </row>
    <row r="79">
      <c r="A79" s="13" t="inlineStr">
        <is>
          <t>HC-100077</t>
        </is>
      </c>
      <c r="B79" s="18" t="n">
        <v>45572</v>
      </c>
      <c r="C79" s="13" t="inlineStr">
        <is>
          <t>South</t>
        </is>
      </c>
      <c r="D79" s="13" t="inlineStr">
        <is>
          <t>Wholesale</t>
        </is>
      </c>
      <c r="E79" s="13" t="inlineStr">
        <is>
          <t>Textiles</t>
        </is>
      </c>
      <c r="F79" s="13" t="inlineStr">
        <is>
          <t>Linen Curtain</t>
        </is>
      </c>
      <c r="G79" s="13" t="inlineStr">
        <is>
          <t>Consumer</t>
        </is>
      </c>
      <c r="H79" s="13" t="n">
        <v>27</v>
      </c>
      <c r="I79" s="14" t="n">
        <v>93.66</v>
      </c>
      <c r="J79" s="15" t="n">
        <v>0.32</v>
      </c>
      <c r="K79" s="14" t="n">
        <v>42.15</v>
      </c>
      <c r="L79" s="13" t="n">
        <v>6</v>
      </c>
      <c r="M79" s="13" t="inlineStr">
        <is>
          <t>Completed</t>
        </is>
      </c>
      <c r="N79" s="13" t="inlineStr">
        <is>
          <t>J. Patel</t>
        </is>
      </c>
      <c r="O79" s="13" t="inlineStr">
        <is>
          <t>No</t>
        </is>
      </c>
      <c r="P79" s="14">
        <f>H79*I79</f>
        <v/>
      </c>
      <c r="Q79" s="14">
        <f>P79*(1-J79)</f>
        <v/>
      </c>
      <c r="R79" s="14">
        <f>H79*K79</f>
        <v/>
      </c>
      <c r="S79" s="15">
        <f>IF(Q79=0,"",(Q79-R79)/Q79)</f>
        <v/>
      </c>
      <c r="T79" s="13">
        <f>YEAR(B79)</f>
        <v/>
      </c>
      <c r="U79" s="13">
        <f>YEAR(B79)&amp;"-Q"&amp;ROUNDUP(MONTH(B79)/3,0)</f>
        <v/>
      </c>
      <c r="V79" s="13">
        <f>TEXT(B79,"YYYY-MM")</f>
        <v/>
      </c>
      <c r="W79" s="13">
        <f>IF(L79="","",IF(L79&gt;pLateDays,1,0))</f>
        <v/>
      </c>
      <c r="X79" s="13">
        <f>IF(Q79&gt;=pHighCutoff,1,0)</f>
        <v/>
      </c>
      <c r="Y79" s="13">
        <f>IF(M79="Returned",1,0)</f>
        <v/>
      </c>
    </row>
    <row r="80">
      <c r="A80" s="13" t="inlineStr">
        <is>
          <t>HC-100078</t>
        </is>
      </c>
      <c r="B80" s="18" t="n">
        <v>45797</v>
      </c>
      <c r="C80" s="13" t="inlineStr">
        <is>
          <t>North</t>
        </is>
      </c>
      <c r="D80" s="13" t="inlineStr">
        <is>
          <t>Store</t>
        </is>
      </c>
      <c r="E80" s="13" t="inlineStr">
        <is>
          <t>Furniture</t>
        </is>
      </c>
      <c r="F80" s="13" t="inlineStr">
        <is>
          <t>Linen Sofa</t>
        </is>
      </c>
      <c r="G80" s="13" t="inlineStr">
        <is>
          <t>Consumer</t>
        </is>
      </c>
      <c r="H80" s="13" t="n">
        <v>1</v>
      </c>
      <c r="I80" s="14" t="n">
        <v>1194.94</v>
      </c>
      <c r="J80" s="15" t="n">
        <v>0.05</v>
      </c>
      <c r="K80" s="14" t="n">
        <v>788.66</v>
      </c>
      <c r="L80" s="13" t="n">
        <v>6</v>
      </c>
      <c r="M80" s="13" t="inlineStr">
        <is>
          <t>Completed</t>
        </is>
      </c>
      <c r="N80" s="13" t="inlineStr">
        <is>
          <t>J. Patel</t>
        </is>
      </c>
      <c r="O80" s="13" t="inlineStr">
        <is>
          <t>No</t>
        </is>
      </c>
      <c r="P80" s="14">
        <f>H80*I80</f>
        <v/>
      </c>
      <c r="Q80" s="14">
        <f>P80*(1-J80)</f>
        <v/>
      </c>
      <c r="R80" s="14">
        <f>H80*K80</f>
        <v/>
      </c>
      <c r="S80" s="15">
        <f>IF(Q80=0,"",(Q80-R80)/Q80)</f>
        <v/>
      </c>
      <c r="T80" s="13">
        <f>YEAR(B80)</f>
        <v/>
      </c>
      <c r="U80" s="13">
        <f>YEAR(B80)&amp;"-Q"&amp;ROUNDUP(MONTH(B80)/3,0)</f>
        <v/>
      </c>
      <c r="V80" s="13">
        <f>TEXT(B80,"YYYY-MM")</f>
        <v/>
      </c>
      <c r="W80" s="13">
        <f>IF(L80="","",IF(L80&gt;pLateDays,1,0))</f>
        <v/>
      </c>
      <c r="X80" s="13">
        <f>IF(Q80&gt;=pHighCutoff,1,0)</f>
        <v/>
      </c>
      <c r="Y80" s="13">
        <f>IF(M80="Returned",1,0)</f>
        <v/>
      </c>
    </row>
    <row r="81">
      <c r="A81" s="13" t="inlineStr">
        <is>
          <t>HC-100079</t>
        </is>
      </c>
      <c r="B81" s="18" t="n">
        <v>45677</v>
      </c>
      <c r="C81" s="13" t="inlineStr">
        <is>
          <t>West</t>
        </is>
      </c>
      <c r="D81" s="13" t="inlineStr">
        <is>
          <t>Store</t>
        </is>
      </c>
      <c r="E81" s="13" t="inlineStr">
        <is>
          <t>Textiles</t>
        </is>
      </c>
      <c r="F81" s="13" t="inlineStr">
        <is>
          <t>Wool Throw</t>
        </is>
      </c>
      <c r="G81" s="13" t="inlineStr">
        <is>
          <t>Corporate</t>
        </is>
      </c>
      <c r="H81" s="13" t="n">
        <v>4</v>
      </c>
      <c r="I81" s="14" t="n">
        <v>74.29000000000001</v>
      </c>
      <c r="J81" s="15" t="n">
        <v>0.09</v>
      </c>
      <c r="K81" s="14" t="n">
        <v>31.2</v>
      </c>
      <c r="L81" s="13" t="n">
        <v>5</v>
      </c>
      <c r="M81" s="13" t="inlineStr">
        <is>
          <t>Returned</t>
        </is>
      </c>
      <c r="N81" s="13" t="inlineStr">
        <is>
          <t>A. Shah</t>
        </is>
      </c>
      <c r="O81" s="13" t="inlineStr">
        <is>
          <t>No</t>
        </is>
      </c>
      <c r="P81" s="14">
        <f>H81*I81</f>
        <v/>
      </c>
      <c r="Q81" s="14">
        <f>P81*(1-J81)</f>
        <v/>
      </c>
      <c r="R81" s="14">
        <f>H81*K81</f>
        <v/>
      </c>
      <c r="S81" s="15">
        <f>IF(Q81=0,"",(Q81-R81)/Q81)</f>
        <v/>
      </c>
      <c r="T81" s="13">
        <f>YEAR(B81)</f>
        <v/>
      </c>
      <c r="U81" s="13">
        <f>YEAR(B81)&amp;"-Q"&amp;ROUNDUP(MONTH(B81)/3,0)</f>
        <v/>
      </c>
      <c r="V81" s="13">
        <f>TEXT(B81,"YYYY-MM")</f>
        <v/>
      </c>
      <c r="W81" s="13">
        <f>IF(L81="","",IF(L81&gt;pLateDays,1,0))</f>
        <v/>
      </c>
      <c r="X81" s="13">
        <f>IF(Q81&gt;=pHighCutoff,1,0)</f>
        <v/>
      </c>
      <c r="Y81" s="13">
        <f>IF(M81="Returned",1,0)</f>
        <v/>
      </c>
    </row>
    <row r="82">
      <c r="A82" s="13" t="inlineStr">
        <is>
          <t>HC-100080</t>
        </is>
      </c>
      <c r="B82" s="18" t="n">
        <v>45467</v>
      </c>
      <c r="C82" s="13" t="inlineStr">
        <is>
          <t>East</t>
        </is>
      </c>
      <c r="D82" s="13" t="inlineStr">
        <is>
          <t>Online</t>
        </is>
      </c>
      <c r="E82" s="13" t="inlineStr">
        <is>
          <t>Furniture</t>
        </is>
      </c>
      <c r="F82" s="13" t="inlineStr">
        <is>
          <t>Walnut Shelf</t>
        </is>
      </c>
      <c r="G82" s="13" t="inlineStr">
        <is>
          <t>Consumer</t>
        </is>
      </c>
      <c r="H82" s="13" t="n">
        <v>2</v>
      </c>
      <c r="I82" s="14" t="n">
        <v>205.03</v>
      </c>
      <c r="J82" s="15" t="n">
        <v>0.17</v>
      </c>
      <c r="K82" s="14" t="n">
        <v>112.77</v>
      </c>
      <c r="L82" s="13" t="n">
        <v>13</v>
      </c>
      <c r="M82" s="13" t="inlineStr">
        <is>
          <t>Completed</t>
        </is>
      </c>
      <c r="N82" s="13" t="inlineStr">
        <is>
          <t>K. Mensah</t>
        </is>
      </c>
      <c r="O82" s="13" t="inlineStr">
        <is>
          <t>No</t>
        </is>
      </c>
      <c r="P82" s="14">
        <f>H82*I82</f>
        <v/>
      </c>
      <c r="Q82" s="14">
        <f>P82*(1-J82)</f>
        <v/>
      </c>
      <c r="R82" s="14">
        <f>H82*K82</f>
        <v/>
      </c>
      <c r="S82" s="15">
        <f>IF(Q82=0,"",(Q82-R82)/Q82)</f>
        <v/>
      </c>
      <c r="T82" s="13">
        <f>YEAR(B82)</f>
        <v/>
      </c>
      <c r="U82" s="13">
        <f>YEAR(B82)&amp;"-Q"&amp;ROUNDUP(MONTH(B82)/3,0)</f>
        <v/>
      </c>
      <c r="V82" s="13">
        <f>TEXT(B82,"YYYY-MM")</f>
        <v/>
      </c>
      <c r="W82" s="13">
        <f>IF(L82="","",IF(L82&gt;pLateDays,1,0))</f>
        <v/>
      </c>
      <c r="X82" s="13">
        <f>IF(Q82&gt;=pHighCutoff,1,0)</f>
        <v/>
      </c>
      <c r="Y82" s="13">
        <f>IF(M82="Returned",1,0)</f>
        <v/>
      </c>
    </row>
    <row r="83">
      <c r="A83" s="13" t="inlineStr">
        <is>
          <t>HC-100081</t>
        </is>
      </c>
      <c r="B83" s="18" t="n">
        <v>45863</v>
      </c>
      <c r="C83" s="13" t="inlineStr">
        <is>
          <t>West</t>
        </is>
      </c>
      <c r="D83" s="13" t="inlineStr">
        <is>
          <t>Store</t>
        </is>
      </c>
      <c r="E83" s="13" t="inlineStr">
        <is>
          <t>Textiles</t>
        </is>
      </c>
      <c r="F83" s="13" t="inlineStr">
        <is>
          <t>Wool Throw</t>
        </is>
      </c>
      <c r="G83" s="13" t="inlineStr">
        <is>
          <t>Unknown</t>
        </is>
      </c>
      <c r="H83" s="13" t="n">
        <v>2</v>
      </c>
      <c r="I83" s="14" t="n">
        <v>69.29000000000001</v>
      </c>
      <c r="J83" s="15" t="n">
        <v>0.1</v>
      </c>
      <c r="K83" s="14" t="n">
        <v>29.1</v>
      </c>
      <c r="L83" s="13" t="n">
        <v>3</v>
      </c>
      <c r="M83" s="13" t="inlineStr">
        <is>
          <t>Completed</t>
        </is>
      </c>
      <c r="N83" s="13" t="inlineStr">
        <is>
          <t>P. Rossi</t>
        </is>
      </c>
      <c r="O83" s="13" t="inlineStr">
        <is>
          <t>No</t>
        </is>
      </c>
      <c r="P83" s="14">
        <f>H83*I83</f>
        <v/>
      </c>
      <c r="Q83" s="14">
        <f>P83*(1-J83)</f>
        <v/>
      </c>
      <c r="R83" s="14">
        <f>H83*K83</f>
        <v/>
      </c>
      <c r="S83" s="15">
        <f>IF(Q83=0,"",(Q83-R83)/Q83)</f>
        <v/>
      </c>
      <c r="T83" s="13">
        <f>YEAR(B83)</f>
        <v/>
      </c>
      <c r="U83" s="13">
        <f>YEAR(B83)&amp;"-Q"&amp;ROUNDUP(MONTH(B83)/3,0)</f>
        <v/>
      </c>
      <c r="V83" s="13">
        <f>TEXT(B83,"YYYY-MM")</f>
        <v/>
      </c>
      <c r="W83" s="13">
        <f>IF(L83="","",IF(L83&gt;pLateDays,1,0))</f>
        <v/>
      </c>
      <c r="X83" s="13">
        <f>IF(Q83&gt;=pHighCutoff,1,0)</f>
        <v/>
      </c>
      <c r="Y83" s="13">
        <f>IF(M83="Returned",1,0)</f>
        <v/>
      </c>
    </row>
    <row r="84">
      <c r="A84" s="13" t="inlineStr">
        <is>
          <t>HC-100082</t>
        </is>
      </c>
      <c r="B84" s="18" t="n">
        <v>45849</v>
      </c>
      <c r="C84" s="13" t="inlineStr">
        <is>
          <t>West</t>
        </is>
      </c>
      <c r="D84" s="13" t="inlineStr">
        <is>
          <t>Wholesale</t>
        </is>
      </c>
      <c r="E84" s="13" t="inlineStr">
        <is>
          <t>Furniture</t>
        </is>
      </c>
      <c r="F84" s="13" t="inlineStr">
        <is>
          <t>Walnut Shelf</t>
        </is>
      </c>
      <c r="G84" s="13" t="inlineStr">
        <is>
          <t>Home Office</t>
        </is>
      </c>
      <c r="H84" s="13" t="n">
        <v>22</v>
      </c>
      <c r="I84" s="14" t="n">
        <v>211.05</v>
      </c>
      <c r="J84" s="15" t="n">
        <v>0.28</v>
      </c>
      <c r="K84" s="14" t="n">
        <v>116.08</v>
      </c>
      <c r="L84" s="13" t="n">
        <v>6</v>
      </c>
      <c r="M84" s="13" t="inlineStr">
        <is>
          <t>Completed</t>
        </is>
      </c>
      <c r="N84" s="13" t="inlineStr">
        <is>
          <t>R. Ibarra</t>
        </is>
      </c>
      <c r="O84" s="13" t="inlineStr">
        <is>
          <t>No</t>
        </is>
      </c>
      <c r="P84" s="14">
        <f>H84*I84</f>
        <v/>
      </c>
      <c r="Q84" s="14">
        <f>P84*(1-J84)</f>
        <v/>
      </c>
      <c r="R84" s="14">
        <f>H84*K84</f>
        <v/>
      </c>
      <c r="S84" s="15">
        <f>IF(Q84=0,"",(Q84-R84)/Q84)</f>
        <v/>
      </c>
      <c r="T84" s="13">
        <f>YEAR(B84)</f>
        <v/>
      </c>
      <c r="U84" s="13">
        <f>YEAR(B84)&amp;"-Q"&amp;ROUNDUP(MONTH(B84)/3,0)</f>
        <v/>
      </c>
      <c r="V84" s="13">
        <f>TEXT(B84,"YYYY-MM")</f>
        <v/>
      </c>
      <c r="W84" s="13">
        <f>IF(L84="","",IF(L84&gt;pLateDays,1,0))</f>
        <v/>
      </c>
      <c r="X84" s="13">
        <f>IF(Q84&gt;=pHighCutoff,1,0)</f>
        <v/>
      </c>
      <c r="Y84" s="13">
        <f>IF(M84="Returned",1,0)</f>
        <v/>
      </c>
    </row>
    <row r="85">
      <c r="A85" s="13" t="inlineStr">
        <is>
          <t>HC-100083</t>
        </is>
      </c>
      <c r="B85" s="18" t="n">
        <v>45527</v>
      </c>
      <c r="C85" s="13" t="inlineStr">
        <is>
          <t>East</t>
        </is>
      </c>
      <c r="D85" s="13" t="inlineStr">
        <is>
          <t>Store</t>
        </is>
      </c>
      <c r="E85" s="13" t="inlineStr">
        <is>
          <t>Kitchen</t>
        </is>
      </c>
      <c r="F85" s="13" t="inlineStr">
        <is>
          <t>Ceramic Set</t>
        </is>
      </c>
      <c r="G85" s="13" t="inlineStr">
        <is>
          <t>Consumer</t>
        </is>
      </c>
      <c r="H85" s="13" t="n">
        <v>4</v>
      </c>
      <c r="I85" s="14" t="n">
        <v>75.31999999999999</v>
      </c>
      <c r="J85" s="15" t="n">
        <v>0.11</v>
      </c>
      <c r="K85" s="14" t="n">
        <v>28.62</v>
      </c>
      <c r="L85" s="13" t="n">
        <v>6</v>
      </c>
      <c r="M85" s="13" t="inlineStr">
        <is>
          <t>Completed</t>
        </is>
      </c>
      <c r="N85" s="13" t="inlineStr">
        <is>
          <t>M. Okonkwo</t>
        </is>
      </c>
      <c r="O85" s="13" t="inlineStr">
        <is>
          <t>No</t>
        </is>
      </c>
      <c r="P85" s="14">
        <f>H85*I85</f>
        <v/>
      </c>
      <c r="Q85" s="14">
        <f>P85*(1-J85)</f>
        <v/>
      </c>
      <c r="R85" s="14">
        <f>H85*K85</f>
        <v/>
      </c>
      <c r="S85" s="15">
        <f>IF(Q85=0,"",(Q85-R85)/Q85)</f>
        <v/>
      </c>
      <c r="T85" s="13">
        <f>YEAR(B85)</f>
        <v/>
      </c>
      <c r="U85" s="13">
        <f>YEAR(B85)&amp;"-Q"&amp;ROUNDUP(MONTH(B85)/3,0)</f>
        <v/>
      </c>
      <c r="V85" s="13">
        <f>TEXT(B85,"YYYY-MM")</f>
        <v/>
      </c>
      <c r="W85" s="13">
        <f>IF(L85="","",IF(L85&gt;pLateDays,1,0))</f>
        <v/>
      </c>
      <c r="X85" s="13">
        <f>IF(Q85&gt;=pHighCutoff,1,0)</f>
        <v/>
      </c>
      <c r="Y85" s="13">
        <f>IF(M85="Returned",1,0)</f>
        <v/>
      </c>
    </row>
    <row r="86">
      <c r="A86" s="13" t="inlineStr">
        <is>
          <t>HC-100084</t>
        </is>
      </c>
      <c r="B86" s="18" t="n">
        <v>45721</v>
      </c>
      <c r="C86" s="13" t="inlineStr">
        <is>
          <t>South</t>
        </is>
      </c>
      <c r="D86" s="13" t="inlineStr">
        <is>
          <t>Store</t>
        </is>
      </c>
      <c r="E86" s="13" t="inlineStr">
        <is>
          <t>Lighting</t>
        </is>
      </c>
      <c r="F86" s="13" t="inlineStr">
        <is>
          <t>Arc Lamp</t>
        </is>
      </c>
      <c r="G86" s="13" t="inlineStr">
        <is>
          <t>Corporate</t>
        </is>
      </c>
      <c r="H86" s="13" t="n">
        <v>1</v>
      </c>
      <c r="I86" s="14" t="n">
        <v>298.13</v>
      </c>
      <c r="J86" s="15" t="n">
        <v>0.1</v>
      </c>
      <c r="K86" s="14" t="n">
        <v>143.1</v>
      </c>
      <c r="L86" s="13" t="n">
        <v>8</v>
      </c>
      <c r="M86" s="13" t="inlineStr">
        <is>
          <t>Completed</t>
        </is>
      </c>
      <c r="N86" s="13" t="inlineStr">
        <is>
          <t>P. Rossi</t>
        </is>
      </c>
      <c r="O86" s="13" t="inlineStr">
        <is>
          <t>No</t>
        </is>
      </c>
      <c r="P86" s="14">
        <f>H86*I86</f>
        <v/>
      </c>
      <c r="Q86" s="14">
        <f>P86*(1-J86)</f>
        <v/>
      </c>
      <c r="R86" s="14">
        <f>H86*K86</f>
        <v/>
      </c>
      <c r="S86" s="15">
        <f>IF(Q86=0,"",(Q86-R86)/Q86)</f>
        <v/>
      </c>
      <c r="T86" s="13">
        <f>YEAR(B86)</f>
        <v/>
      </c>
      <c r="U86" s="13">
        <f>YEAR(B86)&amp;"-Q"&amp;ROUNDUP(MONTH(B86)/3,0)</f>
        <v/>
      </c>
      <c r="V86" s="13">
        <f>TEXT(B86,"YYYY-MM")</f>
        <v/>
      </c>
      <c r="W86" s="13">
        <f>IF(L86="","",IF(L86&gt;pLateDays,1,0))</f>
        <v/>
      </c>
      <c r="X86" s="13">
        <f>IF(Q86&gt;=pHighCutoff,1,0)</f>
        <v/>
      </c>
      <c r="Y86" s="13">
        <f>IF(M86="Returned",1,0)</f>
        <v/>
      </c>
    </row>
    <row r="87">
      <c r="A87" s="13" t="inlineStr">
        <is>
          <t>HC-100085</t>
        </is>
      </c>
      <c r="B87" s="18" t="n">
        <v>45484</v>
      </c>
      <c r="C87" s="13" t="inlineStr">
        <is>
          <t>East</t>
        </is>
      </c>
      <c r="D87" s="13" t="inlineStr">
        <is>
          <t>Online</t>
        </is>
      </c>
      <c r="E87" s="13" t="inlineStr">
        <is>
          <t>Textiles</t>
        </is>
      </c>
      <c r="F87" s="13" t="inlineStr">
        <is>
          <t>Cotton Duvet</t>
        </is>
      </c>
      <c r="G87" s="13" t="inlineStr">
        <is>
          <t>Consumer</t>
        </is>
      </c>
      <c r="H87" s="13" t="n">
        <v>3</v>
      </c>
      <c r="I87" s="14" t="n">
        <v>111.02</v>
      </c>
      <c r="J87" s="15" t="n">
        <v>0.13</v>
      </c>
      <c r="K87" s="14" t="n">
        <v>48.85</v>
      </c>
      <c r="L87" s="13" t="n">
        <v>6</v>
      </c>
      <c r="M87" s="13" t="inlineStr">
        <is>
          <t>Completed</t>
        </is>
      </c>
      <c r="N87" s="13" t="inlineStr">
        <is>
          <t>M. Okonkwo</t>
        </is>
      </c>
      <c r="O87" s="13" t="inlineStr">
        <is>
          <t>No</t>
        </is>
      </c>
      <c r="P87" s="14">
        <f>H87*I87</f>
        <v/>
      </c>
      <c r="Q87" s="14">
        <f>P87*(1-J87)</f>
        <v/>
      </c>
      <c r="R87" s="14">
        <f>H87*K87</f>
        <v/>
      </c>
      <c r="S87" s="15">
        <f>IF(Q87=0,"",(Q87-R87)/Q87)</f>
        <v/>
      </c>
      <c r="T87" s="13">
        <f>YEAR(B87)</f>
        <v/>
      </c>
      <c r="U87" s="13">
        <f>YEAR(B87)&amp;"-Q"&amp;ROUNDUP(MONTH(B87)/3,0)</f>
        <v/>
      </c>
      <c r="V87" s="13">
        <f>TEXT(B87,"YYYY-MM")</f>
        <v/>
      </c>
      <c r="W87" s="13">
        <f>IF(L87="","",IF(L87&gt;pLateDays,1,0))</f>
        <v/>
      </c>
      <c r="X87" s="13">
        <f>IF(Q87&gt;=pHighCutoff,1,0)</f>
        <v/>
      </c>
      <c r="Y87" s="13">
        <f>IF(M87="Returned",1,0)</f>
        <v/>
      </c>
    </row>
    <row r="88">
      <c r="A88" s="13" t="inlineStr">
        <is>
          <t>HC-100086</t>
        </is>
      </c>
      <c r="B88" s="18" t="n">
        <v>45664</v>
      </c>
      <c r="C88" s="13" t="inlineStr">
        <is>
          <t>West</t>
        </is>
      </c>
      <c r="D88" s="13" t="inlineStr">
        <is>
          <t>Online</t>
        </is>
      </c>
      <c r="E88" s="13" t="inlineStr">
        <is>
          <t>Textiles</t>
        </is>
      </c>
      <c r="F88" s="13" t="inlineStr">
        <is>
          <t>Cotton Duvet</t>
        </is>
      </c>
      <c r="G88" s="13" t="inlineStr">
        <is>
          <t>Home Office</t>
        </is>
      </c>
      <c r="H88" s="13" t="n">
        <v>2</v>
      </c>
      <c r="I88" s="14" t="n">
        <v>111.78</v>
      </c>
      <c r="J88" s="15" t="n">
        <v>0.14</v>
      </c>
      <c r="K88" s="14" t="n">
        <v>49.18</v>
      </c>
      <c r="L88" s="13" t="n">
        <v>1</v>
      </c>
      <c r="M88" s="13" t="inlineStr">
        <is>
          <t>Completed</t>
        </is>
      </c>
      <c r="N88" s="13" t="inlineStr">
        <is>
          <t>L. Berger</t>
        </is>
      </c>
      <c r="O88" s="13" t="inlineStr">
        <is>
          <t>No</t>
        </is>
      </c>
      <c r="P88" s="14">
        <f>H88*I88</f>
        <v/>
      </c>
      <c r="Q88" s="14">
        <f>P88*(1-J88)</f>
        <v/>
      </c>
      <c r="R88" s="14">
        <f>H88*K88</f>
        <v/>
      </c>
      <c r="S88" s="15">
        <f>IF(Q88=0,"",(Q88-R88)/Q88)</f>
        <v/>
      </c>
      <c r="T88" s="13">
        <f>YEAR(B88)</f>
        <v/>
      </c>
      <c r="U88" s="13">
        <f>YEAR(B88)&amp;"-Q"&amp;ROUNDUP(MONTH(B88)/3,0)</f>
        <v/>
      </c>
      <c r="V88" s="13">
        <f>TEXT(B88,"YYYY-MM")</f>
        <v/>
      </c>
      <c r="W88" s="13">
        <f>IF(L88="","",IF(L88&gt;pLateDays,1,0))</f>
        <v/>
      </c>
      <c r="X88" s="13">
        <f>IF(Q88&gt;=pHighCutoff,1,0)</f>
        <v/>
      </c>
      <c r="Y88" s="13">
        <f>IF(M88="Returned",1,0)</f>
        <v/>
      </c>
    </row>
    <row r="89">
      <c r="A89" s="13" t="inlineStr">
        <is>
          <t>HC-100087</t>
        </is>
      </c>
      <c r="B89" s="18" t="n">
        <v>45307</v>
      </c>
      <c r="C89" s="13" t="inlineStr">
        <is>
          <t>East</t>
        </is>
      </c>
      <c r="D89" s="13" t="inlineStr">
        <is>
          <t>Store</t>
        </is>
      </c>
      <c r="E89" s="13" t="inlineStr">
        <is>
          <t>Kitchen</t>
        </is>
      </c>
      <c r="F89" s="13" t="inlineStr">
        <is>
          <t>Cast Skillet</t>
        </is>
      </c>
      <c r="G89" s="13" t="inlineStr">
        <is>
          <t>Corporate</t>
        </is>
      </c>
      <c r="H89" s="13" t="n">
        <v>1</v>
      </c>
      <c r="I89" s="14" t="n">
        <v>47.25</v>
      </c>
      <c r="J89" s="15" t="n">
        <v>0.08</v>
      </c>
      <c r="K89" s="14" t="n">
        <v>18.9</v>
      </c>
      <c r="L89" s="13" t="n">
        <v>8</v>
      </c>
      <c r="M89" s="13" t="inlineStr">
        <is>
          <t>Completed</t>
        </is>
      </c>
      <c r="N89" s="13" t="inlineStr">
        <is>
          <t>M. Okonkwo</t>
        </is>
      </c>
      <c r="O89" s="13" t="inlineStr">
        <is>
          <t>No</t>
        </is>
      </c>
      <c r="P89" s="14">
        <f>H89*I89</f>
        <v/>
      </c>
      <c r="Q89" s="14">
        <f>P89*(1-J89)</f>
        <v/>
      </c>
      <c r="R89" s="14">
        <f>H89*K89</f>
        <v/>
      </c>
      <c r="S89" s="15">
        <f>IF(Q89=0,"",(Q89-R89)/Q89)</f>
        <v/>
      </c>
      <c r="T89" s="13">
        <f>YEAR(B89)</f>
        <v/>
      </c>
      <c r="U89" s="13">
        <f>YEAR(B89)&amp;"-Q"&amp;ROUNDUP(MONTH(B89)/3,0)</f>
        <v/>
      </c>
      <c r="V89" s="13">
        <f>TEXT(B89,"YYYY-MM")</f>
        <v/>
      </c>
      <c r="W89" s="13">
        <f>IF(L89="","",IF(L89&gt;pLateDays,1,0))</f>
        <v/>
      </c>
      <c r="X89" s="13">
        <f>IF(Q89&gt;=pHighCutoff,1,0)</f>
        <v/>
      </c>
      <c r="Y89" s="13">
        <f>IF(M89="Returned",1,0)</f>
        <v/>
      </c>
    </row>
    <row r="90">
      <c r="A90" s="13" t="inlineStr">
        <is>
          <t>HC-100088</t>
        </is>
      </c>
      <c r="B90" s="18" t="n">
        <v>45907</v>
      </c>
      <c r="C90" s="13" t="inlineStr">
        <is>
          <t>West</t>
        </is>
      </c>
      <c r="D90" s="13" t="inlineStr">
        <is>
          <t>Online</t>
        </is>
      </c>
      <c r="E90" s="13" t="inlineStr">
        <is>
          <t>Textiles</t>
        </is>
      </c>
      <c r="F90" s="13" t="inlineStr">
        <is>
          <t>Linen Curtain</t>
        </is>
      </c>
      <c r="G90" s="13" t="inlineStr">
        <is>
          <t>Consumer</t>
        </is>
      </c>
      <c r="H90" s="13" t="n">
        <v>3</v>
      </c>
      <c r="I90" s="14" t="n">
        <v>90.5</v>
      </c>
      <c r="J90" s="15" t="n">
        <v>0.17</v>
      </c>
      <c r="K90" s="14" t="n">
        <v>40.72</v>
      </c>
      <c r="L90" s="13" t="n">
        <v>4</v>
      </c>
      <c r="M90" s="13" t="inlineStr">
        <is>
          <t>Completed</t>
        </is>
      </c>
      <c r="N90" s="13" t="inlineStr">
        <is>
          <t>J. Patel</t>
        </is>
      </c>
      <c r="O90" s="13" t="inlineStr">
        <is>
          <t>No</t>
        </is>
      </c>
      <c r="P90" s="14">
        <f>H90*I90</f>
        <v/>
      </c>
      <c r="Q90" s="14">
        <f>P90*(1-J90)</f>
        <v/>
      </c>
      <c r="R90" s="14">
        <f>H90*K90</f>
        <v/>
      </c>
      <c r="S90" s="15">
        <f>IF(Q90=0,"",(Q90-R90)/Q90)</f>
        <v/>
      </c>
      <c r="T90" s="13">
        <f>YEAR(B90)</f>
        <v/>
      </c>
      <c r="U90" s="13">
        <f>YEAR(B90)&amp;"-Q"&amp;ROUNDUP(MONTH(B90)/3,0)</f>
        <v/>
      </c>
      <c r="V90" s="13">
        <f>TEXT(B90,"YYYY-MM")</f>
        <v/>
      </c>
      <c r="W90" s="13">
        <f>IF(L90="","",IF(L90&gt;pLateDays,1,0))</f>
        <v/>
      </c>
      <c r="X90" s="13">
        <f>IF(Q90&gt;=pHighCutoff,1,0)</f>
        <v/>
      </c>
      <c r="Y90" s="13">
        <f>IF(M90="Returned",1,0)</f>
        <v/>
      </c>
    </row>
    <row r="91">
      <c r="A91" s="13" t="inlineStr">
        <is>
          <t>HC-100089</t>
        </is>
      </c>
      <c r="B91" s="18" t="n">
        <v>45579</v>
      </c>
      <c r="C91" s="13" t="inlineStr">
        <is>
          <t>West</t>
        </is>
      </c>
      <c r="D91" s="13" t="inlineStr">
        <is>
          <t>Store</t>
        </is>
      </c>
      <c r="E91" s="13" t="inlineStr">
        <is>
          <t>Furniture</t>
        </is>
      </c>
      <c r="F91" s="13" t="inlineStr">
        <is>
          <t>Walnut Shelf</t>
        </is>
      </c>
      <c r="G91" s="13" t="inlineStr">
        <is>
          <t>Corporate</t>
        </is>
      </c>
      <c r="H91" s="13" t="n">
        <v>1</v>
      </c>
      <c r="I91" s="14" t="n">
        <v>232.34</v>
      </c>
      <c r="J91" s="15" t="n">
        <v>0.02</v>
      </c>
      <c r="K91" s="14" t="n">
        <v>127.79</v>
      </c>
      <c r="L91" s="13" t="n">
        <v>1</v>
      </c>
      <c r="M91" s="13" t="inlineStr">
        <is>
          <t>Completed</t>
        </is>
      </c>
      <c r="N91" s="13" t="inlineStr">
        <is>
          <t>J. Patel</t>
        </is>
      </c>
      <c r="O91" s="13" t="inlineStr">
        <is>
          <t>No</t>
        </is>
      </c>
      <c r="P91" s="14">
        <f>H91*I91</f>
        <v/>
      </c>
      <c r="Q91" s="14">
        <f>P91*(1-J91)</f>
        <v/>
      </c>
      <c r="R91" s="14">
        <f>H91*K91</f>
        <v/>
      </c>
      <c r="S91" s="15">
        <f>IF(Q91=0,"",(Q91-R91)/Q91)</f>
        <v/>
      </c>
      <c r="T91" s="13">
        <f>YEAR(B91)</f>
        <v/>
      </c>
      <c r="U91" s="13">
        <f>YEAR(B91)&amp;"-Q"&amp;ROUNDUP(MONTH(B91)/3,0)</f>
        <v/>
      </c>
      <c r="V91" s="13">
        <f>TEXT(B91,"YYYY-MM")</f>
        <v/>
      </c>
      <c r="W91" s="13">
        <f>IF(L91="","",IF(L91&gt;pLateDays,1,0))</f>
        <v/>
      </c>
      <c r="X91" s="13">
        <f>IF(Q91&gt;=pHighCutoff,1,0)</f>
        <v/>
      </c>
      <c r="Y91" s="13">
        <f>IF(M91="Returned",1,0)</f>
        <v/>
      </c>
    </row>
    <row r="92">
      <c r="A92" s="13" t="inlineStr">
        <is>
          <t>HC-100090</t>
        </is>
      </c>
      <c r="B92" s="18" t="n">
        <v>45678</v>
      </c>
      <c r="C92" s="13" t="inlineStr">
        <is>
          <t>South</t>
        </is>
      </c>
      <c r="D92" s="13" t="inlineStr">
        <is>
          <t>Store</t>
        </is>
      </c>
      <c r="E92" s="13" t="inlineStr">
        <is>
          <t>Furniture</t>
        </is>
      </c>
      <c r="F92" s="13" t="inlineStr">
        <is>
          <t>Linen Sofa</t>
        </is>
      </c>
      <c r="G92" s="13" t="inlineStr">
        <is>
          <t>Consumer</t>
        </is>
      </c>
      <c r="H92" s="13" t="n">
        <v>4</v>
      </c>
      <c r="I92" s="14" t="n">
        <v>1152.2</v>
      </c>
      <c r="J92" s="15" t="n">
        <v>0.11</v>
      </c>
      <c r="K92" s="14" t="n">
        <v>760.45</v>
      </c>
      <c r="L92" s="13" t="n">
        <v>7</v>
      </c>
      <c r="M92" s="13" t="inlineStr">
        <is>
          <t>Completed</t>
        </is>
      </c>
      <c r="N92" s="13" t="inlineStr">
        <is>
          <t>P. Rossi</t>
        </is>
      </c>
      <c r="O92" s="13" t="inlineStr">
        <is>
          <t>No</t>
        </is>
      </c>
      <c r="P92" s="14">
        <f>H92*I92</f>
        <v/>
      </c>
      <c r="Q92" s="14">
        <f>P92*(1-J92)</f>
        <v/>
      </c>
      <c r="R92" s="14">
        <f>H92*K92</f>
        <v/>
      </c>
      <c r="S92" s="15">
        <f>IF(Q92=0,"",(Q92-R92)/Q92)</f>
        <v/>
      </c>
      <c r="T92" s="13">
        <f>YEAR(B92)</f>
        <v/>
      </c>
      <c r="U92" s="13">
        <f>YEAR(B92)&amp;"-Q"&amp;ROUNDUP(MONTH(B92)/3,0)</f>
        <v/>
      </c>
      <c r="V92" s="13">
        <f>TEXT(B92,"YYYY-MM")</f>
        <v/>
      </c>
      <c r="W92" s="13">
        <f>IF(L92="","",IF(L92&gt;pLateDays,1,0))</f>
        <v/>
      </c>
      <c r="X92" s="13">
        <f>IF(Q92&gt;=pHighCutoff,1,0)</f>
        <v/>
      </c>
      <c r="Y92" s="13">
        <f>IF(M92="Returned",1,0)</f>
        <v/>
      </c>
    </row>
    <row r="93">
      <c r="A93" s="13" t="inlineStr">
        <is>
          <t>HC-100091</t>
        </is>
      </c>
      <c r="B93" s="18" t="n">
        <v>45326</v>
      </c>
      <c r="C93" s="13" t="inlineStr">
        <is>
          <t>West</t>
        </is>
      </c>
      <c r="D93" s="13" t="inlineStr">
        <is>
          <t>Store</t>
        </is>
      </c>
      <c r="E93" s="13" t="inlineStr">
        <is>
          <t>Lighting</t>
        </is>
      </c>
      <c r="F93" s="13" t="inlineStr">
        <is>
          <t>Pendant Light</t>
        </is>
      </c>
      <c r="G93" s="13" t="inlineStr">
        <is>
          <t>Consumer</t>
        </is>
      </c>
      <c r="H93" s="13" t="n">
        <v>3</v>
      </c>
      <c r="I93" s="14" t="n">
        <v>187.97</v>
      </c>
      <c r="J93" s="15" t="n">
        <v>0.07000000000000001</v>
      </c>
      <c r="K93" s="14" t="n">
        <v>93.98</v>
      </c>
      <c r="L93" s="13" t="n">
        <v>7</v>
      </c>
      <c r="M93" s="13" t="inlineStr">
        <is>
          <t>Completed</t>
        </is>
      </c>
      <c r="N93" s="13" t="inlineStr">
        <is>
          <t>P. Rossi</t>
        </is>
      </c>
      <c r="O93" s="13" t="inlineStr">
        <is>
          <t>No</t>
        </is>
      </c>
      <c r="P93" s="14">
        <f>H93*I93</f>
        <v/>
      </c>
      <c r="Q93" s="14">
        <f>P93*(1-J93)</f>
        <v/>
      </c>
      <c r="R93" s="14">
        <f>H93*K93</f>
        <v/>
      </c>
      <c r="S93" s="15">
        <f>IF(Q93=0,"",(Q93-R93)/Q93)</f>
        <v/>
      </c>
      <c r="T93" s="13">
        <f>YEAR(B93)</f>
        <v/>
      </c>
      <c r="U93" s="13">
        <f>YEAR(B93)&amp;"-Q"&amp;ROUNDUP(MONTH(B93)/3,0)</f>
        <v/>
      </c>
      <c r="V93" s="13">
        <f>TEXT(B93,"YYYY-MM")</f>
        <v/>
      </c>
      <c r="W93" s="13">
        <f>IF(L93="","",IF(L93&gt;pLateDays,1,0))</f>
        <v/>
      </c>
      <c r="X93" s="13">
        <f>IF(Q93&gt;=pHighCutoff,1,0)</f>
        <v/>
      </c>
      <c r="Y93" s="13">
        <f>IF(M93="Returned",1,0)</f>
        <v/>
      </c>
    </row>
    <row r="94">
      <c r="A94" s="13" t="inlineStr">
        <is>
          <t>HC-100092</t>
        </is>
      </c>
      <c r="B94" s="18" t="n">
        <v>45462</v>
      </c>
      <c r="C94" s="13" t="inlineStr">
        <is>
          <t>North</t>
        </is>
      </c>
      <c r="D94" s="13" t="inlineStr">
        <is>
          <t>Wholesale</t>
        </is>
      </c>
      <c r="E94" s="13" t="inlineStr">
        <is>
          <t>Kitchen</t>
        </is>
      </c>
      <c r="F94" s="13" t="inlineStr">
        <is>
          <t>Cast Skillet</t>
        </is>
      </c>
      <c r="G94" s="13" t="inlineStr">
        <is>
          <t>Consumer</t>
        </is>
      </c>
      <c r="H94" s="13" t="n">
        <v>22</v>
      </c>
      <c r="I94" s="14" t="n">
        <v>58.06</v>
      </c>
      <c r="J94" s="15" t="n">
        <v>0.27</v>
      </c>
      <c r="K94" s="14" t="n">
        <v>23.23</v>
      </c>
      <c r="L94" s="13" t="n">
        <v>4</v>
      </c>
      <c r="M94" s="13" t="inlineStr">
        <is>
          <t>Completed</t>
        </is>
      </c>
      <c r="N94" s="13" t="inlineStr">
        <is>
          <t>A. Shah</t>
        </is>
      </c>
      <c r="O94" s="13" t="inlineStr">
        <is>
          <t>No</t>
        </is>
      </c>
      <c r="P94" s="14">
        <f>H94*I94</f>
        <v/>
      </c>
      <c r="Q94" s="14">
        <f>P94*(1-J94)</f>
        <v/>
      </c>
      <c r="R94" s="14">
        <f>H94*K94</f>
        <v/>
      </c>
      <c r="S94" s="15">
        <f>IF(Q94=0,"",(Q94-R94)/Q94)</f>
        <v/>
      </c>
      <c r="T94" s="13">
        <f>YEAR(B94)</f>
        <v/>
      </c>
      <c r="U94" s="13">
        <f>YEAR(B94)&amp;"-Q"&amp;ROUNDUP(MONTH(B94)/3,0)</f>
        <v/>
      </c>
      <c r="V94" s="13">
        <f>TEXT(B94,"YYYY-MM")</f>
        <v/>
      </c>
      <c r="W94" s="13">
        <f>IF(L94="","",IF(L94&gt;pLateDays,1,0))</f>
        <v/>
      </c>
      <c r="X94" s="13">
        <f>IF(Q94&gt;=pHighCutoff,1,0)</f>
        <v/>
      </c>
      <c r="Y94" s="13">
        <f>IF(M94="Returned",1,0)</f>
        <v/>
      </c>
    </row>
    <row r="95">
      <c r="A95" s="13" t="inlineStr">
        <is>
          <t>HC-100093</t>
        </is>
      </c>
      <c r="B95" s="18" t="n">
        <v>45834</v>
      </c>
      <c r="C95" s="13" t="inlineStr">
        <is>
          <t>South</t>
        </is>
      </c>
      <c r="D95" s="13" t="inlineStr">
        <is>
          <t>Online</t>
        </is>
      </c>
      <c r="E95" s="13" t="inlineStr">
        <is>
          <t>Furniture</t>
        </is>
      </c>
      <c r="F95" s="13" t="inlineStr">
        <is>
          <t>Lounge Chair</t>
        </is>
      </c>
      <c r="G95" s="13" t="inlineStr">
        <is>
          <t>Consumer</t>
        </is>
      </c>
      <c r="H95" s="13" t="n">
        <v>3</v>
      </c>
      <c r="I95" s="14" t="n">
        <v>469.94</v>
      </c>
      <c r="J95" s="15" t="n">
        <v>0.14</v>
      </c>
      <c r="K95" s="14" t="n">
        <v>281.96</v>
      </c>
      <c r="L95" s="13" t="n">
        <v>2</v>
      </c>
      <c r="M95" s="13" t="inlineStr">
        <is>
          <t>Completed</t>
        </is>
      </c>
      <c r="N95" s="13" t="inlineStr">
        <is>
          <t>S. Nguyen</t>
        </is>
      </c>
      <c r="O95" s="13" t="inlineStr">
        <is>
          <t>No</t>
        </is>
      </c>
      <c r="P95" s="14">
        <f>H95*I95</f>
        <v/>
      </c>
      <c r="Q95" s="14">
        <f>P95*(1-J95)</f>
        <v/>
      </c>
      <c r="R95" s="14">
        <f>H95*K95</f>
        <v/>
      </c>
      <c r="S95" s="15">
        <f>IF(Q95=0,"",(Q95-R95)/Q95)</f>
        <v/>
      </c>
      <c r="T95" s="13">
        <f>YEAR(B95)</f>
        <v/>
      </c>
      <c r="U95" s="13">
        <f>YEAR(B95)&amp;"-Q"&amp;ROUNDUP(MONTH(B95)/3,0)</f>
        <v/>
      </c>
      <c r="V95" s="13">
        <f>TEXT(B95,"YYYY-MM")</f>
        <v/>
      </c>
      <c r="W95" s="13">
        <f>IF(L95="","",IF(L95&gt;pLateDays,1,0))</f>
        <v/>
      </c>
      <c r="X95" s="13">
        <f>IF(Q95&gt;=pHighCutoff,1,0)</f>
        <v/>
      </c>
      <c r="Y95" s="13">
        <f>IF(M95="Returned",1,0)</f>
        <v/>
      </c>
    </row>
    <row r="96">
      <c r="A96" s="13" t="inlineStr">
        <is>
          <t>HC-100094</t>
        </is>
      </c>
      <c r="B96" s="18" t="n">
        <v>45917</v>
      </c>
      <c r="C96" s="13" t="inlineStr">
        <is>
          <t>North</t>
        </is>
      </c>
      <c r="D96" s="13" t="inlineStr">
        <is>
          <t>Online</t>
        </is>
      </c>
      <c r="E96" s="13" t="inlineStr">
        <is>
          <t>Furniture</t>
        </is>
      </c>
      <c r="F96" s="13" t="inlineStr">
        <is>
          <t>Oak Desk</t>
        </is>
      </c>
      <c r="G96" s="13" t="inlineStr">
        <is>
          <t>Corporate</t>
        </is>
      </c>
      <c r="H96" s="13" t="n">
        <v>1</v>
      </c>
      <c r="I96" s="14" t="n">
        <v>874.11</v>
      </c>
      <c r="J96" s="15" t="n">
        <v>0.1</v>
      </c>
      <c r="K96" s="14" t="n">
        <v>541.95</v>
      </c>
      <c r="L96" s="13" t="n">
        <v>2</v>
      </c>
      <c r="M96" s="13" t="inlineStr">
        <is>
          <t>Completed</t>
        </is>
      </c>
      <c r="N96" s="13" t="inlineStr">
        <is>
          <t>A. Shah</t>
        </is>
      </c>
      <c r="O96" s="13" t="inlineStr">
        <is>
          <t>No</t>
        </is>
      </c>
      <c r="P96" s="14">
        <f>H96*I96</f>
        <v/>
      </c>
      <c r="Q96" s="14">
        <f>P96*(1-J96)</f>
        <v/>
      </c>
      <c r="R96" s="14">
        <f>H96*K96</f>
        <v/>
      </c>
      <c r="S96" s="15">
        <f>IF(Q96=0,"",(Q96-R96)/Q96)</f>
        <v/>
      </c>
      <c r="T96" s="13">
        <f>YEAR(B96)</f>
        <v/>
      </c>
      <c r="U96" s="13">
        <f>YEAR(B96)&amp;"-Q"&amp;ROUNDUP(MONTH(B96)/3,0)</f>
        <v/>
      </c>
      <c r="V96" s="13">
        <f>TEXT(B96,"YYYY-MM")</f>
        <v/>
      </c>
      <c r="W96" s="13">
        <f>IF(L96="","",IF(L96&gt;pLateDays,1,0))</f>
        <v/>
      </c>
      <c r="X96" s="13">
        <f>IF(Q96&gt;=pHighCutoff,1,0)</f>
        <v/>
      </c>
      <c r="Y96" s="13">
        <f>IF(M96="Returned",1,0)</f>
        <v/>
      </c>
    </row>
    <row r="97">
      <c r="A97" s="13" t="inlineStr">
        <is>
          <t>HC-100095</t>
        </is>
      </c>
      <c r="B97" s="18" t="n">
        <v>45721</v>
      </c>
      <c r="C97" s="13" t="inlineStr">
        <is>
          <t>South</t>
        </is>
      </c>
      <c r="D97" s="13" t="inlineStr">
        <is>
          <t>Store</t>
        </is>
      </c>
      <c r="E97" s="13" t="inlineStr">
        <is>
          <t>Lighting</t>
        </is>
      </c>
      <c r="F97" s="13" t="inlineStr">
        <is>
          <t>Arc Lamp</t>
        </is>
      </c>
      <c r="G97" s="13" t="inlineStr">
        <is>
          <t>Consumer</t>
        </is>
      </c>
      <c r="H97" s="13" t="n">
        <v>3</v>
      </c>
      <c r="I97" s="14" t="n">
        <v>299.07</v>
      </c>
      <c r="J97" s="15" t="n">
        <v>0.06</v>
      </c>
      <c r="K97" s="14" t="n">
        <v>143.55</v>
      </c>
      <c r="L97" s="13" t="n">
        <v>9</v>
      </c>
      <c r="M97" s="13" t="inlineStr">
        <is>
          <t>Completed</t>
        </is>
      </c>
      <c r="N97" s="13" t="inlineStr">
        <is>
          <t>R. Ibarra</t>
        </is>
      </c>
      <c r="O97" s="13" t="inlineStr">
        <is>
          <t>No</t>
        </is>
      </c>
      <c r="P97" s="14">
        <f>H97*I97</f>
        <v/>
      </c>
      <c r="Q97" s="14">
        <f>P97*(1-J97)</f>
        <v/>
      </c>
      <c r="R97" s="14">
        <f>H97*K97</f>
        <v/>
      </c>
      <c r="S97" s="15">
        <f>IF(Q97=0,"",(Q97-R97)/Q97)</f>
        <v/>
      </c>
      <c r="T97" s="13">
        <f>YEAR(B97)</f>
        <v/>
      </c>
      <c r="U97" s="13">
        <f>YEAR(B97)&amp;"-Q"&amp;ROUNDUP(MONTH(B97)/3,0)</f>
        <v/>
      </c>
      <c r="V97" s="13">
        <f>TEXT(B97,"YYYY-MM")</f>
        <v/>
      </c>
      <c r="W97" s="13">
        <f>IF(L97="","",IF(L97&gt;pLateDays,1,0))</f>
        <v/>
      </c>
      <c r="X97" s="13">
        <f>IF(Q97&gt;=pHighCutoff,1,0)</f>
        <v/>
      </c>
      <c r="Y97" s="13">
        <f>IF(M97="Returned",1,0)</f>
        <v/>
      </c>
    </row>
    <row r="98">
      <c r="A98" s="13" t="inlineStr">
        <is>
          <t>HC-100096</t>
        </is>
      </c>
      <c r="B98" s="18" t="n">
        <v>45597</v>
      </c>
      <c r="C98" s="13" t="inlineStr">
        <is>
          <t>South</t>
        </is>
      </c>
      <c r="D98" s="13" t="inlineStr">
        <is>
          <t>Store</t>
        </is>
      </c>
      <c r="E98" s="13" t="inlineStr">
        <is>
          <t>Furniture</t>
        </is>
      </c>
      <c r="F98" s="13" t="inlineStr">
        <is>
          <t>Oak Desk</t>
        </is>
      </c>
      <c r="G98" s="13" t="inlineStr">
        <is>
          <t>Consumer</t>
        </is>
      </c>
      <c r="H98" s="13" t="n">
        <v>5</v>
      </c>
      <c r="I98" s="14" t="n">
        <v>775.79</v>
      </c>
      <c r="J98" s="15" t="n">
        <v>0.11</v>
      </c>
      <c r="K98" s="14" t="n">
        <v>480.99</v>
      </c>
      <c r="L98" s="13" t="n">
        <v>6</v>
      </c>
      <c r="M98" s="13" t="inlineStr">
        <is>
          <t>Completed</t>
        </is>
      </c>
      <c r="N98" s="13" t="inlineStr">
        <is>
          <t>K. Mensah</t>
        </is>
      </c>
      <c r="O98" s="13" t="inlineStr">
        <is>
          <t>No</t>
        </is>
      </c>
      <c r="P98" s="14">
        <f>H98*I98</f>
        <v/>
      </c>
      <c r="Q98" s="14">
        <f>P98*(1-J98)</f>
        <v/>
      </c>
      <c r="R98" s="14">
        <f>H98*K98</f>
        <v/>
      </c>
      <c r="S98" s="15">
        <f>IF(Q98=0,"",(Q98-R98)/Q98)</f>
        <v/>
      </c>
      <c r="T98" s="13">
        <f>YEAR(B98)</f>
        <v/>
      </c>
      <c r="U98" s="13">
        <f>YEAR(B98)&amp;"-Q"&amp;ROUNDUP(MONTH(B98)/3,0)</f>
        <v/>
      </c>
      <c r="V98" s="13">
        <f>TEXT(B98,"YYYY-MM")</f>
        <v/>
      </c>
      <c r="W98" s="13">
        <f>IF(L98="","",IF(L98&gt;pLateDays,1,0))</f>
        <v/>
      </c>
      <c r="X98" s="13">
        <f>IF(Q98&gt;=pHighCutoff,1,0)</f>
        <v/>
      </c>
      <c r="Y98" s="13">
        <f>IF(M98="Returned",1,0)</f>
        <v/>
      </c>
    </row>
    <row r="99">
      <c r="A99" s="13" t="inlineStr">
        <is>
          <t>HC-100097</t>
        </is>
      </c>
      <c r="B99" s="18" t="n">
        <v>45620</v>
      </c>
      <c r="C99" s="13" t="inlineStr">
        <is>
          <t>West</t>
        </is>
      </c>
      <c r="D99" s="13" t="inlineStr">
        <is>
          <t>Store</t>
        </is>
      </c>
      <c r="E99" s="13" t="inlineStr">
        <is>
          <t>Lighting</t>
        </is>
      </c>
      <c r="F99" s="13" t="inlineStr">
        <is>
          <t>Arc Lamp</t>
        </is>
      </c>
      <c r="G99" s="13" t="inlineStr">
        <is>
          <t>Consumer</t>
        </is>
      </c>
      <c r="H99" s="13" t="n">
        <v>5</v>
      </c>
      <c r="I99" s="14" t="n">
        <v>291.69</v>
      </c>
      <c r="J99" s="15" t="n">
        <v>0.06</v>
      </c>
      <c r="K99" s="14" t="n">
        <v>140.01</v>
      </c>
      <c r="L99" s="13" t="n">
        <v>9</v>
      </c>
      <c r="M99" s="13" t="inlineStr">
        <is>
          <t>Completed</t>
        </is>
      </c>
      <c r="N99" s="13" t="inlineStr">
        <is>
          <t>K. Mensah</t>
        </is>
      </c>
      <c r="O99" s="13" t="inlineStr">
        <is>
          <t>No</t>
        </is>
      </c>
      <c r="P99" s="14">
        <f>H99*I99</f>
        <v/>
      </c>
      <c r="Q99" s="14">
        <f>P99*(1-J99)</f>
        <v/>
      </c>
      <c r="R99" s="14">
        <f>H99*K99</f>
        <v/>
      </c>
      <c r="S99" s="15">
        <f>IF(Q99=0,"",(Q99-R99)/Q99)</f>
        <v/>
      </c>
      <c r="T99" s="13">
        <f>YEAR(B99)</f>
        <v/>
      </c>
      <c r="U99" s="13">
        <f>YEAR(B99)&amp;"-Q"&amp;ROUNDUP(MONTH(B99)/3,0)</f>
        <v/>
      </c>
      <c r="V99" s="13">
        <f>TEXT(B99,"YYYY-MM")</f>
        <v/>
      </c>
      <c r="W99" s="13">
        <f>IF(L99="","",IF(L99&gt;pLateDays,1,0))</f>
        <v/>
      </c>
      <c r="X99" s="13">
        <f>IF(Q99&gt;=pHighCutoff,1,0)</f>
        <v/>
      </c>
      <c r="Y99" s="13">
        <f>IF(M99="Returned",1,0)</f>
        <v/>
      </c>
    </row>
    <row r="100">
      <c r="A100" s="13" t="inlineStr">
        <is>
          <t>HC-100098</t>
        </is>
      </c>
      <c r="B100" s="18" t="n">
        <v>45834</v>
      </c>
      <c r="C100" s="13" t="inlineStr">
        <is>
          <t>South</t>
        </is>
      </c>
      <c r="D100" s="13" t="inlineStr">
        <is>
          <t>Wholesale</t>
        </is>
      </c>
      <c r="E100" s="13" t="inlineStr">
        <is>
          <t>Furniture</t>
        </is>
      </c>
      <c r="F100" s="13" t="inlineStr">
        <is>
          <t>Linen Sofa</t>
        </is>
      </c>
      <c r="G100" s="13" t="inlineStr">
        <is>
          <t>Consumer</t>
        </is>
      </c>
      <c r="H100" s="13" t="n">
        <v>27</v>
      </c>
      <c r="I100" s="14" t="n">
        <v>1228.37</v>
      </c>
      <c r="J100" s="15" t="n">
        <v>0.13</v>
      </c>
      <c r="K100" s="14" t="n">
        <v>810.72</v>
      </c>
      <c r="L100" s="13" t="n">
        <v>5</v>
      </c>
      <c r="M100" s="13" t="inlineStr">
        <is>
          <t>Completed</t>
        </is>
      </c>
      <c r="N100" s="13" t="inlineStr">
        <is>
          <t>L. Berger</t>
        </is>
      </c>
      <c r="O100" s="13" t="inlineStr">
        <is>
          <t>No</t>
        </is>
      </c>
      <c r="P100" s="14">
        <f>H100*I100</f>
        <v/>
      </c>
      <c r="Q100" s="14">
        <f>P100*(1-J100)</f>
        <v/>
      </c>
      <c r="R100" s="14">
        <f>H100*K100</f>
        <v/>
      </c>
      <c r="S100" s="15">
        <f>IF(Q100=0,"",(Q100-R100)/Q100)</f>
        <v/>
      </c>
      <c r="T100" s="13">
        <f>YEAR(B100)</f>
        <v/>
      </c>
      <c r="U100" s="13">
        <f>YEAR(B100)&amp;"-Q"&amp;ROUNDUP(MONTH(B100)/3,0)</f>
        <v/>
      </c>
      <c r="V100" s="13">
        <f>TEXT(B100,"YYYY-MM")</f>
        <v/>
      </c>
      <c r="W100" s="13">
        <f>IF(L100="","",IF(L100&gt;pLateDays,1,0))</f>
        <v/>
      </c>
      <c r="X100" s="13">
        <f>IF(Q100&gt;=pHighCutoff,1,0)</f>
        <v/>
      </c>
      <c r="Y100" s="13">
        <f>IF(M100="Returned",1,0)</f>
        <v/>
      </c>
    </row>
    <row r="101">
      <c r="A101" s="13" t="inlineStr">
        <is>
          <t>HC-100099</t>
        </is>
      </c>
      <c r="B101" s="18" t="n">
        <v>45445</v>
      </c>
      <c r="C101" s="13" t="inlineStr">
        <is>
          <t>South</t>
        </is>
      </c>
      <c r="D101" s="13" t="inlineStr">
        <is>
          <t>Store</t>
        </is>
      </c>
      <c r="E101" s="13" t="inlineStr">
        <is>
          <t>Lighting</t>
        </is>
      </c>
      <c r="F101" s="13" t="inlineStr">
        <is>
          <t>Brass Sconce</t>
        </is>
      </c>
      <c r="G101" s="13" t="inlineStr">
        <is>
          <t>Home Office</t>
        </is>
      </c>
      <c r="H101" s="13" t="n">
        <v>3</v>
      </c>
      <c r="I101" s="14" t="n">
        <v>145.54</v>
      </c>
      <c r="J101" s="15" t="n">
        <v>0.03</v>
      </c>
      <c r="K101" s="14" t="n">
        <v>66.95</v>
      </c>
      <c r="L101" s="13" t="n">
        <v>7</v>
      </c>
      <c r="M101" s="13" t="inlineStr">
        <is>
          <t>Completed</t>
        </is>
      </c>
      <c r="N101" s="13" t="inlineStr">
        <is>
          <t>A. Shah</t>
        </is>
      </c>
      <c r="O101" s="13" t="inlineStr">
        <is>
          <t>No</t>
        </is>
      </c>
      <c r="P101" s="14">
        <f>H101*I101</f>
        <v/>
      </c>
      <c r="Q101" s="14">
        <f>P101*(1-J101)</f>
        <v/>
      </c>
      <c r="R101" s="14">
        <f>H101*K101</f>
        <v/>
      </c>
      <c r="S101" s="15">
        <f>IF(Q101=0,"",(Q101-R101)/Q101)</f>
        <v/>
      </c>
      <c r="T101" s="13">
        <f>YEAR(B101)</f>
        <v/>
      </c>
      <c r="U101" s="13">
        <f>YEAR(B101)&amp;"-Q"&amp;ROUNDUP(MONTH(B101)/3,0)</f>
        <v/>
      </c>
      <c r="V101" s="13">
        <f>TEXT(B101,"YYYY-MM")</f>
        <v/>
      </c>
      <c r="W101" s="13">
        <f>IF(L101="","",IF(L101&gt;pLateDays,1,0))</f>
        <v/>
      </c>
      <c r="X101" s="13">
        <f>IF(Q101&gt;=pHighCutoff,1,0)</f>
        <v/>
      </c>
      <c r="Y101" s="13">
        <f>IF(M101="Returned",1,0)</f>
        <v/>
      </c>
    </row>
    <row r="102">
      <c r="A102" s="13" t="inlineStr">
        <is>
          <t>HC-100100</t>
        </is>
      </c>
      <c r="B102" s="18" t="n">
        <v>45294</v>
      </c>
      <c r="C102" s="13" t="inlineStr">
        <is>
          <t>North</t>
        </is>
      </c>
      <c r="D102" s="13" t="inlineStr">
        <is>
          <t>Store</t>
        </is>
      </c>
      <c r="E102" s="13" t="inlineStr">
        <is>
          <t>Furniture</t>
        </is>
      </c>
      <c r="F102" s="13" t="inlineStr">
        <is>
          <t>Lounge Chair</t>
        </is>
      </c>
      <c r="G102" s="13" t="inlineStr">
        <is>
          <t>Consumer</t>
        </is>
      </c>
      <c r="H102" s="13" t="n">
        <v>4</v>
      </c>
      <c r="I102" s="14" t="n">
        <v>444.12</v>
      </c>
      <c r="J102" s="15" t="n">
        <v>0.03</v>
      </c>
      <c r="K102" s="14" t="n">
        <v>266.47</v>
      </c>
      <c r="L102" s="13" t="n">
        <v>3</v>
      </c>
      <c r="M102" s="13" t="inlineStr">
        <is>
          <t>Completed</t>
        </is>
      </c>
      <c r="N102" s="13" t="inlineStr">
        <is>
          <t>M. Okonkwo</t>
        </is>
      </c>
      <c r="O102" s="13" t="inlineStr">
        <is>
          <t>No</t>
        </is>
      </c>
      <c r="P102" s="14">
        <f>H102*I102</f>
        <v/>
      </c>
      <c r="Q102" s="14">
        <f>P102*(1-J102)</f>
        <v/>
      </c>
      <c r="R102" s="14">
        <f>H102*K102</f>
        <v/>
      </c>
      <c r="S102" s="15">
        <f>IF(Q102=0,"",(Q102-R102)/Q102)</f>
        <v/>
      </c>
      <c r="T102" s="13">
        <f>YEAR(B102)</f>
        <v/>
      </c>
      <c r="U102" s="13">
        <f>YEAR(B102)&amp;"-Q"&amp;ROUNDUP(MONTH(B102)/3,0)</f>
        <v/>
      </c>
      <c r="V102" s="13">
        <f>TEXT(B102,"YYYY-MM")</f>
        <v/>
      </c>
      <c r="W102" s="13">
        <f>IF(L102="","",IF(L102&gt;pLateDays,1,0))</f>
        <v/>
      </c>
      <c r="X102" s="13">
        <f>IF(Q102&gt;=pHighCutoff,1,0)</f>
        <v/>
      </c>
      <c r="Y102" s="13">
        <f>IF(M102="Returned",1,0)</f>
        <v/>
      </c>
    </row>
    <row r="103">
      <c r="A103" s="13" t="inlineStr">
        <is>
          <t>HC-100101</t>
        </is>
      </c>
      <c r="B103" s="18" t="n">
        <v>45655</v>
      </c>
      <c r="C103" s="13" t="inlineStr">
        <is>
          <t>West</t>
        </is>
      </c>
      <c r="D103" s="13" t="inlineStr">
        <is>
          <t>Online</t>
        </is>
      </c>
      <c r="E103" s="13" t="inlineStr">
        <is>
          <t>Kitchen</t>
        </is>
      </c>
      <c r="F103" s="13" t="inlineStr">
        <is>
          <t>Ceramic Set</t>
        </is>
      </c>
      <c r="G103" s="13" t="inlineStr">
        <is>
          <t>Home Office</t>
        </is>
      </c>
      <c r="H103" s="13" t="n">
        <v>3</v>
      </c>
      <c r="I103" s="14" t="n">
        <v>89.67</v>
      </c>
      <c r="J103" s="15" t="n">
        <v>0.09</v>
      </c>
      <c r="K103" s="14" t="n">
        <v>34.08</v>
      </c>
      <c r="L103" s="13" t="n">
        <v>7</v>
      </c>
      <c r="M103" s="13" t="inlineStr">
        <is>
          <t>Completed</t>
        </is>
      </c>
      <c r="N103" s="13" t="inlineStr">
        <is>
          <t>J. Patel</t>
        </is>
      </c>
      <c r="O103" s="13" t="inlineStr">
        <is>
          <t>No</t>
        </is>
      </c>
      <c r="P103" s="14">
        <f>H103*I103</f>
        <v/>
      </c>
      <c r="Q103" s="14">
        <f>P103*(1-J103)</f>
        <v/>
      </c>
      <c r="R103" s="14">
        <f>H103*K103</f>
        <v/>
      </c>
      <c r="S103" s="15">
        <f>IF(Q103=0,"",(Q103-R103)/Q103)</f>
        <v/>
      </c>
      <c r="T103" s="13">
        <f>YEAR(B103)</f>
        <v/>
      </c>
      <c r="U103" s="13">
        <f>YEAR(B103)&amp;"-Q"&amp;ROUNDUP(MONTH(B103)/3,0)</f>
        <v/>
      </c>
      <c r="V103" s="13">
        <f>TEXT(B103,"YYYY-MM")</f>
        <v/>
      </c>
      <c r="W103" s="13">
        <f>IF(L103="","",IF(L103&gt;pLateDays,1,0))</f>
        <v/>
      </c>
      <c r="X103" s="13">
        <f>IF(Q103&gt;=pHighCutoff,1,0)</f>
        <v/>
      </c>
      <c r="Y103" s="13">
        <f>IF(M103="Returned",1,0)</f>
        <v/>
      </c>
    </row>
    <row r="104">
      <c r="A104" s="13" t="inlineStr">
        <is>
          <t>HC-100102</t>
        </is>
      </c>
      <c r="B104" s="18" t="n">
        <v>45504</v>
      </c>
      <c r="C104" s="13" t="inlineStr">
        <is>
          <t>North</t>
        </is>
      </c>
      <c r="D104" s="13" t="inlineStr">
        <is>
          <t>Store</t>
        </is>
      </c>
      <c r="E104" s="13" t="inlineStr">
        <is>
          <t>Furniture</t>
        </is>
      </c>
      <c r="F104" s="13" t="inlineStr">
        <is>
          <t>Linen Sofa</t>
        </is>
      </c>
      <c r="G104" s="13" t="inlineStr">
        <is>
          <t>Consumer</t>
        </is>
      </c>
      <c r="H104" s="13" t="n">
        <v>4</v>
      </c>
      <c r="I104" s="14" t="n">
        <v>1325.88</v>
      </c>
      <c r="J104" s="15" t="n">
        <v>0.05</v>
      </c>
      <c r="K104" s="14" t="n">
        <v>875.08</v>
      </c>
      <c r="L104" s="13" t="n">
        <v>6</v>
      </c>
      <c r="M104" s="13" t="inlineStr">
        <is>
          <t>Completed</t>
        </is>
      </c>
      <c r="N104" s="13" t="inlineStr">
        <is>
          <t>R. Ibarra</t>
        </is>
      </c>
      <c r="O104" s="13" t="inlineStr">
        <is>
          <t>No</t>
        </is>
      </c>
      <c r="P104" s="14">
        <f>H104*I104</f>
        <v/>
      </c>
      <c r="Q104" s="14">
        <f>P104*(1-J104)</f>
        <v/>
      </c>
      <c r="R104" s="14">
        <f>H104*K104</f>
        <v/>
      </c>
      <c r="S104" s="15">
        <f>IF(Q104=0,"",(Q104-R104)/Q104)</f>
        <v/>
      </c>
      <c r="T104" s="13">
        <f>YEAR(B104)</f>
        <v/>
      </c>
      <c r="U104" s="13">
        <f>YEAR(B104)&amp;"-Q"&amp;ROUNDUP(MONTH(B104)/3,0)</f>
        <v/>
      </c>
      <c r="V104" s="13">
        <f>TEXT(B104,"YYYY-MM")</f>
        <v/>
      </c>
      <c r="W104" s="13">
        <f>IF(L104="","",IF(L104&gt;pLateDays,1,0))</f>
        <v/>
      </c>
      <c r="X104" s="13">
        <f>IF(Q104&gt;=pHighCutoff,1,0)</f>
        <v/>
      </c>
      <c r="Y104" s="13">
        <f>IF(M104="Returned",1,0)</f>
        <v/>
      </c>
    </row>
    <row r="105">
      <c r="A105" s="13" t="inlineStr">
        <is>
          <t>HC-100103</t>
        </is>
      </c>
      <c r="B105" s="18" t="n">
        <v>45494</v>
      </c>
      <c r="C105" s="13" t="inlineStr">
        <is>
          <t>West</t>
        </is>
      </c>
      <c r="D105" s="13" t="inlineStr">
        <is>
          <t>Wholesale</t>
        </is>
      </c>
      <c r="E105" s="13" t="inlineStr">
        <is>
          <t>Kitchen</t>
        </is>
      </c>
      <c r="F105" s="13" t="inlineStr">
        <is>
          <t>Cast Skillet</t>
        </is>
      </c>
      <c r="G105" s="13" t="inlineStr">
        <is>
          <t>Consumer</t>
        </is>
      </c>
      <c r="H105" s="13" t="n">
        <v>12</v>
      </c>
      <c r="I105" s="14" t="n">
        <v>51.15</v>
      </c>
      <c r="J105" s="15" t="n">
        <v>0.23</v>
      </c>
      <c r="K105" s="14" t="n">
        <v>20.46</v>
      </c>
      <c r="L105" s="13" t="n">
        <v>8</v>
      </c>
      <c r="M105" s="13" t="inlineStr">
        <is>
          <t>Completed</t>
        </is>
      </c>
      <c r="N105" s="13" t="inlineStr">
        <is>
          <t>M. Okonkwo</t>
        </is>
      </c>
      <c r="O105" s="13" t="inlineStr">
        <is>
          <t>No</t>
        </is>
      </c>
      <c r="P105" s="14">
        <f>H105*I105</f>
        <v/>
      </c>
      <c r="Q105" s="14">
        <f>P105*(1-J105)</f>
        <v/>
      </c>
      <c r="R105" s="14">
        <f>H105*K105</f>
        <v/>
      </c>
      <c r="S105" s="15">
        <f>IF(Q105=0,"",(Q105-R105)/Q105)</f>
        <v/>
      </c>
      <c r="T105" s="13">
        <f>YEAR(B105)</f>
        <v/>
      </c>
      <c r="U105" s="13">
        <f>YEAR(B105)&amp;"-Q"&amp;ROUNDUP(MONTH(B105)/3,0)</f>
        <v/>
      </c>
      <c r="V105" s="13">
        <f>TEXT(B105,"YYYY-MM")</f>
        <v/>
      </c>
      <c r="W105" s="13">
        <f>IF(L105="","",IF(L105&gt;pLateDays,1,0))</f>
        <v/>
      </c>
      <c r="X105" s="13">
        <f>IF(Q105&gt;=pHighCutoff,1,0)</f>
        <v/>
      </c>
      <c r="Y105" s="13">
        <f>IF(M105="Returned",1,0)</f>
        <v/>
      </c>
    </row>
    <row r="106">
      <c r="A106" s="13" t="inlineStr">
        <is>
          <t>HC-100104</t>
        </is>
      </c>
      <c r="B106" s="18" t="n">
        <v>45399</v>
      </c>
      <c r="C106" s="13" t="inlineStr">
        <is>
          <t>West</t>
        </is>
      </c>
      <c r="D106" s="13" t="inlineStr">
        <is>
          <t>Wholesale</t>
        </is>
      </c>
      <c r="E106" s="13" t="inlineStr">
        <is>
          <t>Furniture</t>
        </is>
      </c>
      <c r="F106" s="13" t="inlineStr">
        <is>
          <t>Linen Sofa</t>
        </is>
      </c>
      <c r="G106" s="13" t="inlineStr">
        <is>
          <t>Consumer</t>
        </is>
      </c>
      <c r="H106" s="13" t="n">
        <v>17</v>
      </c>
      <c r="I106" s="14" t="n">
        <v>1293.61</v>
      </c>
      <c r="J106" s="15" t="n">
        <v>0.24</v>
      </c>
      <c r="K106" s="14" t="n">
        <v>853.78</v>
      </c>
      <c r="L106" s="13" t="n">
        <v>4</v>
      </c>
      <c r="M106" s="13" t="inlineStr">
        <is>
          <t>Completed</t>
        </is>
      </c>
      <c r="N106" s="13" t="inlineStr">
        <is>
          <t>P. Rossi</t>
        </is>
      </c>
      <c r="O106" s="13" t="inlineStr">
        <is>
          <t>No</t>
        </is>
      </c>
      <c r="P106" s="14">
        <f>H106*I106</f>
        <v/>
      </c>
      <c r="Q106" s="14">
        <f>P106*(1-J106)</f>
        <v/>
      </c>
      <c r="R106" s="14">
        <f>H106*K106</f>
        <v/>
      </c>
      <c r="S106" s="15">
        <f>IF(Q106=0,"",(Q106-R106)/Q106)</f>
        <v/>
      </c>
      <c r="T106" s="13">
        <f>YEAR(B106)</f>
        <v/>
      </c>
      <c r="U106" s="13">
        <f>YEAR(B106)&amp;"-Q"&amp;ROUNDUP(MONTH(B106)/3,0)</f>
        <v/>
      </c>
      <c r="V106" s="13">
        <f>TEXT(B106,"YYYY-MM")</f>
        <v/>
      </c>
      <c r="W106" s="13">
        <f>IF(L106="","",IF(L106&gt;pLateDays,1,0))</f>
        <v/>
      </c>
      <c r="X106" s="13">
        <f>IF(Q106&gt;=pHighCutoff,1,0)</f>
        <v/>
      </c>
      <c r="Y106" s="13">
        <f>IF(M106="Returned",1,0)</f>
        <v/>
      </c>
    </row>
    <row r="107">
      <c r="A107" s="13" t="inlineStr">
        <is>
          <t>HC-100105</t>
        </is>
      </c>
      <c r="B107" s="18" t="n">
        <v>45565</v>
      </c>
      <c r="C107" s="13" t="inlineStr">
        <is>
          <t>South</t>
        </is>
      </c>
      <c r="D107" s="13" t="inlineStr">
        <is>
          <t>Store</t>
        </is>
      </c>
      <c r="E107" s="13" t="inlineStr">
        <is>
          <t>Furniture</t>
        </is>
      </c>
      <c r="F107" s="13" t="inlineStr">
        <is>
          <t>Walnut Shelf</t>
        </is>
      </c>
      <c r="G107" s="13" t="inlineStr">
        <is>
          <t>Corporate</t>
        </is>
      </c>
      <c r="H107" s="13" t="n">
        <v>4</v>
      </c>
      <c r="I107" s="14" t="n">
        <v>227.23</v>
      </c>
      <c r="J107" s="15" t="n">
        <v>0.03</v>
      </c>
      <c r="K107" s="14" t="n">
        <v>124.97</v>
      </c>
      <c r="L107" s="13" t="n">
        <v>7</v>
      </c>
      <c r="M107" s="13" t="inlineStr">
        <is>
          <t>Completed</t>
        </is>
      </c>
      <c r="N107" s="13" t="inlineStr">
        <is>
          <t>A. Shah</t>
        </is>
      </c>
      <c r="O107" s="13" t="inlineStr">
        <is>
          <t>No</t>
        </is>
      </c>
      <c r="P107" s="14">
        <f>H107*I107</f>
        <v/>
      </c>
      <c r="Q107" s="14">
        <f>P107*(1-J107)</f>
        <v/>
      </c>
      <c r="R107" s="14">
        <f>H107*K107</f>
        <v/>
      </c>
      <c r="S107" s="15">
        <f>IF(Q107=0,"",(Q107-R107)/Q107)</f>
        <v/>
      </c>
      <c r="T107" s="13">
        <f>YEAR(B107)</f>
        <v/>
      </c>
      <c r="U107" s="13">
        <f>YEAR(B107)&amp;"-Q"&amp;ROUNDUP(MONTH(B107)/3,0)</f>
        <v/>
      </c>
      <c r="V107" s="13">
        <f>TEXT(B107,"YYYY-MM")</f>
        <v/>
      </c>
      <c r="W107" s="13">
        <f>IF(L107="","",IF(L107&gt;pLateDays,1,0))</f>
        <v/>
      </c>
      <c r="X107" s="13">
        <f>IF(Q107&gt;=pHighCutoff,1,0)</f>
        <v/>
      </c>
      <c r="Y107" s="13">
        <f>IF(M107="Returned",1,0)</f>
        <v/>
      </c>
    </row>
    <row r="108">
      <c r="A108" s="13" t="inlineStr">
        <is>
          <t>HC-100106</t>
        </is>
      </c>
      <c r="B108" s="18" t="n">
        <v>45336</v>
      </c>
      <c r="C108" s="13" t="inlineStr">
        <is>
          <t>North</t>
        </is>
      </c>
      <c r="D108" s="13" t="inlineStr">
        <is>
          <t>Store</t>
        </is>
      </c>
      <c r="E108" s="13" t="inlineStr">
        <is>
          <t>Furniture</t>
        </is>
      </c>
      <c r="F108" s="13" t="inlineStr">
        <is>
          <t>Linen Sofa</t>
        </is>
      </c>
      <c r="G108" s="13" t="inlineStr">
        <is>
          <t>Corporate</t>
        </is>
      </c>
      <c r="H108" s="13" t="n">
        <v>3</v>
      </c>
      <c r="I108" s="14" t="n">
        <v>1227.63</v>
      </c>
      <c r="J108" s="15" t="n">
        <v>0.08</v>
      </c>
      <c r="K108" s="14" t="n">
        <v>810.24</v>
      </c>
      <c r="L108" s="13" t="n">
        <v>4</v>
      </c>
      <c r="M108" s="13" t="inlineStr">
        <is>
          <t>Completed</t>
        </is>
      </c>
      <c r="N108" s="13" t="inlineStr">
        <is>
          <t>L. Berger</t>
        </is>
      </c>
      <c r="O108" s="13" t="inlineStr">
        <is>
          <t>No</t>
        </is>
      </c>
      <c r="P108" s="14">
        <f>H108*I108</f>
        <v/>
      </c>
      <c r="Q108" s="14">
        <f>P108*(1-J108)</f>
        <v/>
      </c>
      <c r="R108" s="14">
        <f>H108*K108</f>
        <v/>
      </c>
      <c r="S108" s="15">
        <f>IF(Q108=0,"",(Q108-R108)/Q108)</f>
        <v/>
      </c>
      <c r="T108" s="13">
        <f>YEAR(B108)</f>
        <v/>
      </c>
      <c r="U108" s="13">
        <f>YEAR(B108)&amp;"-Q"&amp;ROUNDUP(MONTH(B108)/3,0)</f>
        <v/>
      </c>
      <c r="V108" s="13">
        <f>TEXT(B108,"YYYY-MM")</f>
        <v/>
      </c>
      <c r="W108" s="13">
        <f>IF(L108="","",IF(L108&gt;pLateDays,1,0))</f>
        <v/>
      </c>
      <c r="X108" s="13">
        <f>IF(Q108&gt;=pHighCutoff,1,0)</f>
        <v/>
      </c>
      <c r="Y108" s="13">
        <f>IF(M108="Returned",1,0)</f>
        <v/>
      </c>
    </row>
    <row r="109">
      <c r="A109" s="13" t="inlineStr">
        <is>
          <t>HC-100107</t>
        </is>
      </c>
      <c r="B109" s="18" t="n">
        <v>45597</v>
      </c>
      <c r="C109" s="13" t="inlineStr">
        <is>
          <t>East</t>
        </is>
      </c>
      <c r="D109" s="13" t="inlineStr">
        <is>
          <t>Store</t>
        </is>
      </c>
      <c r="E109" s="13" t="inlineStr">
        <is>
          <t>Textiles</t>
        </is>
      </c>
      <c r="F109" s="13" t="inlineStr">
        <is>
          <t>Wool Throw</t>
        </is>
      </c>
      <c r="G109" s="13" t="inlineStr">
        <is>
          <t>Corporate</t>
        </is>
      </c>
      <c r="H109" s="13" t="n">
        <v>2</v>
      </c>
      <c r="I109" s="14" t="n">
        <v>71.48999999999999</v>
      </c>
      <c r="J109" s="15" t="n">
        <v>0.09</v>
      </c>
      <c r="K109" s="14" t="n">
        <v>30.03</v>
      </c>
      <c r="L109" s="13" t="n">
        <v>7</v>
      </c>
      <c r="M109" s="13" t="inlineStr">
        <is>
          <t>Completed</t>
        </is>
      </c>
      <c r="N109" s="13" t="inlineStr">
        <is>
          <t>S. Nguyen</t>
        </is>
      </c>
      <c r="O109" s="13" t="inlineStr">
        <is>
          <t>No</t>
        </is>
      </c>
      <c r="P109" s="14">
        <f>H109*I109</f>
        <v/>
      </c>
      <c r="Q109" s="14">
        <f>P109*(1-J109)</f>
        <v/>
      </c>
      <c r="R109" s="14">
        <f>H109*K109</f>
        <v/>
      </c>
      <c r="S109" s="15">
        <f>IF(Q109=0,"",(Q109-R109)/Q109)</f>
        <v/>
      </c>
      <c r="T109" s="13">
        <f>YEAR(B109)</f>
        <v/>
      </c>
      <c r="U109" s="13">
        <f>YEAR(B109)&amp;"-Q"&amp;ROUNDUP(MONTH(B109)/3,0)</f>
        <v/>
      </c>
      <c r="V109" s="13">
        <f>TEXT(B109,"YYYY-MM")</f>
        <v/>
      </c>
      <c r="W109" s="13">
        <f>IF(L109="","",IF(L109&gt;pLateDays,1,0))</f>
        <v/>
      </c>
      <c r="X109" s="13">
        <f>IF(Q109&gt;=pHighCutoff,1,0)</f>
        <v/>
      </c>
      <c r="Y109" s="13">
        <f>IF(M109="Returned",1,0)</f>
        <v/>
      </c>
    </row>
    <row r="110">
      <c r="A110" s="13" t="inlineStr">
        <is>
          <t>HC-100108</t>
        </is>
      </c>
      <c r="B110" s="18" t="n">
        <v>45460</v>
      </c>
      <c r="C110" s="13" t="inlineStr">
        <is>
          <t>North</t>
        </is>
      </c>
      <c r="D110" s="13" t="inlineStr">
        <is>
          <t>Wholesale</t>
        </is>
      </c>
      <c r="E110" s="13" t="inlineStr">
        <is>
          <t>Textiles</t>
        </is>
      </c>
      <c r="F110" s="13" t="inlineStr">
        <is>
          <t>Wool Throw</t>
        </is>
      </c>
      <c r="G110" s="13" t="inlineStr">
        <is>
          <t>Consumer</t>
        </is>
      </c>
      <c r="H110" s="13" t="n">
        <v>13</v>
      </c>
      <c r="I110" s="14" t="n">
        <v>80.66</v>
      </c>
      <c r="J110" s="15" t="n">
        <v>0.18</v>
      </c>
      <c r="K110" s="14" t="n">
        <v>33.88</v>
      </c>
      <c r="L110" s="13" t="n">
        <v>3</v>
      </c>
      <c r="M110" s="13" t="inlineStr">
        <is>
          <t>Completed</t>
        </is>
      </c>
      <c r="N110" s="13" t="inlineStr">
        <is>
          <t>S. Nguyen</t>
        </is>
      </c>
      <c r="O110" s="13" t="inlineStr">
        <is>
          <t>No</t>
        </is>
      </c>
      <c r="P110" s="14">
        <f>H110*I110</f>
        <v/>
      </c>
      <c r="Q110" s="14">
        <f>P110*(1-J110)</f>
        <v/>
      </c>
      <c r="R110" s="14">
        <f>H110*K110</f>
        <v/>
      </c>
      <c r="S110" s="15">
        <f>IF(Q110=0,"",(Q110-R110)/Q110)</f>
        <v/>
      </c>
      <c r="T110" s="13">
        <f>YEAR(B110)</f>
        <v/>
      </c>
      <c r="U110" s="13">
        <f>YEAR(B110)&amp;"-Q"&amp;ROUNDUP(MONTH(B110)/3,0)</f>
        <v/>
      </c>
      <c r="V110" s="13">
        <f>TEXT(B110,"YYYY-MM")</f>
        <v/>
      </c>
      <c r="W110" s="13">
        <f>IF(L110="","",IF(L110&gt;pLateDays,1,0))</f>
        <v/>
      </c>
      <c r="X110" s="13">
        <f>IF(Q110&gt;=pHighCutoff,1,0)</f>
        <v/>
      </c>
      <c r="Y110" s="13">
        <f>IF(M110="Returned",1,0)</f>
        <v/>
      </c>
    </row>
    <row r="111">
      <c r="A111" s="13" t="inlineStr">
        <is>
          <t>HC-100109</t>
        </is>
      </c>
      <c r="B111" s="18" t="n">
        <v>45505</v>
      </c>
      <c r="C111" s="13" t="inlineStr">
        <is>
          <t>South</t>
        </is>
      </c>
      <c r="D111" s="13" t="inlineStr">
        <is>
          <t>Store</t>
        </is>
      </c>
      <c r="E111" s="13" t="inlineStr">
        <is>
          <t>Textiles</t>
        </is>
      </c>
      <c r="F111" s="13" t="inlineStr">
        <is>
          <t>Cotton Duvet</t>
        </is>
      </c>
      <c r="G111" s="13" t="inlineStr">
        <is>
          <t>Consumer</t>
        </is>
      </c>
      <c r="H111" s="13" t="n">
        <v>4</v>
      </c>
      <c r="I111" s="14" t="n">
        <v>111.91</v>
      </c>
      <c r="J111" s="15" t="n">
        <v>0.12</v>
      </c>
      <c r="K111" s="14" t="n">
        <v>49.24</v>
      </c>
      <c r="L111" s="13" t="n">
        <v>5</v>
      </c>
      <c r="M111" s="13" t="inlineStr">
        <is>
          <t>Completed</t>
        </is>
      </c>
      <c r="N111" s="13" t="inlineStr">
        <is>
          <t>M. Okonkwo</t>
        </is>
      </c>
      <c r="O111" s="13" t="inlineStr">
        <is>
          <t>No</t>
        </is>
      </c>
      <c r="P111" s="14">
        <f>H111*I111</f>
        <v/>
      </c>
      <c r="Q111" s="14">
        <f>P111*(1-J111)</f>
        <v/>
      </c>
      <c r="R111" s="14">
        <f>H111*K111</f>
        <v/>
      </c>
      <c r="S111" s="15">
        <f>IF(Q111=0,"",(Q111-R111)/Q111)</f>
        <v/>
      </c>
      <c r="T111" s="13">
        <f>YEAR(B111)</f>
        <v/>
      </c>
      <c r="U111" s="13">
        <f>YEAR(B111)&amp;"-Q"&amp;ROUNDUP(MONTH(B111)/3,0)</f>
        <v/>
      </c>
      <c r="V111" s="13">
        <f>TEXT(B111,"YYYY-MM")</f>
        <v/>
      </c>
      <c r="W111" s="13">
        <f>IF(L111="","",IF(L111&gt;pLateDays,1,0))</f>
        <v/>
      </c>
      <c r="X111" s="13">
        <f>IF(Q111&gt;=pHighCutoff,1,0)</f>
        <v/>
      </c>
      <c r="Y111" s="13">
        <f>IF(M111="Returned",1,0)</f>
        <v/>
      </c>
    </row>
    <row r="112">
      <c r="A112" s="13" t="inlineStr">
        <is>
          <t>HC-100110</t>
        </is>
      </c>
      <c r="B112" s="18" t="n">
        <v>45447</v>
      </c>
      <c r="C112" s="13" t="inlineStr">
        <is>
          <t>East</t>
        </is>
      </c>
      <c r="D112" s="13" t="inlineStr">
        <is>
          <t>Online</t>
        </is>
      </c>
      <c r="E112" s="13" t="inlineStr">
        <is>
          <t>Textiles</t>
        </is>
      </c>
      <c r="F112" s="13" t="inlineStr">
        <is>
          <t>Wool Throw</t>
        </is>
      </c>
      <c r="G112" s="13" t="inlineStr">
        <is>
          <t>Home Office</t>
        </is>
      </c>
      <c r="H112" s="13" t="n">
        <v>1</v>
      </c>
      <c r="I112" s="14" t="n">
        <v>63.6</v>
      </c>
      <c r="J112" s="15" t="n">
        <v>0.15</v>
      </c>
      <c r="K112" s="14" t="n">
        <v>26.71</v>
      </c>
      <c r="L112" s="13" t="n">
        <v>9</v>
      </c>
      <c r="M112" s="13" t="inlineStr">
        <is>
          <t>Completed</t>
        </is>
      </c>
      <c r="N112" s="13" t="inlineStr">
        <is>
          <t>R. Ibarra</t>
        </is>
      </c>
      <c r="O112" s="13" t="inlineStr">
        <is>
          <t>No</t>
        </is>
      </c>
      <c r="P112" s="14">
        <f>H112*I112</f>
        <v/>
      </c>
      <c r="Q112" s="14">
        <f>P112*(1-J112)</f>
        <v/>
      </c>
      <c r="R112" s="14">
        <f>H112*K112</f>
        <v/>
      </c>
      <c r="S112" s="15">
        <f>IF(Q112=0,"",(Q112-R112)/Q112)</f>
        <v/>
      </c>
      <c r="T112" s="13">
        <f>YEAR(B112)</f>
        <v/>
      </c>
      <c r="U112" s="13">
        <f>YEAR(B112)&amp;"-Q"&amp;ROUNDUP(MONTH(B112)/3,0)</f>
        <v/>
      </c>
      <c r="V112" s="13">
        <f>TEXT(B112,"YYYY-MM")</f>
        <v/>
      </c>
      <c r="W112" s="13">
        <f>IF(L112="","",IF(L112&gt;pLateDays,1,0))</f>
        <v/>
      </c>
      <c r="X112" s="13">
        <f>IF(Q112&gt;=pHighCutoff,1,0)</f>
        <v/>
      </c>
      <c r="Y112" s="13">
        <f>IF(M112="Returned",1,0)</f>
        <v/>
      </c>
    </row>
    <row r="113">
      <c r="A113" s="13" t="inlineStr">
        <is>
          <t>HC-100111</t>
        </is>
      </c>
      <c r="B113" s="18" t="n">
        <v>45357</v>
      </c>
      <c r="C113" s="13" t="inlineStr">
        <is>
          <t>North</t>
        </is>
      </c>
      <c r="D113" s="13" t="inlineStr">
        <is>
          <t>Store</t>
        </is>
      </c>
      <c r="E113" s="13" t="inlineStr">
        <is>
          <t>Kitchen</t>
        </is>
      </c>
      <c r="F113" s="13" t="inlineStr">
        <is>
          <t>Cast Skillet</t>
        </is>
      </c>
      <c r="G113" s="13" t="inlineStr">
        <is>
          <t>Consumer</t>
        </is>
      </c>
      <c r="H113" s="13" t="n">
        <v>1</v>
      </c>
      <c r="I113" s="14" t="n">
        <v>53.36</v>
      </c>
      <c r="J113" s="15" t="n">
        <v>0.07000000000000001</v>
      </c>
      <c r="K113" s="14" t="n">
        <v>21.35</v>
      </c>
      <c r="L113" s="13" t="n">
        <v>9</v>
      </c>
      <c r="M113" s="13" t="inlineStr">
        <is>
          <t>Completed</t>
        </is>
      </c>
      <c r="N113" s="13" t="inlineStr">
        <is>
          <t>J. Patel</t>
        </is>
      </c>
      <c r="O113" s="13" t="inlineStr">
        <is>
          <t>No</t>
        </is>
      </c>
      <c r="P113" s="14">
        <f>H113*I113</f>
        <v/>
      </c>
      <c r="Q113" s="14">
        <f>P113*(1-J113)</f>
        <v/>
      </c>
      <c r="R113" s="14">
        <f>H113*K113</f>
        <v/>
      </c>
      <c r="S113" s="15">
        <f>IF(Q113=0,"",(Q113-R113)/Q113)</f>
        <v/>
      </c>
      <c r="T113" s="13">
        <f>YEAR(B113)</f>
        <v/>
      </c>
      <c r="U113" s="13">
        <f>YEAR(B113)&amp;"-Q"&amp;ROUNDUP(MONTH(B113)/3,0)</f>
        <v/>
      </c>
      <c r="V113" s="13">
        <f>TEXT(B113,"YYYY-MM")</f>
        <v/>
      </c>
      <c r="W113" s="13">
        <f>IF(L113="","",IF(L113&gt;pLateDays,1,0))</f>
        <v/>
      </c>
      <c r="X113" s="13">
        <f>IF(Q113&gt;=pHighCutoff,1,0)</f>
        <v/>
      </c>
      <c r="Y113" s="13">
        <f>IF(M113="Returned",1,0)</f>
        <v/>
      </c>
    </row>
    <row r="114">
      <c r="A114" s="13" t="inlineStr">
        <is>
          <t>HC-100112</t>
        </is>
      </c>
      <c r="B114" s="18" t="n">
        <v>45611</v>
      </c>
      <c r="C114" s="13" t="inlineStr">
        <is>
          <t>South</t>
        </is>
      </c>
      <c r="D114" s="13" t="inlineStr">
        <is>
          <t>Store</t>
        </is>
      </c>
      <c r="E114" s="13" t="inlineStr">
        <is>
          <t>Furniture</t>
        </is>
      </c>
      <c r="F114" s="13" t="inlineStr">
        <is>
          <t>Lounge Chair</t>
        </is>
      </c>
      <c r="G114" s="13" t="inlineStr">
        <is>
          <t>Corporate</t>
        </is>
      </c>
      <c r="H114" s="13" t="n">
        <v>3</v>
      </c>
      <c r="I114" s="14" t="n">
        <v>508.58</v>
      </c>
      <c r="J114" s="15" t="n">
        <v>0.02</v>
      </c>
      <c r="K114" s="14" t="n">
        <v>305.15</v>
      </c>
      <c r="L114" s="13" t="n">
        <v>6</v>
      </c>
      <c r="M114" s="13" t="inlineStr">
        <is>
          <t>Completed</t>
        </is>
      </c>
      <c r="N114" s="13" t="inlineStr">
        <is>
          <t>J. Patel</t>
        </is>
      </c>
      <c r="O114" s="13" t="inlineStr">
        <is>
          <t>No</t>
        </is>
      </c>
      <c r="P114" s="14">
        <f>H114*I114</f>
        <v/>
      </c>
      <c r="Q114" s="14">
        <f>P114*(1-J114)</f>
        <v/>
      </c>
      <c r="R114" s="14">
        <f>H114*K114</f>
        <v/>
      </c>
      <c r="S114" s="15">
        <f>IF(Q114=0,"",(Q114-R114)/Q114)</f>
        <v/>
      </c>
      <c r="T114" s="13">
        <f>YEAR(B114)</f>
        <v/>
      </c>
      <c r="U114" s="13">
        <f>YEAR(B114)&amp;"-Q"&amp;ROUNDUP(MONTH(B114)/3,0)</f>
        <v/>
      </c>
      <c r="V114" s="13">
        <f>TEXT(B114,"YYYY-MM")</f>
        <v/>
      </c>
      <c r="W114" s="13">
        <f>IF(L114="","",IF(L114&gt;pLateDays,1,0))</f>
        <v/>
      </c>
      <c r="X114" s="13">
        <f>IF(Q114&gt;=pHighCutoff,1,0)</f>
        <v/>
      </c>
      <c r="Y114" s="13">
        <f>IF(M114="Returned",1,0)</f>
        <v/>
      </c>
    </row>
    <row r="115">
      <c r="A115" s="13" t="inlineStr">
        <is>
          <t>HC-100113</t>
        </is>
      </c>
      <c r="B115" s="18" t="n">
        <v>45552</v>
      </c>
      <c r="C115" s="13" t="inlineStr">
        <is>
          <t>East</t>
        </is>
      </c>
      <c r="D115" s="13" t="inlineStr">
        <is>
          <t>Wholesale</t>
        </is>
      </c>
      <c r="E115" s="13" t="inlineStr">
        <is>
          <t>Furniture</t>
        </is>
      </c>
      <c r="F115" s="13" t="inlineStr">
        <is>
          <t>Oak Desk</t>
        </is>
      </c>
      <c r="G115" s="13" t="inlineStr">
        <is>
          <t>Corporate</t>
        </is>
      </c>
      <c r="H115" s="13" t="n">
        <v>19</v>
      </c>
      <c r="I115" s="14" t="n">
        <v>762.6799999999999</v>
      </c>
      <c r="J115" s="15" t="n">
        <v>0.14</v>
      </c>
      <c r="K115" s="14" t="n">
        <v>472.86</v>
      </c>
      <c r="L115" s="13" t="n">
        <v>10</v>
      </c>
      <c r="M115" s="13" t="inlineStr">
        <is>
          <t>Completed</t>
        </is>
      </c>
      <c r="N115" s="13" t="inlineStr">
        <is>
          <t>M. Okonkwo</t>
        </is>
      </c>
      <c r="O115" s="13" t="inlineStr">
        <is>
          <t>No</t>
        </is>
      </c>
      <c r="P115" s="14">
        <f>H115*I115</f>
        <v/>
      </c>
      <c r="Q115" s="14">
        <f>P115*(1-J115)</f>
        <v/>
      </c>
      <c r="R115" s="14">
        <f>H115*K115</f>
        <v/>
      </c>
      <c r="S115" s="15">
        <f>IF(Q115=0,"",(Q115-R115)/Q115)</f>
        <v/>
      </c>
      <c r="T115" s="13">
        <f>YEAR(B115)</f>
        <v/>
      </c>
      <c r="U115" s="13">
        <f>YEAR(B115)&amp;"-Q"&amp;ROUNDUP(MONTH(B115)/3,0)</f>
        <v/>
      </c>
      <c r="V115" s="13">
        <f>TEXT(B115,"YYYY-MM")</f>
        <v/>
      </c>
      <c r="W115" s="13">
        <f>IF(L115="","",IF(L115&gt;pLateDays,1,0))</f>
        <v/>
      </c>
      <c r="X115" s="13">
        <f>IF(Q115&gt;=pHighCutoff,1,0)</f>
        <v/>
      </c>
      <c r="Y115" s="13">
        <f>IF(M115="Returned",1,0)</f>
        <v/>
      </c>
    </row>
    <row r="116">
      <c r="A116" s="13" t="inlineStr">
        <is>
          <t>HC-100114</t>
        </is>
      </c>
      <c r="B116" s="18" t="n">
        <v>45572</v>
      </c>
      <c r="C116" s="13" t="inlineStr">
        <is>
          <t>South</t>
        </is>
      </c>
      <c r="D116" s="13" t="inlineStr">
        <is>
          <t>Store</t>
        </is>
      </c>
      <c r="E116" s="13" t="inlineStr">
        <is>
          <t>Furniture</t>
        </is>
      </c>
      <c r="F116" s="13" t="inlineStr">
        <is>
          <t>Walnut Shelf</t>
        </is>
      </c>
      <c r="G116" s="13" t="inlineStr">
        <is>
          <t>Corporate</t>
        </is>
      </c>
      <c r="H116" s="13" t="n">
        <v>4</v>
      </c>
      <c r="I116" s="14" t="n">
        <v>235.19</v>
      </c>
      <c r="J116" s="15" t="n">
        <v>0.01</v>
      </c>
      <c r="K116" s="14" t="n">
        <v>129.35</v>
      </c>
      <c r="L116" s="13" t="n">
        <v>5</v>
      </c>
      <c r="M116" s="13" t="inlineStr">
        <is>
          <t>Completed</t>
        </is>
      </c>
      <c r="N116" s="13" t="inlineStr">
        <is>
          <t>S. Nguyen</t>
        </is>
      </c>
      <c r="O116" s="13" t="inlineStr">
        <is>
          <t>No</t>
        </is>
      </c>
      <c r="P116" s="14">
        <f>H116*I116</f>
        <v/>
      </c>
      <c r="Q116" s="14">
        <f>P116*(1-J116)</f>
        <v/>
      </c>
      <c r="R116" s="14">
        <f>H116*K116</f>
        <v/>
      </c>
      <c r="S116" s="15">
        <f>IF(Q116=0,"",(Q116-R116)/Q116)</f>
        <v/>
      </c>
      <c r="T116" s="13">
        <f>YEAR(B116)</f>
        <v/>
      </c>
      <c r="U116" s="13">
        <f>YEAR(B116)&amp;"-Q"&amp;ROUNDUP(MONTH(B116)/3,0)</f>
        <v/>
      </c>
      <c r="V116" s="13">
        <f>TEXT(B116,"YYYY-MM")</f>
        <v/>
      </c>
      <c r="W116" s="13">
        <f>IF(L116="","",IF(L116&gt;pLateDays,1,0))</f>
        <v/>
      </c>
      <c r="X116" s="13">
        <f>IF(Q116&gt;=pHighCutoff,1,0)</f>
        <v/>
      </c>
      <c r="Y116" s="13">
        <f>IF(M116="Returned",1,0)</f>
        <v/>
      </c>
    </row>
    <row r="117">
      <c r="A117" s="13" t="inlineStr">
        <is>
          <t>HC-100115</t>
        </is>
      </c>
      <c r="B117" s="18" t="n">
        <v>45722</v>
      </c>
      <c r="C117" s="13" t="inlineStr">
        <is>
          <t>East</t>
        </is>
      </c>
      <c r="D117" s="13" t="inlineStr">
        <is>
          <t>Online</t>
        </is>
      </c>
      <c r="E117" s="13" t="inlineStr">
        <is>
          <t>Lighting</t>
        </is>
      </c>
      <c r="F117" s="13" t="inlineStr">
        <is>
          <t>Brass Sconce</t>
        </is>
      </c>
      <c r="G117" s="13" t="inlineStr">
        <is>
          <t>Consumer</t>
        </is>
      </c>
      <c r="H117" s="13" t="n">
        <v>3</v>
      </c>
      <c r="I117" s="14" t="n">
        <v>119.15</v>
      </c>
      <c r="J117" s="15" t="n">
        <v>0.18</v>
      </c>
      <c r="K117" s="14" t="n">
        <v>54.81</v>
      </c>
      <c r="L117" s="13" t="n">
        <v>9</v>
      </c>
      <c r="M117" s="13" t="inlineStr">
        <is>
          <t>Completed</t>
        </is>
      </c>
      <c r="N117" s="13" t="inlineStr">
        <is>
          <t>K. Mensah</t>
        </is>
      </c>
      <c r="O117" s="13" t="inlineStr">
        <is>
          <t>No</t>
        </is>
      </c>
      <c r="P117" s="14">
        <f>H117*I117</f>
        <v/>
      </c>
      <c r="Q117" s="14">
        <f>P117*(1-J117)</f>
        <v/>
      </c>
      <c r="R117" s="14">
        <f>H117*K117</f>
        <v/>
      </c>
      <c r="S117" s="15">
        <f>IF(Q117=0,"",(Q117-R117)/Q117)</f>
        <v/>
      </c>
      <c r="T117" s="13">
        <f>YEAR(B117)</f>
        <v/>
      </c>
      <c r="U117" s="13">
        <f>YEAR(B117)&amp;"-Q"&amp;ROUNDUP(MONTH(B117)/3,0)</f>
        <v/>
      </c>
      <c r="V117" s="13">
        <f>TEXT(B117,"YYYY-MM")</f>
        <v/>
      </c>
      <c r="W117" s="13">
        <f>IF(L117="","",IF(L117&gt;pLateDays,1,0))</f>
        <v/>
      </c>
      <c r="X117" s="13">
        <f>IF(Q117&gt;=pHighCutoff,1,0)</f>
        <v/>
      </c>
      <c r="Y117" s="13">
        <f>IF(M117="Returned",1,0)</f>
        <v/>
      </c>
    </row>
    <row r="118">
      <c r="A118" s="13" t="inlineStr">
        <is>
          <t>HC-100116</t>
        </is>
      </c>
      <c r="B118" s="18" t="n">
        <v>45670</v>
      </c>
      <c r="C118" s="13" t="inlineStr">
        <is>
          <t>North</t>
        </is>
      </c>
      <c r="D118" s="13" t="inlineStr">
        <is>
          <t>Store</t>
        </is>
      </c>
      <c r="E118" s="13" t="inlineStr">
        <is>
          <t>Textiles</t>
        </is>
      </c>
      <c r="F118" s="13" t="inlineStr">
        <is>
          <t>Linen Curtain</t>
        </is>
      </c>
      <c r="G118" s="13" t="inlineStr">
        <is>
          <t>Corporate</t>
        </is>
      </c>
      <c r="H118" s="13" t="n">
        <v>4</v>
      </c>
      <c r="I118" s="14" t="n">
        <v>88.77</v>
      </c>
      <c r="J118" s="15" t="n">
        <v>0.08</v>
      </c>
      <c r="K118" s="14" t="n">
        <v>39.95</v>
      </c>
      <c r="L118" s="13" t="n">
        <v>2</v>
      </c>
      <c r="M118" s="13" t="inlineStr">
        <is>
          <t>Completed</t>
        </is>
      </c>
      <c r="N118" s="13" t="inlineStr">
        <is>
          <t>J. Patel</t>
        </is>
      </c>
      <c r="O118" s="13" t="inlineStr">
        <is>
          <t>No</t>
        </is>
      </c>
      <c r="P118" s="14">
        <f>H118*I118</f>
        <v/>
      </c>
      <c r="Q118" s="14">
        <f>P118*(1-J118)</f>
        <v/>
      </c>
      <c r="R118" s="14">
        <f>H118*K118</f>
        <v/>
      </c>
      <c r="S118" s="15">
        <f>IF(Q118=0,"",(Q118-R118)/Q118)</f>
        <v/>
      </c>
      <c r="T118" s="13">
        <f>YEAR(B118)</f>
        <v/>
      </c>
      <c r="U118" s="13">
        <f>YEAR(B118)&amp;"-Q"&amp;ROUNDUP(MONTH(B118)/3,0)</f>
        <v/>
      </c>
      <c r="V118" s="13">
        <f>TEXT(B118,"YYYY-MM")</f>
        <v/>
      </c>
      <c r="W118" s="13">
        <f>IF(L118="","",IF(L118&gt;pLateDays,1,0))</f>
        <v/>
      </c>
      <c r="X118" s="13">
        <f>IF(Q118&gt;=pHighCutoff,1,0)</f>
        <v/>
      </c>
      <c r="Y118" s="13">
        <f>IF(M118="Returned",1,0)</f>
        <v/>
      </c>
    </row>
    <row r="119">
      <c r="A119" s="13" t="inlineStr">
        <is>
          <t>HC-100117</t>
        </is>
      </c>
      <c r="B119" s="18" t="n">
        <v>45438</v>
      </c>
      <c r="C119" s="13" t="inlineStr">
        <is>
          <t>South</t>
        </is>
      </c>
      <c r="D119" s="13" t="inlineStr">
        <is>
          <t>Wholesale</t>
        </is>
      </c>
      <c r="E119" s="13" t="inlineStr">
        <is>
          <t>Lighting</t>
        </is>
      </c>
      <c r="F119" s="13" t="inlineStr">
        <is>
          <t>Brass Sconce</t>
        </is>
      </c>
      <c r="G119" s="13" t="inlineStr">
        <is>
          <t>Corporate</t>
        </is>
      </c>
      <c r="H119" s="13" t="n">
        <v>14</v>
      </c>
      <c r="I119" s="14" t="n">
        <v>136.38</v>
      </c>
      <c r="J119" s="15" t="n">
        <v>0.14</v>
      </c>
      <c r="K119" s="14" t="n">
        <v>62.73</v>
      </c>
      <c r="L119" s="13" t="n">
        <v>6</v>
      </c>
      <c r="M119" s="13" t="inlineStr">
        <is>
          <t>Completed</t>
        </is>
      </c>
      <c r="N119" s="13" t="inlineStr">
        <is>
          <t>K. Mensah</t>
        </is>
      </c>
      <c r="O119" s="13" t="inlineStr">
        <is>
          <t>No</t>
        </is>
      </c>
      <c r="P119" s="14">
        <f>H119*I119</f>
        <v/>
      </c>
      <c r="Q119" s="14">
        <f>P119*(1-J119)</f>
        <v/>
      </c>
      <c r="R119" s="14">
        <f>H119*K119</f>
        <v/>
      </c>
      <c r="S119" s="15">
        <f>IF(Q119=0,"",(Q119-R119)/Q119)</f>
        <v/>
      </c>
      <c r="T119" s="13">
        <f>YEAR(B119)</f>
        <v/>
      </c>
      <c r="U119" s="13">
        <f>YEAR(B119)&amp;"-Q"&amp;ROUNDUP(MONTH(B119)/3,0)</f>
        <v/>
      </c>
      <c r="V119" s="13">
        <f>TEXT(B119,"YYYY-MM")</f>
        <v/>
      </c>
      <c r="W119" s="13">
        <f>IF(L119="","",IF(L119&gt;pLateDays,1,0))</f>
        <v/>
      </c>
      <c r="X119" s="13">
        <f>IF(Q119&gt;=pHighCutoff,1,0)</f>
        <v/>
      </c>
      <c r="Y119" s="13">
        <f>IF(M119="Returned",1,0)</f>
        <v/>
      </c>
    </row>
    <row r="120">
      <c r="A120" s="13" t="inlineStr">
        <is>
          <t>HC-100118</t>
        </is>
      </c>
      <c r="B120" s="18" t="n">
        <v>45466</v>
      </c>
      <c r="C120" s="13" t="inlineStr">
        <is>
          <t>South</t>
        </is>
      </c>
      <c r="D120" s="13" t="inlineStr">
        <is>
          <t>Store</t>
        </is>
      </c>
      <c r="E120" s="13" t="inlineStr">
        <is>
          <t>Textiles</t>
        </is>
      </c>
      <c r="F120" s="13" t="inlineStr">
        <is>
          <t>Linen Curtain</t>
        </is>
      </c>
      <c r="G120" s="13" t="inlineStr">
        <is>
          <t>Home Office</t>
        </is>
      </c>
      <c r="H120" s="13" t="n">
        <v>4</v>
      </c>
      <c r="I120" s="14" t="n">
        <v>91.61</v>
      </c>
      <c r="J120" s="15" t="n">
        <v>0.1</v>
      </c>
      <c r="K120" s="14" t="n">
        <v>41.23</v>
      </c>
      <c r="L120" s="13" t="n">
        <v>7</v>
      </c>
      <c r="M120" s="13" t="inlineStr">
        <is>
          <t>Completed</t>
        </is>
      </c>
      <c r="N120" s="13" t="inlineStr">
        <is>
          <t>J. Patel</t>
        </is>
      </c>
      <c r="O120" s="13" t="inlineStr">
        <is>
          <t>No</t>
        </is>
      </c>
      <c r="P120" s="14">
        <f>H120*I120</f>
        <v/>
      </c>
      <c r="Q120" s="14">
        <f>P120*(1-J120)</f>
        <v/>
      </c>
      <c r="R120" s="14">
        <f>H120*K120</f>
        <v/>
      </c>
      <c r="S120" s="15">
        <f>IF(Q120=0,"",(Q120-R120)/Q120)</f>
        <v/>
      </c>
      <c r="T120" s="13">
        <f>YEAR(B120)</f>
        <v/>
      </c>
      <c r="U120" s="13">
        <f>YEAR(B120)&amp;"-Q"&amp;ROUNDUP(MONTH(B120)/3,0)</f>
        <v/>
      </c>
      <c r="V120" s="13">
        <f>TEXT(B120,"YYYY-MM")</f>
        <v/>
      </c>
      <c r="W120" s="13">
        <f>IF(L120="","",IF(L120&gt;pLateDays,1,0))</f>
        <v/>
      </c>
      <c r="X120" s="13">
        <f>IF(Q120&gt;=pHighCutoff,1,0)</f>
        <v/>
      </c>
      <c r="Y120" s="13">
        <f>IF(M120="Returned",1,0)</f>
        <v/>
      </c>
    </row>
    <row r="121">
      <c r="A121" s="13" t="inlineStr">
        <is>
          <t>HC-100119</t>
        </is>
      </c>
      <c r="B121" s="18" t="n">
        <v>45657</v>
      </c>
      <c r="C121" s="13" t="inlineStr">
        <is>
          <t>North</t>
        </is>
      </c>
      <c r="D121" s="13" t="inlineStr">
        <is>
          <t>Online</t>
        </is>
      </c>
      <c r="E121" s="13" t="inlineStr">
        <is>
          <t>Lighting</t>
        </is>
      </c>
      <c r="F121" s="13" t="inlineStr">
        <is>
          <t>Arc Lamp</t>
        </is>
      </c>
      <c r="G121" s="13" t="inlineStr">
        <is>
          <t>Corporate</t>
        </is>
      </c>
      <c r="H121" s="13" t="n">
        <v>4</v>
      </c>
      <c r="I121" s="14" t="n">
        <v>292.69</v>
      </c>
      <c r="J121" s="15" t="n">
        <v>0.17</v>
      </c>
      <c r="K121" s="14" t="n">
        <v>140.49</v>
      </c>
      <c r="L121" s="13" t="n">
        <v>7</v>
      </c>
      <c r="M121" s="13" t="inlineStr">
        <is>
          <t>Completed</t>
        </is>
      </c>
      <c r="N121" s="13" t="inlineStr">
        <is>
          <t>P. Rossi</t>
        </is>
      </c>
      <c r="O121" s="13" t="inlineStr">
        <is>
          <t>No</t>
        </is>
      </c>
      <c r="P121" s="14">
        <f>H121*I121</f>
        <v/>
      </c>
      <c r="Q121" s="14">
        <f>P121*(1-J121)</f>
        <v/>
      </c>
      <c r="R121" s="14">
        <f>H121*K121</f>
        <v/>
      </c>
      <c r="S121" s="15">
        <f>IF(Q121=0,"",(Q121-R121)/Q121)</f>
        <v/>
      </c>
      <c r="T121" s="13">
        <f>YEAR(B121)</f>
        <v/>
      </c>
      <c r="U121" s="13">
        <f>YEAR(B121)&amp;"-Q"&amp;ROUNDUP(MONTH(B121)/3,0)</f>
        <v/>
      </c>
      <c r="V121" s="13">
        <f>TEXT(B121,"YYYY-MM")</f>
        <v/>
      </c>
      <c r="W121" s="13">
        <f>IF(L121="","",IF(L121&gt;pLateDays,1,0))</f>
        <v/>
      </c>
      <c r="X121" s="13">
        <f>IF(Q121&gt;=pHighCutoff,1,0)</f>
        <v/>
      </c>
      <c r="Y121" s="13">
        <f>IF(M121="Returned",1,0)</f>
        <v/>
      </c>
    </row>
    <row r="122">
      <c r="A122" s="13" t="inlineStr">
        <is>
          <t>HC-100120</t>
        </is>
      </c>
      <c r="B122" s="18" t="n">
        <v>45606</v>
      </c>
      <c r="C122" s="13" t="inlineStr">
        <is>
          <t>South</t>
        </is>
      </c>
      <c r="D122" s="13" t="inlineStr">
        <is>
          <t>Store</t>
        </is>
      </c>
      <c r="E122" s="13" t="inlineStr">
        <is>
          <t>Furniture</t>
        </is>
      </c>
      <c r="F122" s="13" t="inlineStr">
        <is>
          <t>Walnut Shelf</t>
        </is>
      </c>
      <c r="G122" s="13" t="inlineStr">
        <is>
          <t>Consumer</t>
        </is>
      </c>
      <c r="H122" s="13" t="n">
        <v>2</v>
      </c>
      <c r="I122" s="14" t="n">
        <v>236.54</v>
      </c>
      <c r="J122" s="15" t="n">
        <v>0.05</v>
      </c>
      <c r="K122" s="14" t="n">
        <v>130.1</v>
      </c>
      <c r="L122" s="13" t="n">
        <v>7</v>
      </c>
      <c r="M122" s="13" t="inlineStr">
        <is>
          <t>Completed</t>
        </is>
      </c>
      <c r="N122" s="13" t="inlineStr">
        <is>
          <t>S. Nguyen</t>
        </is>
      </c>
      <c r="O122" s="13" t="inlineStr">
        <is>
          <t>No</t>
        </is>
      </c>
      <c r="P122" s="14">
        <f>H122*I122</f>
        <v/>
      </c>
      <c r="Q122" s="14">
        <f>P122*(1-J122)</f>
        <v/>
      </c>
      <c r="R122" s="14">
        <f>H122*K122</f>
        <v/>
      </c>
      <c r="S122" s="15">
        <f>IF(Q122=0,"",(Q122-R122)/Q122)</f>
        <v/>
      </c>
      <c r="T122" s="13">
        <f>YEAR(B122)</f>
        <v/>
      </c>
      <c r="U122" s="13">
        <f>YEAR(B122)&amp;"-Q"&amp;ROUNDUP(MONTH(B122)/3,0)</f>
        <v/>
      </c>
      <c r="V122" s="13">
        <f>TEXT(B122,"YYYY-MM")</f>
        <v/>
      </c>
      <c r="W122" s="13">
        <f>IF(L122="","",IF(L122&gt;pLateDays,1,0))</f>
        <v/>
      </c>
      <c r="X122" s="13">
        <f>IF(Q122&gt;=pHighCutoff,1,0)</f>
        <v/>
      </c>
      <c r="Y122" s="13">
        <f>IF(M122="Returned",1,0)</f>
        <v/>
      </c>
    </row>
    <row r="123">
      <c r="A123" s="13" t="inlineStr">
        <is>
          <t>HC-100121</t>
        </is>
      </c>
      <c r="B123" s="18" t="n">
        <v>45677</v>
      </c>
      <c r="C123" s="13" t="inlineStr">
        <is>
          <t>West</t>
        </is>
      </c>
      <c r="D123" s="13" t="inlineStr">
        <is>
          <t>Online</t>
        </is>
      </c>
      <c r="E123" s="13" t="inlineStr">
        <is>
          <t>Textiles</t>
        </is>
      </c>
      <c r="F123" s="13" t="inlineStr">
        <is>
          <t>Linen Curtain</t>
        </is>
      </c>
      <c r="G123" s="13" t="inlineStr">
        <is>
          <t>Consumer</t>
        </is>
      </c>
      <c r="H123" s="13" t="n">
        <v>1</v>
      </c>
      <c r="I123" s="14" t="n">
        <v>88.92</v>
      </c>
      <c r="J123" s="15" t="n">
        <v>0.03</v>
      </c>
      <c r="K123" s="14" t="n">
        <v>40.01</v>
      </c>
      <c r="L123" s="13" t="n">
        <v>7</v>
      </c>
      <c r="M123" s="13" t="inlineStr">
        <is>
          <t>Completed</t>
        </is>
      </c>
      <c r="N123" s="13" t="inlineStr">
        <is>
          <t>R. Ibarra</t>
        </is>
      </c>
      <c r="O123" s="13" t="inlineStr">
        <is>
          <t>No</t>
        </is>
      </c>
      <c r="P123" s="14">
        <f>H123*I123</f>
        <v/>
      </c>
      <c r="Q123" s="14">
        <f>P123*(1-J123)</f>
        <v/>
      </c>
      <c r="R123" s="14">
        <f>H123*K123</f>
        <v/>
      </c>
      <c r="S123" s="15">
        <f>IF(Q123=0,"",(Q123-R123)/Q123)</f>
        <v/>
      </c>
      <c r="T123" s="13">
        <f>YEAR(B123)</f>
        <v/>
      </c>
      <c r="U123" s="13">
        <f>YEAR(B123)&amp;"-Q"&amp;ROUNDUP(MONTH(B123)/3,0)</f>
        <v/>
      </c>
      <c r="V123" s="13">
        <f>TEXT(B123,"YYYY-MM")</f>
        <v/>
      </c>
      <c r="W123" s="13">
        <f>IF(L123="","",IF(L123&gt;pLateDays,1,0))</f>
        <v/>
      </c>
      <c r="X123" s="13">
        <f>IF(Q123&gt;=pHighCutoff,1,0)</f>
        <v/>
      </c>
      <c r="Y123" s="13">
        <f>IF(M123="Returned",1,0)</f>
        <v/>
      </c>
    </row>
    <row r="124">
      <c r="A124" s="13" t="inlineStr">
        <is>
          <t>HC-100122</t>
        </is>
      </c>
      <c r="B124" s="18" t="n">
        <v>45819</v>
      </c>
      <c r="C124" s="13" t="inlineStr">
        <is>
          <t>North</t>
        </is>
      </c>
      <c r="D124" s="13" t="inlineStr">
        <is>
          <t>Store</t>
        </is>
      </c>
      <c r="E124" s="13" t="inlineStr">
        <is>
          <t>Lighting</t>
        </is>
      </c>
      <c r="F124" s="13" t="inlineStr">
        <is>
          <t>Arc Lamp</t>
        </is>
      </c>
      <c r="G124" s="13" t="inlineStr">
        <is>
          <t>Home Office</t>
        </is>
      </c>
      <c r="H124" s="13" t="n">
        <v>4</v>
      </c>
      <c r="I124" s="14" t="n">
        <v>307.57</v>
      </c>
      <c r="J124" s="15" t="n">
        <v>0.02</v>
      </c>
      <c r="K124" s="14" t="n">
        <v>147.64</v>
      </c>
      <c r="L124" s="13" t="n">
        <v>6</v>
      </c>
      <c r="M124" s="13" t="inlineStr">
        <is>
          <t>Completed</t>
        </is>
      </c>
      <c r="N124" s="13" t="inlineStr">
        <is>
          <t>L. Berger</t>
        </is>
      </c>
      <c r="O124" s="13" t="inlineStr">
        <is>
          <t>No</t>
        </is>
      </c>
      <c r="P124" s="14">
        <f>H124*I124</f>
        <v/>
      </c>
      <c r="Q124" s="14">
        <f>P124*(1-J124)</f>
        <v/>
      </c>
      <c r="R124" s="14">
        <f>H124*K124</f>
        <v/>
      </c>
      <c r="S124" s="15">
        <f>IF(Q124=0,"",(Q124-R124)/Q124)</f>
        <v/>
      </c>
      <c r="T124" s="13">
        <f>YEAR(B124)</f>
        <v/>
      </c>
      <c r="U124" s="13">
        <f>YEAR(B124)&amp;"-Q"&amp;ROUNDUP(MONTH(B124)/3,0)</f>
        <v/>
      </c>
      <c r="V124" s="13">
        <f>TEXT(B124,"YYYY-MM")</f>
        <v/>
      </c>
      <c r="W124" s="13">
        <f>IF(L124="","",IF(L124&gt;pLateDays,1,0))</f>
        <v/>
      </c>
      <c r="X124" s="13">
        <f>IF(Q124&gt;=pHighCutoff,1,0)</f>
        <v/>
      </c>
      <c r="Y124" s="13">
        <f>IF(M124="Returned",1,0)</f>
        <v/>
      </c>
    </row>
    <row r="125">
      <c r="A125" s="13" t="inlineStr">
        <is>
          <t>HC-100123</t>
        </is>
      </c>
      <c r="B125" s="18" t="n">
        <v>45756</v>
      </c>
      <c r="C125" s="13" t="inlineStr">
        <is>
          <t>North</t>
        </is>
      </c>
      <c r="D125" s="13" t="inlineStr">
        <is>
          <t>Store</t>
        </is>
      </c>
      <c r="E125" s="13" t="inlineStr">
        <is>
          <t>Textiles</t>
        </is>
      </c>
      <c r="F125" s="13" t="inlineStr">
        <is>
          <t>Linen Curtain</t>
        </is>
      </c>
      <c r="G125" s="13" t="inlineStr">
        <is>
          <t>Consumer</t>
        </is>
      </c>
      <c r="H125" s="13" t="n">
        <v>1</v>
      </c>
      <c r="I125" s="14" t="n">
        <v>92.73999999999999</v>
      </c>
      <c r="J125" s="15" t="n">
        <v>0.08</v>
      </c>
      <c r="K125" s="14" t="n">
        <v>41.73</v>
      </c>
      <c r="L125" s="13" t="n">
        <v>5</v>
      </c>
      <c r="M125" s="13" t="inlineStr">
        <is>
          <t>Returned</t>
        </is>
      </c>
      <c r="N125" s="13" t="inlineStr">
        <is>
          <t>L. Berger</t>
        </is>
      </c>
      <c r="O125" s="13" t="inlineStr">
        <is>
          <t>No</t>
        </is>
      </c>
      <c r="P125" s="14">
        <f>H125*I125</f>
        <v/>
      </c>
      <c r="Q125" s="14">
        <f>P125*(1-J125)</f>
        <v/>
      </c>
      <c r="R125" s="14">
        <f>H125*K125</f>
        <v/>
      </c>
      <c r="S125" s="15">
        <f>IF(Q125=0,"",(Q125-R125)/Q125)</f>
        <v/>
      </c>
      <c r="T125" s="13">
        <f>YEAR(B125)</f>
        <v/>
      </c>
      <c r="U125" s="13">
        <f>YEAR(B125)&amp;"-Q"&amp;ROUNDUP(MONTH(B125)/3,0)</f>
        <v/>
      </c>
      <c r="V125" s="13">
        <f>TEXT(B125,"YYYY-MM")</f>
        <v/>
      </c>
      <c r="W125" s="13">
        <f>IF(L125="","",IF(L125&gt;pLateDays,1,0))</f>
        <v/>
      </c>
      <c r="X125" s="13">
        <f>IF(Q125&gt;=pHighCutoff,1,0)</f>
        <v/>
      </c>
      <c r="Y125" s="13">
        <f>IF(M125="Returned",1,0)</f>
        <v/>
      </c>
    </row>
    <row r="126">
      <c r="A126" s="13" t="inlineStr">
        <is>
          <t>HC-100124</t>
        </is>
      </c>
      <c r="B126" s="18" t="n">
        <v>45592</v>
      </c>
      <c r="C126" s="13" t="inlineStr">
        <is>
          <t>East</t>
        </is>
      </c>
      <c r="D126" s="13" t="inlineStr">
        <is>
          <t>Store</t>
        </is>
      </c>
      <c r="E126" s="13" t="inlineStr">
        <is>
          <t>Furniture</t>
        </is>
      </c>
      <c r="F126" s="13" t="inlineStr">
        <is>
          <t>Walnut Shelf</t>
        </is>
      </c>
      <c r="G126" s="13" t="inlineStr">
        <is>
          <t>Consumer</t>
        </is>
      </c>
      <c r="H126" s="13" t="n">
        <v>1</v>
      </c>
      <c r="I126" s="14" t="n">
        <v>197.89</v>
      </c>
      <c r="J126" s="15" t="n">
        <v>0.01</v>
      </c>
      <c r="K126" s="14" t="n">
        <v>108.84</v>
      </c>
      <c r="L126" s="13" t="n">
        <v>8</v>
      </c>
      <c r="M126" s="13" t="inlineStr">
        <is>
          <t>Completed</t>
        </is>
      </c>
      <c r="N126" s="13" t="inlineStr">
        <is>
          <t>M. Okonkwo</t>
        </is>
      </c>
      <c r="O126" s="13" t="inlineStr">
        <is>
          <t>No</t>
        </is>
      </c>
      <c r="P126" s="14">
        <f>H126*I126</f>
        <v/>
      </c>
      <c r="Q126" s="14">
        <f>P126*(1-J126)</f>
        <v/>
      </c>
      <c r="R126" s="14">
        <f>H126*K126</f>
        <v/>
      </c>
      <c r="S126" s="15">
        <f>IF(Q126=0,"",(Q126-R126)/Q126)</f>
        <v/>
      </c>
      <c r="T126" s="13">
        <f>YEAR(B126)</f>
        <v/>
      </c>
      <c r="U126" s="13">
        <f>YEAR(B126)&amp;"-Q"&amp;ROUNDUP(MONTH(B126)/3,0)</f>
        <v/>
      </c>
      <c r="V126" s="13">
        <f>TEXT(B126,"YYYY-MM")</f>
        <v/>
      </c>
      <c r="W126" s="13">
        <f>IF(L126="","",IF(L126&gt;pLateDays,1,0))</f>
        <v/>
      </c>
      <c r="X126" s="13">
        <f>IF(Q126&gt;=pHighCutoff,1,0)</f>
        <v/>
      </c>
      <c r="Y126" s="13">
        <f>IF(M126="Returned",1,0)</f>
        <v/>
      </c>
    </row>
    <row r="127">
      <c r="A127" s="13" t="inlineStr">
        <is>
          <t>HC-100125</t>
        </is>
      </c>
      <c r="B127" s="18" t="n">
        <v>45775</v>
      </c>
      <c r="C127" s="13" t="inlineStr">
        <is>
          <t>East</t>
        </is>
      </c>
      <c r="D127" s="13" t="inlineStr">
        <is>
          <t>Online</t>
        </is>
      </c>
      <c r="E127" s="13" t="inlineStr">
        <is>
          <t>Kitchen</t>
        </is>
      </c>
      <c r="F127" s="13" t="inlineStr">
        <is>
          <t>Cast Skillet</t>
        </is>
      </c>
      <c r="G127" s="13" t="inlineStr">
        <is>
          <t>Consumer</t>
        </is>
      </c>
      <c r="H127" s="13" t="n">
        <v>1</v>
      </c>
      <c r="I127" s="14" t="n">
        <v>50.5</v>
      </c>
      <c r="J127" s="15" t="n">
        <v>0.15</v>
      </c>
      <c r="K127" s="14" t="n">
        <v>20.2</v>
      </c>
      <c r="L127" s="13" t="n">
        <v>11</v>
      </c>
      <c r="M127" s="13" t="inlineStr">
        <is>
          <t>Completed</t>
        </is>
      </c>
      <c r="N127" s="13" t="inlineStr">
        <is>
          <t>R. Ibarra</t>
        </is>
      </c>
      <c r="O127" s="13" t="inlineStr">
        <is>
          <t>No</t>
        </is>
      </c>
      <c r="P127" s="14">
        <f>H127*I127</f>
        <v/>
      </c>
      <c r="Q127" s="14">
        <f>P127*(1-J127)</f>
        <v/>
      </c>
      <c r="R127" s="14">
        <f>H127*K127</f>
        <v/>
      </c>
      <c r="S127" s="15">
        <f>IF(Q127=0,"",(Q127-R127)/Q127)</f>
        <v/>
      </c>
      <c r="T127" s="13">
        <f>YEAR(B127)</f>
        <v/>
      </c>
      <c r="U127" s="13">
        <f>YEAR(B127)&amp;"-Q"&amp;ROUNDUP(MONTH(B127)/3,0)</f>
        <v/>
      </c>
      <c r="V127" s="13">
        <f>TEXT(B127,"YYYY-MM")</f>
        <v/>
      </c>
      <c r="W127" s="13">
        <f>IF(L127="","",IF(L127&gt;pLateDays,1,0))</f>
        <v/>
      </c>
      <c r="X127" s="13">
        <f>IF(Q127&gt;=pHighCutoff,1,0)</f>
        <v/>
      </c>
      <c r="Y127" s="13">
        <f>IF(M127="Returned",1,0)</f>
        <v/>
      </c>
    </row>
    <row r="128">
      <c r="A128" s="13" t="inlineStr">
        <is>
          <t>HC-100126</t>
        </is>
      </c>
      <c r="B128" s="18" t="n">
        <v>45633</v>
      </c>
      <c r="C128" s="13" t="inlineStr">
        <is>
          <t>South</t>
        </is>
      </c>
      <c r="D128" s="13" t="inlineStr">
        <is>
          <t>Online</t>
        </is>
      </c>
      <c r="E128" s="13" t="inlineStr">
        <is>
          <t>Lighting</t>
        </is>
      </c>
      <c r="F128" s="13" t="inlineStr">
        <is>
          <t>Arc Lamp</t>
        </is>
      </c>
      <c r="G128" s="13" t="inlineStr">
        <is>
          <t>Corporate</t>
        </is>
      </c>
      <c r="H128" s="13" t="n">
        <v>3</v>
      </c>
      <c r="I128" s="14" t="n">
        <v>314.07</v>
      </c>
      <c r="J128" s="15" t="n">
        <v>0.1</v>
      </c>
      <c r="K128" s="14" t="n">
        <v>150.75</v>
      </c>
      <c r="L128" s="13" t="n">
        <v>7</v>
      </c>
      <c r="M128" s="13" t="inlineStr">
        <is>
          <t>Completed</t>
        </is>
      </c>
      <c r="N128" s="13" t="inlineStr">
        <is>
          <t>P. Rossi</t>
        </is>
      </c>
      <c r="O128" s="13" t="inlineStr">
        <is>
          <t>No</t>
        </is>
      </c>
      <c r="P128" s="14">
        <f>H128*I128</f>
        <v/>
      </c>
      <c r="Q128" s="14">
        <f>P128*(1-J128)</f>
        <v/>
      </c>
      <c r="R128" s="14">
        <f>H128*K128</f>
        <v/>
      </c>
      <c r="S128" s="15">
        <f>IF(Q128=0,"",(Q128-R128)/Q128)</f>
        <v/>
      </c>
      <c r="T128" s="13">
        <f>YEAR(B128)</f>
        <v/>
      </c>
      <c r="U128" s="13">
        <f>YEAR(B128)&amp;"-Q"&amp;ROUNDUP(MONTH(B128)/3,0)</f>
        <v/>
      </c>
      <c r="V128" s="13">
        <f>TEXT(B128,"YYYY-MM")</f>
        <v/>
      </c>
      <c r="W128" s="13">
        <f>IF(L128="","",IF(L128&gt;pLateDays,1,0))</f>
        <v/>
      </c>
      <c r="X128" s="13">
        <f>IF(Q128&gt;=pHighCutoff,1,0)</f>
        <v/>
      </c>
      <c r="Y128" s="13">
        <f>IF(M128="Returned",1,0)</f>
        <v/>
      </c>
    </row>
    <row r="129">
      <c r="A129" s="13" t="inlineStr">
        <is>
          <t>HC-100127</t>
        </is>
      </c>
      <c r="B129" s="18" t="n">
        <v>45619</v>
      </c>
      <c r="C129" s="13" t="inlineStr">
        <is>
          <t>West</t>
        </is>
      </c>
      <c r="D129" s="13" t="inlineStr">
        <is>
          <t>Store</t>
        </is>
      </c>
      <c r="E129" s="13" t="inlineStr">
        <is>
          <t>Kitchen</t>
        </is>
      </c>
      <c r="F129" s="13" t="inlineStr">
        <is>
          <t>Ceramic Set</t>
        </is>
      </c>
      <c r="G129" s="13" t="inlineStr">
        <is>
          <t>Consumer</t>
        </is>
      </c>
      <c r="H129" s="13" t="n">
        <v>5</v>
      </c>
      <c r="I129" s="14" t="n">
        <v>81.40000000000001</v>
      </c>
      <c r="J129" s="15" t="n">
        <v>0.1</v>
      </c>
      <c r="K129" s="14" t="n">
        <v>30.93</v>
      </c>
      <c r="L129" s="13" t="n">
        <v>5</v>
      </c>
      <c r="M129" s="13" t="inlineStr">
        <is>
          <t>Completed</t>
        </is>
      </c>
      <c r="N129" s="13" t="inlineStr">
        <is>
          <t>J. Patel</t>
        </is>
      </c>
      <c r="O129" s="13" t="inlineStr">
        <is>
          <t>No</t>
        </is>
      </c>
      <c r="P129" s="14">
        <f>H129*I129</f>
        <v/>
      </c>
      <c r="Q129" s="14">
        <f>P129*(1-J129)</f>
        <v/>
      </c>
      <c r="R129" s="14">
        <f>H129*K129</f>
        <v/>
      </c>
      <c r="S129" s="15">
        <f>IF(Q129=0,"",(Q129-R129)/Q129)</f>
        <v/>
      </c>
      <c r="T129" s="13">
        <f>YEAR(B129)</f>
        <v/>
      </c>
      <c r="U129" s="13">
        <f>YEAR(B129)&amp;"-Q"&amp;ROUNDUP(MONTH(B129)/3,0)</f>
        <v/>
      </c>
      <c r="V129" s="13">
        <f>TEXT(B129,"YYYY-MM")</f>
        <v/>
      </c>
      <c r="W129" s="13">
        <f>IF(L129="","",IF(L129&gt;pLateDays,1,0))</f>
        <v/>
      </c>
      <c r="X129" s="13">
        <f>IF(Q129&gt;=pHighCutoff,1,0)</f>
        <v/>
      </c>
      <c r="Y129" s="13">
        <f>IF(M129="Returned",1,0)</f>
        <v/>
      </c>
    </row>
    <row r="130">
      <c r="A130" s="13" t="inlineStr">
        <is>
          <t>HC-100128</t>
        </is>
      </c>
      <c r="B130" s="18" t="n">
        <v>45927</v>
      </c>
      <c r="C130" s="13" t="inlineStr">
        <is>
          <t>North</t>
        </is>
      </c>
      <c r="D130" s="13" t="inlineStr">
        <is>
          <t>Store</t>
        </is>
      </c>
      <c r="E130" s="13" t="inlineStr">
        <is>
          <t>Furniture</t>
        </is>
      </c>
      <c r="F130" s="13" t="inlineStr">
        <is>
          <t>Oak Desk</t>
        </is>
      </c>
      <c r="G130" s="13" t="inlineStr">
        <is>
          <t>Consumer</t>
        </is>
      </c>
      <c r="H130" s="13" t="n">
        <v>4</v>
      </c>
      <c r="I130" s="14" t="n">
        <v>840.4299999999999</v>
      </c>
      <c r="J130" s="15" t="n">
        <v>0.03</v>
      </c>
      <c r="K130" s="14" t="n">
        <v>521.0599999999999</v>
      </c>
      <c r="L130" s="13" t="n">
        <v>6</v>
      </c>
      <c r="M130" s="13" t="inlineStr">
        <is>
          <t>Cancelled</t>
        </is>
      </c>
      <c r="N130" s="13" t="inlineStr">
        <is>
          <t>S. Nguyen</t>
        </is>
      </c>
      <c r="O130" s="13" t="inlineStr">
        <is>
          <t>No</t>
        </is>
      </c>
      <c r="P130" s="14">
        <f>H130*I130</f>
        <v/>
      </c>
      <c r="Q130" s="14">
        <f>P130*(1-J130)</f>
        <v/>
      </c>
      <c r="R130" s="14">
        <f>H130*K130</f>
        <v/>
      </c>
      <c r="S130" s="15">
        <f>IF(Q130=0,"",(Q130-R130)/Q130)</f>
        <v/>
      </c>
      <c r="T130" s="13">
        <f>YEAR(B130)</f>
        <v/>
      </c>
      <c r="U130" s="13">
        <f>YEAR(B130)&amp;"-Q"&amp;ROUNDUP(MONTH(B130)/3,0)</f>
        <v/>
      </c>
      <c r="V130" s="13">
        <f>TEXT(B130,"YYYY-MM")</f>
        <v/>
      </c>
      <c r="W130" s="13">
        <f>IF(L130="","",IF(L130&gt;pLateDays,1,0))</f>
        <v/>
      </c>
      <c r="X130" s="13">
        <f>IF(Q130&gt;=pHighCutoff,1,0)</f>
        <v/>
      </c>
      <c r="Y130" s="13">
        <f>IF(M130="Returned",1,0)</f>
        <v/>
      </c>
    </row>
    <row r="131">
      <c r="A131" s="13" t="inlineStr">
        <is>
          <t>HC-100129</t>
        </is>
      </c>
      <c r="B131" s="18" t="n">
        <v>45489</v>
      </c>
      <c r="C131" s="13" t="inlineStr">
        <is>
          <t>East</t>
        </is>
      </c>
      <c r="D131" s="13" t="inlineStr">
        <is>
          <t>Store</t>
        </is>
      </c>
      <c r="E131" s="13" t="inlineStr">
        <is>
          <t>Furniture</t>
        </is>
      </c>
      <c r="F131" s="13" t="inlineStr">
        <is>
          <t>Walnut Shelf</t>
        </is>
      </c>
      <c r="G131" s="13" t="inlineStr">
        <is>
          <t>Consumer</t>
        </is>
      </c>
      <c r="H131" s="13" t="n">
        <v>2</v>
      </c>
      <c r="I131" s="14" t="n">
        <v>198.94</v>
      </c>
      <c r="J131" s="15" t="n">
        <v>0.02</v>
      </c>
      <c r="K131" s="14" t="n">
        <v>109.42</v>
      </c>
      <c r="L131" s="13" t="n">
        <v>10</v>
      </c>
      <c r="M131" s="13" t="inlineStr">
        <is>
          <t>Completed</t>
        </is>
      </c>
      <c r="N131" s="13" t="inlineStr">
        <is>
          <t>L. Berger</t>
        </is>
      </c>
      <c r="O131" s="13" t="inlineStr">
        <is>
          <t>No</t>
        </is>
      </c>
      <c r="P131" s="14">
        <f>H131*I131</f>
        <v/>
      </c>
      <c r="Q131" s="14">
        <f>P131*(1-J131)</f>
        <v/>
      </c>
      <c r="R131" s="14">
        <f>H131*K131</f>
        <v/>
      </c>
      <c r="S131" s="15">
        <f>IF(Q131=0,"",(Q131-R131)/Q131)</f>
        <v/>
      </c>
      <c r="T131" s="13">
        <f>YEAR(B131)</f>
        <v/>
      </c>
      <c r="U131" s="13">
        <f>YEAR(B131)&amp;"-Q"&amp;ROUNDUP(MONTH(B131)/3,0)</f>
        <v/>
      </c>
      <c r="V131" s="13">
        <f>TEXT(B131,"YYYY-MM")</f>
        <v/>
      </c>
      <c r="W131" s="13">
        <f>IF(L131="","",IF(L131&gt;pLateDays,1,0))</f>
        <v/>
      </c>
      <c r="X131" s="13">
        <f>IF(Q131&gt;=pHighCutoff,1,0)</f>
        <v/>
      </c>
      <c r="Y131" s="13">
        <f>IF(M131="Returned",1,0)</f>
        <v/>
      </c>
    </row>
    <row r="132">
      <c r="A132" s="13" t="inlineStr">
        <is>
          <t>HC-100130</t>
        </is>
      </c>
      <c r="B132" s="18" t="n">
        <v>45812</v>
      </c>
      <c r="C132" s="13" t="inlineStr">
        <is>
          <t>West</t>
        </is>
      </c>
      <c r="D132" s="13" t="inlineStr">
        <is>
          <t>Online</t>
        </is>
      </c>
      <c r="E132" s="13" t="inlineStr">
        <is>
          <t>Kitchen</t>
        </is>
      </c>
      <c r="F132" s="13" t="inlineStr">
        <is>
          <t>Ceramic Set</t>
        </is>
      </c>
      <c r="G132" s="13" t="inlineStr">
        <is>
          <t>Consumer</t>
        </is>
      </c>
      <c r="H132" s="13" t="n">
        <v>2</v>
      </c>
      <c r="I132" s="14" t="n">
        <v>86.34999999999999</v>
      </c>
      <c r="J132" s="15" t="n">
        <v>0.13</v>
      </c>
      <c r="K132" s="14" t="n">
        <v>32.81</v>
      </c>
      <c r="L132" s="13" t="n">
        <v>4</v>
      </c>
      <c r="M132" s="13" t="inlineStr">
        <is>
          <t>Completed</t>
        </is>
      </c>
      <c r="N132" s="13" t="inlineStr">
        <is>
          <t>P. Rossi</t>
        </is>
      </c>
      <c r="O132" s="13" t="inlineStr">
        <is>
          <t>No</t>
        </is>
      </c>
      <c r="P132" s="14">
        <f>H132*I132</f>
        <v/>
      </c>
      <c r="Q132" s="14">
        <f>P132*(1-J132)</f>
        <v/>
      </c>
      <c r="R132" s="14">
        <f>H132*K132</f>
        <v/>
      </c>
      <c r="S132" s="15">
        <f>IF(Q132=0,"",(Q132-R132)/Q132)</f>
        <v/>
      </c>
      <c r="T132" s="13">
        <f>YEAR(B132)</f>
        <v/>
      </c>
      <c r="U132" s="13">
        <f>YEAR(B132)&amp;"-Q"&amp;ROUNDUP(MONTH(B132)/3,0)</f>
        <v/>
      </c>
      <c r="V132" s="13">
        <f>TEXT(B132,"YYYY-MM")</f>
        <v/>
      </c>
      <c r="W132" s="13">
        <f>IF(L132="","",IF(L132&gt;pLateDays,1,0))</f>
        <v/>
      </c>
      <c r="X132" s="13">
        <f>IF(Q132&gt;=pHighCutoff,1,0)</f>
        <v/>
      </c>
      <c r="Y132" s="13">
        <f>IF(M132="Returned",1,0)</f>
        <v/>
      </c>
    </row>
    <row r="133">
      <c r="A133" s="13" t="inlineStr">
        <is>
          <t>HC-100131</t>
        </is>
      </c>
      <c r="B133" s="18" t="n">
        <v>45776</v>
      </c>
      <c r="C133" s="13" t="inlineStr">
        <is>
          <t>South</t>
        </is>
      </c>
      <c r="D133" s="13" t="inlineStr">
        <is>
          <t>Online</t>
        </is>
      </c>
      <c r="E133" s="13" t="inlineStr">
        <is>
          <t>Lighting</t>
        </is>
      </c>
      <c r="F133" s="13" t="inlineStr">
        <is>
          <t>Arc Lamp</t>
        </is>
      </c>
      <c r="G133" s="13" t="inlineStr">
        <is>
          <t>Consumer</t>
        </is>
      </c>
      <c r="H133" s="13" t="n">
        <v>1</v>
      </c>
      <c r="I133" s="14" t="n">
        <v>291</v>
      </c>
      <c r="J133" s="15" t="n">
        <v>0.04</v>
      </c>
      <c r="K133" s="14" t="n">
        <v>139.68</v>
      </c>
      <c r="L133" s="13" t="n">
        <v>6</v>
      </c>
      <c r="M133" s="13" t="inlineStr">
        <is>
          <t>Completed</t>
        </is>
      </c>
      <c r="N133" s="13" t="inlineStr">
        <is>
          <t>L. Berger</t>
        </is>
      </c>
      <c r="O133" s="13" t="inlineStr">
        <is>
          <t>No</t>
        </is>
      </c>
      <c r="P133" s="14">
        <f>H133*I133</f>
        <v/>
      </c>
      <c r="Q133" s="14">
        <f>P133*(1-J133)</f>
        <v/>
      </c>
      <c r="R133" s="14">
        <f>H133*K133</f>
        <v/>
      </c>
      <c r="S133" s="15">
        <f>IF(Q133=0,"",(Q133-R133)/Q133)</f>
        <v/>
      </c>
      <c r="T133" s="13">
        <f>YEAR(B133)</f>
        <v/>
      </c>
      <c r="U133" s="13">
        <f>YEAR(B133)&amp;"-Q"&amp;ROUNDUP(MONTH(B133)/3,0)</f>
        <v/>
      </c>
      <c r="V133" s="13">
        <f>TEXT(B133,"YYYY-MM")</f>
        <v/>
      </c>
      <c r="W133" s="13">
        <f>IF(L133="","",IF(L133&gt;pLateDays,1,0))</f>
        <v/>
      </c>
      <c r="X133" s="13">
        <f>IF(Q133&gt;=pHighCutoff,1,0)</f>
        <v/>
      </c>
      <c r="Y133" s="13">
        <f>IF(M133="Returned",1,0)</f>
        <v/>
      </c>
    </row>
    <row r="134">
      <c r="A134" s="13" t="inlineStr">
        <is>
          <t>HC-100132</t>
        </is>
      </c>
      <c r="B134" s="18" t="n">
        <v>45633</v>
      </c>
      <c r="C134" s="13" t="inlineStr">
        <is>
          <t>East</t>
        </is>
      </c>
      <c r="D134" s="13" t="inlineStr">
        <is>
          <t>Store</t>
        </is>
      </c>
      <c r="E134" s="13" t="inlineStr">
        <is>
          <t>Textiles</t>
        </is>
      </c>
      <c r="F134" s="13" t="inlineStr">
        <is>
          <t>Linen Curtain</t>
        </is>
      </c>
      <c r="G134" s="13" t="inlineStr">
        <is>
          <t>Consumer</t>
        </is>
      </c>
      <c r="H134" s="13" t="n">
        <v>5</v>
      </c>
      <c r="I134" s="14" t="n">
        <v>85.40000000000001</v>
      </c>
      <c r="J134" s="15" t="n">
        <v>0.12</v>
      </c>
      <c r="K134" s="14" t="n">
        <v>38.43</v>
      </c>
      <c r="L134" s="13" t="n"/>
      <c r="M134" s="13" t="inlineStr">
        <is>
          <t>Completed</t>
        </is>
      </c>
      <c r="N134" s="13" t="inlineStr">
        <is>
          <t>L. Berger</t>
        </is>
      </c>
      <c r="O134" s="13" t="inlineStr">
        <is>
          <t>No</t>
        </is>
      </c>
      <c r="P134" s="14">
        <f>H134*I134</f>
        <v/>
      </c>
      <c r="Q134" s="14">
        <f>P134*(1-J134)</f>
        <v/>
      </c>
      <c r="R134" s="14">
        <f>H134*K134</f>
        <v/>
      </c>
      <c r="S134" s="15">
        <f>IF(Q134=0,"",(Q134-R134)/Q134)</f>
        <v/>
      </c>
      <c r="T134" s="13">
        <f>YEAR(B134)</f>
        <v/>
      </c>
      <c r="U134" s="13">
        <f>YEAR(B134)&amp;"-Q"&amp;ROUNDUP(MONTH(B134)/3,0)</f>
        <v/>
      </c>
      <c r="V134" s="13">
        <f>TEXT(B134,"YYYY-MM")</f>
        <v/>
      </c>
      <c r="W134" s="13">
        <f>IF(L134="","",IF(L134&gt;pLateDays,1,0))</f>
        <v/>
      </c>
      <c r="X134" s="13">
        <f>IF(Q134&gt;=pHighCutoff,1,0)</f>
        <v/>
      </c>
      <c r="Y134" s="13">
        <f>IF(M134="Returned",1,0)</f>
        <v/>
      </c>
    </row>
    <row r="135">
      <c r="A135" s="13" t="inlineStr">
        <is>
          <t>HC-100133</t>
        </is>
      </c>
      <c r="B135" s="18" t="n">
        <v>45497</v>
      </c>
      <c r="C135" s="13" t="inlineStr">
        <is>
          <t>South</t>
        </is>
      </c>
      <c r="D135" s="13" t="inlineStr">
        <is>
          <t>Wholesale</t>
        </is>
      </c>
      <c r="E135" s="13" t="inlineStr">
        <is>
          <t>Furniture</t>
        </is>
      </c>
      <c r="F135" s="13" t="inlineStr">
        <is>
          <t>Walnut Shelf</t>
        </is>
      </c>
      <c r="G135" s="13" t="inlineStr">
        <is>
          <t>Consumer</t>
        </is>
      </c>
      <c r="H135" s="13" t="n">
        <v>26</v>
      </c>
      <c r="I135" s="14" t="n">
        <v>236.05</v>
      </c>
      <c r="J135" s="15" t="n">
        <v>0.13</v>
      </c>
      <c r="K135" s="14" t="n">
        <v>129.83</v>
      </c>
      <c r="L135" s="13" t="n">
        <v>4</v>
      </c>
      <c r="M135" s="13" t="inlineStr">
        <is>
          <t>Cancelled</t>
        </is>
      </c>
      <c r="N135" s="13" t="inlineStr">
        <is>
          <t>P. Rossi</t>
        </is>
      </c>
      <c r="O135" s="13" t="inlineStr">
        <is>
          <t>No</t>
        </is>
      </c>
      <c r="P135" s="14">
        <f>H135*I135</f>
        <v/>
      </c>
      <c r="Q135" s="14">
        <f>P135*(1-J135)</f>
        <v/>
      </c>
      <c r="R135" s="14">
        <f>H135*K135</f>
        <v/>
      </c>
      <c r="S135" s="15">
        <f>IF(Q135=0,"",(Q135-R135)/Q135)</f>
        <v/>
      </c>
      <c r="T135" s="13">
        <f>YEAR(B135)</f>
        <v/>
      </c>
      <c r="U135" s="13">
        <f>YEAR(B135)&amp;"-Q"&amp;ROUNDUP(MONTH(B135)/3,0)</f>
        <v/>
      </c>
      <c r="V135" s="13">
        <f>TEXT(B135,"YYYY-MM")</f>
        <v/>
      </c>
      <c r="W135" s="13">
        <f>IF(L135="","",IF(L135&gt;pLateDays,1,0))</f>
        <v/>
      </c>
      <c r="X135" s="13">
        <f>IF(Q135&gt;=pHighCutoff,1,0)</f>
        <v/>
      </c>
      <c r="Y135" s="13">
        <f>IF(M135="Returned",1,0)</f>
        <v/>
      </c>
    </row>
    <row r="136">
      <c r="A136" s="13" t="inlineStr">
        <is>
          <t>HC-100134</t>
        </is>
      </c>
      <c r="B136" s="18" t="n">
        <v>45499</v>
      </c>
      <c r="C136" s="13" t="inlineStr">
        <is>
          <t>South</t>
        </is>
      </c>
      <c r="D136" s="13" t="inlineStr">
        <is>
          <t>Store</t>
        </is>
      </c>
      <c r="E136" s="13" t="inlineStr">
        <is>
          <t>Textiles</t>
        </is>
      </c>
      <c r="F136" s="13" t="inlineStr">
        <is>
          <t>Cotton Duvet</t>
        </is>
      </c>
      <c r="G136" s="13" t="inlineStr">
        <is>
          <t>Consumer</t>
        </is>
      </c>
      <c r="H136" s="13" t="n">
        <v>2</v>
      </c>
      <c r="I136" s="14" t="n">
        <v>115.11</v>
      </c>
      <c r="J136" s="15" t="n">
        <v>0.05</v>
      </c>
      <c r="K136" s="14" t="n">
        <v>50.65</v>
      </c>
      <c r="L136" s="13" t="n">
        <v>7</v>
      </c>
      <c r="M136" s="13" t="inlineStr">
        <is>
          <t>Completed</t>
        </is>
      </c>
      <c r="N136" s="13" t="inlineStr">
        <is>
          <t>S. Nguyen</t>
        </is>
      </c>
      <c r="O136" s="13" t="inlineStr">
        <is>
          <t>No</t>
        </is>
      </c>
      <c r="P136" s="14">
        <f>H136*I136</f>
        <v/>
      </c>
      <c r="Q136" s="14">
        <f>P136*(1-J136)</f>
        <v/>
      </c>
      <c r="R136" s="14">
        <f>H136*K136</f>
        <v/>
      </c>
      <c r="S136" s="15">
        <f>IF(Q136=0,"",(Q136-R136)/Q136)</f>
        <v/>
      </c>
      <c r="T136" s="13">
        <f>YEAR(B136)</f>
        <v/>
      </c>
      <c r="U136" s="13">
        <f>YEAR(B136)&amp;"-Q"&amp;ROUNDUP(MONTH(B136)/3,0)</f>
        <v/>
      </c>
      <c r="V136" s="13">
        <f>TEXT(B136,"YYYY-MM")</f>
        <v/>
      </c>
      <c r="W136" s="13">
        <f>IF(L136="","",IF(L136&gt;pLateDays,1,0))</f>
        <v/>
      </c>
      <c r="X136" s="13">
        <f>IF(Q136&gt;=pHighCutoff,1,0)</f>
        <v/>
      </c>
      <c r="Y136" s="13">
        <f>IF(M136="Returned",1,0)</f>
        <v/>
      </c>
    </row>
    <row r="137">
      <c r="A137" s="13" t="inlineStr">
        <is>
          <t>HC-100135</t>
        </is>
      </c>
      <c r="B137" s="18" t="n">
        <v>45749</v>
      </c>
      <c r="C137" s="13" t="inlineStr">
        <is>
          <t>South</t>
        </is>
      </c>
      <c r="D137" s="13" t="inlineStr">
        <is>
          <t>Store</t>
        </is>
      </c>
      <c r="E137" s="13" t="inlineStr">
        <is>
          <t>Textiles</t>
        </is>
      </c>
      <c r="F137" s="13" t="inlineStr">
        <is>
          <t>Wool Throw</t>
        </is>
      </c>
      <c r="G137" s="13" t="inlineStr">
        <is>
          <t>Unknown</t>
        </is>
      </c>
      <c r="H137" s="13" t="n">
        <v>2</v>
      </c>
      <c r="I137" s="14" t="n">
        <v>73.98</v>
      </c>
      <c r="J137" s="15" t="n">
        <v>0.01</v>
      </c>
      <c r="K137" s="14" t="n">
        <v>31.07</v>
      </c>
      <c r="L137" s="13" t="n">
        <v>7</v>
      </c>
      <c r="M137" s="13" t="inlineStr">
        <is>
          <t>Completed</t>
        </is>
      </c>
      <c r="N137" s="13" t="inlineStr">
        <is>
          <t>L. Berger</t>
        </is>
      </c>
      <c r="O137" s="13" t="inlineStr">
        <is>
          <t>No</t>
        </is>
      </c>
      <c r="P137" s="14">
        <f>H137*I137</f>
        <v/>
      </c>
      <c r="Q137" s="14">
        <f>P137*(1-J137)</f>
        <v/>
      </c>
      <c r="R137" s="14">
        <f>H137*K137</f>
        <v/>
      </c>
      <c r="S137" s="15">
        <f>IF(Q137=0,"",(Q137-R137)/Q137)</f>
        <v/>
      </c>
      <c r="T137" s="13">
        <f>YEAR(B137)</f>
        <v/>
      </c>
      <c r="U137" s="13">
        <f>YEAR(B137)&amp;"-Q"&amp;ROUNDUP(MONTH(B137)/3,0)</f>
        <v/>
      </c>
      <c r="V137" s="13">
        <f>TEXT(B137,"YYYY-MM")</f>
        <v/>
      </c>
      <c r="W137" s="13">
        <f>IF(L137="","",IF(L137&gt;pLateDays,1,0))</f>
        <v/>
      </c>
      <c r="X137" s="13">
        <f>IF(Q137&gt;=pHighCutoff,1,0)</f>
        <v/>
      </c>
      <c r="Y137" s="13">
        <f>IF(M137="Returned",1,0)</f>
        <v/>
      </c>
    </row>
    <row r="138">
      <c r="A138" s="13" t="inlineStr">
        <is>
          <t>HC-100136</t>
        </is>
      </c>
      <c r="B138" s="18" t="n">
        <v>45643</v>
      </c>
      <c r="C138" s="13" t="inlineStr">
        <is>
          <t>North</t>
        </is>
      </c>
      <c r="D138" s="13" t="inlineStr">
        <is>
          <t>Store</t>
        </is>
      </c>
      <c r="E138" s="13" t="inlineStr">
        <is>
          <t>Textiles</t>
        </is>
      </c>
      <c r="F138" s="13" t="inlineStr">
        <is>
          <t>Wool Throw</t>
        </is>
      </c>
      <c r="G138" s="13" t="inlineStr">
        <is>
          <t>Consumer</t>
        </is>
      </c>
      <c r="H138" s="13" t="n">
        <v>3</v>
      </c>
      <c r="I138" s="14" t="n">
        <v>71.66</v>
      </c>
      <c r="J138" s="15" t="n">
        <v>0.07000000000000001</v>
      </c>
      <c r="K138" s="14" t="n">
        <v>30.1</v>
      </c>
      <c r="L138" s="13" t="n">
        <v>7</v>
      </c>
      <c r="M138" s="13" t="inlineStr">
        <is>
          <t>Completed</t>
        </is>
      </c>
      <c r="N138" s="13" t="inlineStr">
        <is>
          <t>L. Berger</t>
        </is>
      </c>
      <c r="O138" s="13" t="inlineStr">
        <is>
          <t>No</t>
        </is>
      </c>
      <c r="P138" s="14">
        <f>H138*I138</f>
        <v/>
      </c>
      <c r="Q138" s="14">
        <f>P138*(1-J138)</f>
        <v/>
      </c>
      <c r="R138" s="14">
        <f>H138*K138</f>
        <v/>
      </c>
      <c r="S138" s="15">
        <f>IF(Q138=0,"",(Q138-R138)/Q138)</f>
        <v/>
      </c>
      <c r="T138" s="13">
        <f>YEAR(B138)</f>
        <v/>
      </c>
      <c r="U138" s="13">
        <f>YEAR(B138)&amp;"-Q"&amp;ROUNDUP(MONTH(B138)/3,0)</f>
        <v/>
      </c>
      <c r="V138" s="13">
        <f>TEXT(B138,"YYYY-MM")</f>
        <v/>
      </c>
      <c r="W138" s="13">
        <f>IF(L138="","",IF(L138&gt;pLateDays,1,0))</f>
        <v/>
      </c>
      <c r="X138" s="13">
        <f>IF(Q138&gt;=pHighCutoff,1,0)</f>
        <v/>
      </c>
      <c r="Y138" s="13">
        <f>IF(M138="Returned",1,0)</f>
        <v/>
      </c>
    </row>
    <row r="139">
      <c r="A139" s="13" t="inlineStr">
        <is>
          <t>HC-100137</t>
        </is>
      </c>
      <c r="B139" s="18" t="n">
        <v>45540</v>
      </c>
      <c r="C139" s="13" t="inlineStr">
        <is>
          <t>West</t>
        </is>
      </c>
      <c r="D139" s="13" t="inlineStr">
        <is>
          <t>Store</t>
        </is>
      </c>
      <c r="E139" s="13" t="inlineStr">
        <is>
          <t>Kitchen</t>
        </is>
      </c>
      <c r="F139" s="13" t="inlineStr">
        <is>
          <t>Chef Knife</t>
        </is>
      </c>
      <c r="G139" s="13" t="inlineStr">
        <is>
          <t>Consumer</t>
        </is>
      </c>
      <c r="H139" s="13" t="n">
        <v>2</v>
      </c>
      <c r="I139" s="14" t="n">
        <v>68.79000000000001</v>
      </c>
      <c r="J139" s="15" t="n">
        <v>0.08</v>
      </c>
      <c r="K139" s="14" t="n">
        <v>24.76</v>
      </c>
      <c r="L139" s="13" t="n">
        <v>7</v>
      </c>
      <c r="M139" s="13" t="inlineStr">
        <is>
          <t>Completed</t>
        </is>
      </c>
      <c r="N139" s="13" t="inlineStr">
        <is>
          <t>S. Nguyen</t>
        </is>
      </c>
      <c r="O139" s="13" t="inlineStr">
        <is>
          <t>No</t>
        </is>
      </c>
      <c r="P139" s="14">
        <f>H139*I139</f>
        <v/>
      </c>
      <c r="Q139" s="14">
        <f>P139*(1-J139)</f>
        <v/>
      </c>
      <c r="R139" s="14">
        <f>H139*K139</f>
        <v/>
      </c>
      <c r="S139" s="15">
        <f>IF(Q139=0,"",(Q139-R139)/Q139)</f>
        <v/>
      </c>
      <c r="T139" s="13">
        <f>YEAR(B139)</f>
        <v/>
      </c>
      <c r="U139" s="13">
        <f>YEAR(B139)&amp;"-Q"&amp;ROUNDUP(MONTH(B139)/3,0)</f>
        <v/>
      </c>
      <c r="V139" s="13">
        <f>TEXT(B139,"YYYY-MM")</f>
        <v/>
      </c>
      <c r="W139" s="13">
        <f>IF(L139="","",IF(L139&gt;pLateDays,1,0))</f>
        <v/>
      </c>
      <c r="X139" s="13">
        <f>IF(Q139&gt;=pHighCutoff,1,0)</f>
        <v/>
      </c>
      <c r="Y139" s="13">
        <f>IF(M139="Returned",1,0)</f>
        <v/>
      </c>
    </row>
    <row r="140">
      <c r="A140" s="13" t="inlineStr">
        <is>
          <t>HC-100138</t>
        </is>
      </c>
      <c r="B140" s="18" t="n">
        <v>45319</v>
      </c>
      <c r="C140" s="13" t="inlineStr">
        <is>
          <t>East</t>
        </is>
      </c>
      <c r="D140" s="13" t="inlineStr">
        <is>
          <t>Store</t>
        </is>
      </c>
      <c r="E140" s="13" t="inlineStr">
        <is>
          <t>Textiles</t>
        </is>
      </c>
      <c r="F140" s="13" t="inlineStr">
        <is>
          <t>Wool Throw</t>
        </is>
      </c>
      <c r="G140" s="13" t="inlineStr">
        <is>
          <t>Consumer</t>
        </is>
      </c>
      <c r="H140" s="13" t="n">
        <v>2</v>
      </c>
      <c r="I140" s="14" t="n">
        <v>66.04000000000001</v>
      </c>
      <c r="J140" s="15" t="n">
        <v>0.07000000000000001</v>
      </c>
      <c r="K140" s="14" t="n">
        <v>27.74</v>
      </c>
      <c r="L140" s="13" t="n">
        <v>6</v>
      </c>
      <c r="M140" s="13" t="inlineStr">
        <is>
          <t>Completed</t>
        </is>
      </c>
      <c r="N140" s="13" t="inlineStr">
        <is>
          <t>P. Rossi</t>
        </is>
      </c>
      <c r="O140" s="13" t="inlineStr">
        <is>
          <t>No</t>
        </is>
      </c>
      <c r="P140" s="14">
        <f>H140*I140</f>
        <v/>
      </c>
      <c r="Q140" s="14">
        <f>P140*(1-J140)</f>
        <v/>
      </c>
      <c r="R140" s="14">
        <f>H140*K140</f>
        <v/>
      </c>
      <c r="S140" s="15">
        <f>IF(Q140=0,"",(Q140-R140)/Q140)</f>
        <v/>
      </c>
      <c r="T140" s="13">
        <f>YEAR(B140)</f>
        <v/>
      </c>
      <c r="U140" s="13">
        <f>YEAR(B140)&amp;"-Q"&amp;ROUNDUP(MONTH(B140)/3,0)</f>
        <v/>
      </c>
      <c r="V140" s="13">
        <f>TEXT(B140,"YYYY-MM")</f>
        <v/>
      </c>
      <c r="W140" s="13">
        <f>IF(L140="","",IF(L140&gt;pLateDays,1,0))</f>
        <v/>
      </c>
      <c r="X140" s="13">
        <f>IF(Q140&gt;=pHighCutoff,1,0)</f>
        <v/>
      </c>
      <c r="Y140" s="13">
        <f>IF(M140="Returned",1,0)</f>
        <v/>
      </c>
    </row>
    <row r="141">
      <c r="A141" s="13" t="inlineStr">
        <is>
          <t>HC-100139</t>
        </is>
      </c>
      <c r="B141" s="18" t="n">
        <v>45838</v>
      </c>
      <c r="C141" s="13" t="inlineStr">
        <is>
          <t>South</t>
        </is>
      </c>
      <c r="D141" s="13" t="inlineStr">
        <is>
          <t>Store</t>
        </is>
      </c>
      <c r="E141" s="13" t="inlineStr">
        <is>
          <t>Furniture</t>
        </is>
      </c>
      <c r="F141" s="13" t="inlineStr">
        <is>
          <t>Oak Desk</t>
        </is>
      </c>
      <c r="G141" s="13" t="inlineStr">
        <is>
          <t>Consumer</t>
        </is>
      </c>
      <c r="H141" s="13" t="n">
        <v>3</v>
      </c>
      <c r="I141" s="14" t="n">
        <v>890.4400000000001</v>
      </c>
      <c r="J141" s="15" t="n">
        <v>0.11</v>
      </c>
      <c r="K141" s="14" t="n">
        <v>552.0700000000001</v>
      </c>
      <c r="L141" s="13" t="n">
        <v>7</v>
      </c>
      <c r="M141" s="13" t="inlineStr">
        <is>
          <t>Completed</t>
        </is>
      </c>
      <c r="N141" s="13" t="inlineStr">
        <is>
          <t>K. Mensah</t>
        </is>
      </c>
      <c r="O141" s="13" t="inlineStr">
        <is>
          <t>No</t>
        </is>
      </c>
      <c r="P141" s="14">
        <f>H141*I141</f>
        <v/>
      </c>
      <c r="Q141" s="14">
        <f>P141*(1-J141)</f>
        <v/>
      </c>
      <c r="R141" s="14">
        <f>H141*K141</f>
        <v/>
      </c>
      <c r="S141" s="15">
        <f>IF(Q141=0,"",(Q141-R141)/Q141)</f>
        <v/>
      </c>
      <c r="T141" s="13">
        <f>YEAR(B141)</f>
        <v/>
      </c>
      <c r="U141" s="13">
        <f>YEAR(B141)&amp;"-Q"&amp;ROUNDUP(MONTH(B141)/3,0)</f>
        <v/>
      </c>
      <c r="V141" s="13">
        <f>TEXT(B141,"YYYY-MM")</f>
        <v/>
      </c>
      <c r="W141" s="13">
        <f>IF(L141="","",IF(L141&gt;pLateDays,1,0))</f>
        <v/>
      </c>
      <c r="X141" s="13">
        <f>IF(Q141&gt;=pHighCutoff,1,0)</f>
        <v/>
      </c>
      <c r="Y141" s="13">
        <f>IF(M141="Returned",1,0)</f>
        <v/>
      </c>
    </row>
    <row r="142">
      <c r="A142" s="13" t="inlineStr">
        <is>
          <t>HC-100140</t>
        </is>
      </c>
      <c r="B142" s="18" t="n">
        <v>45630</v>
      </c>
      <c r="C142" s="13" t="inlineStr">
        <is>
          <t>East</t>
        </is>
      </c>
      <c r="D142" s="13" t="inlineStr">
        <is>
          <t>Store</t>
        </is>
      </c>
      <c r="E142" s="13" t="inlineStr">
        <is>
          <t>Furniture</t>
        </is>
      </c>
      <c r="F142" s="13" t="inlineStr">
        <is>
          <t>Linen Sofa</t>
        </is>
      </c>
      <c r="G142" s="13" t="inlineStr">
        <is>
          <t>Home Office</t>
        </is>
      </c>
      <c r="H142" s="13" t="n">
        <v>2</v>
      </c>
      <c r="I142" s="14" t="n">
        <v>1119.44</v>
      </c>
      <c r="J142" s="15" t="n">
        <v>0.02</v>
      </c>
      <c r="K142" s="14" t="n">
        <v>738.83</v>
      </c>
      <c r="L142" s="13" t="n">
        <v>9</v>
      </c>
      <c r="M142" s="13" t="inlineStr">
        <is>
          <t>Completed</t>
        </is>
      </c>
      <c r="N142" s="13" t="inlineStr">
        <is>
          <t>S. Nguyen</t>
        </is>
      </c>
      <c r="O142" s="13" t="inlineStr">
        <is>
          <t>No</t>
        </is>
      </c>
      <c r="P142" s="14">
        <f>H142*I142</f>
        <v/>
      </c>
      <c r="Q142" s="14">
        <f>P142*(1-J142)</f>
        <v/>
      </c>
      <c r="R142" s="14">
        <f>H142*K142</f>
        <v/>
      </c>
      <c r="S142" s="15">
        <f>IF(Q142=0,"",(Q142-R142)/Q142)</f>
        <v/>
      </c>
      <c r="T142" s="13">
        <f>YEAR(B142)</f>
        <v/>
      </c>
      <c r="U142" s="13">
        <f>YEAR(B142)&amp;"-Q"&amp;ROUNDUP(MONTH(B142)/3,0)</f>
        <v/>
      </c>
      <c r="V142" s="13">
        <f>TEXT(B142,"YYYY-MM")</f>
        <v/>
      </c>
      <c r="W142" s="13">
        <f>IF(L142="","",IF(L142&gt;pLateDays,1,0))</f>
        <v/>
      </c>
      <c r="X142" s="13">
        <f>IF(Q142&gt;=pHighCutoff,1,0)</f>
        <v/>
      </c>
      <c r="Y142" s="13">
        <f>IF(M142="Returned",1,0)</f>
        <v/>
      </c>
    </row>
    <row r="143">
      <c r="A143" s="13" t="inlineStr">
        <is>
          <t>HC-100141</t>
        </is>
      </c>
      <c r="B143" s="18" t="n">
        <v>45375</v>
      </c>
      <c r="C143" s="13" t="inlineStr">
        <is>
          <t>North</t>
        </is>
      </c>
      <c r="D143" s="13" t="inlineStr">
        <is>
          <t>Online</t>
        </is>
      </c>
      <c r="E143" s="13" t="inlineStr">
        <is>
          <t>Furniture</t>
        </is>
      </c>
      <c r="F143" s="13" t="inlineStr">
        <is>
          <t>Oak Desk</t>
        </is>
      </c>
      <c r="G143" s="13" t="inlineStr">
        <is>
          <t>Consumer</t>
        </is>
      </c>
      <c r="H143" s="13" t="n">
        <v>1</v>
      </c>
      <c r="I143" s="14" t="n">
        <v>883.26</v>
      </c>
      <c r="J143" s="15" t="n">
        <v>0.15</v>
      </c>
      <c r="K143" s="14" t="n">
        <v>547.62</v>
      </c>
      <c r="L143" s="13" t="n">
        <v>7</v>
      </c>
      <c r="M143" s="13" t="inlineStr">
        <is>
          <t>Completed</t>
        </is>
      </c>
      <c r="N143" s="13" t="inlineStr">
        <is>
          <t>S. Nguyen</t>
        </is>
      </c>
      <c r="O143" s="13" t="inlineStr">
        <is>
          <t>No</t>
        </is>
      </c>
      <c r="P143" s="14">
        <f>H143*I143</f>
        <v/>
      </c>
      <c r="Q143" s="14">
        <f>P143*(1-J143)</f>
        <v/>
      </c>
      <c r="R143" s="14">
        <f>H143*K143</f>
        <v/>
      </c>
      <c r="S143" s="15">
        <f>IF(Q143=0,"",(Q143-R143)/Q143)</f>
        <v/>
      </c>
      <c r="T143" s="13">
        <f>YEAR(B143)</f>
        <v/>
      </c>
      <c r="U143" s="13">
        <f>YEAR(B143)&amp;"-Q"&amp;ROUNDUP(MONTH(B143)/3,0)</f>
        <v/>
      </c>
      <c r="V143" s="13">
        <f>TEXT(B143,"YYYY-MM")</f>
        <v/>
      </c>
      <c r="W143" s="13">
        <f>IF(L143="","",IF(L143&gt;pLateDays,1,0))</f>
        <v/>
      </c>
      <c r="X143" s="13">
        <f>IF(Q143&gt;=pHighCutoff,1,0)</f>
        <v/>
      </c>
      <c r="Y143" s="13">
        <f>IF(M143="Returned",1,0)</f>
        <v/>
      </c>
    </row>
    <row r="144">
      <c r="A144" s="13" t="inlineStr">
        <is>
          <t>HC-100142</t>
        </is>
      </c>
      <c r="B144" s="18" t="n">
        <v>45798</v>
      </c>
      <c r="C144" s="13" t="inlineStr">
        <is>
          <t>North</t>
        </is>
      </c>
      <c r="D144" s="13" t="inlineStr">
        <is>
          <t>Store</t>
        </is>
      </c>
      <c r="E144" s="13" t="inlineStr">
        <is>
          <t>Textiles</t>
        </is>
      </c>
      <c r="F144" s="13" t="inlineStr">
        <is>
          <t>Cotton Duvet</t>
        </is>
      </c>
      <c r="G144" s="13" t="inlineStr">
        <is>
          <t>Corporate</t>
        </is>
      </c>
      <c r="H144" s="13" t="n">
        <v>2</v>
      </c>
      <c r="I144" s="14" t="n">
        <v>125.03</v>
      </c>
      <c r="J144" s="15" t="n">
        <v>0.11</v>
      </c>
      <c r="K144" s="14" t="n">
        <v>55.01</v>
      </c>
      <c r="L144" s="13" t="n">
        <v>6</v>
      </c>
      <c r="M144" s="13" t="inlineStr">
        <is>
          <t>Completed</t>
        </is>
      </c>
      <c r="N144" s="13" t="inlineStr">
        <is>
          <t>L. Berger</t>
        </is>
      </c>
      <c r="O144" s="13" t="inlineStr">
        <is>
          <t>No</t>
        </is>
      </c>
      <c r="P144" s="14">
        <f>H144*I144</f>
        <v/>
      </c>
      <c r="Q144" s="14">
        <f>P144*(1-J144)</f>
        <v/>
      </c>
      <c r="R144" s="14">
        <f>H144*K144</f>
        <v/>
      </c>
      <c r="S144" s="15">
        <f>IF(Q144=0,"",(Q144-R144)/Q144)</f>
        <v/>
      </c>
      <c r="T144" s="13">
        <f>YEAR(B144)</f>
        <v/>
      </c>
      <c r="U144" s="13">
        <f>YEAR(B144)&amp;"-Q"&amp;ROUNDUP(MONTH(B144)/3,0)</f>
        <v/>
      </c>
      <c r="V144" s="13">
        <f>TEXT(B144,"YYYY-MM")</f>
        <v/>
      </c>
      <c r="W144" s="13">
        <f>IF(L144="","",IF(L144&gt;pLateDays,1,0))</f>
        <v/>
      </c>
      <c r="X144" s="13">
        <f>IF(Q144&gt;=pHighCutoff,1,0)</f>
        <v/>
      </c>
      <c r="Y144" s="13">
        <f>IF(M144="Returned",1,0)</f>
        <v/>
      </c>
    </row>
    <row r="145">
      <c r="A145" s="13" t="inlineStr">
        <is>
          <t>HC-100143</t>
        </is>
      </c>
      <c r="B145" s="18" t="n">
        <v>45849</v>
      </c>
      <c r="C145" s="13" t="inlineStr">
        <is>
          <t>East</t>
        </is>
      </c>
      <c r="D145" s="13" t="inlineStr">
        <is>
          <t>Store</t>
        </is>
      </c>
      <c r="E145" s="13" t="inlineStr">
        <is>
          <t>Textiles</t>
        </is>
      </c>
      <c r="F145" s="13" t="inlineStr">
        <is>
          <t>Cotton Duvet</t>
        </is>
      </c>
      <c r="G145" s="13" t="inlineStr">
        <is>
          <t>Consumer</t>
        </is>
      </c>
      <c r="H145" s="13" t="n">
        <v>1</v>
      </c>
      <c r="I145" s="14" t="n">
        <v>103.34</v>
      </c>
      <c r="J145" s="15" t="n">
        <v>0.03</v>
      </c>
      <c r="K145" s="14" t="n">
        <v>45.47</v>
      </c>
      <c r="L145" s="13" t="n">
        <v>7</v>
      </c>
      <c r="M145" s="13" t="inlineStr">
        <is>
          <t>Cancelled</t>
        </is>
      </c>
      <c r="N145" s="13" t="inlineStr">
        <is>
          <t>J. Patel</t>
        </is>
      </c>
      <c r="O145" s="13" t="inlineStr">
        <is>
          <t>No</t>
        </is>
      </c>
      <c r="P145" s="14">
        <f>H145*I145</f>
        <v/>
      </c>
      <c r="Q145" s="14">
        <f>P145*(1-J145)</f>
        <v/>
      </c>
      <c r="R145" s="14">
        <f>H145*K145</f>
        <v/>
      </c>
      <c r="S145" s="15">
        <f>IF(Q145=0,"",(Q145-R145)/Q145)</f>
        <v/>
      </c>
      <c r="T145" s="13">
        <f>YEAR(B145)</f>
        <v/>
      </c>
      <c r="U145" s="13">
        <f>YEAR(B145)&amp;"-Q"&amp;ROUNDUP(MONTH(B145)/3,0)</f>
        <v/>
      </c>
      <c r="V145" s="13">
        <f>TEXT(B145,"YYYY-MM")</f>
        <v/>
      </c>
      <c r="W145" s="13">
        <f>IF(L145="","",IF(L145&gt;pLateDays,1,0))</f>
        <v/>
      </c>
      <c r="X145" s="13">
        <f>IF(Q145&gt;=pHighCutoff,1,0)</f>
        <v/>
      </c>
      <c r="Y145" s="13">
        <f>IF(M145="Returned",1,0)</f>
        <v/>
      </c>
    </row>
    <row r="146">
      <c r="A146" s="13" t="inlineStr">
        <is>
          <t>HC-100144</t>
        </is>
      </c>
      <c r="B146" s="18" t="n">
        <v>45894</v>
      </c>
      <c r="C146" s="13" t="inlineStr">
        <is>
          <t>West</t>
        </is>
      </c>
      <c r="D146" s="13" t="inlineStr">
        <is>
          <t>Store</t>
        </is>
      </c>
      <c r="E146" s="13" t="inlineStr">
        <is>
          <t>Textiles</t>
        </is>
      </c>
      <c r="F146" s="13" t="inlineStr">
        <is>
          <t>Wool Throw</t>
        </is>
      </c>
      <c r="G146" s="13" t="inlineStr">
        <is>
          <t>Consumer</t>
        </is>
      </c>
      <c r="H146" s="13" t="n">
        <v>1</v>
      </c>
      <c r="I146" s="14" t="n">
        <v>74.95</v>
      </c>
      <c r="J146" s="15" t="n">
        <v>0.07000000000000001</v>
      </c>
      <c r="K146" s="14" t="n">
        <v>31.48</v>
      </c>
      <c r="L146" s="13" t="n">
        <v>6</v>
      </c>
      <c r="M146" s="13" t="inlineStr">
        <is>
          <t>Completed</t>
        </is>
      </c>
      <c r="N146" s="13" t="inlineStr">
        <is>
          <t>K. Mensah</t>
        </is>
      </c>
      <c r="O146" s="13" t="inlineStr">
        <is>
          <t>No</t>
        </is>
      </c>
      <c r="P146" s="14">
        <f>H146*I146</f>
        <v/>
      </c>
      <c r="Q146" s="14">
        <f>P146*(1-J146)</f>
        <v/>
      </c>
      <c r="R146" s="14">
        <f>H146*K146</f>
        <v/>
      </c>
      <c r="S146" s="15">
        <f>IF(Q146=0,"",(Q146-R146)/Q146)</f>
        <v/>
      </c>
      <c r="T146" s="13">
        <f>YEAR(B146)</f>
        <v/>
      </c>
      <c r="U146" s="13">
        <f>YEAR(B146)&amp;"-Q"&amp;ROUNDUP(MONTH(B146)/3,0)</f>
        <v/>
      </c>
      <c r="V146" s="13">
        <f>TEXT(B146,"YYYY-MM")</f>
        <v/>
      </c>
      <c r="W146" s="13">
        <f>IF(L146="","",IF(L146&gt;pLateDays,1,0))</f>
        <v/>
      </c>
      <c r="X146" s="13">
        <f>IF(Q146&gt;=pHighCutoff,1,0)</f>
        <v/>
      </c>
      <c r="Y146" s="13">
        <f>IF(M146="Returned",1,0)</f>
        <v/>
      </c>
    </row>
    <row r="147">
      <c r="A147" s="13" t="inlineStr">
        <is>
          <t>HC-100145</t>
        </is>
      </c>
      <c r="B147" s="18" t="n">
        <v>45310</v>
      </c>
      <c r="C147" s="13" t="inlineStr">
        <is>
          <t>West</t>
        </is>
      </c>
      <c r="D147" s="13" t="inlineStr">
        <is>
          <t>Online</t>
        </is>
      </c>
      <c r="E147" s="13" t="inlineStr">
        <is>
          <t>Textiles</t>
        </is>
      </c>
      <c r="F147" s="13" t="inlineStr">
        <is>
          <t>Wool Throw</t>
        </is>
      </c>
      <c r="G147" s="13" t="inlineStr">
        <is>
          <t>Consumer</t>
        </is>
      </c>
      <c r="H147" s="13" t="n">
        <v>3</v>
      </c>
      <c r="I147" s="14" t="n">
        <v>73.05</v>
      </c>
      <c r="J147" s="15" t="n">
        <v>0.17</v>
      </c>
      <c r="K147" s="14" t="n">
        <v>30.68</v>
      </c>
      <c r="L147" s="13" t="n">
        <v>8</v>
      </c>
      <c r="M147" s="13" t="inlineStr">
        <is>
          <t>Completed</t>
        </is>
      </c>
      <c r="N147" s="13" t="inlineStr">
        <is>
          <t>M. Okonkwo</t>
        </is>
      </c>
      <c r="O147" s="13" t="inlineStr">
        <is>
          <t>No</t>
        </is>
      </c>
      <c r="P147" s="14">
        <f>H147*I147</f>
        <v/>
      </c>
      <c r="Q147" s="14">
        <f>P147*(1-J147)</f>
        <v/>
      </c>
      <c r="R147" s="14">
        <f>H147*K147</f>
        <v/>
      </c>
      <c r="S147" s="15">
        <f>IF(Q147=0,"",(Q147-R147)/Q147)</f>
        <v/>
      </c>
      <c r="T147" s="13">
        <f>YEAR(B147)</f>
        <v/>
      </c>
      <c r="U147" s="13">
        <f>YEAR(B147)&amp;"-Q"&amp;ROUNDUP(MONTH(B147)/3,0)</f>
        <v/>
      </c>
      <c r="V147" s="13">
        <f>TEXT(B147,"YYYY-MM")</f>
        <v/>
      </c>
      <c r="W147" s="13">
        <f>IF(L147="","",IF(L147&gt;pLateDays,1,0))</f>
        <v/>
      </c>
      <c r="X147" s="13">
        <f>IF(Q147&gt;=pHighCutoff,1,0)</f>
        <v/>
      </c>
      <c r="Y147" s="13">
        <f>IF(M147="Returned",1,0)</f>
        <v/>
      </c>
    </row>
    <row r="148">
      <c r="A148" s="13" t="inlineStr">
        <is>
          <t>HC-100146</t>
        </is>
      </c>
      <c r="B148" s="18" t="n">
        <v>45875</v>
      </c>
      <c r="C148" s="13" t="inlineStr">
        <is>
          <t>West</t>
        </is>
      </c>
      <c r="D148" s="13" t="inlineStr">
        <is>
          <t>Online</t>
        </is>
      </c>
      <c r="E148" s="13" t="inlineStr">
        <is>
          <t>Furniture</t>
        </is>
      </c>
      <c r="F148" s="13" t="inlineStr">
        <is>
          <t>Lounge Chair</t>
        </is>
      </c>
      <c r="G148" s="13" t="inlineStr">
        <is>
          <t>Consumer</t>
        </is>
      </c>
      <c r="H148" s="13" t="n">
        <v>1</v>
      </c>
      <c r="I148" s="14" t="n">
        <v>461.39</v>
      </c>
      <c r="J148" s="15" t="n">
        <v>0.08</v>
      </c>
      <c r="K148" s="14" t="n">
        <v>276.83</v>
      </c>
      <c r="L148" s="13" t="n">
        <v>7</v>
      </c>
      <c r="M148" s="13" t="inlineStr">
        <is>
          <t>Completed</t>
        </is>
      </c>
      <c r="N148" s="13" t="inlineStr">
        <is>
          <t>A. Shah</t>
        </is>
      </c>
      <c r="O148" s="13" t="inlineStr">
        <is>
          <t>No</t>
        </is>
      </c>
      <c r="P148" s="14">
        <f>H148*I148</f>
        <v/>
      </c>
      <c r="Q148" s="14">
        <f>P148*(1-J148)</f>
        <v/>
      </c>
      <c r="R148" s="14">
        <f>H148*K148</f>
        <v/>
      </c>
      <c r="S148" s="15">
        <f>IF(Q148=0,"",(Q148-R148)/Q148)</f>
        <v/>
      </c>
      <c r="T148" s="13">
        <f>YEAR(B148)</f>
        <v/>
      </c>
      <c r="U148" s="13">
        <f>YEAR(B148)&amp;"-Q"&amp;ROUNDUP(MONTH(B148)/3,0)</f>
        <v/>
      </c>
      <c r="V148" s="13">
        <f>TEXT(B148,"YYYY-MM")</f>
        <v/>
      </c>
      <c r="W148" s="13">
        <f>IF(L148="","",IF(L148&gt;pLateDays,1,0))</f>
        <v/>
      </c>
      <c r="X148" s="13">
        <f>IF(Q148&gt;=pHighCutoff,1,0)</f>
        <v/>
      </c>
      <c r="Y148" s="13">
        <f>IF(M148="Returned",1,0)</f>
        <v/>
      </c>
    </row>
    <row r="149">
      <c r="A149" s="13" t="inlineStr">
        <is>
          <t>HC-100147</t>
        </is>
      </c>
      <c r="B149" s="18" t="n">
        <v>45735</v>
      </c>
      <c r="C149" s="13" t="inlineStr">
        <is>
          <t>South</t>
        </is>
      </c>
      <c r="D149" s="13" t="inlineStr">
        <is>
          <t>Online</t>
        </is>
      </c>
      <c r="E149" s="13" t="inlineStr">
        <is>
          <t>Furniture</t>
        </is>
      </c>
      <c r="F149" s="13" t="inlineStr">
        <is>
          <t>Walnut Shelf</t>
        </is>
      </c>
      <c r="G149" s="13" t="inlineStr">
        <is>
          <t>Consumer</t>
        </is>
      </c>
      <c r="H149" s="13" t="n">
        <v>3</v>
      </c>
      <c r="I149" s="14" t="n">
        <v>212</v>
      </c>
      <c r="J149" s="15" t="n">
        <v>0.06</v>
      </c>
      <c r="K149" s="14" t="n">
        <v>116.6</v>
      </c>
      <c r="L149" s="13" t="n">
        <v>7</v>
      </c>
      <c r="M149" s="13" t="inlineStr">
        <is>
          <t>Completed</t>
        </is>
      </c>
      <c r="N149" s="13" t="inlineStr">
        <is>
          <t>P. Rossi</t>
        </is>
      </c>
      <c r="O149" s="13" t="inlineStr">
        <is>
          <t>No</t>
        </is>
      </c>
      <c r="P149" s="14">
        <f>H149*I149</f>
        <v/>
      </c>
      <c r="Q149" s="14">
        <f>P149*(1-J149)</f>
        <v/>
      </c>
      <c r="R149" s="14">
        <f>H149*K149</f>
        <v/>
      </c>
      <c r="S149" s="15">
        <f>IF(Q149=0,"",(Q149-R149)/Q149)</f>
        <v/>
      </c>
      <c r="T149" s="13">
        <f>YEAR(B149)</f>
        <v/>
      </c>
      <c r="U149" s="13">
        <f>YEAR(B149)&amp;"-Q"&amp;ROUNDUP(MONTH(B149)/3,0)</f>
        <v/>
      </c>
      <c r="V149" s="13">
        <f>TEXT(B149,"YYYY-MM")</f>
        <v/>
      </c>
      <c r="W149" s="13">
        <f>IF(L149="","",IF(L149&gt;pLateDays,1,0))</f>
        <v/>
      </c>
      <c r="X149" s="13">
        <f>IF(Q149&gt;=pHighCutoff,1,0)</f>
        <v/>
      </c>
      <c r="Y149" s="13">
        <f>IF(M149="Returned",1,0)</f>
        <v/>
      </c>
    </row>
    <row r="150">
      <c r="A150" s="13" t="inlineStr">
        <is>
          <t>HC-100148</t>
        </is>
      </c>
      <c r="B150" s="18" t="n">
        <v>45753</v>
      </c>
      <c r="C150" s="13" t="inlineStr">
        <is>
          <t>West</t>
        </is>
      </c>
      <c r="D150" s="13" t="inlineStr">
        <is>
          <t>Online</t>
        </is>
      </c>
      <c r="E150" s="13" t="inlineStr">
        <is>
          <t>Furniture</t>
        </is>
      </c>
      <c r="F150" s="13" t="inlineStr">
        <is>
          <t>Oak Desk</t>
        </is>
      </c>
      <c r="G150" s="13" t="inlineStr">
        <is>
          <t>Consumer</t>
        </is>
      </c>
      <c r="H150" s="13" t="n">
        <v>3</v>
      </c>
      <c r="I150" s="14" t="n">
        <v>813.5700000000001</v>
      </c>
      <c r="J150" s="15" t="n">
        <v>0.08</v>
      </c>
      <c r="K150" s="14" t="n">
        <v>504.41</v>
      </c>
      <c r="L150" s="13" t="n">
        <v>10</v>
      </c>
      <c r="M150" s="13" t="inlineStr">
        <is>
          <t>Completed</t>
        </is>
      </c>
      <c r="N150" s="13" t="inlineStr">
        <is>
          <t>L. Berger</t>
        </is>
      </c>
      <c r="O150" s="13" t="inlineStr">
        <is>
          <t>No</t>
        </is>
      </c>
      <c r="P150" s="14">
        <f>H150*I150</f>
        <v/>
      </c>
      <c r="Q150" s="14">
        <f>P150*(1-J150)</f>
        <v/>
      </c>
      <c r="R150" s="14">
        <f>H150*K150</f>
        <v/>
      </c>
      <c r="S150" s="15">
        <f>IF(Q150=0,"",(Q150-R150)/Q150)</f>
        <v/>
      </c>
      <c r="T150" s="13">
        <f>YEAR(B150)</f>
        <v/>
      </c>
      <c r="U150" s="13">
        <f>YEAR(B150)&amp;"-Q"&amp;ROUNDUP(MONTH(B150)/3,0)</f>
        <v/>
      </c>
      <c r="V150" s="13">
        <f>TEXT(B150,"YYYY-MM")</f>
        <v/>
      </c>
      <c r="W150" s="13">
        <f>IF(L150="","",IF(L150&gt;pLateDays,1,0))</f>
        <v/>
      </c>
      <c r="X150" s="13">
        <f>IF(Q150&gt;=pHighCutoff,1,0)</f>
        <v/>
      </c>
      <c r="Y150" s="13">
        <f>IF(M150="Returned",1,0)</f>
        <v/>
      </c>
    </row>
    <row r="151">
      <c r="A151" s="13" t="inlineStr">
        <is>
          <t>HC-100149</t>
        </is>
      </c>
      <c r="B151" s="18" t="n">
        <v>45377</v>
      </c>
      <c r="C151" s="13" t="inlineStr">
        <is>
          <t>North</t>
        </is>
      </c>
      <c r="D151" s="13" t="inlineStr">
        <is>
          <t>Wholesale</t>
        </is>
      </c>
      <c r="E151" s="13" t="inlineStr">
        <is>
          <t>Furniture</t>
        </is>
      </c>
      <c r="F151" s="13" t="inlineStr">
        <is>
          <t>Lounge Chair</t>
        </is>
      </c>
      <c r="G151" s="13" t="inlineStr">
        <is>
          <t>Corporate</t>
        </is>
      </c>
      <c r="H151" s="13" t="n">
        <v>35</v>
      </c>
      <c r="I151" s="14" t="n">
        <v>452.55</v>
      </c>
      <c r="J151" s="15" t="n">
        <v>0.31</v>
      </c>
      <c r="K151" s="14" t="n">
        <v>271.53</v>
      </c>
      <c r="L151" s="13" t="n">
        <v>8</v>
      </c>
      <c r="M151" s="13" t="inlineStr">
        <is>
          <t>Completed</t>
        </is>
      </c>
      <c r="N151" s="13" t="inlineStr">
        <is>
          <t>M. Okonkwo</t>
        </is>
      </c>
      <c r="O151" s="13" t="inlineStr">
        <is>
          <t>No</t>
        </is>
      </c>
      <c r="P151" s="14">
        <f>H151*I151</f>
        <v/>
      </c>
      <c r="Q151" s="14">
        <f>P151*(1-J151)</f>
        <v/>
      </c>
      <c r="R151" s="14">
        <f>H151*K151</f>
        <v/>
      </c>
      <c r="S151" s="15">
        <f>IF(Q151=0,"",(Q151-R151)/Q151)</f>
        <v/>
      </c>
      <c r="T151" s="13">
        <f>YEAR(B151)</f>
        <v/>
      </c>
      <c r="U151" s="13">
        <f>YEAR(B151)&amp;"-Q"&amp;ROUNDUP(MONTH(B151)/3,0)</f>
        <v/>
      </c>
      <c r="V151" s="13">
        <f>TEXT(B151,"YYYY-MM")</f>
        <v/>
      </c>
      <c r="W151" s="13">
        <f>IF(L151="","",IF(L151&gt;pLateDays,1,0))</f>
        <v/>
      </c>
      <c r="X151" s="13">
        <f>IF(Q151&gt;=pHighCutoff,1,0)</f>
        <v/>
      </c>
      <c r="Y151" s="13">
        <f>IF(M151="Returned",1,0)</f>
        <v/>
      </c>
    </row>
    <row r="152">
      <c r="A152" s="13" t="inlineStr">
        <is>
          <t>HC-100150</t>
        </is>
      </c>
      <c r="B152" s="18" t="n">
        <v>45554</v>
      </c>
      <c r="C152" s="13" t="inlineStr">
        <is>
          <t>North</t>
        </is>
      </c>
      <c r="D152" s="13" t="inlineStr">
        <is>
          <t>Online</t>
        </is>
      </c>
      <c r="E152" s="13" t="inlineStr">
        <is>
          <t>Kitchen</t>
        </is>
      </c>
      <c r="F152" s="13" t="inlineStr">
        <is>
          <t>Cast Skillet</t>
        </is>
      </c>
      <c r="G152" s="13" t="inlineStr">
        <is>
          <t>Corporate</t>
        </is>
      </c>
      <c r="H152" s="13" t="n">
        <v>1</v>
      </c>
      <c r="I152" s="14" t="n">
        <v>51.18</v>
      </c>
      <c r="J152" s="15" t="n">
        <v>0.1</v>
      </c>
      <c r="K152" s="14" t="n">
        <v>20.47</v>
      </c>
      <c r="L152" s="13" t="n">
        <v>8</v>
      </c>
      <c r="M152" s="13" t="inlineStr">
        <is>
          <t>Completed</t>
        </is>
      </c>
      <c r="N152" s="13" t="inlineStr">
        <is>
          <t>M. Okonkwo</t>
        </is>
      </c>
      <c r="O152" s="13" t="inlineStr">
        <is>
          <t>No</t>
        </is>
      </c>
      <c r="P152" s="14">
        <f>H152*I152</f>
        <v/>
      </c>
      <c r="Q152" s="14">
        <f>P152*(1-J152)</f>
        <v/>
      </c>
      <c r="R152" s="14">
        <f>H152*K152</f>
        <v/>
      </c>
      <c r="S152" s="15">
        <f>IF(Q152=0,"",(Q152-R152)/Q152)</f>
        <v/>
      </c>
      <c r="T152" s="13">
        <f>YEAR(B152)</f>
        <v/>
      </c>
      <c r="U152" s="13">
        <f>YEAR(B152)&amp;"-Q"&amp;ROUNDUP(MONTH(B152)/3,0)</f>
        <v/>
      </c>
      <c r="V152" s="13">
        <f>TEXT(B152,"YYYY-MM")</f>
        <v/>
      </c>
      <c r="W152" s="13">
        <f>IF(L152="","",IF(L152&gt;pLateDays,1,0))</f>
        <v/>
      </c>
      <c r="X152" s="13">
        <f>IF(Q152&gt;=pHighCutoff,1,0)</f>
        <v/>
      </c>
      <c r="Y152" s="13">
        <f>IF(M152="Returned",1,0)</f>
        <v/>
      </c>
    </row>
    <row r="153">
      <c r="A153" s="13" t="inlineStr">
        <is>
          <t>HC-100151</t>
        </is>
      </c>
      <c r="B153" s="18" t="n">
        <v>45870</v>
      </c>
      <c r="C153" s="13" t="inlineStr">
        <is>
          <t>West</t>
        </is>
      </c>
      <c r="D153" s="13" t="inlineStr">
        <is>
          <t>Wholesale</t>
        </is>
      </c>
      <c r="E153" s="13" t="inlineStr">
        <is>
          <t>Kitchen</t>
        </is>
      </c>
      <c r="F153" s="13" t="inlineStr">
        <is>
          <t>Cast Skillet</t>
        </is>
      </c>
      <c r="G153" s="13" t="inlineStr">
        <is>
          <t>Consumer</t>
        </is>
      </c>
      <c r="H153" s="13" t="n">
        <v>26</v>
      </c>
      <c r="I153" s="14" t="n">
        <v>53.28</v>
      </c>
      <c r="J153" s="15" t="n">
        <v>0.31</v>
      </c>
      <c r="K153" s="14" t="n">
        <v>21.31</v>
      </c>
      <c r="L153" s="13" t="n"/>
      <c r="M153" s="13" t="inlineStr">
        <is>
          <t>Completed</t>
        </is>
      </c>
      <c r="N153" s="13" t="inlineStr">
        <is>
          <t>J. Patel</t>
        </is>
      </c>
      <c r="O153" s="13" t="inlineStr">
        <is>
          <t>No</t>
        </is>
      </c>
      <c r="P153" s="14">
        <f>H153*I153</f>
        <v/>
      </c>
      <c r="Q153" s="14">
        <f>P153*(1-J153)</f>
        <v/>
      </c>
      <c r="R153" s="14">
        <f>H153*K153</f>
        <v/>
      </c>
      <c r="S153" s="15">
        <f>IF(Q153=0,"",(Q153-R153)/Q153)</f>
        <v/>
      </c>
      <c r="T153" s="13">
        <f>YEAR(B153)</f>
        <v/>
      </c>
      <c r="U153" s="13">
        <f>YEAR(B153)&amp;"-Q"&amp;ROUNDUP(MONTH(B153)/3,0)</f>
        <v/>
      </c>
      <c r="V153" s="13">
        <f>TEXT(B153,"YYYY-MM")</f>
        <v/>
      </c>
      <c r="W153" s="13">
        <f>IF(L153="","",IF(L153&gt;pLateDays,1,0))</f>
        <v/>
      </c>
      <c r="X153" s="13">
        <f>IF(Q153&gt;=pHighCutoff,1,0)</f>
        <v/>
      </c>
      <c r="Y153" s="13">
        <f>IF(M153="Returned",1,0)</f>
        <v/>
      </c>
    </row>
    <row r="154">
      <c r="A154" s="13" t="inlineStr">
        <is>
          <t>HC-100152</t>
        </is>
      </c>
      <c r="B154" s="18" t="n">
        <v>45507</v>
      </c>
      <c r="C154" s="13" t="inlineStr">
        <is>
          <t>North</t>
        </is>
      </c>
      <c r="D154" s="13" t="inlineStr">
        <is>
          <t>Online</t>
        </is>
      </c>
      <c r="E154" s="13" t="inlineStr">
        <is>
          <t>Textiles</t>
        </is>
      </c>
      <c r="F154" s="13" t="inlineStr">
        <is>
          <t>Wool Throw</t>
        </is>
      </c>
      <c r="G154" s="13" t="inlineStr">
        <is>
          <t>Corporate</t>
        </is>
      </c>
      <c r="H154" s="13" t="n">
        <v>3</v>
      </c>
      <c r="I154" s="14" t="n">
        <v>78.69</v>
      </c>
      <c r="J154" s="15" t="n">
        <v>0.04</v>
      </c>
      <c r="K154" s="14" t="n">
        <v>33.05</v>
      </c>
      <c r="L154" s="13" t="n">
        <v>6</v>
      </c>
      <c r="M154" s="13" t="inlineStr">
        <is>
          <t>Completed</t>
        </is>
      </c>
      <c r="N154" s="13" t="inlineStr">
        <is>
          <t>L. Berger</t>
        </is>
      </c>
      <c r="O154" s="13" t="inlineStr">
        <is>
          <t>No</t>
        </is>
      </c>
      <c r="P154" s="14">
        <f>H154*I154</f>
        <v/>
      </c>
      <c r="Q154" s="14">
        <f>P154*(1-J154)</f>
        <v/>
      </c>
      <c r="R154" s="14">
        <f>H154*K154</f>
        <v/>
      </c>
      <c r="S154" s="15">
        <f>IF(Q154=0,"",(Q154-R154)/Q154)</f>
        <v/>
      </c>
      <c r="T154" s="13">
        <f>YEAR(B154)</f>
        <v/>
      </c>
      <c r="U154" s="13">
        <f>YEAR(B154)&amp;"-Q"&amp;ROUNDUP(MONTH(B154)/3,0)</f>
        <v/>
      </c>
      <c r="V154" s="13">
        <f>TEXT(B154,"YYYY-MM")</f>
        <v/>
      </c>
      <c r="W154" s="13">
        <f>IF(L154="","",IF(L154&gt;pLateDays,1,0))</f>
        <v/>
      </c>
      <c r="X154" s="13">
        <f>IF(Q154&gt;=pHighCutoff,1,0)</f>
        <v/>
      </c>
      <c r="Y154" s="13">
        <f>IF(M154="Returned",1,0)</f>
        <v/>
      </c>
    </row>
    <row r="155">
      <c r="A155" s="13" t="inlineStr">
        <is>
          <t>HC-100153</t>
        </is>
      </c>
      <c r="B155" s="18" t="n">
        <v>45868</v>
      </c>
      <c r="C155" s="13" t="inlineStr">
        <is>
          <t>West</t>
        </is>
      </c>
      <c r="D155" s="13" t="inlineStr">
        <is>
          <t>Store</t>
        </is>
      </c>
      <c r="E155" s="13" t="inlineStr">
        <is>
          <t>Furniture</t>
        </is>
      </c>
      <c r="F155" s="13" t="inlineStr">
        <is>
          <t>Walnut Shelf</t>
        </is>
      </c>
      <c r="G155" s="13" t="inlineStr">
        <is>
          <t>Unknown</t>
        </is>
      </c>
      <c r="H155" s="13" t="n">
        <v>4</v>
      </c>
      <c r="I155" s="14" t="n">
        <v>230.63</v>
      </c>
      <c r="J155" s="15" t="n">
        <v>0.04</v>
      </c>
      <c r="K155" s="14" t="n">
        <v>126.84</v>
      </c>
      <c r="L155" s="13" t="n">
        <v>7</v>
      </c>
      <c r="M155" s="13" t="inlineStr">
        <is>
          <t>Completed</t>
        </is>
      </c>
      <c r="N155" s="13" t="inlineStr">
        <is>
          <t>S. Nguyen</t>
        </is>
      </c>
      <c r="O155" s="13" t="inlineStr">
        <is>
          <t>No</t>
        </is>
      </c>
      <c r="P155" s="14">
        <f>H155*I155</f>
        <v/>
      </c>
      <c r="Q155" s="14">
        <f>P155*(1-J155)</f>
        <v/>
      </c>
      <c r="R155" s="14">
        <f>H155*K155</f>
        <v/>
      </c>
      <c r="S155" s="15">
        <f>IF(Q155=0,"",(Q155-R155)/Q155)</f>
        <v/>
      </c>
      <c r="T155" s="13">
        <f>YEAR(B155)</f>
        <v/>
      </c>
      <c r="U155" s="13">
        <f>YEAR(B155)&amp;"-Q"&amp;ROUNDUP(MONTH(B155)/3,0)</f>
        <v/>
      </c>
      <c r="V155" s="13">
        <f>TEXT(B155,"YYYY-MM")</f>
        <v/>
      </c>
      <c r="W155" s="13">
        <f>IF(L155="","",IF(L155&gt;pLateDays,1,0))</f>
        <v/>
      </c>
      <c r="X155" s="13">
        <f>IF(Q155&gt;=pHighCutoff,1,0)</f>
        <v/>
      </c>
      <c r="Y155" s="13">
        <f>IF(M155="Returned",1,0)</f>
        <v/>
      </c>
    </row>
    <row r="156">
      <c r="A156" s="13" t="inlineStr">
        <is>
          <t>HC-100154</t>
        </is>
      </c>
      <c r="B156" s="18" t="n">
        <v>45356</v>
      </c>
      <c r="C156" s="13" t="inlineStr">
        <is>
          <t>North</t>
        </is>
      </c>
      <c r="D156" s="13" t="inlineStr">
        <is>
          <t>Online</t>
        </is>
      </c>
      <c r="E156" s="13" t="inlineStr">
        <is>
          <t>Furniture</t>
        </is>
      </c>
      <c r="F156" s="13" t="inlineStr">
        <is>
          <t>Walnut Shelf</t>
        </is>
      </c>
      <c r="G156" s="13" t="inlineStr">
        <is>
          <t>Home Office</t>
        </is>
      </c>
      <c r="H156" s="13" t="n">
        <v>1</v>
      </c>
      <c r="I156" s="14" t="n">
        <v>229.27</v>
      </c>
      <c r="J156" s="15" t="n">
        <v>0.05</v>
      </c>
      <c r="K156" s="14" t="n">
        <v>126.1</v>
      </c>
      <c r="L156" s="13" t="n">
        <v>5</v>
      </c>
      <c r="M156" s="13" t="inlineStr">
        <is>
          <t>Returned</t>
        </is>
      </c>
      <c r="N156" s="13" t="inlineStr">
        <is>
          <t>M. Okonkwo</t>
        </is>
      </c>
      <c r="O156" s="13" t="inlineStr">
        <is>
          <t>No</t>
        </is>
      </c>
      <c r="P156" s="14">
        <f>H156*I156</f>
        <v/>
      </c>
      <c r="Q156" s="14">
        <f>P156*(1-J156)</f>
        <v/>
      </c>
      <c r="R156" s="14">
        <f>H156*K156</f>
        <v/>
      </c>
      <c r="S156" s="15">
        <f>IF(Q156=0,"",(Q156-R156)/Q156)</f>
        <v/>
      </c>
      <c r="T156" s="13">
        <f>YEAR(B156)</f>
        <v/>
      </c>
      <c r="U156" s="13">
        <f>YEAR(B156)&amp;"-Q"&amp;ROUNDUP(MONTH(B156)/3,0)</f>
        <v/>
      </c>
      <c r="V156" s="13">
        <f>TEXT(B156,"YYYY-MM")</f>
        <v/>
      </c>
      <c r="W156" s="13">
        <f>IF(L156="","",IF(L156&gt;pLateDays,1,0))</f>
        <v/>
      </c>
      <c r="X156" s="13">
        <f>IF(Q156&gt;=pHighCutoff,1,0)</f>
        <v/>
      </c>
      <c r="Y156" s="13">
        <f>IF(M156="Returned",1,0)</f>
        <v/>
      </c>
    </row>
    <row r="157">
      <c r="A157" s="13" t="inlineStr">
        <is>
          <t>HC-100155</t>
        </is>
      </c>
      <c r="B157" s="18" t="n">
        <v>45323</v>
      </c>
      <c r="C157" s="13" t="inlineStr">
        <is>
          <t>North</t>
        </is>
      </c>
      <c r="D157" s="13" t="inlineStr">
        <is>
          <t>Store</t>
        </is>
      </c>
      <c r="E157" s="13" t="inlineStr">
        <is>
          <t>Textiles</t>
        </is>
      </c>
      <c r="F157" s="13" t="inlineStr">
        <is>
          <t>Wool Throw</t>
        </is>
      </c>
      <c r="G157" s="13" t="inlineStr">
        <is>
          <t>Corporate</t>
        </is>
      </c>
      <c r="H157" s="13" t="n">
        <v>1</v>
      </c>
      <c r="I157" s="14" t="n">
        <v>70.08</v>
      </c>
      <c r="J157" s="15" t="n">
        <v>0.05</v>
      </c>
      <c r="K157" s="14" t="n">
        <v>29.43</v>
      </c>
      <c r="L157" s="13" t="n">
        <v>6</v>
      </c>
      <c r="M157" s="13" t="inlineStr">
        <is>
          <t>Completed</t>
        </is>
      </c>
      <c r="N157" s="13" t="inlineStr">
        <is>
          <t>P. Rossi</t>
        </is>
      </c>
      <c r="O157" s="13" t="inlineStr">
        <is>
          <t>No</t>
        </is>
      </c>
      <c r="P157" s="14">
        <f>H157*I157</f>
        <v/>
      </c>
      <c r="Q157" s="14">
        <f>P157*(1-J157)</f>
        <v/>
      </c>
      <c r="R157" s="14">
        <f>H157*K157</f>
        <v/>
      </c>
      <c r="S157" s="15">
        <f>IF(Q157=0,"",(Q157-R157)/Q157)</f>
        <v/>
      </c>
      <c r="T157" s="13">
        <f>YEAR(B157)</f>
        <v/>
      </c>
      <c r="U157" s="13">
        <f>YEAR(B157)&amp;"-Q"&amp;ROUNDUP(MONTH(B157)/3,0)</f>
        <v/>
      </c>
      <c r="V157" s="13">
        <f>TEXT(B157,"YYYY-MM")</f>
        <v/>
      </c>
      <c r="W157" s="13">
        <f>IF(L157="","",IF(L157&gt;pLateDays,1,0))</f>
        <v/>
      </c>
      <c r="X157" s="13">
        <f>IF(Q157&gt;=pHighCutoff,1,0)</f>
        <v/>
      </c>
      <c r="Y157" s="13">
        <f>IF(M157="Returned",1,0)</f>
        <v/>
      </c>
    </row>
    <row r="158">
      <c r="A158" s="13" t="inlineStr">
        <is>
          <t>HC-100156</t>
        </is>
      </c>
      <c r="B158" s="18" t="n">
        <v>45500</v>
      </c>
      <c r="C158" s="13" t="inlineStr">
        <is>
          <t>West</t>
        </is>
      </c>
      <c r="D158" s="13" t="inlineStr">
        <is>
          <t>Store</t>
        </is>
      </c>
      <c r="E158" s="13" t="inlineStr">
        <is>
          <t>Furniture</t>
        </is>
      </c>
      <c r="F158" s="13" t="inlineStr">
        <is>
          <t>Lounge Chair</t>
        </is>
      </c>
      <c r="G158" s="13" t="inlineStr">
        <is>
          <t>Consumer</t>
        </is>
      </c>
      <c r="H158" s="13" t="n">
        <v>1</v>
      </c>
      <c r="I158" s="14" t="n">
        <v>447.1</v>
      </c>
      <c r="J158" s="15" t="n">
        <v>0.07000000000000001</v>
      </c>
      <c r="K158" s="14" t="n">
        <v>268.26</v>
      </c>
      <c r="L158" s="13" t="n">
        <v>5</v>
      </c>
      <c r="M158" s="13" t="inlineStr">
        <is>
          <t>Returned</t>
        </is>
      </c>
      <c r="N158" s="13" t="inlineStr">
        <is>
          <t>A. Shah</t>
        </is>
      </c>
      <c r="O158" s="13" t="inlineStr">
        <is>
          <t>No</t>
        </is>
      </c>
      <c r="P158" s="14">
        <f>H158*I158</f>
        <v/>
      </c>
      <c r="Q158" s="14">
        <f>P158*(1-J158)</f>
        <v/>
      </c>
      <c r="R158" s="14">
        <f>H158*K158</f>
        <v/>
      </c>
      <c r="S158" s="15">
        <f>IF(Q158=0,"",(Q158-R158)/Q158)</f>
        <v/>
      </c>
      <c r="T158" s="13">
        <f>YEAR(B158)</f>
        <v/>
      </c>
      <c r="U158" s="13">
        <f>YEAR(B158)&amp;"-Q"&amp;ROUNDUP(MONTH(B158)/3,0)</f>
        <v/>
      </c>
      <c r="V158" s="13">
        <f>TEXT(B158,"YYYY-MM")</f>
        <v/>
      </c>
      <c r="W158" s="13">
        <f>IF(L158="","",IF(L158&gt;pLateDays,1,0))</f>
        <v/>
      </c>
      <c r="X158" s="13">
        <f>IF(Q158&gt;=pHighCutoff,1,0)</f>
        <v/>
      </c>
      <c r="Y158" s="13">
        <f>IF(M158="Returned",1,0)</f>
        <v/>
      </c>
    </row>
    <row r="159">
      <c r="A159" s="13" t="inlineStr">
        <is>
          <t>HC-100157</t>
        </is>
      </c>
      <c r="B159" s="18" t="n">
        <v>45649</v>
      </c>
      <c r="C159" s="13" t="inlineStr">
        <is>
          <t>West</t>
        </is>
      </c>
      <c r="D159" s="13" t="inlineStr">
        <is>
          <t>Store</t>
        </is>
      </c>
      <c r="E159" s="13" t="inlineStr">
        <is>
          <t>Kitchen</t>
        </is>
      </c>
      <c r="F159" s="13" t="inlineStr">
        <is>
          <t>Cast Skillet</t>
        </is>
      </c>
      <c r="G159" s="13" t="inlineStr">
        <is>
          <t>Consumer</t>
        </is>
      </c>
      <c r="H159" s="13" t="n">
        <v>4</v>
      </c>
      <c r="I159" s="14" t="n">
        <v>57.84</v>
      </c>
      <c r="J159" s="15" t="n">
        <v>0.03</v>
      </c>
      <c r="K159" s="14" t="n">
        <v>23.13</v>
      </c>
      <c r="L159" s="13" t="n">
        <v>6</v>
      </c>
      <c r="M159" s="13" t="inlineStr">
        <is>
          <t>Completed</t>
        </is>
      </c>
      <c r="N159" s="13" t="inlineStr">
        <is>
          <t>R. Ibarra</t>
        </is>
      </c>
      <c r="O159" s="13" t="inlineStr">
        <is>
          <t>No</t>
        </is>
      </c>
      <c r="P159" s="14">
        <f>H159*I159</f>
        <v/>
      </c>
      <c r="Q159" s="14">
        <f>P159*(1-J159)</f>
        <v/>
      </c>
      <c r="R159" s="14">
        <f>H159*K159</f>
        <v/>
      </c>
      <c r="S159" s="15">
        <f>IF(Q159=0,"",(Q159-R159)/Q159)</f>
        <v/>
      </c>
      <c r="T159" s="13">
        <f>YEAR(B159)</f>
        <v/>
      </c>
      <c r="U159" s="13">
        <f>YEAR(B159)&amp;"-Q"&amp;ROUNDUP(MONTH(B159)/3,0)</f>
        <v/>
      </c>
      <c r="V159" s="13">
        <f>TEXT(B159,"YYYY-MM")</f>
        <v/>
      </c>
      <c r="W159" s="13">
        <f>IF(L159="","",IF(L159&gt;pLateDays,1,0))</f>
        <v/>
      </c>
      <c r="X159" s="13">
        <f>IF(Q159&gt;=pHighCutoff,1,0)</f>
        <v/>
      </c>
      <c r="Y159" s="13">
        <f>IF(M159="Returned",1,0)</f>
        <v/>
      </c>
    </row>
    <row r="160">
      <c r="A160" s="13" t="inlineStr">
        <is>
          <t>HC-100158</t>
        </is>
      </c>
      <c r="B160" s="18" t="n">
        <v>45728</v>
      </c>
      <c r="C160" s="13" t="inlineStr">
        <is>
          <t>West</t>
        </is>
      </c>
      <c r="D160" s="13" t="inlineStr">
        <is>
          <t>Online</t>
        </is>
      </c>
      <c r="E160" s="13" t="inlineStr">
        <is>
          <t>Textiles</t>
        </is>
      </c>
      <c r="F160" s="13" t="inlineStr">
        <is>
          <t>Wool Throw</t>
        </is>
      </c>
      <c r="G160" s="13" t="inlineStr">
        <is>
          <t>Consumer</t>
        </is>
      </c>
      <c r="H160" s="13" t="n">
        <v>2</v>
      </c>
      <c r="I160" s="14" t="n">
        <v>70.39</v>
      </c>
      <c r="J160" s="15" t="n">
        <v>0.03</v>
      </c>
      <c r="K160" s="14" t="n">
        <v>29.57</v>
      </c>
      <c r="L160" s="13" t="n">
        <v>7</v>
      </c>
      <c r="M160" s="13" t="inlineStr">
        <is>
          <t>Completed</t>
        </is>
      </c>
      <c r="N160" s="13" t="inlineStr">
        <is>
          <t>L. Berger</t>
        </is>
      </c>
      <c r="O160" s="13" t="inlineStr">
        <is>
          <t>No</t>
        </is>
      </c>
      <c r="P160" s="14">
        <f>H160*I160</f>
        <v/>
      </c>
      <c r="Q160" s="14">
        <f>P160*(1-J160)</f>
        <v/>
      </c>
      <c r="R160" s="14">
        <f>H160*K160</f>
        <v/>
      </c>
      <c r="S160" s="15">
        <f>IF(Q160=0,"",(Q160-R160)/Q160)</f>
        <v/>
      </c>
      <c r="T160" s="13">
        <f>YEAR(B160)</f>
        <v/>
      </c>
      <c r="U160" s="13">
        <f>YEAR(B160)&amp;"-Q"&amp;ROUNDUP(MONTH(B160)/3,0)</f>
        <v/>
      </c>
      <c r="V160" s="13">
        <f>TEXT(B160,"YYYY-MM")</f>
        <v/>
      </c>
      <c r="W160" s="13">
        <f>IF(L160="","",IF(L160&gt;pLateDays,1,0))</f>
        <v/>
      </c>
      <c r="X160" s="13">
        <f>IF(Q160&gt;=pHighCutoff,1,0)</f>
        <v/>
      </c>
      <c r="Y160" s="13">
        <f>IF(M160="Returned",1,0)</f>
        <v/>
      </c>
    </row>
    <row r="161">
      <c r="A161" s="13" t="inlineStr">
        <is>
          <t>HC-100159</t>
        </is>
      </c>
      <c r="B161" s="18" t="n">
        <v>45728</v>
      </c>
      <c r="C161" s="13" t="inlineStr">
        <is>
          <t>East</t>
        </is>
      </c>
      <c r="D161" s="13" t="inlineStr">
        <is>
          <t>Store</t>
        </is>
      </c>
      <c r="E161" s="13" t="inlineStr">
        <is>
          <t>Lighting</t>
        </is>
      </c>
      <c r="F161" s="13" t="inlineStr">
        <is>
          <t>Arc Lamp</t>
        </is>
      </c>
      <c r="G161" s="13" t="inlineStr">
        <is>
          <t>Consumer</t>
        </is>
      </c>
      <c r="H161" s="13" t="n">
        <v>4</v>
      </c>
      <c r="I161" s="14" t="n">
        <v>294.85</v>
      </c>
      <c r="J161" s="15" t="n">
        <v>0</v>
      </c>
      <c r="K161" s="14" t="n">
        <v>141.53</v>
      </c>
      <c r="L161" s="13" t="n">
        <v>8</v>
      </c>
      <c r="M161" s="13" t="inlineStr">
        <is>
          <t>Completed</t>
        </is>
      </c>
      <c r="N161" s="13" t="inlineStr">
        <is>
          <t>S. Nguyen</t>
        </is>
      </c>
      <c r="O161" s="13" t="inlineStr">
        <is>
          <t>No</t>
        </is>
      </c>
      <c r="P161" s="14">
        <f>H161*I161</f>
        <v/>
      </c>
      <c r="Q161" s="14">
        <f>P161*(1-J161)</f>
        <v/>
      </c>
      <c r="R161" s="14">
        <f>H161*K161</f>
        <v/>
      </c>
      <c r="S161" s="15">
        <f>IF(Q161=0,"",(Q161-R161)/Q161)</f>
        <v/>
      </c>
      <c r="T161" s="13">
        <f>YEAR(B161)</f>
        <v/>
      </c>
      <c r="U161" s="13">
        <f>YEAR(B161)&amp;"-Q"&amp;ROUNDUP(MONTH(B161)/3,0)</f>
        <v/>
      </c>
      <c r="V161" s="13">
        <f>TEXT(B161,"YYYY-MM")</f>
        <v/>
      </c>
      <c r="W161" s="13">
        <f>IF(L161="","",IF(L161&gt;pLateDays,1,0))</f>
        <v/>
      </c>
      <c r="X161" s="13">
        <f>IF(Q161&gt;=pHighCutoff,1,0)</f>
        <v/>
      </c>
      <c r="Y161" s="13">
        <f>IF(M161="Returned",1,0)</f>
        <v/>
      </c>
    </row>
    <row r="162">
      <c r="A162" s="13" t="inlineStr">
        <is>
          <t>HC-100160</t>
        </is>
      </c>
      <c r="B162" s="18" t="n">
        <v>45870</v>
      </c>
      <c r="C162" s="13" t="inlineStr">
        <is>
          <t>South</t>
        </is>
      </c>
      <c r="D162" s="13" t="inlineStr">
        <is>
          <t>Store</t>
        </is>
      </c>
      <c r="E162" s="13" t="inlineStr">
        <is>
          <t>Furniture</t>
        </is>
      </c>
      <c r="F162" s="13" t="inlineStr">
        <is>
          <t>Linen Sofa</t>
        </is>
      </c>
      <c r="G162" s="13" t="inlineStr">
        <is>
          <t>Consumer</t>
        </is>
      </c>
      <c r="H162" s="13" t="n">
        <v>3</v>
      </c>
      <c r="I162" s="14" t="n">
        <v>1155.67</v>
      </c>
      <c r="J162" s="15" t="n">
        <v>0.12</v>
      </c>
      <c r="K162" s="14" t="n">
        <v>762.74</v>
      </c>
      <c r="L162" s="13" t="n">
        <v>8</v>
      </c>
      <c r="M162" s="13" t="inlineStr">
        <is>
          <t>Completed</t>
        </is>
      </c>
      <c r="N162" s="13" t="inlineStr">
        <is>
          <t>P. Rossi</t>
        </is>
      </c>
      <c r="O162" s="13" t="inlineStr">
        <is>
          <t>No</t>
        </is>
      </c>
      <c r="P162" s="14">
        <f>H162*I162</f>
        <v/>
      </c>
      <c r="Q162" s="14">
        <f>P162*(1-J162)</f>
        <v/>
      </c>
      <c r="R162" s="14">
        <f>H162*K162</f>
        <v/>
      </c>
      <c r="S162" s="15">
        <f>IF(Q162=0,"",(Q162-R162)/Q162)</f>
        <v/>
      </c>
      <c r="T162" s="13">
        <f>YEAR(B162)</f>
        <v/>
      </c>
      <c r="U162" s="13">
        <f>YEAR(B162)&amp;"-Q"&amp;ROUNDUP(MONTH(B162)/3,0)</f>
        <v/>
      </c>
      <c r="V162" s="13">
        <f>TEXT(B162,"YYYY-MM")</f>
        <v/>
      </c>
      <c r="W162" s="13">
        <f>IF(L162="","",IF(L162&gt;pLateDays,1,0))</f>
        <v/>
      </c>
      <c r="X162" s="13">
        <f>IF(Q162&gt;=pHighCutoff,1,0)</f>
        <v/>
      </c>
      <c r="Y162" s="13">
        <f>IF(M162="Returned",1,0)</f>
        <v/>
      </c>
    </row>
    <row r="163">
      <c r="A163" s="13" t="inlineStr">
        <is>
          <t>HC-100161</t>
        </is>
      </c>
      <c r="B163" s="18" t="n">
        <v>45618</v>
      </c>
      <c r="C163" s="13" t="inlineStr">
        <is>
          <t>East</t>
        </is>
      </c>
      <c r="D163" s="13" t="inlineStr">
        <is>
          <t>Store</t>
        </is>
      </c>
      <c r="E163" s="13" t="inlineStr">
        <is>
          <t>Lighting</t>
        </is>
      </c>
      <c r="F163" s="13" t="inlineStr">
        <is>
          <t>Arc Lamp</t>
        </is>
      </c>
      <c r="G163" s="13" t="inlineStr">
        <is>
          <t>Consumer</t>
        </is>
      </c>
      <c r="H163" s="13" t="n">
        <v>4</v>
      </c>
      <c r="I163" s="14" t="n">
        <v>267.04</v>
      </c>
      <c r="J163" s="15" t="n">
        <v>0.04</v>
      </c>
      <c r="K163" s="14" t="n">
        <v>128.18</v>
      </c>
      <c r="L163" s="13" t="n">
        <v>8</v>
      </c>
      <c r="M163" s="13" t="inlineStr">
        <is>
          <t>Completed</t>
        </is>
      </c>
      <c r="N163" s="13" t="inlineStr">
        <is>
          <t>A. Shah</t>
        </is>
      </c>
      <c r="O163" s="13" t="inlineStr">
        <is>
          <t>No</t>
        </is>
      </c>
      <c r="P163" s="14">
        <f>H163*I163</f>
        <v/>
      </c>
      <c r="Q163" s="14">
        <f>P163*(1-J163)</f>
        <v/>
      </c>
      <c r="R163" s="14">
        <f>H163*K163</f>
        <v/>
      </c>
      <c r="S163" s="15">
        <f>IF(Q163=0,"",(Q163-R163)/Q163)</f>
        <v/>
      </c>
      <c r="T163" s="13">
        <f>YEAR(B163)</f>
        <v/>
      </c>
      <c r="U163" s="13">
        <f>YEAR(B163)&amp;"-Q"&amp;ROUNDUP(MONTH(B163)/3,0)</f>
        <v/>
      </c>
      <c r="V163" s="13">
        <f>TEXT(B163,"YYYY-MM")</f>
        <v/>
      </c>
      <c r="W163" s="13">
        <f>IF(L163="","",IF(L163&gt;pLateDays,1,0))</f>
        <v/>
      </c>
      <c r="X163" s="13">
        <f>IF(Q163&gt;=pHighCutoff,1,0)</f>
        <v/>
      </c>
      <c r="Y163" s="13">
        <f>IF(M163="Returned",1,0)</f>
        <v/>
      </c>
    </row>
    <row r="164">
      <c r="A164" s="13" t="inlineStr">
        <is>
          <t>HC-100162</t>
        </is>
      </c>
      <c r="B164" s="18" t="n">
        <v>45830</v>
      </c>
      <c r="C164" s="13" t="inlineStr">
        <is>
          <t>East</t>
        </is>
      </c>
      <c r="D164" s="13" t="inlineStr">
        <is>
          <t>Wholesale</t>
        </is>
      </c>
      <c r="E164" s="13" t="inlineStr">
        <is>
          <t>Furniture</t>
        </is>
      </c>
      <c r="F164" s="13" t="inlineStr">
        <is>
          <t>Walnut Shelf</t>
        </is>
      </c>
      <c r="G164" s="13" t="inlineStr">
        <is>
          <t>Consumer</t>
        </is>
      </c>
      <c r="H164" s="13" t="n">
        <v>28</v>
      </c>
      <c r="I164" s="14" t="n">
        <v>192.58</v>
      </c>
      <c r="J164" s="15" t="n">
        <v>0.23</v>
      </c>
      <c r="K164" s="14" t="n">
        <v>105.92</v>
      </c>
      <c r="L164" s="13" t="n">
        <v>8</v>
      </c>
      <c r="M164" s="13" t="inlineStr">
        <is>
          <t>Completed</t>
        </is>
      </c>
      <c r="N164" s="13" t="inlineStr">
        <is>
          <t>A. Shah</t>
        </is>
      </c>
      <c r="O164" s="13" t="inlineStr">
        <is>
          <t>No</t>
        </is>
      </c>
      <c r="P164" s="14">
        <f>H164*I164</f>
        <v/>
      </c>
      <c r="Q164" s="14">
        <f>P164*(1-J164)</f>
        <v/>
      </c>
      <c r="R164" s="14">
        <f>H164*K164</f>
        <v/>
      </c>
      <c r="S164" s="15">
        <f>IF(Q164=0,"",(Q164-R164)/Q164)</f>
        <v/>
      </c>
      <c r="T164" s="13">
        <f>YEAR(B164)</f>
        <v/>
      </c>
      <c r="U164" s="13">
        <f>YEAR(B164)&amp;"-Q"&amp;ROUNDUP(MONTH(B164)/3,0)</f>
        <v/>
      </c>
      <c r="V164" s="13">
        <f>TEXT(B164,"YYYY-MM")</f>
        <v/>
      </c>
      <c r="W164" s="13">
        <f>IF(L164="","",IF(L164&gt;pLateDays,1,0))</f>
        <v/>
      </c>
      <c r="X164" s="13">
        <f>IF(Q164&gt;=pHighCutoff,1,0)</f>
        <v/>
      </c>
      <c r="Y164" s="13">
        <f>IF(M164="Returned",1,0)</f>
        <v/>
      </c>
    </row>
    <row r="165">
      <c r="A165" s="13" t="inlineStr">
        <is>
          <t>HC-100163</t>
        </is>
      </c>
      <c r="B165" s="18" t="n">
        <v>45742</v>
      </c>
      <c r="C165" s="13" t="inlineStr">
        <is>
          <t>North</t>
        </is>
      </c>
      <c r="D165" s="13" t="inlineStr">
        <is>
          <t>Store</t>
        </is>
      </c>
      <c r="E165" s="13" t="inlineStr">
        <is>
          <t>Kitchen</t>
        </is>
      </c>
      <c r="F165" s="13" t="inlineStr">
        <is>
          <t>Chef Knife</t>
        </is>
      </c>
      <c r="G165" s="13" t="inlineStr">
        <is>
          <t>Consumer</t>
        </is>
      </c>
      <c r="H165" s="13" t="n">
        <v>3</v>
      </c>
      <c r="I165" s="14" t="n">
        <v>68.12</v>
      </c>
      <c r="J165" s="15" t="n">
        <v>0.11</v>
      </c>
      <c r="K165" s="14" t="n">
        <v>24.52</v>
      </c>
      <c r="L165" s="13" t="n">
        <v>6</v>
      </c>
      <c r="M165" s="13" t="inlineStr">
        <is>
          <t>Completed</t>
        </is>
      </c>
      <c r="N165" s="13" t="inlineStr">
        <is>
          <t>K. Mensah</t>
        </is>
      </c>
      <c r="O165" s="13" t="inlineStr">
        <is>
          <t>No</t>
        </is>
      </c>
      <c r="P165" s="14">
        <f>H165*I165</f>
        <v/>
      </c>
      <c r="Q165" s="14">
        <f>P165*(1-J165)</f>
        <v/>
      </c>
      <c r="R165" s="14">
        <f>H165*K165</f>
        <v/>
      </c>
      <c r="S165" s="15">
        <f>IF(Q165=0,"",(Q165-R165)/Q165)</f>
        <v/>
      </c>
      <c r="T165" s="13">
        <f>YEAR(B165)</f>
        <v/>
      </c>
      <c r="U165" s="13">
        <f>YEAR(B165)&amp;"-Q"&amp;ROUNDUP(MONTH(B165)/3,0)</f>
        <v/>
      </c>
      <c r="V165" s="13">
        <f>TEXT(B165,"YYYY-MM")</f>
        <v/>
      </c>
      <c r="W165" s="13">
        <f>IF(L165="","",IF(L165&gt;pLateDays,1,0))</f>
        <v/>
      </c>
      <c r="X165" s="13">
        <f>IF(Q165&gt;=pHighCutoff,1,0)</f>
        <v/>
      </c>
      <c r="Y165" s="13">
        <f>IF(M165="Returned",1,0)</f>
        <v/>
      </c>
    </row>
    <row r="166">
      <c r="A166" s="13" t="inlineStr">
        <is>
          <t>HC-100164</t>
        </is>
      </c>
      <c r="B166" s="18" t="n">
        <v>45635</v>
      </c>
      <c r="C166" s="13" t="inlineStr">
        <is>
          <t>South</t>
        </is>
      </c>
      <c r="D166" s="13" t="inlineStr">
        <is>
          <t>Online</t>
        </is>
      </c>
      <c r="E166" s="13" t="inlineStr">
        <is>
          <t>Lighting</t>
        </is>
      </c>
      <c r="F166" s="13" t="inlineStr">
        <is>
          <t>Brass Sconce</t>
        </is>
      </c>
      <c r="G166" s="13" t="inlineStr">
        <is>
          <t>Corporate</t>
        </is>
      </c>
      <c r="H166" s="13" t="n">
        <v>4</v>
      </c>
      <c r="I166" s="14" t="n">
        <v>149.68</v>
      </c>
      <c r="J166" s="15" t="n">
        <v>0.17</v>
      </c>
      <c r="K166" s="14" t="n">
        <v>68.84999999999999</v>
      </c>
      <c r="L166" s="13" t="n"/>
      <c r="M166" s="13" t="inlineStr">
        <is>
          <t>Completed</t>
        </is>
      </c>
      <c r="N166" s="13" t="inlineStr">
        <is>
          <t>A. Shah</t>
        </is>
      </c>
      <c r="O166" s="13" t="inlineStr">
        <is>
          <t>No</t>
        </is>
      </c>
      <c r="P166" s="14">
        <f>H166*I166</f>
        <v/>
      </c>
      <c r="Q166" s="14">
        <f>P166*(1-J166)</f>
        <v/>
      </c>
      <c r="R166" s="14">
        <f>H166*K166</f>
        <v/>
      </c>
      <c r="S166" s="15">
        <f>IF(Q166=0,"",(Q166-R166)/Q166)</f>
        <v/>
      </c>
      <c r="T166" s="13">
        <f>YEAR(B166)</f>
        <v/>
      </c>
      <c r="U166" s="13">
        <f>YEAR(B166)&amp;"-Q"&amp;ROUNDUP(MONTH(B166)/3,0)</f>
        <v/>
      </c>
      <c r="V166" s="13">
        <f>TEXT(B166,"YYYY-MM")</f>
        <v/>
      </c>
      <c r="W166" s="13">
        <f>IF(L166="","",IF(L166&gt;pLateDays,1,0))</f>
        <v/>
      </c>
      <c r="X166" s="13">
        <f>IF(Q166&gt;=pHighCutoff,1,0)</f>
        <v/>
      </c>
      <c r="Y166" s="13">
        <f>IF(M166="Returned",1,0)</f>
        <v/>
      </c>
    </row>
    <row r="167">
      <c r="A167" s="13" t="inlineStr">
        <is>
          <t>HC-100165</t>
        </is>
      </c>
      <c r="B167" s="18" t="n">
        <v>45683</v>
      </c>
      <c r="C167" s="13" t="inlineStr">
        <is>
          <t>North</t>
        </is>
      </c>
      <c r="D167" s="13" t="inlineStr">
        <is>
          <t>Online</t>
        </is>
      </c>
      <c r="E167" s="13" t="inlineStr">
        <is>
          <t>Textiles</t>
        </is>
      </c>
      <c r="F167" s="13" t="inlineStr">
        <is>
          <t>Linen Curtain</t>
        </is>
      </c>
      <c r="G167" s="13" t="inlineStr">
        <is>
          <t>Consumer</t>
        </is>
      </c>
      <c r="H167" s="13" t="n">
        <v>3</v>
      </c>
      <c r="I167" s="14" t="n">
        <v>100.38</v>
      </c>
      <c r="J167" s="15" t="n">
        <v>0.08</v>
      </c>
      <c r="K167" s="14" t="n">
        <v>45.17</v>
      </c>
      <c r="L167" s="13" t="n">
        <v>8</v>
      </c>
      <c r="M167" s="13" t="inlineStr">
        <is>
          <t>Completed</t>
        </is>
      </c>
      <c r="N167" s="13" t="inlineStr">
        <is>
          <t>S. Nguyen</t>
        </is>
      </c>
      <c r="O167" s="13" t="inlineStr">
        <is>
          <t>No</t>
        </is>
      </c>
      <c r="P167" s="14">
        <f>H167*I167</f>
        <v/>
      </c>
      <c r="Q167" s="14">
        <f>P167*(1-J167)</f>
        <v/>
      </c>
      <c r="R167" s="14">
        <f>H167*K167</f>
        <v/>
      </c>
      <c r="S167" s="15">
        <f>IF(Q167=0,"",(Q167-R167)/Q167)</f>
        <v/>
      </c>
      <c r="T167" s="13">
        <f>YEAR(B167)</f>
        <v/>
      </c>
      <c r="U167" s="13">
        <f>YEAR(B167)&amp;"-Q"&amp;ROUNDUP(MONTH(B167)/3,0)</f>
        <v/>
      </c>
      <c r="V167" s="13">
        <f>TEXT(B167,"YYYY-MM")</f>
        <v/>
      </c>
      <c r="W167" s="13">
        <f>IF(L167="","",IF(L167&gt;pLateDays,1,0))</f>
        <v/>
      </c>
      <c r="X167" s="13">
        <f>IF(Q167&gt;=pHighCutoff,1,0)</f>
        <v/>
      </c>
      <c r="Y167" s="13">
        <f>IF(M167="Returned",1,0)</f>
        <v/>
      </c>
    </row>
    <row r="168">
      <c r="A168" s="13" t="inlineStr">
        <is>
          <t>HC-100166</t>
        </is>
      </c>
      <c r="B168" s="18" t="n">
        <v>45889</v>
      </c>
      <c r="C168" s="13" t="inlineStr">
        <is>
          <t>West</t>
        </is>
      </c>
      <c r="D168" s="13" t="inlineStr">
        <is>
          <t>Online</t>
        </is>
      </c>
      <c r="E168" s="13" t="inlineStr">
        <is>
          <t>Furniture</t>
        </is>
      </c>
      <c r="F168" s="13" t="inlineStr">
        <is>
          <t>Oak Desk</t>
        </is>
      </c>
      <c r="G168" s="13" t="inlineStr">
        <is>
          <t>Consumer</t>
        </is>
      </c>
      <c r="H168" s="13" t="n">
        <v>2</v>
      </c>
      <c r="I168" s="14" t="n">
        <v>842.8</v>
      </c>
      <c r="J168" s="15" t="n">
        <v>0.14</v>
      </c>
      <c r="K168" s="14" t="n">
        <v>522.54</v>
      </c>
      <c r="L168" s="13" t="n">
        <v>9</v>
      </c>
      <c r="M168" s="13" t="inlineStr">
        <is>
          <t>Completed</t>
        </is>
      </c>
      <c r="N168" s="13" t="inlineStr">
        <is>
          <t>K. Mensah</t>
        </is>
      </c>
      <c r="O168" s="13" t="inlineStr">
        <is>
          <t>No</t>
        </is>
      </c>
      <c r="P168" s="14">
        <f>H168*I168</f>
        <v/>
      </c>
      <c r="Q168" s="14">
        <f>P168*(1-J168)</f>
        <v/>
      </c>
      <c r="R168" s="14">
        <f>H168*K168</f>
        <v/>
      </c>
      <c r="S168" s="15">
        <f>IF(Q168=0,"",(Q168-R168)/Q168)</f>
        <v/>
      </c>
      <c r="T168" s="13">
        <f>YEAR(B168)</f>
        <v/>
      </c>
      <c r="U168" s="13">
        <f>YEAR(B168)&amp;"-Q"&amp;ROUNDUP(MONTH(B168)/3,0)</f>
        <v/>
      </c>
      <c r="V168" s="13">
        <f>TEXT(B168,"YYYY-MM")</f>
        <v/>
      </c>
      <c r="W168" s="13">
        <f>IF(L168="","",IF(L168&gt;pLateDays,1,0))</f>
        <v/>
      </c>
      <c r="X168" s="13">
        <f>IF(Q168&gt;=pHighCutoff,1,0)</f>
        <v/>
      </c>
      <c r="Y168" s="13">
        <f>IF(M168="Returned",1,0)</f>
        <v/>
      </c>
    </row>
    <row r="169">
      <c r="A169" s="13" t="inlineStr">
        <is>
          <t>HC-100167</t>
        </is>
      </c>
      <c r="B169" s="18" t="n">
        <v>45652</v>
      </c>
      <c r="C169" s="13" t="inlineStr">
        <is>
          <t>North</t>
        </is>
      </c>
      <c r="D169" s="13" t="inlineStr">
        <is>
          <t>Store</t>
        </is>
      </c>
      <c r="E169" s="13" t="inlineStr">
        <is>
          <t>Kitchen</t>
        </is>
      </c>
      <c r="F169" s="13" t="inlineStr">
        <is>
          <t>Cast Skillet</t>
        </is>
      </c>
      <c r="G169" s="13" t="inlineStr">
        <is>
          <t>Consumer</t>
        </is>
      </c>
      <c r="H169" s="13" t="n">
        <v>4</v>
      </c>
      <c r="I169" s="14" t="n">
        <v>51.63</v>
      </c>
      <c r="J169" s="15" t="n">
        <v>0.11</v>
      </c>
      <c r="K169" s="14" t="n">
        <v>20.65</v>
      </c>
      <c r="L169" s="13" t="n">
        <v>3</v>
      </c>
      <c r="M169" s="13" t="inlineStr">
        <is>
          <t>Completed</t>
        </is>
      </c>
      <c r="N169" s="13" t="inlineStr">
        <is>
          <t>J. Patel</t>
        </is>
      </c>
      <c r="O169" s="13" t="inlineStr">
        <is>
          <t>No</t>
        </is>
      </c>
      <c r="P169" s="14">
        <f>H169*I169</f>
        <v/>
      </c>
      <c r="Q169" s="14">
        <f>P169*(1-J169)</f>
        <v/>
      </c>
      <c r="R169" s="14">
        <f>H169*K169</f>
        <v/>
      </c>
      <c r="S169" s="15">
        <f>IF(Q169=0,"",(Q169-R169)/Q169)</f>
        <v/>
      </c>
      <c r="T169" s="13">
        <f>YEAR(B169)</f>
        <v/>
      </c>
      <c r="U169" s="13">
        <f>YEAR(B169)&amp;"-Q"&amp;ROUNDUP(MONTH(B169)/3,0)</f>
        <v/>
      </c>
      <c r="V169" s="13">
        <f>TEXT(B169,"YYYY-MM")</f>
        <v/>
      </c>
      <c r="W169" s="13">
        <f>IF(L169="","",IF(L169&gt;pLateDays,1,0))</f>
        <v/>
      </c>
      <c r="X169" s="13">
        <f>IF(Q169&gt;=pHighCutoff,1,0)</f>
        <v/>
      </c>
      <c r="Y169" s="13">
        <f>IF(M169="Returned",1,0)</f>
        <v/>
      </c>
    </row>
    <row r="170">
      <c r="A170" s="13" t="inlineStr">
        <is>
          <t>HC-100168</t>
        </is>
      </c>
      <c r="B170" s="18" t="n">
        <v>45671</v>
      </c>
      <c r="C170" s="13" t="inlineStr">
        <is>
          <t>West</t>
        </is>
      </c>
      <c r="D170" s="13" t="inlineStr">
        <is>
          <t>Online</t>
        </is>
      </c>
      <c r="E170" s="13" t="inlineStr">
        <is>
          <t>Kitchen</t>
        </is>
      </c>
      <c r="F170" s="13" t="inlineStr">
        <is>
          <t>Chef Knife</t>
        </is>
      </c>
      <c r="G170" s="13" t="inlineStr">
        <is>
          <t>Corporate</t>
        </is>
      </c>
      <c r="H170" s="13" t="n">
        <v>3</v>
      </c>
      <c r="I170" s="14" t="n">
        <v>67.2</v>
      </c>
      <c r="J170" s="15" t="n">
        <v>0.18</v>
      </c>
      <c r="K170" s="14" t="n">
        <v>24.19</v>
      </c>
      <c r="L170" s="13" t="n">
        <v>8</v>
      </c>
      <c r="M170" s="13" t="inlineStr">
        <is>
          <t>Completed</t>
        </is>
      </c>
      <c r="N170" s="13" t="inlineStr">
        <is>
          <t>M. Okonkwo</t>
        </is>
      </c>
      <c r="O170" s="13" t="inlineStr">
        <is>
          <t>No</t>
        </is>
      </c>
      <c r="P170" s="14">
        <f>H170*I170</f>
        <v/>
      </c>
      <c r="Q170" s="14">
        <f>P170*(1-J170)</f>
        <v/>
      </c>
      <c r="R170" s="14">
        <f>H170*K170</f>
        <v/>
      </c>
      <c r="S170" s="15">
        <f>IF(Q170=0,"",(Q170-R170)/Q170)</f>
        <v/>
      </c>
      <c r="T170" s="13">
        <f>YEAR(B170)</f>
        <v/>
      </c>
      <c r="U170" s="13">
        <f>YEAR(B170)&amp;"-Q"&amp;ROUNDUP(MONTH(B170)/3,0)</f>
        <v/>
      </c>
      <c r="V170" s="13">
        <f>TEXT(B170,"YYYY-MM")</f>
        <v/>
      </c>
      <c r="W170" s="13">
        <f>IF(L170="","",IF(L170&gt;pLateDays,1,0))</f>
        <v/>
      </c>
      <c r="X170" s="13">
        <f>IF(Q170&gt;=pHighCutoff,1,0)</f>
        <v/>
      </c>
      <c r="Y170" s="13">
        <f>IF(M170="Returned",1,0)</f>
        <v/>
      </c>
    </row>
    <row r="171">
      <c r="A171" s="13" t="inlineStr">
        <is>
          <t>HC-100169</t>
        </is>
      </c>
      <c r="B171" s="18" t="n">
        <v>45787</v>
      </c>
      <c r="C171" s="13" t="inlineStr">
        <is>
          <t>West</t>
        </is>
      </c>
      <c r="D171" s="13" t="inlineStr">
        <is>
          <t>Store</t>
        </is>
      </c>
      <c r="E171" s="13" t="inlineStr">
        <is>
          <t>Textiles</t>
        </is>
      </c>
      <c r="F171" s="13" t="inlineStr">
        <is>
          <t>Cotton Duvet</t>
        </is>
      </c>
      <c r="G171" s="13" t="inlineStr">
        <is>
          <t>Consumer</t>
        </is>
      </c>
      <c r="H171" s="13" t="n">
        <v>4</v>
      </c>
      <c r="I171" s="14" t="n">
        <v>117.9</v>
      </c>
      <c r="J171" s="15" t="n">
        <v>0.1</v>
      </c>
      <c r="K171" s="14" t="n">
        <v>51.87</v>
      </c>
      <c r="L171" s="13" t="n">
        <v>5</v>
      </c>
      <c r="M171" s="13" t="inlineStr">
        <is>
          <t>Completed</t>
        </is>
      </c>
      <c r="N171" s="13" t="inlineStr">
        <is>
          <t>R. Ibarra</t>
        </is>
      </c>
      <c r="O171" s="13" t="inlineStr">
        <is>
          <t>No</t>
        </is>
      </c>
      <c r="P171" s="14">
        <f>H171*I171</f>
        <v/>
      </c>
      <c r="Q171" s="14">
        <f>P171*(1-J171)</f>
        <v/>
      </c>
      <c r="R171" s="14">
        <f>H171*K171</f>
        <v/>
      </c>
      <c r="S171" s="15">
        <f>IF(Q171=0,"",(Q171-R171)/Q171)</f>
        <v/>
      </c>
      <c r="T171" s="13">
        <f>YEAR(B171)</f>
        <v/>
      </c>
      <c r="U171" s="13">
        <f>YEAR(B171)&amp;"-Q"&amp;ROUNDUP(MONTH(B171)/3,0)</f>
        <v/>
      </c>
      <c r="V171" s="13">
        <f>TEXT(B171,"YYYY-MM")</f>
        <v/>
      </c>
      <c r="W171" s="13">
        <f>IF(L171="","",IF(L171&gt;pLateDays,1,0))</f>
        <v/>
      </c>
      <c r="X171" s="13">
        <f>IF(Q171&gt;=pHighCutoff,1,0)</f>
        <v/>
      </c>
      <c r="Y171" s="13">
        <f>IF(M171="Returned",1,0)</f>
        <v/>
      </c>
    </row>
    <row r="172">
      <c r="A172" s="13" t="inlineStr">
        <is>
          <t>HC-100170</t>
        </is>
      </c>
      <c r="B172" s="18" t="n">
        <v>45383</v>
      </c>
      <c r="C172" s="13" t="inlineStr">
        <is>
          <t>North</t>
        </is>
      </c>
      <c r="D172" s="13" t="inlineStr">
        <is>
          <t>Wholesale</t>
        </is>
      </c>
      <c r="E172" s="13" t="inlineStr">
        <is>
          <t>Furniture</t>
        </is>
      </c>
      <c r="F172" s="13" t="inlineStr">
        <is>
          <t>Walnut Shelf</t>
        </is>
      </c>
      <c r="G172" s="13" t="inlineStr">
        <is>
          <t>Consumer</t>
        </is>
      </c>
      <c r="H172" s="13" t="n">
        <v>22</v>
      </c>
      <c r="I172" s="14" t="n">
        <v>209.4</v>
      </c>
      <c r="J172" s="15" t="n">
        <v>0.17</v>
      </c>
      <c r="K172" s="14" t="n">
        <v>115.17</v>
      </c>
      <c r="L172" s="13" t="n">
        <v>6</v>
      </c>
      <c r="M172" s="13" t="inlineStr">
        <is>
          <t>Completed</t>
        </is>
      </c>
      <c r="N172" s="13" t="inlineStr">
        <is>
          <t>M. Okonkwo</t>
        </is>
      </c>
      <c r="O172" s="13" t="inlineStr">
        <is>
          <t>No</t>
        </is>
      </c>
      <c r="P172" s="14">
        <f>H172*I172</f>
        <v/>
      </c>
      <c r="Q172" s="14">
        <f>P172*(1-J172)</f>
        <v/>
      </c>
      <c r="R172" s="14">
        <f>H172*K172</f>
        <v/>
      </c>
      <c r="S172" s="15">
        <f>IF(Q172=0,"",(Q172-R172)/Q172)</f>
        <v/>
      </c>
      <c r="T172" s="13">
        <f>YEAR(B172)</f>
        <v/>
      </c>
      <c r="U172" s="13">
        <f>YEAR(B172)&amp;"-Q"&amp;ROUNDUP(MONTH(B172)/3,0)</f>
        <v/>
      </c>
      <c r="V172" s="13">
        <f>TEXT(B172,"YYYY-MM")</f>
        <v/>
      </c>
      <c r="W172" s="13">
        <f>IF(L172="","",IF(L172&gt;pLateDays,1,0))</f>
        <v/>
      </c>
      <c r="X172" s="13">
        <f>IF(Q172&gt;=pHighCutoff,1,0)</f>
        <v/>
      </c>
      <c r="Y172" s="13">
        <f>IF(M172="Returned",1,0)</f>
        <v/>
      </c>
    </row>
    <row r="173">
      <c r="A173" s="13" t="inlineStr">
        <is>
          <t>HC-100171</t>
        </is>
      </c>
      <c r="B173" s="18" t="n">
        <v>45496</v>
      </c>
      <c r="C173" s="13" t="inlineStr">
        <is>
          <t>West</t>
        </is>
      </c>
      <c r="D173" s="13" t="inlineStr">
        <is>
          <t>Online</t>
        </is>
      </c>
      <c r="E173" s="13" t="inlineStr">
        <is>
          <t>Textiles</t>
        </is>
      </c>
      <c r="F173" s="13" t="inlineStr">
        <is>
          <t>Cotton Duvet</t>
        </is>
      </c>
      <c r="G173" s="13" t="inlineStr">
        <is>
          <t>Home Office</t>
        </is>
      </c>
      <c r="H173" s="13" t="n">
        <v>3</v>
      </c>
      <c r="I173" s="14" t="n">
        <v>122.74</v>
      </c>
      <c r="J173" s="15" t="n">
        <v>0.13</v>
      </c>
      <c r="K173" s="14" t="n">
        <v>54.01</v>
      </c>
      <c r="L173" s="13" t="n">
        <v>9</v>
      </c>
      <c r="M173" s="13" t="inlineStr">
        <is>
          <t>Completed</t>
        </is>
      </c>
      <c r="N173" s="13" t="inlineStr">
        <is>
          <t>J. Patel</t>
        </is>
      </c>
      <c r="O173" s="13" t="inlineStr">
        <is>
          <t>No</t>
        </is>
      </c>
      <c r="P173" s="14">
        <f>H173*I173</f>
        <v/>
      </c>
      <c r="Q173" s="14">
        <f>P173*(1-J173)</f>
        <v/>
      </c>
      <c r="R173" s="14">
        <f>H173*K173</f>
        <v/>
      </c>
      <c r="S173" s="15">
        <f>IF(Q173=0,"",(Q173-R173)/Q173)</f>
        <v/>
      </c>
      <c r="T173" s="13">
        <f>YEAR(B173)</f>
        <v/>
      </c>
      <c r="U173" s="13">
        <f>YEAR(B173)&amp;"-Q"&amp;ROUNDUP(MONTH(B173)/3,0)</f>
        <v/>
      </c>
      <c r="V173" s="13">
        <f>TEXT(B173,"YYYY-MM")</f>
        <v/>
      </c>
      <c r="W173" s="13">
        <f>IF(L173="","",IF(L173&gt;pLateDays,1,0))</f>
        <v/>
      </c>
      <c r="X173" s="13">
        <f>IF(Q173&gt;=pHighCutoff,1,0)</f>
        <v/>
      </c>
      <c r="Y173" s="13">
        <f>IF(M173="Returned",1,0)</f>
        <v/>
      </c>
    </row>
    <row r="174">
      <c r="A174" s="13" t="inlineStr">
        <is>
          <t>HC-100172</t>
        </is>
      </c>
      <c r="B174" s="18" t="n">
        <v>45828</v>
      </c>
      <c r="C174" s="13" t="inlineStr">
        <is>
          <t>North</t>
        </is>
      </c>
      <c r="D174" s="13" t="inlineStr">
        <is>
          <t>Online</t>
        </is>
      </c>
      <c r="E174" s="13" t="inlineStr">
        <is>
          <t>Lighting</t>
        </is>
      </c>
      <c r="F174" s="13" t="inlineStr">
        <is>
          <t>Arc Lamp</t>
        </is>
      </c>
      <c r="G174" s="13" t="inlineStr">
        <is>
          <t>Consumer</t>
        </is>
      </c>
      <c r="H174" s="13" t="n">
        <v>1</v>
      </c>
      <c r="I174" s="14" t="n">
        <v>327.82</v>
      </c>
      <c r="J174" s="15" t="n">
        <v>0.06</v>
      </c>
      <c r="K174" s="14" t="n">
        <v>157.35</v>
      </c>
      <c r="L174" s="13" t="n">
        <v>3</v>
      </c>
      <c r="M174" s="13" t="inlineStr">
        <is>
          <t>Completed</t>
        </is>
      </c>
      <c r="N174" s="13" t="inlineStr">
        <is>
          <t>R. Ibarra</t>
        </is>
      </c>
      <c r="O174" s="13" t="inlineStr">
        <is>
          <t>No</t>
        </is>
      </c>
      <c r="P174" s="14">
        <f>H174*I174</f>
        <v/>
      </c>
      <c r="Q174" s="14">
        <f>P174*(1-J174)</f>
        <v/>
      </c>
      <c r="R174" s="14">
        <f>H174*K174</f>
        <v/>
      </c>
      <c r="S174" s="15">
        <f>IF(Q174=0,"",(Q174-R174)/Q174)</f>
        <v/>
      </c>
      <c r="T174" s="13">
        <f>YEAR(B174)</f>
        <v/>
      </c>
      <c r="U174" s="13">
        <f>YEAR(B174)&amp;"-Q"&amp;ROUNDUP(MONTH(B174)/3,0)</f>
        <v/>
      </c>
      <c r="V174" s="13">
        <f>TEXT(B174,"YYYY-MM")</f>
        <v/>
      </c>
      <c r="W174" s="13">
        <f>IF(L174="","",IF(L174&gt;pLateDays,1,0))</f>
        <v/>
      </c>
      <c r="X174" s="13">
        <f>IF(Q174&gt;=pHighCutoff,1,0)</f>
        <v/>
      </c>
      <c r="Y174" s="13">
        <f>IF(M174="Returned",1,0)</f>
        <v/>
      </c>
    </row>
    <row r="175">
      <c r="A175" s="13" t="inlineStr">
        <is>
          <t>HC-100173</t>
        </is>
      </c>
      <c r="B175" s="18" t="n">
        <v>45578</v>
      </c>
      <c r="C175" s="13" t="inlineStr">
        <is>
          <t>North</t>
        </is>
      </c>
      <c r="D175" s="13" t="inlineStr">
        <is>
          <t>Store</t>
        </is>
      </c>
      <c r="E175" s="13" t="inlineStr">
        <is>
          <t>Lighting</t>
        </is>
      </c>
      <c r="F175" s="13" t="inlineStr">
        <is>
          <t>Arc Lamp</t>
        </is>
      </c>
      <c r="G175" s="13" t="inlineStr">
        <is>
          <t>Corporate</t>
        </is>
      </c>
      <c r="H175" s="13" t="n">
        <v>3</v>
      </c>
      <c r="I175" s="14" t="n">
        <v>315.5</v>
      </c>
      <c r="J175" s="15" t="n">
        <v>0.04</v>
      </c>
      <c r="K175" s="14" t="n">
        <v>151.44</v>
      </c>
      <c r="L175" s="13" t="n">
        <v>4</v>
      </c>
      <c r="M175" s="13" t="inlineStr">
        <is>
          <t>Completed</t>
        </is>
      </c>
      <c r="N175" s="13" t="inlineStr">
        <is>
          <t>K. Mensah</t>
        </is>
      </c>
      <c r="O175" s="13" t="inlineStr">
        <is>
          <t>No</t>
        </is>
      </c>
      <c r="P175" s="14">
        <f>H175*I175</f>
        <v/>
      </c>
      <c r="Q175" s="14">
        <f>P175*(1-J175)</f>
        <v/>
      </c>
      <c r="R175" s="14">
        <f>H175*K175</f>
        <v/>
      </c>
      <c r="S175" s="15">
        <f>IF(Q175=0,"",(Q175-R175)/Q175)</f>
        <v/>
      </c>
      <c r="T175" s="13">
        <f>YEAR(B175)</f>
        <v/>
      </c>
      <c r="U175" s="13">
        <f>YEAR(B175)&amp;"-Q"&amp;ROUNDUP(MONTH(B175)/3,0)</f>
        <v/>
      </c>
      <c r="V175" s="13">
        <f>TEXT(B175,"YYYY-MM")</f>
        <v/>
      </c>
      <c r="W175" s="13">
        <f>IF(L175="","",IF(L175&gt;pLateDays,1,0))</f>
        <v/>
      </c>
      <c r="X175" s="13">
        <f>IF(Q175&gt;=pHighCutoff,1,0)</f>
        <v/>
      </c>
      <c r="Y175" s="13">
        <f>IF(M175="Returned",1,0)</f>
        <v/>
      </c>
    </row>
    <row r="176">
      <c r="A176" s="13" t="inlineStr">
        <is>
          <t>HC-100174</t>
        </is>
      </c>
      <c r="B176" s="18" t="n">
        <v>45532</v>
      </c>
      <c r="C176" s="13" t="inlineStr">
        <is>
          <t>West</t>
        </is>
      </c>
      <c r="D176" s="13" t="inlineStr">
        <is>
          <t>Online</t>
        </is>
      </c>
      <c r="E176" s="13" t="inlineStr">
        <is>
          <t>Lighting</t>
        </is>
      </c>
      <c r="F176" s="13" t="inlineStr">
        <is>
          <t>Brass Sconce</t>
        </is>
      </c>
      <c r="G176" s="13" t="inlineStr">
        <is>
          <t>Consumer</t>
        </is>
      </c>
      <c r="H176" s="13" t="n">
        <v>1</v>
      </c>
      <c r="I176" s="14" t="n">
        <v>130.87</v>
      </c>
      <c r="J176" s="15" t="n">
        <v>0.12</v>
      </c>
      <c r="K176" s="14" t="n">
        <v>60.2</v>
      </c>
      <c r="L176" s="13" t="n">
        <v>5</v>
      </c>
      <c r="M176" s="13" t="inlineStr">
        <is>
          <t>Completed</t>
        </is>
      </c>
      <c r="N176" s="13" t="inlineStr">
        <is>
          <t>L. Berger</t>
        </is>
      </c>
      <c r="O176" s="13" t="inlineStr">
        <is>
          <t>No</t>
        </is>
      </c>
      <c r="P176" s="14">
        <f>H176*I176</f>
        <v/>
      </c>
      <c r="Q176" s="14">
        <f>P176*(1-J176)</f>
        <v/>
      </c>
      <c r="R176" s="14">
        <f>H176*K176</f>
        <v/>
      </c>
      <c r="S176" s="15">
        <f>IF(Q176=0,"",(Q176-R176)/Q176)</f>
        <v/>
      </c>
      <c r="T176" s="13">
        <f>YEAR(B176)</f>
        <v/>
      </c>
      <c r="U176" s="13">
        <f>YEAR(B176)&amp;"-Q"&amp;ROUNDUP(MONTH(B176)/3,0)</f>
        <v/>
      </c>
      <c r="V176" s="13">
        <f>TEXT(B176,"YYYY-MM")</f>
        <v/>
      </c>
      <c r="W176" s="13">
        <f>IF(L176="","",IF(L176&gt;pLateDays,1,0))</f>
        <v/>
      </c>
      <c r="X176" s="13">
        <f>IF(Q176&gt;=pHighCutoff,1,0)</f>
        <v/>
      </c>
      <c r="Y176" s="13">
        <f>IF(M176="Returned",1,0)</f>
        <v/>
      </c>
    </row>
    <row r="177">
      <c r="A177" s="13" t="inlineStr">
        <is>
          <t>HC-100175</t>
        </is>
      </c>
      <c r="B177" s="18" t="n">
        <v>45579</v>
      </c>
      <c r="C177" s="13" t="inlineStr">
        <is>
          <t>West</t>
        </is>
      </c>
      <c r="D177" s="13" t="inlineStr">
        <is>
          <t>Wholesale</t>
        </is>
      </c>
      <c r="E177" s="13" t="inlineStr">
        <is>
          <t>Textiles</t>
        </is>
      </c>
      <c r="F177" s="13" t="inlineStr">
        <is>
          <t>Linen Curtain</t>
        </is>
      </c>
      <c r="G177" s="13" t="inlineStr">
        <is>
          <t>Corporate</t>
        </is>
      </c>
      <c r="H177" s="13" t="n">
        <v>35</v>
      </c>
      <c r="I177" s="14" t="n">
        <v>100.35</v>
      </c>
      <c r="J177" s="15" t="n">
        <v>0.27</v>
      </c>
      <c r="K177" s="14" t="n">
        <v>45.16</v>
      </c>
      <c r="L177" s="13" t="n">
        <v>7</v>
      </c>
      <c r="M177" s="13" t="inlineStr">
        <is>
          <t>Returned</t>
        </is>
      </c>
      <c r="N177" s="13" t="inlineStr">
        <is>
          <t>K. Mensah</t>
        </is>
      </c>
      <c r="O177" s="13" t="inlineStr">
        <is>
          <t>No</t>
        </is>
      </c>
      <c r="P177" s="14">
        <f>H177*I177</f>
        <v/>
      </c>
      <c r="Q177" s="14">
        <f>P177*(1-J177)</f>
        <v/>
      </c>
      <c r="R177" s="14">
        <f>H177*K177</f>
        <v/>
      </c>
      <c r="S177" s="15">
        <f>IF(Q177=0,"",(Q177-R177)/Q177)</f>
        <v/>
      </c>
      <c r="T177" s="13">
        <f>YEAR(B177)</f>
        <v/>
      </c>
      <c r="U177" s="13">
        <f>YEAR(B177)&amp;"-Q"&amp;ROUNDUP(MONTH(B177)/3,0)</f>
        <v/>
      </c>
      <c r="V177" s="13">
        <f>TEXT(B177,"YYYY-MM")</f>
        <v/>
      </c>
      <c r="W177" s="13">
        <f>IF(L177="","",IF(L177&gt;pLateDays,1,0))</f>
        <v/>
      </c>
      <c r="X177" s="13">
        <f>IF(Q177&gt;=pHighCutoff,1,0)</f>
        <v/>
      </c>
      <c r="Y177" s="13">
        <f>IF(M177="Returned",1,0)</f>
        <v/>
      </c>
    </row>
    <row r="178">
      <c r="A178" s="13" t="inlineStr">
        <is>
          <t>HC-100176</t>
        </is>
      </c>
      <c r="B178" s="18" t="n">
        <v>45745</v>
      </c>
      <c r="C178" s="13" t="inlineStr">
        <is>
          <t>West</t>
        </is>
      </c>
      <c r="D178" s="13" t="inlineStr">
        <is>
          <t>Wholesale</t>
        </is>
      </c>
      <c r="E178" s="13" t="inlineStr">
        <is>
          <t>Kitchen</t>
        </is>
      </c>
      <c r="F178" s="13" t="inlineStr">
        <is>
          <t>Chef Knife</t>
        </is>
      </c>
      <c r="G178" s="13" t="inlineStr">
        <is>
          <t>Corporate</t>
        </is>
      </c>
      <c r="H178" s="13" t="n">
        <v>24</v>
      </c>
      <c r="I178" s="14" t="n">
        <v>60.59</v>
      </c>
      <c r="J178" s="15" t="n">
        <v>0.24</v>
      </c>
      <c r="K178" s="14" t="n">
        <v>21.81</v>
      </c>
      <c r="L178" s="13" t="n">
        <v>6</v>
      </c>
      <c r="M178" s="13" t="inlineStr">
        <is>
          <t>Cancelled</t>
        </is>
      </c>
      <c r="N178" s="13" t="inlineStr">
        <is>
          <t>J. Patel</t>
        </is>
      </c>
      <c r="O178" s="13" t="inlineStr">
        <is>
          <t>No</t>
        </is>
      </c>
      <c r="P178" s="14">
        <f>H178*I178</f>
        <v/>
      </c>
      <c r="Q178" s="14">
        <f>P178*(1-J178)</f>
        <v/>
      </c>
      <c r="R178" s="14">
        <f>H178*K178</f>
        <v/>
      </c>
      <c r="S178" s="15">
        <f>IF(Q178=0,"",(Q178-R178)/Q178)</f>
        <v/>
      </c>
      <c r="T178" s="13">
        <f>YEAR(B178)</f>
        <v/>
      </c>
      <c r="U178" s="13">
        <f>YEAR(B178)&amp;"-Q"&amp;ROUNDUP(MONTH(B178)/3,0)</f>
        <v/>
      </c>
      <c r="V178" s="13">
        <f>TEXT(B178,"YYYY-MM")</f>
        <v/>
      </c>
      <c r="W178" s="13">
        <f>IF(L178="","",IF(L178&gt;pLateDays,1,0))</f>
        <v/>
      </c>
      <c r="X178" s="13">
        <f>IF(Q178&gt;=pHighCutoff,1,0)</f>
        <v/>
      </c>
      <c r="Y178" s="13">
        <f>IF(M178="Returned",1,0)</f>
        <v/>
      </c>
    </row>
    <row r="179">
      <c r="A179" s="13" t="inlineStr">
        <is>
          <t>HC-100177</t>
        </is>
      </c>
      <c r="B179" s="18" t="n">
        <v>45469</v>
      </c>
      <c r="C179" s="13" t="inlineStr">
        <is>
          <t>North</t>
        </is>
      </c>
      <c r="D179" s="13" t="inlineStr">
        <is>
          <t>Online</t>
        </is>
      </c>
      <c r="E179" s="13" t="inlineStr">
        <is>
          <t>Lighting</t>
        </is>
      </c>
      <c r="F179" s="13" t="inlineStr">
        <is>
          <t>Arc Lamp</t>
        </is>
      </c>
      <c r="G179" s="13" t="inlineStr">
        <is>
          <t>Home Office</t>
        </is>
      </c>
      <c r="H179" s="13" t="n">
        <v>3</v>
      </c>
      <c r="I179" s="14" t="n">
        <v>302.25</v>
      </c>
      <c r="J179" s="15" t="n">
        <v>0.09</v>
      </c>
      <c r="K179" s="14" t="n">
        <v>145.08</v>
      </c>
      <c r="L179" s="13" t="n">
        <v>6</v>
      </c>
      <c r="M179" s="13" t="inlineStr">
        <is>
          <t>Completed</t>
        </is>
      </c>
      <c r="N179" s="13" t="inlineStr">
        <is>
          <t>M. Okonkwo</t>
        </is>
      </c>
      <c r="O179" s="13" t="inlineStr">
        <is>
          <t>No</t>
        </is>
      </c>
      <c r="P179" s="14">
        <f>H179*I179</f>
        <v/>
      </c>
      <c r="Q179" s="14">
        <f>P179*(1-J179)</f>
        <v/>
      </c>
      <c r="R179" s="14">
        <f>H179*K179</f>
        <v/>
      </c>
      <c r="S179" s="15">
        <f>IF(Q179=0,"",(Q179-R179)/Q179)</f>
        <v/>
      </c>
      <c r="T179" s="13">
        <f>YEAR(B179)</f>
        <v/>
      </c>
      <c r="U179" s="13">
        <f>YEAR(B179)&amp;"-Q"&amp;ROUNDUP(MONTH(B179)/3,0)</f>
        <v/>
      </c>
      <c r="V179" s="13">
        <f>TEXT(B179,"YYYY-MM")</f>
        <v/>
      </c>
      <c r="W179" s="13">
        <f>IF(L179="","",IF(L179&gt;pLateDays,1,0))</f>
        <v/>
      </c>
      <c r="X179" s="13">
        <f>IF(Q179&gt;=pHighCutoff,1,0)</f>
        <v/>
      </c>
      <c r="Y179" s="13">
        <f>IF(M179="Returned",1,0)</f>
        <v/>
      </c>
    </row>
    <row r="180">
      <c r="A180" s="13" t="inlineStr">
        <is>
          <t>HC-100178</t>
        </is>
      </c>
      <c r="B180" s="18" t="n">
        <v>45881</v>
      </c>
      <c r="C180" s="13" t="inlineStr">
        <is>
          <t>East</t>
        </is>
      </c>
      <c r="D180" s="13" t="inlineStr">
        <is>
          <t>Online</t>
        </is>
      </c>
      <c r="E180" s="13" t="inlineStr">
        <is>
          <t>Kitchen</t>
        </is>
      </c>
      <c r="F180" s="13" t="inlineStr">
        <is>
          <t>Cast Skillet</t>
        </is>
      </c>
      <c r="G180" s="13" t="inlineStr">
        <is>
          <t>Consumer</t>
        </is>
      </c>
      <c r="H180" s="13" t="n">
        <v>2</v>
      </c>
      <c r="I180" s="14" t="n">
        <v>45.32</v>
      </c>
      <c r="J180" s="15" t="n">
        <v>0.13</v>
      </c>
      <c r="K180" s="14" t="n">
        <v>18.13</v>
      </c>
      <c r="L180" s="13" t="n">
        <v>5</v>
      </c>
      <c r="M180" s="13" t="inlineStr">
        <is>
          <t>Completed</t>
        </is>
      </c>
      <c r="N180" s="13" t="inlineStr">
        <is>
          <t>R. Ibarra</t>
        </is>
      </c>
      <c r="O180" s="13" t="inlineStr">
        <is>
          <t>No</t>
        </is>
      </c>
      <c r="P180" s="14">
        <f>H180*I180</f>
        <v/>
      </c>
      <c r="Q180" s="14">
        <f>P180*(1-J180)</f>
        <v/>
      </c>
      <c r="R180" s="14">
        <f>H180*K180</f>
        <v/>
      </c>
      <c r="S180" s="15">
        <f>IF(Q180=0,"",(Q180-R180)/Q180)</f>
        <v/>
      </c>
      <c r="T180" s="13">
        <f>YEAR(B180)</f>
        <v/>
      </c>
      <c r="U180" s="13">
        <f>YEAR(B180)&amp;"-Q"&amp;ROUNDUP(MONTH(B180)/3,0)</f>
        <v/>
      </c>
      <c r="V180" s="13">
        <f>TEXT(B180,"YYYY-MM")</f>
        <v/>
      </c>
      <c r="W180" s="13">
        <f>IF(L180="","",IF(L180&gt;pLateDays,1,0))</f>
        <v/>
      </c>
      <c r="X180" s="13">
        <f>IF(Q180&gt;=pHighCutoff,1,0)</f>
        <v/>
      </c>
      <c r="Y180" s="13">
        <f>IF(M180="Returned",1,0)</f>
        <v/>
      </c>
    </row>
    <row r="181">
      <c r="A181" s="13" t="inlineStr">
        <is>
          <t>HC-100179</t>
        </is>
      </c>
      <c r="B181" s="18" t="n">
        <v>45505</v>
      </c>
      <c r="C181" s="13" t="inlineStr">
        <is>
          <t>North</t>
        </is>
      </c>
      <c r="D181" s="13" t="inlineStr">
        <is>
          <t>Online</t>
        </is>
      </c>
      <c r="E181" s="13" t="inlineStr">
        <is>
          <t>Textiles</t>
        </is>
      </c>
      <c r="F181" s="13" t="inlineStr">
        <is>
          <t>Wool Throw</t>
        </is>
      </c>
      <c r="G181" s="13" t="inlineStr">
        <is>
          <t>Consumer</t>
        </is>
      </c>
      <c r="H181" s="13" t="n">
        <v>2</v>
      </c>
      <c r="I181" s="14" t="n">
        <v>73.98</v>
      </c>
      <c r="J181" s="15" t="n">
        <v>0.14</v>
      </c>
      <c r="K181" s="14" t="n">
        <v>31.07</v>
      </c>
      <c r="L181" s="13" t="n">
        <v>6</v>
      </c>
      <c r="M181" s="13" t="inlineStr">
        <is>
          <t>Completed</t>
        </is>
      </c>
      <c r="N181" s="13" t="inlineStr">
        <is>
          <t>P. Rossi</t>
        </is>
      </c>
      <c r="O181" s="13" t="inlineStr">
        <is>
          <t>No</t>
        </is>
      </c>
      <c r="P181" s="14">
        <f>H181*I181</f>
        <v/>
      </c>
      <c r="Q181" s="14">
        <f>P181*(1-J181)</f>
        <v/>
      </c>
      <c r="R181" s="14">
        <f>H181*K181</f>
        <v/>
      </c>
      <c r="S181" s="15">
        <f>IF(Q181=0,"",(Q181-R181)/Q181)</f>
        <v/>
      </c>
      <c r="T181" s="13">
        <f>YEAR(B181)</f>
        <v/>
      </c>
      <c r="U181" s="13">
        <f>YEAR(B181)&amp;"-Q"&amp;ROUNDUP(MONTH(B181)/3,0)</f>
        <v/>
      </c>
      <c r="V181" s="13">
        <f>TEXT(B181,"YYYY-MM")</f>
        <v/>
      </c>
      <c r="W181" s="13">
        <f>IF(L181="","",IF(L181&gt;pLateDays,1,0))</f>
        <v/>
      </c>
      <c r="X181" s="13">
        <f>IF(Q181&gt;=pHighCutoff,1,0)</f>
        <v/>
      </c>
      <c r="Y181" s="13">
        <f>IF(M181="Returned",1,0)</f>
        <v/>
      </c>
    </row>
    <row r="182">
      <c r="A182" s="13" t="inlineStr">
        <is>
          <t>HC-100180</t>
        </is>
      </c>
      <c r="B182" s="18" t="n">
        <v>45343</v>
      </c>
      <c r="C182" s="13" t="inlineStr">
        <is>
          <t>South</t>
        </is>
      </c>
      <c r="D182" s="13" t="inlineStr">
        <is>
          <t>Store</t>
        </is>
      </c>
      <c r="E182" s="13" t="inlineStr">
        <is>
          <t>Furniture</t>
        </is>
      </c>
      <c r="F182" s="13" t="inlineStr">
        <is>
          <t>Linen Sofa</t>
        </is>
      </c>
      <c r="G182" s="13" t="inlineStr">
        <is>
          <t>Consumer</t>
        </is>
      </c>
      <c r="H182" s="13" t="n">
        <v>1</v>
      </c>
      <c r="I182" s="14" t="n">
        <v>1303.7</v>
      </c>
      <c r="J182" s="15" t="n">
        <v>0.1</v>
      </c>
      <c r="K182" s="14" t="n">
        <v>860.4400000000001</v>
      </c>
      <c r="L182" s="13" t="n">
        <v>5</v>
      </c>
      <c r="M182" s="13" t="inlineStr">
        <is>
          <t>Completed</t>
        </is>
      </c>
      <c r="N182" s="13" t="inlineStr">
        <is>
          <t>P. Rossi</t>
        </is>
      </c>
      <c r="O182" s="13" t="inlineStr">
        <is>
          <t>No</t>
        </is>
      </c>
      <c r="P182" s="14">
        <f>H182*I182</f>
        <v/>
      </c>
      <c r="Q182" s="14">
        <f>P182*(1-J182)</f>
        <v/>
      </c>
      <c r="R182" s="14">
        <f>H182*K182</f>
        <v/>
      </c>
      <c r="S182" s="15">
        <f>IF(Q182=0,"",(Q182-R182)/Q182)</f>
        <v/>
      </c>
      <c r="T182" s="13">
        <f>YEAR(B182)</f>
        <v/>
      </c>
      <c r="U182" s="13">
        <f>YEAR(B182)&amp;"-Q"&amp;ROUNDUP(MONTH(B182)/3,0)</f>
        <v/>
      </c>
      <c r="V182" s="13">
        <f>TEXT(B182,"YYYY-MM")</f>
        <v/>
      </c>
      <c r="W182" s="13">
        <f>IF(L182="","",IF(L182&gt;pLateDays,1,0))</f>
        <v/>
      </c>
      <c r="X182" s="13">
        <f>IF(Q182&gt;=pHighCutoff,1,0)</f>
        <v/>
      </c>
      <c r="Y182" s="13">
        <f>IF(M182="Returned",1,0)</f>
        <v/>
      </c>
    </row>
    <row r="183">
      <c r="A183" s="13" t="inlineStr">
        <is>
          <t>HC-100181</t>
        </is>
      </c>
      <c r="B183" s="18" t="n">
        <v>45476</v>
      </c>
      <c r="C183" s="13" t="inlineStr">
        <is>
          <t>East</t>
        </is>
      </c>
      <c r="D183" s="13" t="inlineStr">
        <is>
          <t>Store</t>
        </is>
      </c>
      <c r="E183" s="13" t="inlineStr">
        <is>
          <t>Kitchen</t>
        </is>
      </c>
      <c r="F183" s="13" t="inlineStr">
        <is>
          <t>Chef Knife</t>
        </is>
      </c>
      <c r="G183" s="13" t="inlineStr">
        <is>
          <t>Corporate</t>
        </is>
      </c>
      <c r="H183" s="13" t="n">
        <v>2</v>
      </c>
      <c r="I183" s="14" t="n">
        <v>58.92</v>
      </c>
      <c r="J183" s="15" t="n">
        <v>0.08</v>
      </c>
      <c r="K183" s="14" t="n">
        <v>21.21</v>
      </c>
      <c r="L183" s="13" t="n">
        <v>8</v>
      </c>
      <c r="M183" s="13" t="inlineStr">
        <is>
          <t>Completed</t>
        </is>
      </c>
      <c r="N183" s="13" t="inlineStr">
        <is>
          <t>L. Berger</t>
        </is>
      </c>
      <c r="O183" s="13" t="inlineStr">
        <is>
          <t>No</t>
        </is>
      </c>
      <c r="P183" s="14">
        <f>H183*I183</f>
        <v/>
      </c>
      <c r="Q183" s="14">
        <f>P183*(1-J183)</f>
        <v/>
      </c>
      <c r="R183" s="14">
        <f>H183*K183</f>
        <v/>
      </c>
      <c r="S183" s="15">
        <f>IF(Q183=0,"",(Q183-R183)/Q183)</f>
        <v/>
      </c>
      <c r="T183" s="13">
        <f>YEAR(B183)</f>
        <v/>
      </c>
      <c r="U183" s="13">
        <f>YEAR(B183)&amp;"-Q"&amp;ROUNDUP(MONTH(B183)/3,0)</f>
        <v/>
      </c>
      <c r="V183" s="13">
        <f>TEXT(B183,"YYYY-MM")</f>
        <v/>
      </c>
      <c r="W183" s="13">
        <f>IF(L183="","",IF(L183&gt;pLateDays,1,0))</f>
        <v/>
      </c>
      <c r="X183" s="13">
        <f>IF(Q183&gt;=pHighCutoff,1,0)</f>
        <v/>
      </c>
      <c r="Y183" s="13">
        <f>IF(M183="Returned",1,0)</f>
        <v/>
      </c>
    </row>
    <row r="184">
      <c r="A184" s="13" t="inlineStr">
        <is>
          <t>HC-100182</t>
        </is>
      </c>
      <c r="B184" s="18" t="n">
        <v>45586</v>
      </c>
      <c r="C184" s="13" t="inlineStr">
        <is>
          <t>North</t>
        </is>
      </c>
      <c r="D184" s="13" t="inlineStr">
        <is>
          <t>Online</t>
        </is>
      </c>
      <c r="E184" s="13" t="inlineStr">
        <is>
          <t>Furniture</t>
        </is>
      </c>
      <c r="F184" s="13" t="inlineStr">
        <is>
          <t>Walnut Shelf</t>
        </is>
      </c>
      <c r="G184" s="13" t="inlineStr">
        <is>
          <t>Consumer</t>
        </is>
      </c>
      <c r="H184" s="13" t="n">
        <v>3</v>
      </c>
      <c r="I184" s="14" t="n">
        <v>235.81</v>
      </c>
      <c r="J184" s="15" t="n">
        <v>0.07000000000000001</v>
      </c>
      <c r="K184" s="14" t="n">
        <v>129.7</v>
      </c>
      <c r="L184" s="13" t="n"/>
      <c r="M184" s="13" t="inlineStr">
        <is>
          <t>Completed</t>
        </is>
      </c>
      <c r="N184" s="13" t="inlineStr">
        <is>
          <t>P. Rossi</t>
        </is>
      </c>
      <c r="O184" s="13" t="inlineStr">
        <is>
          <t>No</t>
        </is>
      </c>
      <c r="P184" s="14">
        <f>H184*I184</f>
        <v/>
      </c>
      <c r="Q184" s="14">
        <f>P184*(1-J184)</f>
        <v/>
      </c>
      <c r="R184" s="14">
        <f>H184*K184</f>
        <v/>
      </c>
      <c r="S184" s="15">
        <f>IF(Q184=0,"",(Q184-R184)/Q184)</f>
        <v/>
      </c>
      <c r="T184" s="13">
        <f>YEAR(B184)</f>
        <v/>
      </c>
      <c r="U184" s="13">
        <f>YEAR(B184)&amp;"-Q"&amp;ROUNDUP(MONTH(B184)/3,0)</f>
        <v/>
      </c>
      <c r="V184" s="13">
        <f>TEXT(B184,"YYYY-MM")</f>
        <v/>
      </c>
      <c r="W184" s="13">
        <f>IF(L184="","",IF(L184&gt;pLateDays,1,0))</f>
        <v/>
      </c>
      <c r="X184" s="13">
        <f>IF(Q184&gt;=pHighCutoff,1,0)</f>
        <v/>
      </c>
      <c r="Y184" s="13">
        <f>IF(M184="Returned",1,0)</f>
        <v/>
      </c>
    </row>
    <row r="185">
      <c r="A185" s="13" t="inlineStr">
        <is>
          <t>HC-100183</t>
        </is>
      </c>
      <c r="B185" s="18" t="n">
        <v>45317</v>
      </c>
      <c r="C185" s="13" t="inlineStr">
        <is>
          <t>West</t>
        </is>
      </c>
      <c r="D185" s="13" t="inlineStr">
        <is>
          <t>Wholesale</t>
        </is>
      </c>
      <c r="E185" s="13" t="inlineStr">
        <is>
          <t>Textiles</t>
        </is>
      </c>
      <c r="F185" s="13" t="inlineStr">
        <is>
          <t>Cotton Duvet</t>
        </is>
      </c>
      <c r="G185" s="13" t="inlineStr">
        <is>
          <t>Home Office</t>
        </is>
      </c>
      <c r="H185" s="13" t="n">
        <v>32</v>
      </c>
      <c r="I185" s="14" t="n">
        <v>111.15</v>
      </c>
      <c r="J185" s="15" t="n">
        <v>0.31</v>
      </c>
      <c r="K185" s="14" t="n">
        <v>48.91</v>
      </c>
      <c r="L185" s="13" t="n">
        <v>3</v>
      </c>
      <c r="M185" s="13" t="inlineStr">
        <is>
          <t>Cancelled</t>
        </is>
      </c>
      <c r="N185" s="13" t="inlineStr">
        <is>
          <t>R. Ibarra</t>
        </is>
      </c>
      <c r="O185" s="13" t="inlineStr">
        <is>
          <t>No</t>
        </is>
      </c>
      <c r="P185" s="14">
        <f>H185*I185</f>
        <v/>
      </c>
      <c r="Q185" s="14">
        <f>P185*(1-J185)</f>
        <v/>
      </c>
      <c r="R185" s="14">
        <f>H185*K185</f>
        <v/>
      </c>
      <c r="S185" s="15">
        <f>IF(Q185=0,"",(Q185-R185)/Q185)</f>
        <v/>
      </c>
      <c r="T185" s="13">
        <f>YEAR(B185)</f>
        <v/>
      </c>
      <c r="U185" s="13">
        <f>YEAR(B185)&amp;"-Q"&amp;ROUNDUP(MONTH(B185)/3,0)</f>
        <v/>
      </c>
      <c r="V185" s="13">
        <f>TEXT(B185,"YYYY-MM")</f>
        <v/>
      </c>
      <c r="W185" s="13">
        <f>IF(L185="","",IF(L185&gt;pLateDays,1,0))</f>
        <v/>
      </c>
      <c r="X185" s="13">
        <f>IF(Q185&gt;=pHighCutoff,1,0)</f>
        <v/>
      </c>
      <c r="Y185" s="13">
        <f>IF(M185="Returned",1,0)</f>
        <v/>
      </c>
    </row>
    <row r="186">
      <c r="A186" s="13" t="inlineStr">
        <is>
          <t>HC-100184</t>
        </is>
      </c>
      <c r="B186" s="18" t="n">
        <v>45417</v>
      </c>
      <c r="C186" s="13" t="inlineStr">
        <is>
          <t>North</t>
        </is>
      </c>
      <c r="D186" s="13" t="inlineStr">
        <is>
          <t>Online</t>
        </is>
      </c>
      <c r="E186" s="13" t="inlineStr">
        <is>
          <t>Textiles</t>
        </is>
      </c>
      <c r="F186" s="13" t="inlineStr">
        <is>
          <t>Wool Throw</t>
        </is>
      </c>
      <c r="G186" s="13" t="inlineStr">
        <is>
          <t>Consumer</t>
        </is>
      </c>
      <c r="H186" s="13" t="n">
        <v>2</v>
      </c>
      <c r="I186" s="14" t="n">
        <v>77.02</v>
      </c>
      <c r="J186" s="15" t="n">
        <v>0.08</v>
      </c>
      <c r="K186" s="14" t="n">
        <v>32.35</v>
      </c>
      <c r="L186" s="13" t="n">
        <v>5</v>
      </c>
      <c r="M186" s="13" t="inlineStr">
        <is>
          <t>Completed</t>
        </is>
      </c>
      <c r="N186" s="13" t="inlineStr">
        <is>
          <t>P. Rossi</t>
        </is>
      </c>
      <c r="O186" s="13" t="inlineStr">
        <is>
          <t>No</t>
        </is>
      </c>
      <c r="P186" s="14">
        <f>H186*I186</f>
        <v/>
      </c>
      <c r="Q186" s="14">
        <f>P186*(1-J186)</f>
        <v/>
      </c>
      <c r="R186" s="14">
        <f>H186*K186</f>
        <v/>
      </c>
      <c r="S186" s="15">
        <f>IF(Q186=0,"",(Q186-R186)/Q186)</f>
        <v/>
      </c>
      <c r="T186" s="13">
        <f>YEAR(B186)</f>
        <v/>
      </c>
      <c r="U186" s="13">
        <f>YEAR(B186)&amp;"-Q"&amp;ROUNDUP(MONTH(B186)/3,0)</f>
        <v/>
      </c>
      <c r="V186" s="13">
        <f>TEXT(B186,"YYYY-MM")</f>
        <v/>
      </c>
      <c r="W186" s="13">
        <f>IF(L186="","",IF(L186&gt;pLateDays,1,0))</f>
        <v/>
      </c>
      <c r="X186" s="13">
        <f>IF(Q186&gt;=pHighCutoff,1,0)</f>
        <v/>
      </c>
      <c r="Y186" s="13">
        <f>IF(M186="Returned",1,0)</f>
        <v/>
      </c>
    </row>
    <row r="187">
      <c r="A187" s="13" t="inlineStr">
        <is>
          <t>HC-100185</t>
        </is>
      </c>
      <c r="B187" s="18" t="n">
        <v>45468</v>
      </c>
      <c r="C187" s="13" t="inlineStr">
        <is>
          <t>West</t>
        </is>
      </c>
      <c r="D187" s="13" t="inlineStr">
        <is>
          <t>Store</t>
        </is>
      </c>
      <c r="E187" s="13" t="inlineStr">
        <is>
          <t>Kitchen</t>
        </is>
      </c>
      <c r="F187" s="13" t="inlineStr">
        <is>
          <t>Ceramic Set</t>
        </is>
      </c>
      <c r="G187" s="13" t="inlineStr">
        <is>
          <t>Home Office</t>
        </is>
      </c>
      <c r="H187" s="13" t="n">
        <v>1</v>
      </c>
      <c r="I187" s="14" t="n">
        <v>86.5</v>
      </c>
      <c r="J187" s="15" t="n">
        <v>0.07000000000000001</v>
      </c>
      <c r="K187" s="14" t="n">
        <v>32.87</v>
      </c>
      <c r="L187" s="13" t="n">
        <v>5</v>
      </c>
      <c r="M187" s="13" t="inlineStr">
        <is>
          <t>Completed</t>
        </is>
      </c>
      <c r="N187" s="13" t="inlineStr">
        <is>
          <t>P. Rossi</t>
        </is>
      </c>
      <c r="O187" s="13" t="inlineStr">
        <is>
          <t>No</t>
        </is>
      </c>
      <c r="P187" s="14">
        <f>H187*I187</f>
        <v/>
      </c>
      <c r="Q187" s="14">
        <f>P187*(1-J187)</f>
        <v/>
      </c>
      <c r="R187" s="14">
        <f>H187*K187</f>
        <v/>
      </c>
      <c r="S187" s="15">
        <f>IF(Q187=0,"",(Q187-R187)/Q187)</f>
        <v/>
      </c>
      <c r="T187" s="13">
        <f>YEAR(B187)</f>
        <v/>
      </c>
      <c r="U187" s="13">
        <f>YEAR(B187)&amp;"-Q"&amp;ROUNDUP(MONTH(B187)/3,0)</f>
        <v/>
      </c>
      <c r="V187" s="13">
        <f>TEXT(B187,"YYYY-MM")</f>
        <v/>
      </c>
      <c r="W187" s="13">
        <f>IF(L187="","",IF(L187&gt;pLateDays,1,0))</f>
        <v/>
      </c>
      <c r="X187" s="13">
        <f>IF(Q187&gt;=pHighCutoff,1,0)</f>
        <v/>
      </c>
      <c r="Y187" s="13">
        <f>IF(M187="Returned",1,0)</f>
        <v/>
      </c>
    </row>
    <row r="188">
      <c r="A188" s="13" t="inlineStr">
        <is>
          <t>HC-100186</t>
        </is>
      </c>
      <c r="B188" s="18" t="n">
        <v>45438</v>
      </c>
      <c r="C188" s="13" t="inlineStr">
        <is>
          <t>East</t>
        </is>
      </c>
      <c r="D188" s="13" t="inlineStr">
        <is>
          <t>Store</t>
        </is>
      </c>
      <c r="E188" s="13" t="inlineStr">
        <is>
          <t>Kitchen</t>
        </is>
      </c>
      <c r="F188" s="13" t="inlineStr">
        <is>
          <t>Ceramic Set</t>
        </is>
      </c>
      <c r="G188" s="13" t="inlineStr">
        <is>
          <t>Home Office</t>
        </is>
      </c>
      <c r="H188" s="13" t="n">
        <v>2</v>
      </c>
      <c r="I188" s="14" t="n">
        <v>82.05</v>
      </c>
      <c r="J188" s="15" t="n">
        <v>0.01</v>
      </c>
      <c r="K188" s="14" t="n">
        <v>31.18</v>
      </c>
      <c r="L188" s="13" t="n">
        <v>9</v>
      </c>
      <c r="M188" s="13" t="inlineStr">
        <is>
          <t>Completed</t>
        </is>
      </c>
      <c r="N188" s="13" t="inlineStr">
        <is>
          <t>M. Okonkwo</t>
        </is>
      </c>
      <c r="O188" s="13" t="inlineStr">
        <is>
          <t>No</t>
        </is>
      </c>
      <c r="P188" s="14">
        <f>H188*I188</f>
        <v/>
      </c>
      <c r="Q188" s="14">
        <f>P188*(1-J188)</f>
        <v/>
      </c>
      <c r="R188" s="14">
        <f>H188*K188</f>
        <v/>
      </c>
      <c r="S188" s="15">
        <f>IF(Q188=0,"",(Q188-R188)/Q188)</f>
        <v/>
      </c>
      <c r="T188" s="13">
        <f>YEAR(B188)</f>
        <v/>
      </c>
      <c r="U188" s="13">
        <f>YEAR(B188)&amp;"-Q"&amp;ROUNDUP(MONTH(B188)/3,0)</f>
        <v/>
      </c>
      <c r="V188" s="13">
        <f>TEXT(B188,"YYYY-MM")</f>
        <v/>
      </c>
      <c r="W188" s="13">
        <f>IF(L188="","",IF(L188&gt;pLateDays,1,0))</f>
        <v/>
      </c>
      <c r="X188" s="13">
        <f>IF(Q188&gt;=pHighCutoff,1,0)</f>
        <v/>
      </c>
      <c r="Y188" s="13">
        <f>IF(M188="Returned",1,0)</f>
        <v/>
      </c>
    </row>
    <row r="189">
      <c r="A189" s="13" t="inlineStr">
        <is>
          <t>HC-100187</t>
        </is>
      </c>
      <c r="B189" s="18" t="n">
        <v>45492</v>
      </c>
      <c r="C189" s="13" t="inlineStr">
        <is>
          <t>South</t>
        </is>
      </c>
      <c r="D189" s="13" t="inlineStr">
        <is>
          <t>Store</t>
        </is>
      </c>
      <c r="E189" s="13" t="inlineStr">
        <is>
          <t>Lighting</t>
        </is>
      </c>
      <c r="F189" s="13" t="inlineStr">
        <is>
          <t>Pendant Light</t>
        </is>
      </c>
      <c r="G189" s="13" t="inlineStr">
        <is>
          <t>Consumer</t>
        </is>
      </c>
      <c r="H189" s="13" t="n">
        <v>1</v>
      </c>
      <c r="I189" s="14" t="n">
        <v>169.73</v>
      </c>
      <c r="J189" s="15" t="n">
        <v>0.05</v>
      </c>
      <c r="K189" s="14" t="n">
        <v>84.86</v>
      </c>
      <c r="L189" s="13" t="n">
        <v>6</v>
      </c>
      <c r="M189" s="13" t="inlineStr">
        <is>
          <t>Returned</t>
        </is>
      </c>
      <c r="N189" s="13" t="inlineStr">
        <is>
          <t>P. Rossi</t>
        </is>
      </c>
      <c r="O189" s="13" t="inlineStr">
        <is>
          <t>No</t>
        </is>
      </c>
      <c r="P189" s="14">
        <f>H189*I189</f>
        <v/>
      </c>
      <c r="Q189" s="14">
        <f>P189*(1-J189)</f>
        <v/>
      </c>
      <c r="R189" s="14">
        <f>H189*K189</f>
        <v/>
      </c>
      <c r="S189" s="15">
        <f>IF(Q189=0,"",(Q189-R189)/Q189)</f>
        <v/>
      </c>
      <c r="T189" s="13">
        <f>YEAR(B189)</f>
        <v/>
      </c>
      <c r="U189" s="13">
        <f>YEAR(B189)&amp;"-Q"&amp;ROUNDUP(MONTH(B189)/3,0)</f>
        <v/>
      </c>
      <c r="V189" s="13">
        <f>TEXT(B189,"YYYY-MM")</f>
        <v/>
      </c>
      <c r="W189" s="13">
        <f>IF(L189="","",IF(L189&gt;pLateDays,1,0))</f>
        <v/>
      </c>
      <c r="X189" s="13">
        <f>IF(Q189&gt;=pHighCutoff,1,0)</f>
        <v/>
      </c>
      <c r="Y189" s="13">
        <f>IF(M189="Returned",1,0)</f>
        <v/>
      </c>
    </row>
    <row r="190">
      <c r="A190" s="13" t="inlineStr">
        <is>
          <t>HC-100188</t>
        </is>
      </c>
      <c r="B190" s="18" t="n">
        <v>45365</v>
      </c>
      <c r="C190" s="13" t="inlineStr">
        <is>
          <t>South</t>
        </is>
      </c>
      <c r="D190" s="13" t="inlineStr">
        <is>
          <t>Wholesale</t>
        </is>
      </c>
      <c r="E190" s="13" t="inlineStr">
        <is>
          <t>Kitchen</t>
        </is>
      </c>
      <c r="F190" s="13" t="inlineStr">
        <is>
          <t>Ceramic Set</t>
        </is>
      </c>
      <c r="G190" s="13" t="inlineStr">
        <is>
          <t>Consumer</t>
        </is>
      </c>
      <c r="H190" s="13" t="n">
        <v>32</v>
      </c>
      <c r="I190" s="14" t="n">
        <v>80.23</v>
      </c>
      <c r="J190" s="15" t="n">
        <v>0.2</v>
      </c>
      <c r="K190" s="14" t="n">
        <v>30.49</v>
      </c>
      <c r="L190" s="13" t="n">
        <v>2</v>
      </c>
      <c r="M190" s="13" t="inlineStr">
        <is>
          <t>Completed</t>
        </is>
      </c>
      <c r="N190" s="13" t="inlineStr">
        <is>
          <t>J. Patel</t>
        </is>
      </c>
      <c r="O190" s="13" t="inlineStr">
        <is>
          <t>No</t>
        </is>
      </c>
      <c r="P190" s="14">
        <f>H190*I190</f>
        <v/>
      </c>
      <c r="Q190" s="14">
        <f>P190*(1-J190)</f>
        <v/>
      </c>
      <c r="R190" s="14">
        <f>H190*K190</f>
        <v/>
      </c>
      <c r="S190" s="15">
        <f>IF(Q190=0,"",(Q190-R190)/Q190)</f>
        <v/>
      </c>
      <c r="T190" s="13">
        <f>YEAR(B190)</f>
        <v/>
      </c>
      <c r="U190" s="13">
        <f>YEAR(B190)&amp;"-Q"&amp;ROUNDUP(MONTH(B190)/3,0)</f>
        <v/>
      </c>
      <c r="V190" s="13">
        <f>TEXT(B190,"YYYY-MM")</f>
        <v/>
      </c>
      <c r="W190" s="13">
        <f>IF(L190="","",IF(L190&gt;pLateDays,1,0))</f>
        <v/>
      </c>
      <c r="X190" s="13">
        <f>IF(Q190&gt;=pHighCutoff,1,0)</f>
        <v/>
      </c>
      <c r="Y190" s="13">
        <f>IF(M190="Returned",1,0)</f>
        <v/>
      </c>
    </row>
    <row r="191">
      <c r="A191" s="13" t="inlineStr">
        <is>
          <t>HC-100189</t>
        </is>
      </c>
      <c r="B191" s="18" t="n">
        <v>45620</v>
      </c>
      <c r="C191" s="13" t="inlineStr">
        <is>
          <t>North</t>
        </is>
      </c>
      <c r="D191" s="13" t="inlineStr">
        <is>
          <t>Online</t>
        </is>
      </c>
      <c r="E191" s="13" t="inlineStr">
        <is>
          <t>Furniture</t>
        </is>
      </c>
      <c r="F191" s="13" t="inlineStr">
        <is>
          <t>Oak Desk</t>
        </is>
      </c>
      <c r="G191" s="13" t="inlineStr">
        <is>
          <t>Consumer</t>
        </is>
      </c>
      <c r="H191" s="13" t="n">
        <v>4</v>
      </c>
      <c r="I191" s="14" t="n">
        <v>778.58</v>
      </c>
      <c r="J191" s="15" t="n">
        <v>0.17</v>
      </c>
      <c r="K191" s="14" t="n">
        <v>482.72</v>
      </c>
      <c r="L191" s="13" t="n">
        <v>7</v>
      </c>
      <c r="M191" s="13" t="inlineStr">
        <is>
          <t>Completed</t>
        </is>
      </c>
      <c r="N191" s="13" t="inlineStr">
        <is>
          <t>M. Okonkwo</t>
        </is>
      </c>
      <c r="O191" s="13" t="inlineStr">
        <is>
          <t>No</t>
        </is>
      </c>
      <c r="P191" s="14">
        <f>H191*I191</f>
        <v/>
      </c>
      <c r="Q191" s="14">
        <f>P191*(1-J191)</f>
        <v/>
      </c>
      <c r="R191" s="14">
        <f>H191*K191</f>
        <v/>
      </c>
      <c r="S191" s="15">
        <f>IF(Q191=0,"",(Q191-R191)/Q191)</f>
        <v/>
      </c>
      <c r="T191" s="13">
        <f>YEAR(B191)</f>
        <v/>
      </c>
      <c r="U191" s="13">
        <f>YEAR(B191)&amp;"-Q"&amp;ROUNDUP(MONTH(B191)/3,0)</f>
        <v/>
      </c>
      <c r="V191" s="13">
        <f>TEXT(B191,"YYYY-MM")</f>
        <v/>
      </c>
      <c r="W191" s="13">
        <f>IF(L191="","",IF(L191&gt;pLateDays,1,0))</f>
        <v/>
      </c>
      <c r="X191" s="13">
        <f>IF(Q191&gt;=pHighCutoff,1,0)</f>
        <v/>
      </c>
      <c r="Y191" s="13">
        <f>IF(M191="Returned",1,0)</f>
        <v/>
      </c>
    </row>
    <row r="192">
      <c r="A192" s="13" t="inlineStr">
        <is>
          <t>HC-100190</t>
        </is>
      </c>
      <c r="B192" s="18" t="n">
        <v>45618</v>
      </c>
      <c r="C192" s="13" t="inlineStr">
        <is>
          <t>West</t>
        </is>
      </c>
      <c r="D192" s="13" t="inlineStr">
        <is>
          <t>Online</t>
        </is>
      </c>
      <c r="E192" s="13" t="inlineStr">
        <is>
          <t>Lighting</t>
        </is>
      </c>
      <c r="F192" s="13" t="inlineStr">
        <is>
          <t>Brass Sconce</t>
        </is>
      </c>
      <c r="G192" s="13" t="inlineStr">
        <is>
          <t>Corporate</t>
        </is>
      </c>
      <c r="H192" s="13" t="n">
        <v>3</v>
      </c>
      <c r="I192" s="14" t="n">
        <v>131.58</v>
      </c>
      <c r="J192" s="15" t="n">
        <v>0.11</v>
      </c>
      <c r="K192" s="14" t="n">
        <v>60.53</v>
      </c>
      <c r="L192" s="13" t="n">
        <v>7</v>
      </c>
      <c r="M192" s="13" t="inlineStr">
        <is>
          <t>Completed</t>
        </is>
      </c>
      <c r="N192" s="13" t="inlineStr">
        <is>
          <t>S. Nguyen</t>
        </is>
      </c>
      <c r="O192" s="13" t="inlineStr">
        <is>
          <t>No</t>
        </is>
      </c>
      <c r="P192" s="14">
        <f>H192*I192</f>
        <v/>
      </c>
      <c r="Q192" s="14">
        <f>P192*(1-J192)</f>
        <v/>
      </c>
      <c r="R192" s="14">
        <f>H192*K192</f>
        <v/>
      </c>
      <c r="S192" s="15">
        <f>IF(Q192=0,"",(Q192-R192)/Q192)</f>
        <v/>
      </c>
      <c r="T192" s="13">
        <f>YEAR(B192)</f>
        <v/>
      </c>
      <c r="U192" s="13">
        <f>YEAR(B192)&amp;"-Q"&amp;ROUNDUP(MONTH(B192)/3,0)</f>
        <v/>
      </c>
      <c r="V192" s="13">
        <f>TEXT(B192,"YYYY-MM")</f>
        <v/>
      </c>
      <c r="W192" s="13">
        <f>IF(L192="","",IF(L192&gt;pLateDays,1,0))</f>
        <v/>
      </c>
      <c r="X192" s="13">
        <f>IF(Q192&gt;=pHighCutoff,1,0)</f>
        <v/>
      </c>
      <c r="Y192" s="13">
        <f>IF(M192="Returned",1,0)</f>
        <v/>
      </c>
    </row>
    <row r="193">
      <c r="A193" s="13" t="inlineStr">
        <is>
          <t>HC-100191</t>
        </is>
      </c>
      <c r="B193" s="18" t="n">
        <v>45759</v>
      </c>
      <c r="C193" s="13" t="inlineStr">
        <is>
          <t>West</t>
        </is>
      </c>
      <c r="D193" s="13" t="inlineStr">
        <is>
          <t>Online</t>
        </is>
      </c>
      <c r="E193" s="13" t="inlineStr">
        <is>
          <t>Textiles</t>
        </is>
      </c>
      <c r="F193" s="13" t="inlineStr">
        <is>
          <t>Cotton Duvet</t>
        </is>
      </c>
      <c r="G193" s="13" t="inlineStr">
        <is>
          <t>Consumer</t>
        </is>
      </c>
      <c r="H193" s="13" t="n">
        <v>2</v>
      </c>
      <c r="I193" s="14" t="n">
        <v>126.71</v>
      </c>
      <c r="J193" s="15" t="n">
        <v>0.15</v>
      </c>
      <c r="K193" s="14" t="n">
        <v>55.75</v>
      </c>
      <c r="L193" s="13" t="n">
        <v>5</v>
      </c>
      <c r="M193" s="13" t="inlineStr">
        <is>
          <t>Completed</t>
        </is>
      </c>
      <c r="N193" s="13" t="inlineStr">
        <is>
          <t>R. Ibarra</t>
        </is>
      </c>
      <c r="O193" s="13" t="inlineStr">
        <is>
          <t>No</t>
        </is>
      </c>
      <c r="P193" s="14">
        <f>H193*I193</f>
        <v/>
      </c>
      <c r="Q193" s="14">
        <f>P193*(1-J193)</f>
        <v/>
      </c>
      <c r="R193" s="14">
        <f>H193*K193</f>
        <v/>
      </c>
      <c r="S193" s="15">
        <f>IF(Q193=0,"",(Q193-R193)/Q193)</f>
        <v/>
      </c>
      <c r="T193" s="13">
        <f>YEAR(B193)</f>
        <v/>
      </c>
      <c r="U193" s="13">
        <f>YEAR(B193)&amp;"-Q"&amp;ROUNDUP(MONTH(B193)/3,0)</f>
        <v/>
      </c>
      <c r="V193" s="13">
        <f>TEXT(B193,"YYYY-MM")</f>
        <v/>
      </c>
      <c r="W193" s="13">
        <f>IF(L193="","",IF(L193&gt;pLateDays,1,0))</f>
        <v/>
      </c>
      <c r="X193" s="13">
        <f>IF(Q193&gt;=pHighCutoff,1,0)</f>
        <v/>
      </c>
      <c r="Y193" s="13">
        <f>IF(M193="Returned",1,0)</f>
        <v/>
      </c>
    </row>
    <row r="194">
      <c r="A194" s="13" t="inlineStr">
        <is>
          <t>HC-100192</t>
        </is>
      </c>
      <c r="B194" s="18" t="n">
        <v>45548</v>
      </c>
      <c r="C194" s="13" t="inlineStr">
        <is>
          <t>South</t>
        </is>
      </c>
      <c r="D194" s="13" t="inlineStr">
        <is>
          <t>Store</t>
        </is>
      </c>
      <c r="E194" s="13" t="inlineStr">
        <is>
          <t>Furniture</t>
        </is>
      </c>
      <c r="F194" s="13" t="inlineStr">
        <is>
          <t>Walnut Shelf</t>
        </is>
      </c>
      <c r="G194" s="13" t="inlineStr">
        <is>
          <t>Consumer</t>
        </is>
      </c>
      <c r="H194" s="13" t="n">
        <v>4</v>
      </c>
      <c r="I194" s="14" t="n">
        <v>222.6</v>
      </c>
      <c r="J194" s="15" t="n">
        <v>0.08</v>
      </c>
      <c r="K194" s="14" t="n">
        <v>122.43</v>
      </c>
      <c r="L194" s="13" t="n">
        <v>4</v>
      </c>
      <c r="M194" s="13" t="inlineStr">
        <is>
          <t>Completed</t>
        </is>
      </c>
      <c r="N194" s="13" t="inlineStr">
        <is>
          <t>R. Ibarra</t>
        </is>
      </c>
      <c r="O194" s="13" t="inlineStr">
        <is>
          <t>No</t>
        </is>
      </c>
      <c r="P194" s="14">
        <f>H194*I194</f>
        <v/>
      </c>
      <c r="Q194" s="14">
        <f>P194*(1-J194)</f>
        <v/>
      </c>
      <c r="R194" s="14">
        <f>H194*K194</f>
        <v/>
      </c>
      <c r="S194" s="15">
        <f>IF(Q194=0,"",(Q194-R194)/Q194)</f>
        <v/>
      </c>
      <c r="T194" s="13">
        <f>YEAR(B194)</f>
        <v/>
      </c>
      <c r="U194" s="13">
        <f>YEAR(B194)&amp;"-Q"&amp;ROUNDUP(MONTH(B194)/3,0)</f>
        <v/>
      </c>
      <c r="V194" s="13">
        <f>TEXT(B194,"YYYY-MM")</f>
        <v/>
      </c>
      <c r="W194" s="13">
        <f>IF(L194="","",IF(L194&gt;pLateDays,1,0))</f>
        <v/>
      </c>
      <c r="X194" s="13">
        <f>IF(Q194&gt;=pHighCutoff,1,0)</f>
        <v/>
      </c>
      <c r="Y194" s="13">
        <f>IF(M194="Returned",1,0)</f>
        <v/>
      </c>
    </row>
    <row r="195">
      <c r="A195" s="13" t="inlineStr">
        <is>
          <t>HC-100193</t>
        </is>
      </c>
      <c r="B195" s="18" t="n">
        <v>45830</v>
      </c>
      <c r="C195" s="13" t="inlineStr">
        <is>
          <t>North</t>
        </is>
      </c>
      <c r="D195" s="13" t="inlineStr">
        <is>
          <t>Store</t>
        </is>
      </c>
      <c r="E195" s="13" t="inlineStr">
        <is>
          <t>Furniture</t>
        </is>
      </c>
      <c r="F195" s="13" t="inlineStr">
        <is>
          <t>Oak Desk</t>
        </is>
      </c>
      <c r="G195" s="13" t="inlineStr">
        <is>
          <t>Corporate</t>
        </is>
      </c>
      <c r="H195" s="13" t="n">
        <v>3</v>
      </c>
      <c r="I195" s="14" t="n">
        <v>865.1</v>
      </c>
      <c r="J195" s="15" t="n">
        <v>0.07000000000000001</v>
      </c>
      <c r="K195" s="14" t="n">
        <v>536.36</v>
      </c>
      <c r="L195" s="13" t="n">
        <v>5</v>
      </c>
      <c r="M195" s="13" t="inlineStr">
        <is>
          <t>Completed</t>
        </is>
      </c>
      <c r="N195" s="13" t="inlineStr">
        <is>
          <t>R. Ibarra</t>
        </is>
      </c>
      <c r="O195" s="13" t="inlineStr">
        <is>
          <t>No</t>
        </is>
      </c>
      <c r="P195" s="14">
        <f>H195*I195</f>
        <v/>
      </c>
      <c r="Q195" s="14">
        <f>P195*(1-J195)</f>
        <v/>
      </c>
      <c r="R195" s="14">
        <f>H195*K195</f>
        <v/>
      </c>
      <c r="S195" s="15">
        <f>IF(Q195=0,"",(Q195-R195)/Q195)</f>
        <v/>
      </c>
      <c r="T195" s="13">
        <f>YEAR(B195)</f>
        <v/>
      </c>
      <c r="U195" s="13">
        <f>YEAR(B195)&amp;"-Q"&amp;ROUNDUP(MONTH(B195)/3,0)</f>
        <v/>
      </c>
      <c r="V195" s="13">
        <f>TEXT(B195,"YYYY-MM")</f>
        <v/>
      </c>
      <c r="W195" s="13">
        <f>IF(L195="","",IF(L195&gt;pLateDays,1,0))</f>
        <v/>
      </c>
      <c r="X195" s="13">
        <f>IF(Q195&gt;=pHighCutoff,1,0)</f>
        <v/>
      </c>
      <c r="Y195" s="13">
        <f>IF(M195="Returned",1,0)</f>
        <v/>
      </c>
    </row>
    <row r="196">
      <c r="A196" s="13" t="inlineStr">
        <is>
          <t>HC-100194</t>
        </is>
      </c>
      <c r="B196" s="18" t="n">
        <v>45607</v>
      </c>
      <c r="C196" s="13" t="inlineStr">
        <is>
          <t>North</t>
        </is>
      </c>
      <c r="D196" s="13" t="inlineStr">
        <is>
          <t>Online</t>
        </is>
      </c>
      <c r="E196" s="13" t="inlineStr">
        <is>
          <t>Kitchen</t>
        </is>
      </c>
      <c r="F196" s="13" t="inlineStr">
        <is>
          <t>Cast Skillet</t>
        </is>
      </c>
      <c r="G196" s="13" t="inlineStr">
        <is>
          <t>Consumer</t>
        </is>
      </c>
      <c r="H196" s="13" t="n">
        <v>4</v>
      </c>
      <c r="I196" s="14" t="n">
        <v>57.9</v>
      </c>
      <c r="J196" s="15" t="n">
        <v>0.1</v>
      </c>
      <c r="K196" s="14" t="n">
        <v>23.16</v>
      </c>
      <c r="L196" s="13" t="n">
        <v>5</v>
      </c>
      <c r="M196" s="13" t="inlineStr">
        <is>
          <t>Completed</t>
        </is>
      </c>
      <c r="N196" s="13" t="inlineStr">
        <is>
          <t>L. Berger</t>
        </is>
      </c>
      <c r="O196" s="13" t="inlineStr">
        <is>
          <t>No</t>
        </is>
      </c>
      <c r="P196" s="14">
        <f>H196*I196</f>
        <v/>
      </c>
      <c r="Q196" s="14">
        <f>P196*(1-J196)</f>
        <v/>
      </c>
      <c r="R196" s="14">
        <f>H196*K196</f>
        <v/>
      </c>
      <c r="S196" s="15">
        <f>IF(Q196=0,"",(Q196-R196)/Q196)</f>
        <v/>
      </c>
      <c r="T196" s="13">
        <f>YEAR(B196)</f>
        <v/>
      </c>
      <c r="U196" s="13">
        <f>YEAR(B196)&amp;"-Q"&amp;ROUNDUP(MONTH(B196)/3,0)</f>
        <v/>
      </c>
      <c r="V196" s="13">
        <f>TEXT(B196,"YYYY-MM")</f>
        <v/>
      </c>
      <c r="W196" s="13">
        <f>IF(L196="","",IF(L196&gt;pLateDays,1,0))</f>
        <v/>
      </c>
      <c r="X196" s="13">
        <f>IF(Q196&gt;=pHighCutoff,1,0)</f>
        <v/>
      </c>
      <c r="Y196" s="13">
        <f>IF(M196="Returned",1,0)</f>
        <v/>
      </c>
    </row>
    <row r="197">
      <c r="A197" s="13" t="inlineStr">
        <is>
          <t>HC-100195</t>
        </is>
      </c>
      <c r="B197" s="18" t="n">
        <v>45308</v>
      </c>
      <c r="C197" s="13" t="inlineStr">
        <is>
          <t>South</t>
        </is>
      </c>
      <c r="D197" s="13" t="inlineStr">
        <is>
          <t>Wholesale</t>
        </is>
      </c>
      <c r="E197" s="13" t="inlineStr">
        <is>
          <t>Textiles</t>
        </is>
      </c>
      <c r="F197" s="13" t="inlineStr">
        <is>
          <t>Wool Throw</t>
        </is>
      </c>
      <c r="G197" s="13" t="inlineStr">
        <is>
          <t>Consumer</t>
        </is>
      </c>
      <c r="H197" s="13" t="n">
        <v>30</v>
      </c>
      <c r="I197" s="14" t="n">
        <v>75.34999999999999</v>
      </c>
      <c r="J197" s="15" t="n">
        <v>0.2</v>
      </c>
      <c r="K197" s="14" t="n">
        <v>31.65</v>
      </c>
      <c r="L197" s="13" t="n">
        <v>6</v>
      </c>
      <c r="M197" s="13" t="inlineStr">
        <is>
          <t>Completed</t>
        </is>
      </c>
      <c r="N197" s="13" t="inlineStr">
        <is>
          <t>R. Ibarra</t>
        </is>
      </c>
      <c r="O197" s="13" t="inlineStr">
        <is>
          <t>No</t>
        </is>
      </c>
      <c r="P197" s="14">
        <f>H197*I197</f>
        <v/>
      </c>
      <c r="Q197" s="14">
        <f>P197*(1-J197)</f>
        <v/>
      </c>
      <c r="R197" s="14">
        <f>H197*K197</f>
        <v/>
      </c>
      <c r="S197" s="15">
        <f>IF(Q197=0,"",(Q197-R197)/Q197)</f>
        <v/>
      </c>
      <c r="T197" s="13">
        <f>YEAR(B197)</f>
        <v/>
      </c>
      <c r="U197" s="13">
        <f>YEAR(B197)&amp;"-Q"&amp;ROUNDUP(MONTH(B197)/3,0)</f>
        <v/>
      </c>
      <c r="V197" s="13">
        <f>TEXT(B197,"YYYY-MM")</f>
        <v/>
      </c>
      <c r="W197" s="13">
        <f>IF(L197="","",IF(L197&gt;pLateDays,1,0))</f>
        <v/>
      </c>
      <c r="X197" s="13">
        <f>IF(Q197&gt;=pHighCutoff,1,0)</f>
        <v/>
      </c>
      <c r="Y197" s="13">
        <f>IF(M197="Returned",1,0)</f>
        <v/>
      </c>
    </row>
    <row r="198">
      <c r="A198" s="13" t="inlineStr">
        <is>
          <t>HC-100196</t>
        </is>
      </c>
      <c r="B198" s="18" t="n">
        <v>45304</v>
      </c>
      <c r="C198" s="13" t="inlineStr">
        <is>
          <t>North</t>
        </is>
      </c>
      <c r="D198" s="13" t="inlineStr">
        <is>
          <t>Store</t>
        </is>
      </c>
      <c r="E198" s="13" t="inlineStr">
        <is>
          <t>Furniture</t>
        </is>
      </c>
      <c r="F198" s="13" t="inlineStr">
        <is>
          <t>Lounge Chair</t>
        </is>
      </c>
      <c r="G198" s="13" t="inlineStr">
        <is>
          <t>Consumer</t>
        </is>
      </c>
      <c r="H198" s="13" t="n">
        <v>3</v>
      </c>
      <c r="I198" s="14" t="n">
        <v>507.65</v>
      </c>
      <c r="J198" s="15" t="n">
        <v>0.03</v>
      </c>
      <c r="K198" s="14" t="n">
        <v>304.59</v>
      </c>
      <c r="L198" s="13" t="n">
        <v>5</v>
      </c>
      <c r="M198" s="13" t="inlineStr">
        <is>
          <t>Completed</t>
        </is>
      </c>
      <c r="N198" s="13" t="inlineStr">
        <is>
          <t>S. Nguyen</t>
        </is>
      </c>
      <c r="O198" s="13" t="inlineStr">
        <is>
          <t>No</t>
        </is>
      </c>
      <c r="P198" s="14">
        <f>H198*I198</f>
        <v/>
      </c>
      <c r="Q198" s="14">
        <f>P198*(1-J198)</f>
        <v/>
      </c>
      <c r="R198" s="14">
        <f>H198*K198</f>
        <v/>
      </c>
      <c r="S198" s="15">
        <f>IF(Q198=0,"",(Q198-R198)/Q198)</f>
        <v/>
      </c>
      <c r="T198" s="13">
        <f>YEAR(B198)</f>
        <v/>
      </c>
      <c r="U198" s="13">
        <f>YEAR(B198)&amp;"-Q"&amp;ROUNDUP(MONTH(B198)/3,0)</f>
        <v/>
      </c>
      <c r="V198" s="13">
        <f>TEXT(B198,"YYYY-MM")</f>
        <v/>
      </c>
      <c r="W198" s="13">
        <f>IF(L198="","",IF(L198&gt;pLateDays,1,0))</f>
        <v/>
      </c>
      <c r="X198" s="13">
        <f>IF(Q198&gt;=pHighCutoff,1,0)</f>
        <v/>
      </c>
      <c r="Y198" s="13">
        <f>IF(M198="Returned",1,0)</f>
        <v/>
      </c>
    </row>
    <row r="199">
      <c r="A199" s="13" t="inlineStr">
        <is>
          <t>HC-100197</t>
        </is>
      </c>
      <c r="B199" s="18" t="n">
        <v>45913</v>
      </c>
      <c r="C199" s="13" t="inlineStr">
        <is>
          <t>East</t>
        </is>
      </c>
      <c r="D199" s="13" t="inlineStr">
        <is>
          <t>Wholesale</t>
        </is>
      </c>
      <c r="E199" s="13" t="inlineStr">
        <is>
          <t>Textiles</t>
        </is>
      </c>
      <c r="F199" s="13" t="inlineStr">
        <is>
          <t>Linen Curtain</t>
        </is>
      </c>
      <c r="G199" s="13" t="inlineStr">
        <is>
          <t>Consumer</t>
        </is>
      </c>
      <c r="H199" s="13" t="n">
        <v>11</v>
      </c>
      <c r="I199" s="14" t="n">
        <v>85.29000000000001</v>
      </c>
      <c r="J199" s="15" t="n">
        <v>0.26</v>
      </c>
      <c r="K199" s="14" t="n">
        <v>38.38</v>
      </c>
      <c r="L199" s="13" t="n">
        <v>10</v>
      </c>
      <c r="M199" s="13" t="inlineStr">
        <is>
          <t>Returned</t>
        </is>
      </c>
      <c r="N199" s="13" t="inlineStr">
        <is>
          <t>J. Patel</t>
        </is>
      </c>
      <c r="O199" s="13" t="inlineStr">
        <is>
          <t>No</t>
        </is>
      </c>
      <c r="P199" s="14">
        <f>H199*I199</f>
        <v/>
      </c>
      <c r="Q199" s="14">
        <f>P199*(1-J199)</f>
        <v/>
      </c>
      <c r="R199" s="14">
        <f>H199*K199</f>
        <v/>
      </c>
      <c r="S199" s="15">
        <f>IF(Q199=0,"",(Q199-R199)/Q199)</f>
        <v/>
      </c>
      <c r="T199" s="13">
        <f>YEAR(B199)</f>
        <v/>
      </c>
      <c r="U199" s="13">
        <f>YEAR(B199)&amp;"-Q"&amp;ROUNDUP(MONTH(B199)/3,0)</f>
        <v/>
      </c>
      <c r="V199" s="13">
        <f>TEXT(B199,"YYYY-MM")</f>
        <v/>
      </c>
      <c r="W199" s="13">
        <f>IF(L199="","",IF(L199&gt;pLateDays,1,0))</f>
        <v/>
      </c>
      <c r="X199" s="13">
        <f>IF(Q199&gt;=pHighCutoff,1,0)</f>
        <v/>
      </c>
      <c r="Y199" s="13">
        <f>IF(M199="Returned",1,0)</f>
        <v/>
      </c>
    </row>
    <row r="200">
      <c r="A200" s="13" t="inlineStr">
        <is>
          <t>HC-100198</t>
        </is>
      </c>
      <c r="B200" s="18" t="n">
        <v>45374</v>
      </c>
      <c r="C200" s="13" t="inlineStr">
        <is>
          <t>North</t>
        </is>
      </c>
      <c r="D200" s="13" t="inlineStr">
        <is>
          <t>Online</t>
        </is>
      </c>
      <c r="E200" s="13" t="inlineStr">
        <is>
          <t>Furniture</t>
        </is>
      </c>
      <c r="F200" s="13" t="inlineStr">
        <is>
          <t>Oak Desk</t>
        </is>
      </c>
      <c r="G200" s="13" t="inlineStr">
        <is>
          <t>Consumer</t>
        </is>
      </c>
      <c r="H200" s="13" t="n">
        <v>2</v>
      </c>
      <c r="I200" s="14" t="n">
        <v>873.75</v>
      </c>
      <c r="J200" s="15" t="n">
        <v>0.14</v>
      </c>
      <c r="K200" s="14" t="n">
        <v>541.72</v>
      </c>
      <c r="L200" s="13" t="n">
        <v>7</v>
      </c>
      <c r="M200" s="13" t="inlineStr">
        <is>
          <t>Completed</t>
        </is>
      </c>
      <c r="N200" s="13" t="inlineStr">
        <is>
          <t>P. Rossi</t>
        </is>
      </c>
      <c r="O200" s="13" t="inlineStr">
        <is>
          <t>No</t>
        </is>
      </c>
      <c r="P200" s="14">
        <f>H200*I200</f>
        <v/>
      </c>
      <c r="Q200" s="14">
        <f>P200*(1-J200)</f>
        <v/>
      </c>
      <c r="R200" s="14">
        <f>H200*K200</f>
        <v/>
      </c>
      <c r="S200" s="15">
        <f>IF(Q200=0,"",(Q200-R200)/Q200)</f>
        <v/>
      </c>
      <c r="T200" s="13">
        <f>YEAR(B200)</f>
        <v/>
      </c>
      <c r="U200" s="13">
        <f>YEAR(B200)&amp;"-Q"&amp;ROUNDUP(MONTH(B200)/3,0)</f>
        <v/>
      </c>
      <c r="V200" s="13">
        <f>TEXT(B200,"YYYY-MM")</f>
        <v/>
      </c>
      <c r="W200" s="13">
        <f>IF(L200="","",IF(L200&gt;pLateDays,1,0))</f>
        <v/>
      </c>
      <c r="X200" s="13">
        <f>IF(Q200&gt;=pHighCutoff,1,0)</f>
        <v/>
      </c>
      <c r="Y200" s="13">
        <f>IF(M200="Returned",1,0)</f>
        <v/>
      </c>
    </row>
    <row r="201">
      <c r="A201" s="13" t="inlineStr">
        <is>
          <t>HC-100199</t>
        </is>
      </c>
      <c r="B201" s="18" t="n">
        <v>45419</v>
      </c>
      <c r="C201" s="13" t="inlineStr">
        <is>
          <t>North</t>
        </is>
      </c>
      <c r="D201" s="13" t="inlineStr">
        <is>
          <t>Store</t>
        </is>
      </c>
      <c r="E201" s="13" t="inlineStr">
        <is>
          <t>Furniture</t>
        </is>
      </c>
      <c r="F201" s="13" t="inlineStr">
        <is>
          <t>Lounge Chair</t>
        </is>
      </c>
      <c r="G201" s="13" t="inlineStr">
        <is>
          <t>Consumer</t>
        </is>
      </c>
      <c r="H201" s="13" t="n">
        <v>1</v>
      </c>
      <c r="I201" s="14" t="n">
        <v>487.93</v>
      </c>
      <c r="J201" s="15" t="n">
        <v>0.1</v>
      </c>
      <c r="K201" s="14" t="n">
        <v>292.76</v>
      </c>
      <c r="L201" s="13" t="n">
        <v>6</v>
      </c>
      <c r="M201" s="13" t="inlineStr">
        <is>
          <t>Completed</t>
        </is>
      </c>
      <c r="N201" s="13" t="inlineStr">
        <is>
          <t>P. Rossi</t>
        </is>
      </c>
      <c r="O201" s="13" t="inlineStr">
        <is>
          <t>No</t>
        </is>
      </c>
      <c r="P201" s="14">
        <f>H201*I201</f>
        <v/>
      </c>
      <c r="Q201" s="14">
        <f>P201*(1-J201)</f>
        <v/>
      </c>
      <c r="R201" s="14">
        <f>H201*K201</f>
        <v/>
      </c>
      <c r="S201" s="15">
        <f>IF(Q201=0,"",(Q201-R201)/Q201)</f>
        <v/>
      </c>
      <c r="T201" s="13">
        <f>YEAR(B201)</f>
        <v/>
      </c>
      <c r="U201" s="13">
        <f>YEAR(B201)&amp;"-Q"&amp;ROUNDUP(MONTH(B201)/3,0)</f>
        <v/>
      </c>
      <c r="V201" s="13">
        <f>TEXT(B201,"YYYY-MM")</f>
        <v/>
      </c>
      <c r="W201" s="13">
        <f>IF(L201="","",IF(L201&gt;pLateDays,1,0))</f>
        <v/>
      </c>
      <c r="X201" s="13">
        <f>IF(Q201&gt;=pHighCutoff,1,0)</f>
        <v/>
      </c>
      <c r="Y201" s="13">
        <f>IF(M201="Returned",1,0)</f>
        <v/>
      </c>
    </row>
    <row r="202">
      <c r="A202" s="13" t="inlineStr">
        <is>
          <t>HC-100200</t>
        </is>
      </c>
      <c r="B202" s="18" t="n">
        <v>45813</v>
      </c>
      <c r="C202" s="13" t="inlineStr">
        <is>
          <t>South</t>
        </is>
      </c>
      <c r="D202" s="13" t="inlineStr">
        <is>
          <t>Online</t>
        </is>
      </c>
      <c r="E202" s="13" t="inlineStr">
        <is>
          <t>Furniture</t>
        </is>
      </c>
      <c r="F202" s="13" t="inlineStr">
        <is>
          <t>Linen Sofa</t>
        </is>
      </c>
      <c r="G202" s="13" t="inlineStr">
        <is>
          <t>Unknown</t>
        </is>
      </c>
      <c r="H202" s="13" t="n">
        <v>2</v>
      </c>
      <c r="I202" s="14" t="n">
        <v>1189.15</v>
      </c>
      <c r="J202" s="15" t="n">
        <v>0.02</v>
      </c>
      <c r="K202" s="14" t="n">
        <v>784.84</v>
      </c>
      <c r="L202" s="13" t="n">
        <v>4</v>
      </c>
      <c r="M202" s="13" t="inlineStr">
        <is>
          <t>Completed</t>
        </is>
      </c>
      <c r="N202" s="13" t="inlineStr">
        <is>
          <t>K. Mensah</t>
        </is>
      </c>
      <c r="O202" s="13" t="inlineStr">
        <is>
          <t>No</t>
        </is>
      </c>
      <c r="P202" s="14">
        <f>H202*I202</f>
        <v/>
      </c>
      <c r="Q202" s="14">
        <f>P202*(1-J202)</f>
        <v/>
      </c>
      <c r="R202" s="14">
        <f>H202*K202</f>
        <v/>
      </c>
      <c r="S202" s="15">
        <f>IF(Q202=0,"",(Q202-R202)/Q202)</f>
        <v/>
      </c>
      <c r="T202" s="13">
        <f>YEAR(B202)</f>
        <v/>
      </c>
      <c r="U202" s="13">
        <f>YEAR(B202)&amp;"-Q"&amp;ROUNDUP(MONTH(B202)/3,0)</f>
        <v/>
      </c>
      <c r="V202" s="13">
        <f>TEXT(B202,"YYYY-MM")</f>
        <v/>
      </c>
      <c r="W202" s="13">
        <f>IF(L202="","",IF(L202&gt;pLateDays,1,0))</f>
        <v/>
      </c>
      <c r="X202" s="13">
        <f>IF(Q202&gt;=pHighCutoff,1,0)</f>
        <v/>
      </c>
      <c r="Y202" s="13">
        <f>IF(M202="Returned",1,0)</f>
        <v/>
      </c>
    </row>
    <row r="203">
      <c r="A203" s="13" t="inlineStr">
        <is>
          <t>HC-100201</t>
        </is>
      </c>
      <c r="B203" s="18" t="n">
        <v>45489</v>
      </c>
      <c r="C203" s="13" t="inlineStr">
        <is>
          <t>East</t>
        </is>
      </c>
      <c r="D203" s="13" t="inlineStr">
        <is>
          <t>Online</t>
        </is>
      </c>
      <c r="E203" s="13" t="inlineStr">
        <is>
          <t>Lighting</t>
        </is>
      </c>
      <c r="F203" s="13" t="inlineStr">
        <is>
          <t>Brass Sconce</t>
        </is>
      </c>
      <c r="G203" s="13" t="inlineStr">
        <is>
          <t>Corporate</t>
        </is>
      </c>
      <c r="H203" s="13" t="n">
        <v>2</v>
      </c>
      <c r="I203" s="14" t="n">
        <v>131.18</v>
      </c>
      <c r="J203" s="15" t="n">
        <v>0.15</v>
      </c>
      <c r="K203" s="14" t="n">
        <v>60.34</v>
      </c>
      <c r="L203" s="13" t="n">
        <v>7</v>
      </c>
      <c r="M203" s="13" t="inlineStr">
        <is>
          <t>Cancelled</t>
        </is>
      </c>
      <c r="N203" s="13" t="inlineStr">
        <is>
          <t>K. Mensah</t>
        </is>
      </c>
      <c r="O203" s="13" t="inlineStr">
        <is>
          <t>No</t>
        </is>
      </c>
      <c r="P203" s="14">
        <f>H203*I203</f>
        <v/>
      </c>
      <c r="Q203" s="14">
        <f>P203*(1-J203)</f>
        <v/>
      </c>
      <c r="R203" s="14">
        <f>H203*K203</f>
        <v/>
      </c>
      <c r="S203" s="15">
        <f>IF(Q203=0,"",(Q203-R203)/Q203)</f>
        <v/>
      </c>
      <c r="T203" s="13">
        <f>YEAR(B203)</f>
        <v/>
      </c>
      <c r="U203" s="13">
        <f>YEAR(B203)&amp;"-Q"&amp;ROUNDUP(MONTH(B203)/3,0)</f>
        <v/>
      </c>
      <c r="V203" s="13">
        <f>TEXT(B203,"YYYY-MM")</f>
        <v/>
      </c>
      <c r="W203" s="13">
        <f>IF(L203="","",IF(L203&gt;pLateDays,1,0))</f>
        <v/>
      </c>
      <c r="X203" s="13">
        <f>IF(Q203&gt;=pHighCutoff,1,0)</f>
        <v/>
      </c>
      <c r="Y203" s="13">
        <f>IF(M203="Returned",1,0)</f>
        <v/>
      </c>
    </row>
    <row r="204">
      <c r="A204" s="13" t="inlineStr">
        <is>
          <t>HC-100202</t>
        </is>
      </c>
      <c r="B204" s="18" t="n">
        <v>45840</v>
      </c>
      <c r="C204" s="13" t="inlineStr">
        <is>
          <t>North</t>
        </is>
      </c>
      <c r="D204" s="13" t="inlineStr">
        <is>
          <t>Wholesale</t>
        </is>
      </c>
      <c r="E204" s="13" t="inlineStr">
        <is>
          <t>Furniture</t>
        </is>
      </c>
      <c r="F204" s="13" t="inlineStr">
        <is>
          <t>Walnut Shelf</t>
        </is>
      </c>
      <c r="G204" s="13" t="inlineStr">
        <is>
          <t>Consumer</t>
        </is>
      </c>
      <c r="H204" s="13" t="n">
        <v>35</v>
      </c>
      <c r="I204" s="14" t="n">
        <v>205.37</v>
      </c>
      <c r="J204" s="15" t="n">
        <v>0.24</v>
      </c>
      <c r="K204" s="14" t="n">
        <v>112.95</v>
      </c>
      <c r="L204" s="13" t="n">
        <v>3</v>
      </c>
      <c r="M204" s="13" t="inlineStr">
        <is>
          <t>Completed</t>
        </is>
      </c>
      <c r="N204" s="13" t="inlineStr">
        <is>
          <t>S. Nguyen</t>
        </is>
      </c>
      <c r="O204" s="13" t="inlineStr">
        <is>
          <t>No</t>
        </is>
      </c>
      <c r="P204" s="14">
        <f>H204*I204</f>
        <v/>
      </c>
      <c r="Q204" s="14">
        <f>P204*(1-J204)</f>
        <v/>
      </c>
      <c r="R204" s="14">
        <f>H204*K204</f>
        <v/>
      </c>
      <c r="S204" s="15">
        <f>IF(Q204=0,"",(Q204-R204)/Q204)</f>
        <v/>
      </c>
      <c r="T204" s="13">
        <f>YEAR(B204)</f>
        <v/>
      </c>
      <c r="U204" s="13">
        <f>YEAR(B204)&amp;"-Q"&amp;ROUNDUP(MONTH(B204)/3,0)</f>
        <v/>
      </c>
      <c r="V204" s="13">
        <f>TEXT(B204,"YYYY-MM")</f>
        <v/>
      </c>
      <c r="W204" s="13">
        <f>IF(L204="","",IF(L204&gt;pLateDays,1,0))</f>
        <v/>
      </c>
      <c r="X204" s="13">
        <f>IF(Q204&gt;=pHighCutoff,1,0)</f>
        <v/>
      </c>
      <c r="Y204" s="13">
        <f>IF(M204="Returned",1,0)</f>
        <v/>
      </c>
    </row>
    <row r="205">
      <c r="A205" s="13" t="inlineStr">
        <is>
          <t>HC-100203</t>
        </is>
      </c>
      <c r="B205" s="18" t="n">
        <v>45317</v>
      </c>
      <c r="C205" s="13" t="inlineStr">
        <is>
          <t>North</t>
        </is>
      </c>
      <c r="D205" s="13" t="inlineStr">
        <is>
          <t>Online</t>
        </is>
      </c>
      <c r="E205" s="13" t="inlineStr">
        <is>
          <t>Lighting</t>
        </is>
      </c>
      <c r="F205" s="13" t="inlineStr">
        <is>
          <t>Brass Sconce</t>
        </is>
      </c>
      <c r="G205" s="13" t="inlineStr">
        <is>
          <t>Corporate</t>
        </is>
      </c>
      <c r="H205" s="13" t="n">
        <v>3</v>
      </c>
      <c r="I205" s="14" t="n">
        <v>140.46</v>
      </c>
      <c r="J205" s="15" t="n">
        <v>0.12</v>
      </c>
      <c r="K205" s="14" t="n">
        <v>64.61</v>
      </c>
      <c r="L205" s="13" t="n">
        <v>5</v>
      </c>
      <c r="M205" s="13" t="inlineStr">
        <is>
          <t>Completed</t>
        </is>
      </c>
      <c r="N205" s="13" t="inlineStr">
        <is>
          <t>L. Berger</t>
        </is>
      </c>
      <c r="O205" s="13" t="inlineStr">
        <is>
          <t>No</t>
        </is>
      </c>
      <c r="P205" s="14">
        <f>H205*I205</f>
        <v/>
      </c>
      <c r="Q205" s="14">
        <f>P205*(1-J205)</f>
        <v/>
      </c>
      <c r="R205" s="14">
        <f>H205*K205</f>
        <v/>
      </c>
      <c r="S205" s="15">
        <f>IF(Q205=0,"",(Q205-R205)/Q205)</f>
        <v/>
      </c>
      <c r="T205" s="13">
        <f>YEAR(B205)</f>
        <v/>
      </c>
      <c r="U205" s="13">
        <f>YEAR(B205)&amp;"-Q"&amp;ROUNDUP(MONTH(B205)/3,0)</f>
        <v/>
      </c>
      <c r="V205" s="13">
        <f>TEXT(B205,"YYYY-MM")</f>
        <v/>
      </c>
      <c r="W205" s="13">
        <f>IF(L205="","",IF(L205&gt;pLateDays,1,0))</f>
        <v/>
      </c>
      <c r="X205" s="13">
        <f>IF(Q205&gt;=pHighCutoff,1,0)</f>
        <v/>
      </c>
      <c r="Y205" s="13">
        <f>IF(M205="Returned",1,0)</f>
        <v/>
      </c>
    </row>
    <row r="206">
      <c r="A206" s="13" t="inlineStr">
        <is>
          <t>HC-100204</t>
        </is>
      </c>
      <c r="B206" s="18" t="n">
        <v>45627</v>
      </c>
      <c r="C206" s="13" t="inlineStr">
        <is>
          <t>North</t>
        </is>
      </c>
      <c r="D206" s="13" t="inlineStr">
        <is>
          <t>Online</t>
        </is>
      </c>
      <c r="E206" s="13" t="inlineStr">
        <is>
          <t>Kitchen</t>
        </is>
      </c>
      <c r="F206" s="13" t="inlineStr">
        <is>
          <t>Ceramic Set</t>
        </is>
      </c>
      <c r="G206" s="13" t="inlineStr">
        <is>
          <t>Corporate</t>
        </is>
      </c>
      <c r="H206" s="13" t="n">
        <v>4</v>
      </c>
      <c r="I206" s="14" t="n">
        <v>92.05</v>
      </c>
      <c r="J206" s="15" t="n">
        <v>0.04</v>
      </c>
      <c r="K206" s="14" t="n">
        <v>34.98</v>
      </c>
      <c r="L206" s="13" t="n">
        <v>8</v>
      </c>
      <c r="M206" s="13" t="inlineStr">
        <is>
          <t>Completed</t>
        </is>
      </c>
      <c r="N206" s="13" t="inlineStr">
        <is>
          <t>P. Rossi</t>
        </is>
      </c>
      <c r="O206" s="13" t="inlineStr">
        <is>
          <t>No</t>
        </is>
      </c>
      <c r="P206" s="14">
        <f>H206*I206</f>
        <v/>
      </c>
      <c r="Q206" s="14">
        <f>P206*(1-J206)</f>
        <v/>
      </c>
      <c r="R206" s="14">
        <f>H206*K206</f>
        <v/>
      </c>
      <c r="S206" s="15">
        <f>IF(Q206=0,"",(Q206-R206)/Q206)</f>
        <v/>
      </c>
      <c r="T206" s="13">
        <f>YEAR(B206)</f>
        <v/>
      </c>
      <c r="U206" s="13">
        <f>YEAR(B206)&amp;"-Q"&amp;ROUNDUP(MONTH(B206)/3,0)</f>
        <v/>
      </c>
      <c r="V206" s="13">
        <f>TEXT(B206,"YYYY-MM")</f>
        <v/>
      </c>
      <c r="W206" s="13">
        <f>IF(L206="","",IF(L206&gt;pLateDays,1,0))</f>
        <v/>
      </c>
      <c r="X206" s="13">
        <f>IF(Q206&gt;=pHighCutoff,1,0)</f>
        <v/>
      </c>
      <c r="Y206" s="13">
        <f>IF(M206="Returned",1,0)</f>
        <v/>
      </c>
    </row>
    <row r="207">
      <c r="A207" s="13" t="inlineStr">
        <is>
          <t>HC-100205</t>
        </is>
      </c>
      <c r="B207" s="18" t="n">
        <v>45854</v>
      </c>
      <c r="C207" s="13" t="inlineStr">
        <is>
          <t>South</t>
        </is>
      </c>
      <c r="D207" s="13" t="inlineStr">
        <is>
          <t>Online</t>
        </is>
      </c>
      <c r="E207" s="13" t="inlineStr">
        <is>
          <t>Furniture</t>
        </is>
      </c>
      <c r="F207" s="13" t="inlineStr">
        <is>
          <t>Lounge Chair</t>
        </is>
      </c>
      <c r="G207" s="13" t="inlineStr">
        <is>
          <t>Home Office</t>
        </is>
      </c>
      <c r="H207" s="13" t="n">
        <v>1</v>
      </c>
      <c r="I207" s="14" t="n">
        <v>445.59</v>
      </c>
      <c r="J207" s="15" t="n">
        <v>0.12</v>
      </c>
      <c r="K207" s="14" t="n">
        <v>267.35</v>
      </c>
      <c r="L207" s="13" t="n">
        <v>2</v>
      </c>
      <c r="M207" s="13" t="inlineStr">
        <is>
          <t>Completed</t>
        </is>
      </c>
      <c r="N207" s="13" t="inlineStr">
        <is>
          <t>S. Nguyen</t>
        </is>
      </c>
      <c r="O207" s="13" t="inlineStr">
        <is>
          <t>No</t>
        </is>
      </c>
      <c r="P207" s="14">
        <f>H207*I207</f>
        <v/>
      </c>
      <c r="Q207" s="14">
        <f>P207*(1-J207)</f>
        <v/>
      </c>
      <c r="R207" s="14">
        <f>H207*K207</f>
        <v/>
      </c>
      <c r="S207" s="15">
        <f>IF(Q207=0,"",(Q207-R207)/Q207)</f>
        <v/>
      </c>
      <c r="T207" s="13">
        <f>YEAR(B207)</f>
        <v/>
      </c>
      <c r="U207" s="13">
        <f>YEAR(B207)&amp;"-Q"&amp;ROUNDUP(MONTH(B207)/3,0)</f>
        <v/>
      </c>
      <c r="V207" s="13">
        <f>TEXT(B207,"YYYY-MM")</f>
        <v/>
      </c>
      <c r="W207" s="13">
        <f>IF(L207="","",IF(L207&gt;pLateDays,1,0))</f>
        <v/>
      </c>
      <c r="X207" s="13">
        <f>IF(Q207&gt;=pHighCutoff,1,0)</f>
        <v/>
      </c>
      <c r="Y207" s="13">
        <f>IF(M207="Returned",1,0)</f>
        <v/>
      </c>
    </row>
    <row r="208">
      <c r="A208" s="13" t="inlineStr">
        <is>
          <t>HC-100206</t>
        </is>
      </c>
      <c r="B208" s="18" t="n">
        <v>45392</v>
      </c>
      <c r="C208" s="13" t="inlineStr">
        <is>
          <t>South</t>
        </is>
      </c>
      <c r="D208" s="13" t="inlineStr">
        <is>
          <t>Store</t>
        </is>
      </c>
      <c r="E208" s="13" t="inlineStr">
        <is>
          <t>Furniture</t>
        </is>
      </c>
      <c r="F208" s="13" t="inlineStr">
        <is>
          <t>Linen Sofa</t>
        </is>
      </c>
      <c r="G208" s="13" t="inlineStr">
        <is>
          <t>Consumer</t>
        </is>
      </c>
      <c r="H208" s="13" t="n">
        <v>3</v>
      </c>
      <c r="I208" s="14" t="n">
        <v>1268.11</v>
      </c>
      <c r="J208" s="15" t="n">
        <v>0.02</v>
      </c>
      <c r="K208" s="14" t="n">
        <v>836.95</v>
      </c>
      <c r="L208" s="13" t="n">
        <v>9</v>
      </c>
      <c r="M208" s="13" t="inlineStr">
        <is>
          <t>Completed</t>
        </is>
      </c>
      <c r="N208" s="13" t="inlineStr">
        <is>
          <t>P. Rossi</t>
        </is>
      </c>
      <c r="O208" s="13" t="inlineStr">
        <is>
          <t>No</t>
        </is>
      </c>
      <c r="P208" s="14">
        <f>H208*I208</f>
        <v/>
      </c>
      <c r="Q208" s="14">
        <f>P208*(1-J208)</f>
        <v/>
      </c>
      <c r="R208" s="14">
        <f>H208*K208</f>
        <v/>
      </c>
      <c r="S208" s="15">
        <f>IF(Q208=0,"",(Q208-R208)/Q208)</f>
        <v/>
      </c>
      <c r="T208" s="13">
        <f>YEAR(B208)</f>
        <v/>
      </c>
      <c r="U208" s="13">
        <f>YEAR(B208)&amp;"-Q"&amp;ROUNDUP(MONTH(B208)/3,0)</f>
        <v/>
      </c>
      <c r="V208" s="13">
        <f>TEXT(B208,"YYYY-MM")</f>
        <v/>
      </c>
      <c r="W208" s="13">
        <f>IF(L208="","",IF(L208&gt;pLateDays,1,0))</f>
        <v/>
      </c>
      <c r="X208" s="13">
        <f>IF(Q208&gt;=pHighCutoff,1,0)</f>
        <v/>
      </c>
      <c r="Y208" s="13">
        <f>IF(M208="Returned",1,0)</f>
        <v/>
      </c>
    </row>
    <row r="209">
      <c r="A209" s="13" t="inlineStr">
        <is>
          <t>HC-100207</t>
        </is>
      </c>
      <c r="B209" s="18" t="n">
        <v>45643</v>
      </c>
      <c r="C209" s="13" t="inlineStr">
        <is>
          <t>West</t>
        </is>
      </c>
      <c r="D209" s="13" t="inlineStr">
        <is>
          <t>Online</t>
        </is>
      </c>
      <c r="E209" s="13" t="inlineStr">
        <is>
          <t>Textiles</t>
        </is>
      </c>
      <c r="F209" s="13" t="inlineStr">
        <is>
          <t>Wool Throw</t>
        </is>
      </c>
      <c r="G209" s="13" t="inlineStr">
        <is>
          <t>Corporate</t>
        </is>
      </c>
      <c r="H209" s="13" t="n">
        <v>2</v>
      </c>
      <c r="I209" s="14" t="n">
        <v>71.16</v>
      </c>
      <c r="J209" s="15" t="n">
        <v>0.09</v>
      </c>
      <c r="K209" s="14" t="n">
        <v>29.89</v>
      </c>
      <c r="L209" s="13" t="n">
        <v>6</v>
      </c>
      <c r="M209" s="13" t="inlineStr">
        <is>
          <t>Completed</t>
        </is>
      </c>
      <c r="N209" s="13" t="inlineStr">
        <is>
          <t>L. Berger</t>
        </is>
      </c>
      <c r="O209" s="13" t="inlineStr">
        <is>
          <t>No</t>
        </is>
      </c>
      <c r="P209" s="14">
        <f>H209*I209</f>
        <v/>
      </c>
      <c r="Q209" s="14">
        <f>P209*(1-J209)</f>
        <v/>
      </c>
      <c r="R209" s="14">
        <f>H209*K209</f>
        <v/>
      </c>
      <c r="S209" s="15">
        <f>IF(Q209=0,"",(Q209-R209)/Q209)</f>
        <v/>
      </c>
      <c r="T209" s="13">
        <f>YEAR(B209)</f>
        <v/>
      </c>
      <c r="U209" s="13">
        <f>YEAR(B209)&amp;"-Q"&amp;ROUNDUP(MONTH(B209)/3,0)</f>
        <v/>
      </c>
      <c r="V209" s="13">
        <f>TEXT(B209,"YYYY-MM")</f>
        <v/>
      </c>
      <c r="W209" s="13">
        <f>IF(L209="","",IF(L209&gt;pLateDays,1,0))</f>
        <v/>
      </c>
      <c r="X209" s="13">
        <f>IF(Q209&gt;=pHighCutoff,1,0)</f>
        <v/>
      </c>
      <c r="Y209" s="13">
        <f>IF(M209="Returned",1,0)</f>
        <v/>
      </c>
    </row>
    <row r="210">
      <c r="A210" s="13" t="inlineStr">
        <is>
          <t>HC-100208</t>
        </is>
      </c>
      <c r="B210" s="18" t="n">
        <v>45330</v>
      </c>
      <c r="C210" s="13" t="inlineStr">
        <is>
          <t>West</t>
        </is>
      </c>
      <c r="D210" s="13" t="inlineStr">
        <is>
          <t>Store</t>
        </is>
      </c>
      <c r="E210" s="13" t="inlineStr">
        <is>
          <t>Furniture</t>
        </is>
      </c>
      <c r="F210" s="13" t="inlineStr">
        <is>
          <t>Lounge Chair</t>
        </is>
      </c>
      <c r="G210" s="13" t="inlineStr">
        <is>
          <t>Consumer</t>
        </is>
      </c>
      <c r="H210" s="13" t="n">
        <v>4</v>
      </c>
      <c r="I210" s="14" t="n">
        <v>442.67</v>
      </c>
      <c r="J210" s="15" t="n">
        <v>0.06</v>
      </c>
      <c r="K210" s="14" t="n">
        <v>265.6</v>
      </c>
      <c r="L210" s="13" t="n">
        <v>5</v>
      </c>
      <c r="M210" s="13" t="inlineStr">
        <is>
          <t>Completed</t>
        </is>
      </c>
      <c r="N210" s="13" t="inlineStr">
        <is>
          <t>P. Rossi</t>
        </is>
      </c>
      <c r="O210" s="13" t="inlineStr">
        <is>
          <t>No</t>
        </is>
      </c>
      <c r="P210" s="14">
        <f>H210*I210</f>
        <v/>
      </c>
      <c r="Q210" s="14">
        <f>P210*(1-J210)</f>
        <v/>
      </c>
      <c r="R210" s="14">
        <f>H210*K210</f>
        <v/>
      </c>
      <c r="S210" s="15">
        <f>IF(Q210=0,"",(Q210-R210)/Q210)</f>
        <v/>
      </c>
      <c r="T210" s="13">
        <f>YEAR(B210)</f>
        <v/>
      </c>
      <c r="U210" s="13">
        <f>YEAR(B210)&amp;"-Q"&amp;ROUNDUP(MONTH(B210)/3,0)</f>
        <v/>
      </c>
      <c r="V210" s="13">
        <f>TEXT(B210,"YYYY-MM")</f>
        <v/>
      </c>
      <c r="W210" s="13">
        <f>IF(L210="","",IF(L210&gt;pLateDays,1,0))</f>
        <v/>
      </c>
      <c r="X210" s="13">
        <f>IF(Q210&gt;=pHighCutoff,1,0)</f>
        <v/>
      </c>
      <c r="Y210" s="13">
        <f>IF(M210="Returned",1,0)</f>
        <v/>
      </c>
    </row>
    <row r="211">
      <c r="A211" s="13" t="inlineStr">
        <is>
          <t>HC-100209</t>
        </is>
      </c>
      <c r="B211" s="18" t="n">
        <v>45814</v>
      </c>
      <c r="C211" s="13" t="inlineStr">
        <is>
          <t>South</t>
        </is>
      </c>
      <c r="D211" s="13" t="inlineStr">
        <is>
          <t>Online</t>
        </is>
      </c>
      <c r="E211" s="13" t="inlineStr">
        <is>
          <t>Textiles</t>
        </is>
      </c>
      <c r="F211" s="13" t="inlineStr">
        <is>
          <t>Linen Curtain</t>
        </is>
      </c>
      <c r="G211" s="13" t="inlineStr">
        <is>
          <t>Consumer</t>
        </is>
      </c>
      <c r="H211" s="13" t="n">
        <v>3</v>
      </c>
      <c r="I211" s="14" t="n">
        <v>91.91</v>
      </c>
      <c r="J211" s="15" t="n">
        <v>0.06</v>
      </c>
      <c r="K211" s="14" t="n">
        <v>41.36</v>
      </c>
      <c r="L211" s="13" t="n">
        <v>6</v>
      </c>
      <c r="M211" s="13" t="inlineStr">
        <is>
          <t>Completed</t>
        </is>
      </c>
      <c r="N211" s="13" t="inlineStr">
        <is>
          <t>M. Okonkwo</t>
        </is>
      </c>
      <c r="O211" s="13" t="inlineStr">
        <is>
          <t>No</t>
        </is>
      </c>
      <c r="P211" s="14">
        <f>H211*I211</f>
        <v/>
      </c>
      <c r="Q211" s="14">
        <f>P211*(1-J211)</f>
        <v/>
      </c>
      <c r="R211" s="14">
        <f>H211*K211</f>
        <v/>
      </c>
      <c r="S211" s="15">
        <f>IF(Q211=0,"",(Q211-R211)/Q211)</f>
        <v/>
      </c>
      <c r="T211" s="13">
        <f>YEAR(B211)</f>
        <v/>
      </c>
      <c r="U211" s="13">
        <f>YEAR(B211)&amp;"-Q"&amp;ROUNDUP(MONTH(B211)/3,0)</f>
        <v/>
      </c>
      <c r="V211" s="13">
        <f>TEXT(B211,"YYYY-MM")</f>
        <v/>
      </c>
      <c r="W211" s="13">
        <f>IF(L211="","",IF(L211&gt;pLateDays,1,0))</f>
        <v/>
      </c>
      <c r="X211" s="13">
        <f>IF(Q211&gt;=pHighCutoff,1,0)</f>
        <v/>
      </c>
      <c r="Y211" s="13">
        <f>IF(M211="Returned",1,0)</f>
        <v/>
      </c>
    </row>
    <row r="212">
      <c r="A212" s="13" t="inlineStr">
        <is>
          <t>HC-100210</t>
        </is>
      </c>
      <c r="B212" s="18" t="n">
        <v>45698</v>
      </c>
      <c r="C212" s="13" t="inlineStr">
        <is>
          <t>South</t>
        </is>
      </c>
      <c r="D212" s="13" t="inlineStr">
        <is>
          <t>Store</t>
        </is>
      </c>
      <c r="E212" s="13" t="inlineStr">
        <is>
          <t>Textiles</t>
        </is>
      </c>
      <c r="F212" s="13" t="inlineStr">
        <is>
          <t>Cotton Duvet</t>
        </is>
      </c>
      <c r="G212" s="13" t="inlineStr">
        <is>
          <t>Home Office</t>
        </is>
      </c>
      <c r="H212" s="13" t="n">
        <v>2</v>
      </c>
      <c r="I212" s="14" t="n">
        <v>118.48</v>
      </c>
      <c r="J212" s="15" t="n">
        <v>0.1</v>
      </c>
      <c r="K212" s="14" t="n">
        <v>52.13</v>
      </c>
      <c r="L212" s="13" t="n">
        <v>5</v>
      </c>
      <c r="M212" s="13" t="inlineStr">
        <is>
          <t>Completed</t>
        </is>
      </c>
      <c r="N212" s="13" t="inlineStr">
        <is>
          <t>A. Shah</t>
        </is>
      </c>
      <c r="O212" s="13" t="inlineStr">
        <is>
          <t>No</t>
        </is>
      </c>
      <c r="P212" s="14">
        <f>H212*I212</f>
        <v/>
      </c>
      <c r="Q212" s="14">
        <f>P212*(1-J212)</f>
        <v/>
      </c>
      <c r="R212" s="14">
        <f>H212*K212</f>
        <v/>
      </c>
      <c r="S212" s="15">
        <f>IF(Q212=0,"",(Q212-R212)/Q212)</f>
        <v/>
      </c>
      <c r="T212" s="13">
        <f>YEAR(B212)</f>
        <v/>
      </c>
      <c r="U212" s="13">
        <f>YEAR(B212)&amp;"-Q"&amp;ROUNDUP(MONTH(B212)/3,0)</f>
        <v/>
      </c>
      <c r="V212" s="13">
        <f>TEXT(B212,"YYYY-MM")</f>
        <v/>
      </c>
      <c r="W212" s="13">
        <f>IF(L212="","",IF(L212&gt;pLateDays,1,0))</f>
        <v/>
      </c>
      <c r="X212" s="13">
        <f>IF(Q212&gt;=pHighCutoff,1,0)</f>
        <v/>
      </c>
      <c r="Y212" s="13">
        <f>IF(M212="Returned",1,0)</f>
        <v/>
      </c>
    </row>
    <row r="213">
      <c r="A213" s="13" t="inlineStr">
        <is>
          <t>HC-100211</t>
        </is>
      </c>
      <c r="B213" s="18" t="n">
        <v>45699</v>
      </c>
      <c r="C213" s="13" t="inlineStr">
        <is>
          <t>North</t>
        </is>
      </c>
      <c r="D213" s="13" t="inlineStr">
        <is>
          <t>Online</t>
        </is>
      </c>
      <c r="E213" s="13" t="inlineStr">
        <is>
          <t>Kitchen</t>
        </is>
      </c>
      <c r="F213" s="13" t="inlineStr">
        <is>
          <t>Chef Knife</t>
        </is>
      </c>
      <c r="G213" s="13" t="inlineStr">
        <is>
          <t>Consumer</t>
        </is>
      </c>
      <c r="H213" s="13" t="n">
        <v>2</v>
      </c>
      <c r="I213" s="14" t="n">
        <v>66.97</v>
      </c>
      <c r="J213" s="15" t="n">
        <v>0.12</v>
      </c>
      <c r="K213" s="14" t="n">
        <v>24.11</v>
      </c>
      <c r="L213" s="13" t="n">
        <v>9</v>
      </c>
      <c r="M213" s="13" t="inlineStr">
        <is>
          <t>Completed</t>
        </is>
      </c>
      <c r="N213" s="13" t="inlineStr">
        <is>
          <t>R. Ibarra</t>
        </is>
      </c>
      <c r="O213" s="13" t="inlineStr">
        <is>
          <t>No</t>
        </is>
      </c>
      <c r="P213" s="14">
        <f>H213*I213</f>
        <v/>
      </c>
      <c r="Q213" s="14">
        <f>P213*(1-J213)</f>
        <v/>
      </c>
      <c r="R213" s="14">
        <f>H213*K213</f>
        <v/>
      </c>
      <c r="S213" s="15">
        <f>IF(Q213=0,"",(Q213-R213)/Q213)</f>
        <v/>
      </c>
      <c r="T213" s="13">
        <f>YEAR(B213)</f>
        <v/>
      </c>
      <c r="U213" s="13">
        <f>YEAR(B213)&amp;"-Q"&amp;ROUNDUP(MONTH(B213)/3,0)</f>
        <v/>
      </c>
      <c r="V213" s="13">
        <f>TEXT(B213,"YYYY-MM")</f>
        <v/>
      </c>
      <c r="W213" s="13">
        <f>IF(L213="","",IF(L213&gt;pLateDays,1,0))</f>
        <v/>
      </c>
      <c r="X213" s="13">
        <f>IF(Q213&gt;=pHighCutoff,1,0)</f>
        <v/>
      </c>
      <c r="Y213" s="13">
        <f>IF(M213="Returned",1,0)</f>
        <v/>
      </c>
    </row>
    <row r="214">
      <c r="A214" s="13" t="inlineStr">
        <is>
          <t>HC-100212</t>
        </is>
      </c>
      <c r="B214" s="18" t="n">
        <v>45605</v>
      </c>
      <c r="C214" s="13" t="inlineStr">
        <is>
          <t>West</t>
        </is>
      </c>
      <c r="D214" s="13" t="inlineStr">
        <is>
          <t>Online</t>
        </is>
      </c>
      <c r="E214" s="13" t="inlineStr">
        <is>
          <t>Furniture</t>
        </is>
      </c>
      <c r="F214" s="13" t="inlineStr">
        <is>
          <t>Walnut Shelf</t>
        </is>
      </c>
      <c r="G214" s="13" t="inlineStr">
        <is>
          <t>Consumer</t>
        </is>
      </c>
      <c r="H214" s="13" t="n">
        <v>3</v>
      </c>
      <c r="I214" s="14" t="n">
        <v>218.61</v>
      </c>
      <c r="J214" s="15" t="n">
        <v>0.12</v>
      </c>
      <c r="K214" s="14" t="n">
        <v>120.23</v>
      </c>
      <c r="L214" s="13" t="n">
        <v>5</v>
      </c>
      <c r="M214" s="13" t="inlineStr">
        <is>
          <t>Completed</t>
        </is>
      </c>
      <c r="N214" s="13" t="inlineStr">
        <is>
          <t>K. Mensah</t>
        </is>
      </c>
      <c r="O214" s="13" t="inlineStr">
        <is>
          <t>No</t>
        </is>
      </c>
      <c r="P214" s="14">
        <f>H214*I214</f>
        <v/>
      </c>
      <c r="Q214" s="14">
        <f>P214*(1-J214)</f>
        <v/>
      </c>
      <c r="R214" s="14">
        <f>H214*K214</f>
        <v/>
      </c>
      <c r="S214" s="15">
        <f>IF(Q214=0,"",(Q214-R214)/Q214)</f>
        <v/>
      </c>
      <c r="T214" s="13">
        <f>YEAR(B214)</f>
        <v/>
      </c>
      <c r="U214" s="13">
        <f>YEAR(B214)&amp;"-Q"&amp;ROUNDUP(MONTH(B214)/3,0)</f>
        <v/>
      </c>
      <c r="V214" s="13">
        <f>TEXT(B214,"YYYY-MM")</f>
        <v/>
      </c>
      <c r="W214" s="13">
        <f>IF(L214="","",IF(L214&gt;pLateDays,1,0))</f>
        <v/>
      </c>
      <c r="X214" s="13">
        <f>IF(Q214&gt;=pHighCutoff,1,0)</f>
        <v/>
      </c>
      <c r="Y214" s="13">
        <f>IF(M214="Returned",1,0)</f>
        <v/>
      </c>
    </row>
    <row r="215">
      <c r="A215" s="13" t="inlineStr">
        <is>
          <t>HC-100213</t>
        </is>
      </c>
      <c r="B215" s="18" t="n">
        <v>45783</v>
      </c>
      <c r="C215" s="13" t="inlineStr">
        <is>
          <t>North</t>
        </is>
      </c>
      <c r="D215" s="13" t="inlineStr">
        <is>
          <t>Store</t>
        </is>
      </c>
      <c r="E215" s="13" t="inlineStr">
        <is>
          <t>Lighting</t>
        </is>
      </c>
      <c r="F215" s="13" t="inlineStr">
        <is>
          <t>Brass Sconce</t>
        </is>
      </c>
      <c r="G215" s="13" t="inlineStr">
        <is>
          <t>Corporate</t>
        </is>
      </c>
      <c r="H215" s="13" t="n">
        <v>4</v>
      </c>
      <c r="I215" s="14" t="n">
        <v>145.23</v>
      </c>
      <c r="J215" s="15" t="n">
        <v>0.1</v>
      </c>
      <c r="K215" s="14" t="n">
        <v>66.8</v>
      </c>
      <c r="L215" s="13" t="n">
        <v>3</v>
      </c>
      <c r="M215" s="13" t="inlineStr">
        <is>
          <t>Completed</t>
        </is>
      </c>
      <c r="N215" s="13" t="inlineStr">
        <is>
          <t>K. Mensah</t>
        </is>
      </c>
      <c r="O215" s="13" t="inlineStr">
        <is>
          <t>No</t>
        </is>
      </c>
      <c r="P215" s="14">
        <f>H215*I215</f>
        <v/>
      </c>
      <c r="Q215" s="14">
        <f>P215*(1-J215)</f>
        <v/>
      </c>
      <c r="R215" s="14">
        <f>H215*K215</f>
        <v/>
      </c>
      <c r="S215" s="15">
        <f>IF(Q215=0,"",(Q215-R215)/Q215)</f>
        <v/>
      </c>
      <c r="T215" s="13">
        <f>YEAR(B215)</f>
        <v/>
      </c>
      <c r="U215" s="13">
        <f>YEAR(B215)&amp;"-Q"&amp;ROUNDUP(MONTH(B215)/3,0)</f>
        <v/>
      </c>
      <c r="V215" s="13">
        <f>TEXT(B215,"YYYY-MM")</f>
        <v/>
      </c>
      <c r="W215" s="13">
        <f>IF(L215="","",IF(L215&gt;pLateDays,1,0))</f>
        <v/>
      </c>
      <c r="X215" s="13">
        <f>IF(Q215&gt;=pHighCutoff,1,0)</f>
        <v/>
      </c>
      <c r="Y215" s="13">
        <f>IF(M215="Returned",1,0)</f>
        <v/>
      </c>
    </row>
    <row r="216">
      <c r="A216" s="13" t="inlineStr">
        <is>
          <t>HC-100214</t>
        </is>
      </c>
      <c r="B216" s="18" t="n">
        <v>45543</v>
      </c>
      <c r="C216" s="13" t="inlineStr">
        <is>
          <t>North</t>
        </is>
      </c>
      <c r="D216" s="13" t="inlineStr">
        <is>
          <t>Store</t>
        </is>
      </c>
      <c r="E216" s="13" t="inlineStr">
        <is>
          <t>Kitchen</t>
        </is>
      </c>
      <c r="F216" s="13" t="inlineStr">
        <is>
          <t>Cast Skillet</t>
        </is>
      </c>
      <c r="G216" s="13" t="inlineStr">
        <is>
          <t>Corporate</t>
        </is>
      </c>
      <c r="H216" s="13" t="n">
        <v>2</v>
      </c>
      <c r="I216" s="14" t="n">
        <v>52.05</v>
      </c>
      <c r="J216" s="15" t="n">
        <v>0.04</v>
      </c>
      <c r="K216" s="14" t="n">
        <v>20.82</v>
      </c>
      <c r="L216" s="13" t="n">
        <v>5</v>
      </c>
      <c r="M216" s="13" t="inlineStr">
        <is>
          <t>Cancelled</t>
        </is>
      </c>
      <c r="N216" s="13" t="inlineStr">
        <is>
          <t>R. Ibarra</t>
        </is>
      </c>
      <c r="O216" s="13" t="inlineStr">
        <is>
          <t>No</t>
        </is>
      </c>
      <c r="P216" s="14">
        <f>H216*I216</f>
        <v/>
      </c>
      <c r="Q216" s="14">
        <f>P216*(1-J216)</f>
        <v/>
      </c>
      <c r="R216" s="14">
        <f>H216*K216</f>
        <v/>
      </c>
      <c r="S216" s="15">
        <f>IF(Q216=0,"",(Q216-R216)/Q216)</f>
        <v/>
      </c>
      <c r="T216" s="13">
        <f>YEAR(B216)</f>
        <v/>
      </c>
      <c r="U216" s="13">
        <f>YEAR(B216)&amp;"-Q"&amp;ROUNDUP(MONTH(B216)/3,0)</f>
        <v/>
      </c>
      <c r="V216" s="13">
        <f>TEXT(B216,"YYYY-MM")</f>
        <v/>
      </c>
      <c r="W216" s="13">
        <f>IF(L216="","",IF(L216&gt;pLateDays,1,0))</f>
        <v/>
      </c>
      <c r="X216" s="13">
        <f>IF(Q216&gt;=pHighCutoff,1,0)</f>
        <v/>
      </c>
      <c r="Y216" s="13">
        <f>IF(M216="Returned",1,0)</f>
        <v/>
      </c>
    </row>
    <row r="217">
      <c r="A217" s="13" t="inlineStr">
        <is>
          <t>HC-100215</t>
        </is>
      </c>
      <c r="B217" s="18" t="n">
        <v>45464</v>
      </c>
      <c r="C217" s="13" t="inlineStr">
        <is>
          <t>North</t>
        </is>
      </c>
      <c r="D217" s="13" t="inlineStr">
        <is>
          <t>Online</t>
        </is>
      </c>
      <c r="E217" s="13" t="inlineStr">
        <is>
          <t>Furniture</t>
        </is>
      </c>
      <c r="F217" s="13" t="inlineStr">
        <is>
          <t>Walnut Shelf</t>
        </is>
      </c>
      <c r="G217" s="13" t="inlineStr">
        <is>
          <t>Consumer</t>
        </is>
      </c>
      <c r="H217" s="13" t="n">
        <v>2</v>
      </c>
      <c r="I217" s="14" t="n">
        <v>203.71</v>
      </c>
      <c r="J217" s="15" t="n">
        <v>0.14</v>
      </c>
      <c r="K217" s="14" t="n">
        <v>112.04</v>
      </c>
      <c r="L217" s="13" t="n">
        <v>7</v>
      </c>
      <c r="M217" s="13" t="inlineStr">
        <is>
          <t>Completed</t>
        </is>
      </c>
      <c r="N217" s="13" t="inlineStr">
        <is>
          <t>A. Shah</t>
        </is>
      </c>
      <c r="O217" s="13" t="inlineStr">
        <is>
          <t>No</t>
        </is>
      </c>
      <c r="P217" s="14">
        <f>H217*I217</f>
        <v/>
      </c>
      <c r="Q217" s="14">
        <f>P217*(1-J217)</f>
        <v/>
      </c>
      <c r="R217" s="14">
        <f>H217*K217</f>
        <v/>
      </c>
      <c r="S217" s="15">
        <f>IF(Q217=0,"",(Q217-R217)/Q217)</f>
        <v/>
      </c>
      <c r="T217" s="13">
        <f>YEAR(B217)</f>
        <v/>
      </c>
      <c r="U217" s="13">
        <f>YEAR(B217)&amp;"-Q"&amp;ROUNDUP(MONTH(B217)/3,0)</f>
        <v/>
      </c>
      <c r="V217" s="13">
        <f>TEXT(B217,"YYYY-MM")</f>
        <v/>
      </c>
      <c r="W217" s="13">
        <f>IF(L217="","",IF(L217&gt;pLateDays,1,0))</f>
        <v/>
      </c>
      <c r="X217" s="13">
        <f>IF(Q217&gt;=pHighCutoff,1,0)</f>
        <v/>
      </c>
      <c r="Y217" s="13">
        <f>IF(M217="Returned",1,0)</f>
        <v/>
      </c>
    </row>
    <row r="218">
      <c r="A218" s="13" t="inlineStr">
        <is>
          <t>HC-100216</t>
        </is>
      </c>
      <c r="B218" s="18" t="n">
        <v>45831</v>
      </c>
      <c r="C218" s="13" t="inlineStr">
        <is>
          <t>East</t>
        </is>
      </c>
      <c r="D218" s="13" t="inlineStr">
        <is>
          <t>Online</t>
        </is>
      </c>
      <c r="E218" s="13" t="inlineStr">
        <is>
          <t>Lighting</t>
        </is>
      </c>
      <c r="F218" s="13" t="inlineStr">
        <is>
          <t>Brass Sconce</t>
        </is>
      </c>
      <c r="G218" s="13" t="inlineStr">
        <is>
          <t>Corporate</t>
        </is>
      </c>
      <c r="H218" s="13" t="n">
        <v>2</v>
      </c>
      <c r="I218" s="14" t="n">
        <v>133.73</v>
      </c>
      <c r="J218" s="15" t="n">
        <v>0.12</v>
      </c>
      <c r="K218" s="14" t="n">
        <v>61.52</v>
      </c>
      <c r="L218" s="13" t="n">
        <v>12</v>
      </c>
      <c r="M218" s="13" t="inlineStr">
        <is>
          <t>Completed</t>
        </is>
      </c>
      <c r="N218" s="13" t="inlineStr">
        <is>
          <t>J. Patel</t>
        </is>
      </c>
      <c r="O218" s="13" t="inlineStr">
        <is>
          <t>No</t>
        </is>
      </c>
      <c r="P218" s="14">
        <f>H218*I218</f>
        <v/>
      </c>
      <c r="Q218" s="14">
        <f>P218*(1-J218)</f>
        <v/>
      </c>
      <c r="R218" s="14">
        <f>H218*K218</f>
        <v/>
      </c>
      <c r="S218" s="15">
        <f>IF(Q218=0,"",(Q218-R218)/Q218)</f>
        <v/>
      </c>
      <c r="T218" s="13">
        <f>YEAR(B218)</f>
        <v/>
      </c>
      <c r="U218" s="13">
        <f>YEAR(B218)&amp;"-Q"&amp;ROUNDUP(MONTH(B218)/3,0)</f>
        <v/>
      </c>
      <c r="V218" s="13">
        <f>TEXT(B218,"YYYY-MM")</f>
        <v/>
      </c>
      <c r="W218" s="13">
        <f>IF(L218="","",IF(L218&gt;pLateDays,1,0))</f>
        <v/>
      </c>
      <c r="X218" s="13">
        <f>IF(Q218&gt;=pHighCutoff,1,0)</f>
        <v/>
      </c>
      <c r="Y218" s="13">
        <f>IF(M218="Returned",1,0)</f>
        <v/>
      </c>
    </row>
    <row r="219">
      <c r="A219" s="13" t="inlineStr">
        <is>
          <t>HC-100217</t>
        </is>
      </c>
      <c r="B219" s="18" t="n">
        <v>45723</v>
      </c>
      <c r="C219" s="13" t="inlineStr">
        <is>
          <t>South</t>
        </is>
      </c>
      <c r="D219" s="13" t="inlineStr">
        <is>
          <t>Wholesale</t>
        </is>
      </c>
      <c r="E219" s="13" t="inlineStr">
        <is>
          <t>Furniture</t>
        </is>
      </c>
      <c r="F219" s="13" t="inlineStr">
        <is>
          <t>Walnut Shelf</t>
        </is>
      </c>
      <c r="G219" s="13" t="inlineStr">
        <is>
          <t>Consumer</t>
        </is>
      </c>
      <c r="H219" s="13" t="n">
        <v>10</v>
      </c>
      <c r="I219" s="14" t="n">
        <v>232.82</v>
      </c>
      <c r="J219" s="15" t="n">
        <v>0.31</v>
      </c>
      <c r="K219" s="14" t="n">
        <v>128.05</v>
      </c>
      <c r="L219" s="13" t="n">
        <v>3</v>
      </c>
      <c r="M219" s="13" t="inlineStr">
        <is>
          <t>Completed</t>
        </is>
      </c>
      <c r="N219" s="13" t="inlineStr">
        <is>
          <t>K. Mensah</t>
        </is>
      </c>
      <c r="O219" s="13" t="inlineStr">
        <is>
          <t>No</t>
        </is>
      </c>
      <c r="P219" s="14">
        <f>H219*I219</f>
        <v/>
      </c>
      <c r="Q219" s="14">
        <f>P219*(1-J219)</f>
        <v/>
      </c>
      <c r="R219" s="14">
        <f>H219*K219</f>
        <v/>
      </c>
      <c r="S219" s="15">
        <f>IF(Q219=0,"",(Q219-R219)/Q219)</f>
        <v/>
      </c>
      <c r="T219" s="13">
        <f>YEAR(B219)</f>
        <v/>
      </c>
      <c r="U219" s="13">
        <f>YEAR(B219)&amp;"-Q"&amp;ROUNDUP(MONTH(B219)/3,0)</f>
        <v/>
      </c>
      <c r="V219" s="13">
        <f>TEXT(B219,"YYYY-MM")</f>
        <v/>
      </c>
      <c r="W219" s="13">
        <f>IF(L219="","",IF(L219&gt;pLateDays,1,0))</f>
        <v/>
      </c>
      <c r="X219" s="13">
        <f>IF(Q219&gt;=pHighCutoff,1,0)</f>
        <v/>
      </c>
      <c r="Y219" s="13">
        <f>IF(M219="Returned",1,0)</f>
        <v/>
      </c>
    </row>
    <row r="220">
      <c r="A220" s="13" t="inlineStr">
        <is>
          <t>HC-100218</t>
        </is>
      </c>
      <c r="B220" s="18" t="n">
        <v>45825</v>
      </c>
      <c r="C220" s="13" t="inlineStr">
        <is>
          <t>South</t>
        </is>
      </c>
      <c r="D220" s="13" t="inlineStr">
        <is>
          <t>Store</t>
        </is>
      </c>
      <c r="E220" s="13" t="inlineStr">
        <is>
          <t>Furniture</t>
        </is>
      </c>
      <c r="F220" s="13" t="inlineStr">
        <is>
          <t>Linen Sofa</t>
        </is>
      </c>
      <c r="G220" s="13" t="inlineStr">
        <is>
          <t>Consumer</t>
        </is>
      </c>
      <c r="H220" s="13" t="n">
        <v>2</v>
      </c>
      <c r="I220" s="14" t="n">
        <v>1215.19</v>
      </c>
      <c r="J220" s="15" t="n">
        <v>0.05</v>
      </c>
      <c r="K220" s="14" t="n">
        <v>802.03</v>
      </c>
      <c r="L220" s="13" t="n">
        <v>6</v>
      </c>
      <c r="M220" s="13" t="inlineStr">
        <is>
          <t>Completed</t>
        </is>
      </c>
      <c r="N220" s="13" t="inlineStr">
        <is>
          <t>K. Mensah</t>
        </is>
      </c>
      <c r="O220" s="13" t="inlineStr">
        <is>
          <t>No</t>
        </is>
      </c>
      <c r="P220" s="14">
        <f>H220*I220</f>
        <v/>
      </c>
      <c r="Q220" s="14">
        <f>P220*(1-J220)</f>
        <v/>
      </c>
      <c r="R220" s="14">
        <f>H220*K220</f>
        <v/>
      </c>
      <c r="S220" s="15">
        <f>IF(Q220=0,"",(Q220-R220)/Q220)</f>
        <v/>
      </c>
      <c r="T220" s="13">
        <f>YEAR(B220)</f>
        <v/>
      </c>
      <c r="U220" s="13">
        <f>YEAR(B220)&amp;"-Q"&amp;ROUNDUP(MONTH(B220)/3,0)</f>
        <v/>
      </c>
      <c r="V220" s="13">
        <f>TEXT(B220,"YYYY-MM")</f>
        <v/>
      </c>
      <c r="W220" s="13">
        <f>IF(L220="","",IF(L220&gt;pLateDays,1,0))</f>
        <v/>
      </c>
      <c r="X220" s="13">
        <f>IF(Q220&gt;=pHighCutoff,1,0)</f>
        <v/>
      </c>
      <c r="Y220" s="13">
        <f>IF(M220="Returned",1,0)</f>
        <v/>
      </c>
    </row>
    <row r="221">
      <c r="A221" s="13" t="inlineStr">
        <is>
          <t>HC-100219</t>
        </is>
      </c>
      <c r="B221" s="18" t="n">
        <v>45466</v>
      </c>
      <c r="C221" s="13" t="inlineStr">
        <is>
          <t>South</t>
        </is>
      </c>
      <c r="D221" s="13" t="inlineStr">
        <is>
          <t>Online</t>
        </is>
      </c>
      <c r="E221" s="13" t="inlineStr">
        <is>
          <t>Kitchen</t>
        </is>
      </c>
      <c r="F221" s="13" t="inlineStr">
        <is>
          <t>Ceramic Set</t>
        </is>
      </c>
      <c r="G221" s="13" t="inlineStr">
        <is>
          <t>Consumer</t>
        </is>
      </c>
      <c r="H221" s="13" t="n">
        <v>2</v>
      </c>
      <c r="I221" s="14" t="n">
        <v>84.84999999999999</v>
      </c>
      <c r="J221" s="15" t="n">
        <v>0.04</v>
      </c>
      <c r="K221" s="14" t="n">
        <v>32.24</v>
      </c>
      <c r="L221" s="13" t="n">
        <v>6</v>
      </c>
      <c r="M221" s="13" t="inlineStr">
        <is>
          <t>Completed</t>
        </is>
      </c>
      <c r="N221" s="13" t="inlineStr">
        <is>
          <t>M. Okonkwo</t>
        </is>
      </c>
      <c r="O221" s="13" t="inlineStr">
        <is>
          <t>No</t>
        </is>
      </c>
      <c r="P221" s="14">
        <f>H221*I221</f>
        <v/>
      </c>
      <c r="Q221" s="14">
        <f>P221*(1-J221)</f>
        <v/>
      </c>
      <c r="R221" s="14">
        <f>H221*K221</f>
        <v/>
      </c>
      <c r="S221" s="15">
        <f>IF(Q221=0,"",(Q221-R221)/Q221)</f>
        <v/>
      </c>
      <c r="T221" s="13">
        <f>YEAR(B221)</f>
        <v/>
      </c>
      <c r="U221" s="13">
        <f>YEAR(B221)&amp;"-Q"&amp;ROUNDUP(MONTH(B221)/3,0)</f>
        <v/>
      </c>
      <c r="V221" s="13">
        <f>TEXT(B221,"YYYY-MM")</f>
        <v/>
      </c>
      <c r="W221" s="13">
        <f>IF(L221="","",IF(L221&gt;pLateDays,1,0))</f>
        <v/>
      </c>
      <c r="X221" s="13">
        <f>IF(Q221&gt;=pHighCutoff,1,0)</f>
        <v/>
      </c>
      <c r="Y221" s="13">
        <f>IF(M221="Returned",1,0)</f>
        <v/>
      </c>
    </row>
    <row r="222">
      <c r="A222" s="13" t="inlineStr">
        <is>
          <t>HC-100220</t>
        </is>
      </c>
      <c r="B222" s="18" t="n">
        <v>45495</v>
      </c>
      <c r="C222" s="13" t="inlineStr">
        <is>
          <t>North</t>
        </is>
      </c>
      <c r="D222" s="13" t="inlineStr">
        <is>
          <t>Store</t>
        </is>
      </c>
      <c r="E222" s="13" t="inlineStr">
        <is>
          <t>Furniture</t>
        </is>
      </c>
      <c r="F222" s="13" t="inlineStr">
        <is>
          <t>Lounge Chair</t>
        </is>
      </c>
      <c r="G222" s="13" t="inlineStr">
        <is>
          <t>Consumer</t>
        </is>
      </c>
      <c r="H222" s="13" t="n">
        <v>2</v>
      </c>
      <c r="I222" s="14" t="n">
        <v>452.53</v>
      </c>
      <c r="J222" s="15" t="n">
        <v>0.08</v>
      </c>
      <c r="K222" s="14" t="n">
        <v>271.52</v>
      </c>
      <c r="L222" s="13" t="n">
        <v>6</v>
      </c>
      <c r="M222" s="13" t="inlineStr">
        <is>
          <t>Completed</t>
        </is>
      </c>
      <c r="N222" s="13" t="inlineStr">
        <is>
          <t>K. Mensah</t>
        </is>
      </c>
      <c r="O222" s="13" t="inlineStr">
        <is>
          <t>No</t>
        </is>
      </c>
      <c r="P222" s="14">
        <f>H222*I222</f>
        <v/>
      </c>
      <c r="Q222" s="14">
        <f>P222*(1-J222)</f>
        <v/>
      </c>
      <c r="R222" s="14">
        <f>H222*K222</f>
        <v/>
      </c>
      <c r="S222" s="15">
        <f>IF(Q222=0,"",(Q222-R222)/Q222)</f>
        <v/>
      </c>
      <c r="T222" s="13">
        <f>YEAR(B222)</f>
        <v/>
      </c>
      <c r="U222" s="13">
        <f>YEAR(B222)&amp;"-Q"&amp;ROUNDUP(MONTH(B222)/3,0)</f>
        <v/>
      </c>
      <c r="V222" s="13">
        <f>TEXT(B222,"YYYY-MM")</f>
        <v/>
      </c>
      <c r="W222" s="13">
        <f>IF(L222="","",IF(L222&gt;pLateDays,1,0))</f>
        <v/>
      </c>
      <c r="X222" s="13">
        <f>IF(Q222&gt;=pHighCutoff,1,0)</f>
        <v/>
      </c>
      <c r="Y222" s="13">
        <f>IF(M222="Returned",1,0)</f>
        <v/>
      </c>
    </row>
    <row r="223">
      <c r="A223" s="13" t="inlineStr">
        <is>
          <t>HC-100221</t>
        </is>
      </c>
      <c r="B223" s="18" t="n">
        <v>45618</v>
      </c>
      <c r="C223" s="13" t="inlineStr">
        <is>
          <t>West</t>
        </is>
      </c>
      <c r="D223" s="13" t="inlineStr">
        <is>
          <t>Wholesale</t>
        </is>
      </c>
      <c r="E223" s="13" t="inlineStr">
        <is>
          <t>Lighting</t>
        </is>
      </c>
      <c r="F223" s="13" t="inlineStr">
        <is>
          <t>Arc Lamp</t>
        </is>
      </c>
      <c r="G223" s="13" t="inlineStr">
        <is>
          <t>Home Office</t>
        </is>
      </c>
      <c r="H223" s="13" t="n">
        <v>22</v>
      </c>
      <c r="I223" s="14" t="n">
        <v>308.93</v>
      </c>
      <c r="J223" s="15" t="n">
        <v>0.2</v>
      </c>
      <c r="K223" s="14" t="n">
        <v>148.29</v>
      </c>
      <c r="L223" s="13" t="n">
        <v>6</v>
      </c>
      <c r="M223" s="13" t="inlineStr">
        <is>
          <t>Completed</t>
        </is>
      </c>
      <c r="N223" s="13" t="inlineStr">
        <is>
          <t>P. Rossi</t>
        </is>
      </c>
      <c r="O223" s="13" t="inlineStr">
        <is>
          <t>No</t>
        </is>
      </c>
      <c r="P223" s="14">
        <f>H223*I223</f>
        <v/>
      </c>
      <c r="Q223" s="14">
        <f>P223*(1-J223)</f>
        <v/>
      </c>
      <c r="R223" s="14">
        <f>H223*K223</f>
        <v/>
      </c>
      <c r="S223" s="15">
        <f>IF(Q223=0,"",(Q223-R223)/Q223)</f>
        <v/>
      </c>
      <c r="T223" s="13">
        <f>YEAR(B223)</f>
        <v/>
      </c>
      <c r="U223" s="13">
        <f>YEAR(B223)&amp;"-Q"&amp;ROUNDUP(MONTH(B223)/3,0)</f>
        <v/>
      </c>
      <c r="V223" s="13">
        <f>TEXT(B223,"YYYY-MM")</f>
        <v/>
      </c>
      <c r="W223" s="13">
        <f>IF(L223="","",IF(L223&gt;pLateDays,1,0))</f>
        <v/>
      </c>
      <c r="X223" s="13">
        <f>IF(Q223&gt;=pHighCutoff,1,0)</f>
        <v/>
      </c>
      <c r="Y223" s="13">
        <f>IF(M223="Returned",1,0)</f>
        <v/>
      </c>
    </row>
    <row r="224">
      <c r="A224" s="13" t="inlineStr">
        <is>
          <t>HC-100222</t>
        </is>
      </c>
      <c r="B224" s="18" t="n">
        <v>45792</v>
      </c>
      <c r="C224" s="13" t="inlineStr">
        <is>
          <t>East</t>
        </is>
      </c>
      <c r="D224" s="13" t="inlineStr">
        <is>
          <t>Wholesale</t>
        </is>
      </c>
      <c r="E224" s="13" t="inlineStr">
        <is>
          <t>Textiles</t>
        </is>
      </c>
      <c r="F224" s="13" t="inlineStr">
        <is>
          <t>Wool Throw</t>
        </is>
      </c>
      <c r="G224" s="13" t="inlineStr">
        <is>
          <t>Consumer</t>
        </is>
      </c>
      <c r="H224" s="13" t="n">
        <v>9</v>
      </c>
      <c r="I224" s="14" t="n">
        <v>68.48</v>
      </c>
      <c r="J224" s="15" t="n">
        <v>0.19</v>
      </c>
      <c r="K224" s="14" t="n">
        <v>28.76</v>
      </c>
      <c r="L224" s="13" t="n">
        <v>8</v>
      </c>
      <c r="M224" s="13" t="inlineStr">
        <is>
          <t>Completed</t>
        </is>
      </c>
      <c r="N224" s="13" t="inlineStr">
        <is>
          <t>M. Okonkwo</t>
        </is>
      </c>
      <c r="O224" s="13" t="inlineStr">
        <is>
          <t>No</t>
        </is>
      </c>
      <c r="P224" s="14">
        <f>H224*I224</f>
        <v/>
      </c>
      <c r="Q224" s="14">
        <f>P224*(1-J224)</f>
        <v/>
      </c>
      <c r="R224" s="14">
        <f>H224*K224</f>
        <v/>
      </c>
      <c r="S224" s="15">
        <f>IF(Q224=0,"",(Q224-R224)/Q224)</f>
        <v/>
      </c>
      <c r="T224" s="13">
        <f>YEAR(B224)</f>
        <v/>
      </c>
      <c r="U224" s="13">
        <f>YEAR(B224)&amp;"-Q"&amp;ROUNDUP(MONTH(B224)/3,0)</f>
        <v/>
      </c>
      <c r="V224" s="13">
        <f>TEXT(B224,"YYYY-MM")</f>
        <v/>
      </c>
      <c r="W224" s="13">
        <f>IF(L224="","",IF(L224&gt;pLateDays,1,0))</f>
        <v/>
      </c>
      <c r="X224" s="13">
        <f>IF(Q224&gt;=pHighCutoff,1,0)</f>
        <v/>
      </c>
      <c r="Y224" s="13">
        <f>IF(M224="Returned",1,0)</f>
        <v/>
      </c>
    </row>
    <row r="225">
      <c r="A225" s="13" t="inlineStr">
        <is>
          <t>HC-100223</t>
        </is>
      </c>
      <c r="B225" s="18" t="n">
        <v>45873</v>
      </c>
      <c r="C225" s="13" t="inlineStr">
        <is>
          <t>North</t>
        </is>
      </c>
      <c r="D225" s="13" t="inlineStr">
        <is>
          <t>Wholesale</t>
        </is>
      </c>
      <c r="E225" s="13" t="inlineStr">
        <is>
          <t>Textiles</t>
        </is>
      </c>
      <c r="F225" s="13" t="inlineStr">
        <is>
          <t>Cotton Duvet</t>
        </is>
      </c>
      <c r="G225" s="13" t="inlineStr">
        <is>
          <t>Consumer</t>
        </is>
      </c>
      <c r="H225" s="13" t="n">
        <v>29</v>
      </c>
      <c r="I225" s="14" t="n">
        <v>112.92</v>
      </c>
      <c r="J225" s="15" t="n">
        <v>0.13</v>
      </c>
      <c r="K225" s="14" t="n">
        <v>49.68</v>
      </c>
      <c r="L225" s="13" t="n">
        <v>7</v>
      </c>
      <c r="M225" s="13" t="inlineStr">
        <is>
          <t>Completed</t>
        </is>
      </c>
      <c r="N225" s="13" t="inlineStr">
        <is>
          <t>P. Rossi</t>
        </is>
      </c>
      <c r="O225" s="13" t="inlineStr">
        <is>
          <t>No</t>
        </is>
      </c>
      <c r="P225" s="14">
        <f>H225*I225</f>
        <v/>
      </c>
      <c r="Q225" s="14">
        <f>P225*(1-J225)</f>
        <v/>
      </c>
      <c r="R225" s="14">
        <f>H225*K225</f>
        <v/>
      </c>
      <c r="S225" s="15">
        <f>IF(Q225=0,"",(Q225-R225)/Q225)</f>
        <v/>
      </c>
      <c r="T225" s="13">
        <f>YEAR(B225)</f>
        <v/>
      </c>
      <c r="U225" s="13">
        <f>YEAR(B225)&amp;"-Q"&amp;ROUNDUP(MONTH(B225)/3,0)</f>
        <v/>
      </c>
      <c r="V225" s="13">
        <f>TEXT(B225,"YYYY-MM")</f>
        <v/>
      </c>
      <c r="W225" s="13">
        <f>IF(L225="","",IF(L225&gt;pLateDays,1,0))</f>
        <v/>
      </c>
      <c r="X225" s="13">
        <f>IF(Q225&gt;=pHighCutoff,1,0)</f>
        <v/>
      </c>
      <c r="Y225" s="13">
        <f>IF(M225="Returned",1,0)</f>
        <v/>
      </c>
    </row>
    <row r="226">
      <c r="A226" s="13" t="inlineStr">
        <is>
          <t>HC-100224</t>
        </is>
      </c>
      <c r="B226" s="18" t="n">
        <v>45537</v>
      </c>
      <c r="C226" s="13" t="inlineStr">
        <is>
          <t>South</t>
        </is>
      </c>
      <c r="D226" s="13" t="inlineStr">
        <is>
          <t>Wholesale</t>
        </is>
      </c>
      <c r="E226" s="13" t="inlineStr">
        <is>
          <t>Textiles</t>
        </is>
      </c>
      <c r="F226" s="13" t="inlineStr">
        <is>
          <t>Cotton Duvet</t>
        </is>
      </c>
      <c r="G226" s="13" t="inlineStr">
        <is>
          <t>Consumer</t>
        </is>
      </c>
      <c r="H226" s="13" t="n">
        <v>19</v>
      </c>
      <c r="I226" s="14" t="n">
        <v>111.65</v>
      </c>
      <c r="J226" s="15" t="n">
        <v>0.32</v>
      </c>
      <c r="K226" s="14" t="n">
        <v>49.13</v>
      </c>
      <c r="L226" s="13" t="n">
        <v>5</v>
      </c>
      <c r="M226" s="13" t="inlineStr">
        <is>
          <t>Returned</t>
        </is>
      </c>
      <c r="N226" s="13" t="inlineStr">
        <is>
          <t>R. Ibarra</t>
        </is>
      </c>
      <c r="O226" s="13" t="inlineStr">
        <is>
          <t>No</t>
        </is>
      </c>
      <c r="P226" s="14">
        <f>H226*I226</f>
        <v/>
      </c>
      <c r="Q226" s="14">
        <f>P226*(1-J226)</f>
        <v/>
      </c>
      <c r="R226" s="14">
        <f>H226*K226</f>
        <v/>
      </c>
      <c r="S226" s="15">
        <f>IF(Q226=0,"",(Q226-R226)/Q226)</f>
        <v/>
      </c>
      <c r="T226" s="13">
        <f>YEAR(B226)</f>
        <v/>
      </c>
      <c r="U226" s="13">
        <f>YEAR(B226)&amp;"-Q"&amp;ROUNDUP(MONTH(B226)/3,0)</f>
        <v/>
      </c>
      <c r="V226" s="13">
        <f>TEXT(B226,"YYYY-MM")</f>
        <v/>
      </c>
      <c r="W226" s="13">
        <f>IF(L226="","",IF(L226&gt;pLateDays,1,0))</f>
        <v/>
      </c>
      <c r="X226" s="13">
        <f>IF(Q226&gt;=pHighCutoff,1,0)</f>
        <v/>
      </c>
      <c r="Y226" s="13">
        <f>IF(M226="Returned",1,0)</f>
        <v/>
      </c>
    </row>
    <row r="227">
      <c r="A227" s="13" t="inlineStr">
        <is>
          <t>HC-100225</t>
        </is>
      </c>
      <c r="B227" s="18" t="n">
        <v>45320</v>
      </c>
      <c r="C227" s="13" t="inlineStr">
        <is>
          <t>South</t>
        </is>
      </c>
      <c r="D227" s="13" t="inlineStr">
        <is>
          <t>Store</t>
        </is>
      </c>
      <c r="E227" s="13" t="inlineStr">
        <is>
          <t>Furniture</t>
        </is>
      </c>
      <c r="F227" s="13" t="inlineStr">
        <is>
          <t>Linen Sofa</t>
        </is>
      </c>
      <c r="G227" s="13" t="inlineStr">
        <is>
          <t>Home Office</t>
        </is>
      </c>
      <c r="H227" s="13" t="n">
        <v>2</v>
      </c>
      <c r="I227" s="14" t="n">
        <v>1205.13</v>
      </c>
      <c r="J227" s="15" t="n">
        <v>0.01</v>
      </c>
      <c r="K227" s="14" t="n">
        <v>795.39</v>
      </c>
      <c r="L227" s="13" t="n"/>
      <c r="M227" s="13" t="inlineStr">
        <is>
          <t>Completed</t>
        </is>
      </c>
      <c r="N227" s="13" t="inlineStr">
        <is>
          <t>J. Patel</t>
        </is>
      </c>
      <c r="O227" s="13" t="inlineStr">
        <is>
          <t>No</t>
        </is>
      </c>
      <c r="P227" s="14">
        <f>H227*I227</f>
        <v/>
      </c>
      <c r="Q227" s="14">
        <f>P227*(1-J227)</f>
        <v/>
      </c>
      <c r="R227" s="14">
        <f>H227*K227</f>
        <v/>
      </c>
      <c r="S227" s="15">
        <f>IF(Q227=0,"",(Q227-R227)/Q227)</f>
        <v/>
      </c>
      <c r="T227" s="13">
        <f>YEAR(B227)</f>
        <v/>
      </c>
      <c r="U227" s="13">
        <f>YEAR(B227)&amp;"-Q"&amp;ROUNDUP(MONTH(B227)/3,0)</f>
        <v/>
      </c>
      <c r="V227" s="13">
        <f>TEXT(B227,"YYYY-MM")</f>
        <v/>
      </c>
      <c r="W227" s="13">
        <f>IF(L227="","",IF(L227&gt;pLateDays,1,0))</f>
        <v/>
      </c>
      <c r="X227" s="13">
        <f>IF(Q227&gt;=pHighCutoff,1,0)</f>
        <v/>
      </c>
      <c r="Y227" s="13">
        <f>IF(M227="Returned",1,0)</f>
        <v/>
      </c>
    </row>
    <row r="228">
      <c r="A228" s="13" t="inlineStr">
        <is>
          <t>HC-100226</t>
        </is>
      </c>
      <c r="B228" s="18" t="n">
        <v>45928</v>
      </c>
      <c r="C228" s="13" t="inlineStr">
        <is>
          <t>South</t>
        </is>
      </c>
      <c r="D228" s="13" t="inlineStr">
        <is>
          <t>Store</t>
        </is>
      </c>
      <c r="E228" s="13" t="inlineStr">
        <is>
          <t>Furniture</t>
        </is>
      </c>
      <c r="F228" s="13" t="inlineStr">
        <is>
          <t>Linen Sofa</t>
        </is>
      </c>
      <c r="G228" s="13" t="inlineStr">
        <is>
          <t>Consumer</t>
        </is>
      </c>
      <c r="H228" s="13" t="n">
        <v>2</v>
      </c>
      <c r="I228" s="14" t="n">
        <v>1301.6</v>
      </c>
      <c r="J228" s="15" t="n">
        <v>0.1</v>
      </c>
      <c r="K228" s="14" t="n">
        <v>859.0599999999999</v>
      </c>
      <c r="L228" s="13" t="n">
        <v>4</v>
      </c>
      <c r="M228" s="13" t="inlineStr">
        <is>
          <t>Completed</t>
        </is>
      </c>
      <c r="N228" s="13" t="inlineStr">
        <is>
          <t>L. Berger</t>
        </is>
      </c>
      <c r="O228" s="13" t="inlineStr">
        <is>
          <t>No</t>
        </is>
      </c>
      <c r="P228" s="14">
        <f>H228*I228</f>
        <v/>
      </c>
      <c r="Q228" s="14">
        <f>P228*(1-J228)</f>
        <v/>
      </c>
      <c r="R228" s="14">
        <f>H228*K228</f>
        <v/>
      </c>
      <c r="S228" s="15">
        <f>IF(Q228=0,"",(Q228-R228)/Q228)</f>
        <v/>
      </c>
      <c r="T228" s="13">
        <f>YEAR(B228)</f>
        <v/>
      </c>
      <c r="U228" s="13">
        <f>YEAR(B228)&amp;"-Q"&amp;ROUNDUP(MONTH(B228)/3,0)</f>
        <v/>
      </c>
      <c r="V228" s="13">
        <f>TEXT(B228,"YYYY-MM")</f>
        <v/>
      </c>
      <c r="W228" s="13">
        <f>IF(L228="","",IF(L228&gt;pLateDays,1,0))</f>
        <v/>
      </c>
      <c r="X228" s="13">
        <f>IF(Q228&gt;=pHighCutoff,1,0)</f>
        <v/>
      </c>
      <c r="Y228" s="13">
        <f>IF(M228="Returned",1,0)</f>
        <v/>
      </c>
    </row>
    <row r="229">
      <c r="A229" s="13" t="inlineStr">
        <is>
          <t>HC-100227</t>
        </is>
      </c>
      <c r="B229" s="18" t="n">
        <v>45580</v>
      </c>
      <c r="C229" s="13" t="inlineStr">
        <is>
          <t>North</t>
        </is>
      </c>
      <c r="D229" s="13" t="inlineStr">
        <is>
          <t>Store</t>
        </is>
      </c>
      <c r="E229" s="13" t="inlineStr">
        <is>
          <t>Lighting</t>
        </is>
      </c>
      <c r="F229" s="13" t="inlineStr">
        <is>
          <t>Brass Sconce</t>
        </is>
      </c>
      <c r="G229" s="13" t="inlineStr">
        <is>
          <t>Corporate</t>
        </is>
      </c>
      <c r="H229" s="13" t="n">
        <v>3</v>
      </c>
      <c r="I229" s="14" t="n">
        <v>144.81</v>
      </c>
      <c r="J229" s="15" t="n">
        <v>0.07000000000000001</v>
      </c>
      <c r="K229" s="14" t="n">
        <v>66.61</v>
      </c>
      <c r="L229" s="13" t="n">
        <v>7</v>
      </c>
      <c r="M229" s="13" t="inlineStr">
        <is>
          <t>Completed</t>
        </is>
      </c>
      <c r="N229" s="13" t="inlineStr">
        <is>
          <t>J. Patel</t>
        </is>
      </c>
      <c r="O229" s="13" t="inlineStr">
        <is>
          <t>No</t>
        </is>
      </c>
      <c r="P229" s="14">
        <f>H229*I229</f>
        <v/>
      </c>
      <c r="Q229" s="14">
        <f>P229*(1-J229)</f>
        <v/>
      </c>
      <c r="R229" s="14">
        <f>H229*K229</f>
        <v/>
      </c>
      <c r="S229" s="15">
        <f>IF(Q229=0,"",(Q229-R229)/Q229)</f>
        <v/>
      </c>
      <c r="T229" s="13">
        <f>YEAR(B229)</f>
        <v/>
      </c>
      <c r="U229" s="13">
        <f>YEAR(B229)&amp;"-Q"&amp;ROUNDUP(MONTH(B229)/3,0)</f>
        <v/>
      </c>
      <c r="V229" s="13">
        <f>TEXT(B229,"YYYY-MM")</f>
        <v/>
      </c>
      <c r="W229" s="13">
        <f>IF(L229="","",IF(L229&gt;pLateDays,1,0))</f>
        <v/>
      </c>
      <c r="X229" s="13">
        <f>IF(Q229&gt;=pHighCutoff,1,0)</f>
        <v/>
      </c>
      <c r="Y229" s="13">
        <f>IF(M229="Returned",1,0)</f>
        <v/>
      </c>
    </row>
    <row r="230">
      <c r="A230" s="13" t="inlineStr">
        <is>
          <t>HC-100228</t>
        </is>
      </c>
      <c r="B230" s="18" t="n">
        <v>45835</v>
      </c>
      <c r="C230" s="13" t="inlineStr">
        <is>
          <t>North</t>
        </is>
      </c>
      <c r="D230" s="13" t="inlineStr">
        <is>
          <t>Store</t>
        </is>
      </c>
      <c r="E230" s="13" t="inlineStr">
        <is>
          <t>Furniture</t>
        </is>
      </c>
      <c r="F230" s="13" t="inlineStr">
        <is>
          <t>Oak Desk</t>
        </is>
      </c>
      <c r="G230" s="13" t="inlineStr">
        <is>
          <t>Consumer</t>
        </is>
      </c>
      <c r="H230" s="13" t="n">
        <v>1</v>
      </c>
      <c r="I230" s="14" t="n">
        <v>809.75</v>
      </c>
      <c r="J230" s="15" t="n">
        <v>0.05</v>
      </c>
      <c r="K230" s="14" t="n">
        <v>502.05</v>
      </c>
      <c r="L230" s="13" t="n">
        <v>5</v>
      </c>
      <c r="M230" s="13" t="inlineStr">
        <is>
          <t>Completed</t>
        </is>
      </c>
      <c r="N230" s="13" t="inlineStr">
        <is>
          <t>J. Patel</t>
        </is>
      </c>
      <c r="O230" s="13" t="inlineStr">
        <is>
          <t>No</t>
        </is>
      </c>
      <c r="P230" s="14">
        <f>H230*I230</f>
        <v/>
      </c>
      <c r="Q230" s="14">
        <f>P230*(1-J230)</f>
        <v/>
      </c>
      <c r="R230" s="14">
        <f>H230*K230</f>
        <v/>
      </c>
      <c r="S230" s="15">
        <f>IF(Q230=0,"",(Q230-R230)/Q230)</f>
        <v/>
      </c>
      <c r="T230" s="13">
        <f>YEAR(B230)</f>
        <v/>
      </c>
      <c r="U230" s="13">
        <f>YEAR(B230)&amp;"-Q"&amp;ROUNDUP(MONTH(B230)/3,0)</f>
        <v/>
      </c>
      <c r="V230" s="13">
        <f>TEXT(B230,"YYYY-MM")</f>
        <v/>
      </c>
      <c r="W230" s="13">
        <f>IF(L230="","",IF(L230&gt;pLateDays,1,0))</f>
        <v/>
      </c>
      <c r="X230" s="13">
        <f>IF(Q230&gt;=pHighCutoff,1,0)</f>
        <v/>
      </c>
      <c r="Y230" s="13">
        <f>IF(M230="Returned",1,0)</f>
        <v/>
      </c>
    </row>
    <row r="231">
      <c r="A231" s="13" t="inlineStr">
        <is>
          <t>HC-100229</t>
        </is>
      </c>
      <c r="B231" s="18" t="n">
        <v>45677</v>
      </c>
      <c r="C231" s="13" t="inlineStr">
        <is>
          <t>North</t>
        </is>
      </c>
      <c r="D231" s="13" t="inlineStr">
        <is>
          <t>Online</t>
        </is>
      </c>
      <c r="E231" s="13" t="inlineStr">
        <is>
          <t>Kitchen</t>
        </is>
      </c>
      <c r="F231" s="13" t="inlineStr">
        <is>
          <t>Ceramic Set</t>
        </is>
      </c>
      <c r="G231" s="13" t="inlineStr">
        <is>
          <t>Consumer</t>
        </is>
      </c>
      <c r="H231" s="13" t="n">
        <v>1</v>
      </c>
      <c r="I231" s="14" t="n">
        <v>88.23</v>
      </c>
      <c r="J231" s="15" t="n">
        <v>0.14</v>
      </c>
      <c r="K231" s="14" t="n">
        <v>33.53</v>
      </c>
      <c r="L231" s="13" t="n">
        <v>3</v>
      </c>
      <c r="M231" s="13" t="inlineStr">
        <is>
          <t>Completed</t>
        </is>
      </c>
      <c r="N231" s="13" t="inlineStr">
        <is>
          <t>L. Berger</t>
        </is>
      </c>
      <c r="O231" s="13" t="inlineStr">
        <is>
          <t>No</t>
        </is>
      </c>
      <c r="P231" s="14">
        <f>H231*I231</f>
        <v/>
      </c>
      <c r="Q231" s="14">
        <f>P231*(1-J231)</f>
        <v/>
      </c>
      <c r="R231" s="14">
        <f>H231*K231</f>
        <v/>
      </c>
      <c r="S231" s="15">
        <f>IF(Q231=0,"",(Q231-R231)/Q231)</f>
        <v/>
      </c>
      <c r="T231" s="13">
        <f>YEAR(B231)</f>
        <v/>
      </c>
      <c r="U231" s="13">
        <f>YEAR(B231)&amp;"-Q"&amp;ROUNDUP(MONTH(B231)/3,0)</f>
        <v/>
      </c>
      <c r="V231" s="13">
        <f>TEXT(B231,"YYYY-MM")</f>
        <v/>
      </c>
      <c r="W231" s="13">
        <f>IF(L231="","",IF(L231&gt;pLateDays,1,0))</f>
        <v/>
      </c>
      <c r="X231" s="13">
        <f>IF(Q231&gt;=pHighCutoff,1,0)</f>
        <v/>
      </c>
      <c r="Y231" s="13">
        <f>IF(M231="Returned",1,0)</f>
        <v/>
      </c>
    </row>
    <row r="232">
      <c r="A232" s="13" t="inlineStr">
        <is>
          <t>HC-100230</t>
        </is>
      </c>
      <c r="B232" s="18" t="n">
        <v>45562</v>
      </c>
      <c r="C232" s="13" t="inlineStr">
        <is>
          <t>North</t>
        </is>
      </c>
      <c r="D232" s="13" t="inlineStr">
        <is>
          <t>Online</t>
        </is>
      </c>
      <c r="E232" s="13" t="inlineStr">
        <is>
          <t>Textiles</t>
        </is>
      </c>
      <c r="F232" s="13" t="inlineStr">
        <is>
          <t>Cotton Duvet</t>
        </is>
      </c>
      <c r="G232" s="13" t="inlineStr">
        <is>
          <t>Consumer</t>
        </is>
      </c>
      <c r="H232" s="13" t="n">
        <v>2</v>
      </c>
      <c r="I232" s="14" t="n">
        <v>126.63</v>
      </c>
      <c r="J232" s="15" t="n">
        <v>0.16</v>
      </c>
      <c r="K232" s="14" t="n">
        <v>55.72</v>
      </c>
      <c r="L232" s="13" t="n">
        <v>9</v>
      </c>
      <c r="M232" s="13" t="inlineStr">
        <is>
          <t>Completed</t>
        </is>
      </c>
      <c r="N232" s="13" t="inlineStr">
        <is>
          <t>L. Berger</t>
        </is>
      </c>
      <c r="O232" s="13" t="inlineStr">
        <is>
          <t>No</t>
        </is>
      </c>
      <c r="P232" s="14">
        <f>H232*I232</f>
        <v/>
      </c>
      <c r="Q232" s="14">
        <f>P232*(1-J232)</f>
        <v/>
      </c>
      <c r="R232" s="14">
        <f>H232*K232</f>
        <v/>
      </c>
      <c r="S232" s="15">
        <f>IF(Q232=0,"",(Q232-R232)/Q232)</f>
        <v/>
      </c>
      <c r="T232" s="13">
        <f>YEAR(B232)</f>
        <v/>
      </c>
      <c r="U232" s="13">
        <f>YEAR(B232)&amp;"-Q"&amp;ROUNDUP(MONTH(B232)/3,0)</f>
        <v/>
      </c>
      <c r="V232" s="13">
        <f>TEXT(B232,"YYYY-MM")</f>
        <v/>
      </c>
      <c r="W232" s="13">
        <f>IF(L232="","",IF(L232&gt;pLateDays,1,0))</f>
        <v/>
      </c>
      <c r="X232" s="13">
        <f>IF(Q232&gt;=pHighCutoff,1,0)</f>
        <v/>
      </c>
      <c r="Y232" s="13">
        <f>IF(M232="Returned",1,0)</f>
        <v/>
      </c>
    </row>
    <row r="233">
      <c r="A233" s="13" t="inlineStr">
        <is>
          <t>HC-100231</t>
        </is>
      </c>
      <c r="B233" s="18" t="n">
        <v>45800</v>
      </c>
      <c r="C233" s="13" t="inlineStr">
        <is>
          <t>South</t>
        </is>
      </c>
      <c r="D233" s="13" t="inlineStr">
        <is>
          <t>Store</t>
        </is>
      </c>
      <c r="E233" s="13" t="inlineStr">
        <is>
          <t>Kitchen</t>
        </is>
      </c>
      <c r="F233" s="13" t="inlineStr">
        <is>
          <t>Chef Knife</t>
        </is>
      </c>
      <c r="G233" s="13" t="inlineStr">
        <is>
          <t>Consumer</t>
        </is>
      </c>
      <c r="H233" s="13" t="n">
        <v>1</v>
      </c>
      <c r="I233" s="14" t="n">
        <v>67.89</v>
      </c>
      <c r="J233" s="15" t="n">
        <v>0.07000000000000001</v>
      </c>
      <c r="K233" s="14" t="n">
        <v>24.44</v>
      </c>
      <c r="L233" s="13" t="n">
        <v>7</v>
      </c>
      <c r="M233" s="13" t="inlineStr">
        <is>
          <t>Completed</t>
        </is>
      </c>
      <c r="N233" s="13" t="inlineStr">
        <is>
          <t>P. Rossi</t>
        </is>
      </c>
      <c r="O233" s="13" t="inlineStr">
        <is>
          <t>No</t>
        </is>
      </c>
      <c r="P233" s="14">
        <f>H233*I233</f>
        <v/>
      </c>
      <c r="Q233" s="14">
        <f>P233*(1-J233)</f>
        <v/>
      </c>
      <c r="R233" s="14">
        <f>H233*K233</f>
        <v/>
      </c>
      <c r="S233" s="15">
        <f>IF(Q233=0,"",(Q233-R233)/Q233)</f>
        <v/>
      </c>
      <c r="T233" s="13">
        <f>YEAR(B233)</f>
        <v/>
      </c>
      <c r="U233" s="13">
        <f>YEAR(B233)&amp;"-Q"&amp;ROUNDUP(MONTH(B233)/3,0)</f>
        <v/>
      </c>
      <c r="V233" s="13">
        <f>TEXT(B233,"YYYY-MM")</f>
        <v/>
      </c>
      <c r="W233" s="13">
        <f>IF(L233="","",IF(L233&gt;pLateDays,1,0))</f>
        <v/>
      </c>
      <c r="X233" s="13">
        <f>IF(Q233&gt;=pHighCutoff,1,0)</f>
        <v/>
      </c>
      <c r="Y233" s="13">
        <f>IF(M233="Returned",1,0)</f>
        <v/>
      </c>
    </row>
    <row r="234">
      <c r="A234" s="13" t="inlineStr">
        <is>
          <t>HC-100232</t>
        </is>
      </c>
      <c r="B234" s="18" t="n">
        <v>45427</v>
      </c>
      <c r="C234" s="13" t="inlineStr">
        <is>
          <t>North</t>
        </is>
      </c>
      <c r="D234" s="13" t="inlineStr">
        <is>
          <t>Wholesale</t>
        </is>
      </c>
      <c r="E234" s="13" t="inlineStr">
        <is>
          <t>Lighting</t>
        </is>
      </c>
      <c r="F234" s="13" t="inlineStr">
        <is>
          <t>Arc Lamp</t>
        </is>
      </c>
      <c r="G234" s="13" t="inlineStr">
        <is>
          <t>Corporate</t>
        </is>
      </c>
      <c r="H234" s="13" t="n">
        <v>17</v>
      </c>
      <c r="I234" s="14" t="n">
        <v>309.25</v>
      </c>
      <c r="J234" s="15" t="n">
        <v>0.16</v>
      </c>
      <c r="K234" s="14" t="n">
        <v>148.44</v>
      </c>
      <c r="L234" s="13" t="n">
        <v>4</v>
      </c>
      <c r="M234" s="13" t="inlineStr">
        <is>
          <t>Completed</t>
        </is>
      </c>
      <c r="N234" s="13" t="inlineStr">
        <is>
          <t>K. Mensah</t>
        </is>
      </c>
      <c r="O234" s="13" t="inlineStr">
        <is>
          <t>No</t>
        </is>
      </c>
      <c r="P234" s="14">
        <f>H234*I234</f>
        <v/>
      </c>
      <c r="Q234" s="14">
        <f>P234*(1-J234)</f>
        <v/>
      </c>
      <c r="R234" s="14">
        <f>H234*K234</f>
        <v/>
      </c>
      <c r="S234" s="15">
        <f>IF(Q234=0,"",(Q234-R234)/Q234)</f>
        <v/>
      </c>
      <c r="T234" s="13">
        <f>YEAR(B234)</f>
        <v/>
      </c>
      <c r="U234" s="13">
        <f>YEAR(B234)&amp;"-Q"&amp;ROUNDUP(MONTH(B234)/3,0)</f>
        <v/>
      </c>
      <c r="V234" s="13">
        <f>TEXT(B234,"YYYY-MM")</f>
        <v/>
      </c>
      <c r="W234" s="13">
        <f>IF(L234="","",IF(L234&gt;pLateDays,1,0))</f>
        <v/>
      </c>
      <c r="X234" s="13">
        <f>IF(Q234&gt;=pHighCutoff,1,0)</f>
        <v/>
      </c>
      <c r="Y234" s="13">
        <f>IF(M234="Returned",1,0)</f>
        <v/>
      </c>
    </row>
    <row r="235">
      <c r="A235" s="13" t="inlineStr">
        <is>
          <t>HC-100233</t>
        </is>
      </c>
      <c r="B235" s="18" t="n">
        <v>45341</v>
      </c>
      <c r="C235" s="13" t="inlineStr">
        <is>
          <t>East</t>
        </is>
      </c>
      <c r="D235" s="13" t="inlineStr">
        <is>
          <t>Wholesale</t>
        </is>
      </c>
      <c r="E235" s="13" t="inlineStr">
        <is>
          <t>Textiles</t>
        </is>
      </c>
      <c r="F235" s="13" t="inlineStr">
        <is>
          <t>Cotton Duvet</t>
        </is>
      </c>
      <c r="G235" s="13" t="inlineStr">
        <is>
          <t>Consumer</t>
        </is>
      </c>
      <c r="H235" s="13" t="n">
        <v>30</v>
      </c>
      <c r="I235" s="14" t="n">
        <v>112.89</v>
      </c>
      <c r="J235" s="15" t="n">
        <v>0.24</v>
      </c>
      <c r="K235" s="14" t="n">
        <v>49.67</v>
      </c>
      <c r="L235" s="13" t="n">
        <v>11</v>
      </c>
      <c r="M235" s="13" t="inlineStr">
        <is>
          <t>Completed</t>
        </is>
      </c>
      <c r="N235" s="13" t="inlineStr">
        <is>
          <t>L. Berger</t>
        </is>
      </c>
      <c r="O235" s="13" t="inlineStr">
        <is>
          <t>No</t>
        </is>
      </c>
      <c r="P235" s="14">
        <f>H235*I235</f>
        <v/>
      </c>
      <c r="Q235" s="14">
        <f>P235*(1-J235)</f>
        <v/>
      </c>
      <c r="R235" s="14">
        <f>H235*K235</f>
        <v/>
      </c>
      <c r="S235" s="15">
        <f>IF(Q235=0,"",(Q235-R235)/Q235)</f>
        <v/>
      </c>
      <c r="T235" s="13">
        <f>YEAR(B235)</f>
        <v/>
      </c>
      <c r="U235" s="13">
        <f>YEAR(B235)&amp;"-Q"&amp;ROUNDUP(MONTH(B235)/3,0)</f>
        <v/>
      </c>
      <c r="V235" s="13">
        <f>TEXT(B235,"YYYY-MM")</f>
        <v/>
      </c>
      <c r="W235" s="13">
        <f>IF(L235="","",IF(L235&gt;pLateDays,1,0))</f>
        <v/>
      </c>
      <c r="X235" s="13">
        <f>IF(Q235&gt;=pHighCutoff,1,0)</f>
        <v/>
      </c>
      <c r="Y235" s="13">
        <f>IF(M235="Returned",1,0)</f>
        <v/>
      </c>
    </row>
    <row r="236">
      <c r="A236" s="13" t="inlineStr">
        <is>
          <t>HC-100234</t>
        </is>
      </c>
      <c r="B236" s="18" t="n">
        <v>45414</v>
      </c>
      <c r="C236" s="13" t="inlineStr">
        <is>
          <t>North</t>
        </is>
      </c>
      <c r="D236" s="13" t="inlineStr">
        <is>
          <t>Store</t>
        </is>
      </c>
      <c r="E236" s="13" t="inlineStr">
        <is>
          <t>Furniture</t>
        </is>
      </c>
      <c r="F236" s="13" t="inlineStr">
        <is>
          <t>Linen Sofa</t>
        </is>
      </c>
      <c r="G236" s="13" t="inlineStr">
        <is>
          <t>Consumer</t>
        </is>
      </c>
      <c r="H236" s="13" t="n">
        <v>1</v>
      </c>
      <c r="I236" s="14" t="n">
        <v>1156.23</v>
      </c>
      <c r="J236" s="15" t="n">
        <v>0.04</v>
      </c>
      <c r="K236" s="14" t="n">
        <v>763.11</v>
      </c>
      <c r="L236" s="13" t="n">
        <v>6</v>
      </c>
      <c r="M236" s="13" t="inlineStr">
        <is>
          <t>Completed</t>
        </is>
      </c>
      <c r="N236" s="13" t="inlineStr">
        <is>
          <t>L. Berger</t>
        </is>
      </c>
      <c r="O236" s="13" t="inlineStr">
        <is>
          <t>No</t>
        </is>
      </c>
      <c r="P236" s="14">
        <f>H236*I236</f>
        <v/>
      </c>
      <c r="Q236" s="14">
        <f>P236*(1-J236)</f>
        <v/>
      </c>
      <c r="R236" s="14">
        <f>H236*K236</f>
        <v/>
      </c>
      <c r="S236" s="15">
        <f>IF(Q236=0,"",(Q236-R236)/Q236)</f>
        <v/>
      </c>
      <c r="T236" s="13">
        <f>YEAR(B236)</f>
        <v/>
      </c>
      <c r="U236" s="13">
        <f>YEAR(B236)&amp;"-Q"&amp;ROUNDUP(MONTH(B236)/3,0)</f>
        <v/>
      </c>
      <c r="V236" s="13">
        <f>TEXT(B236,"YYYY-MM")</f>
        <v/>
      </c>
      <c r="W236" s="13">
        <f>IF(L236="","",IF(L236&gt;pLateDays,1,0))</f>
        <v/>
      </c>
      <c r="X236" s="13">
        <f>IF(Q236&gt;=pHighCutoff,1,0)</f>
        <v/>
      </c>
      <c r="Y236" s="13">
        <f>IF(M236="Returned",1,0)</f>
        <v/>
      </c>
    </row>
    <row r="237">
      <c r="A237" s="13" t="inlineStr">
        <is>
          <t>HC-100235</t>
        </is>
      </c>
      <c r="B237" s="18" t="n">
        <v>45529</v>
      </c>
      <c r="C237" s="13" t="inlineStr">
        <is>
          <t>South</t>
        </is>
      </c>
      <c r="D237" s="13" t="inlineStr">
        <is>
          <t>Store</t>
        </is>
      </c>
      <c r="E237" s="13" t="inlineStr">
        <is>
          <t>Textiles</t>
        </is>
      </c>
      <c r="F237" s="13" t="inlineStr">
        <is>
          <t>Wool Throw</t>
        </is>
      </c>
      <c r="G237" s="13" t="inlineStr">
        <is>
          <t>Corporate</t>
        </is>
      </c>
      <c r="H237" s="13" t="n">
        <v>3</v>
      </c>
      <c r="I237" s="14" t="n">
        <v>70.23999999999999</v>
      </c>
      <c r="J237" s="15" t="n">
        <v>0.11</v>
      </c>
      <c r="K237" s="14" t="n">
        <v>29.5</v>
      </c>
      <c r="L237" s="13" t="n">
        <v>3</v>
      </c>
      <c r="M237" s="13" t="inlineStr">
        <is>
          <t>Completed</t>
        </is>
      </c>
      <c r="N237" s="13" t="inlineStr">
        <is>
          <t>M. Okonkwo</t>
        </is>
      </c>
      <c r="O237" s="13" t="inlineStr">
        <is>
          <t>No</t>
        </is>
      </c>
      <c r="P237" s="14">
        <f>H237*I237</f>
        <v/>
      </c>
      <c r="Q237" s="14">
        <f>P237*(1-J237)</f>
        <v/>
      </c>
      <c r="R237" s="14">
        <f>H237*K237</f>
        <v/>
      </c>
      <c r="S237" s="15">
        <f>IF(Q237=0,"",(Q237-R237)/Q237)</f>
        <v/>
      </c>
      <c r="T237" s="13">
        <f>YEAR(B237)</f>
        <v/>
      </c>
      <c r="U237" s="13">
        <f>YEAR(B237)&amp;"-Q"&amp;ROUNDUP(MONTH(B237)/3,0)</f>
        <v/>
      </c>
      <c r="V237" s="13">
        <f>TEXT(B237,"YYYY-MM")</f>
        <v/>
      </c>
      <c r="W237" s="13">
        <f>IF(L237="","",IF(L237&gt;pLateDays,1,0))</f>
        <v/>
      </c>
      <c r="X237" s="13">
        <f>IF(Q237&gt;=pHighCutoff,1,0)</f>
        <v/>
      </c>
      <c r="Y237" s="13">
        <f>IF(M237="Returned",1,0)</f>
        <v/>
      </c>
    </row>
    <row r="238">
      <c r="A238" s="13" t="inlineStr">
        <is>
          <t>HC-100236</t>
        </is>
      </c>
      <c r="B238" s="18" t="n">
        <v>45442</v>
      </c>
      <c r="C238" s="13" t="inlineStr">
        <is>
          <t>South</t>
        </is>
      </c>
      <c r="D238" s="13" t="inlineStr">
        <is>
          <t>Online</t>
        </is>
      </c>
      <c r="E238" s="13" t="inlineStr">
        <is>
          <t>Textiles</t>
        </is>
      </c>
      <c r="F238" s="13" t="inlineStr">
        <is>
          <t>Wool Throw</t>
        </is>
      </c>
      <c r="G238" s="13" t="inlineStr">
        <is>
          <t>Corporate</t>
        </is>
      </c>
      <c r="H238" s="13" t="n">
        <v>3</v>
      </c>
      <c r="I238" s="14" t="n">
        <v>71.81999999999999</v>
      </c>
      <c r="J238" s="15" t="n">
        <v>0.08</v>
      </c>
      <c r="K238" s="14" t="n">
        <v>30.16</v>
      </c>
      <c r="L238" s="13" t="n">
        <v>3</v>
      </c>
      <c r="M238" s="13" t="inlineStr">
        <is>
          <t>Completed</t>
        </is>
      </c>
      <c r="N238" s="13" t="inlineStr">
        <is>
          <t>P. Rossi</t>
        </is>
      </c>
      <c r="O238" s="13" t="inlineStr">
        <is>
          <t>No</t>
        </is>
      </c>
      <c r="P238" s="14">
        <f>H238*I238</f>
        <v/>
      </c>
      <c r="Q238" s="14">
        <f>P238*(1-J238)</f>
        <v/>
      </c>
      <c r="R238" s="14">
        <f>H238*K238</f>
        <v/>
      </c>
      <c r="S238" s="15">
        <f>IF(Q238=0,"",(Q238-R238)/Q238)</f>
        <v/>
      </c>
      <c r="T238" s="13">
        <f>YEAR(B238)</f>
        <v/>
      </c>
      <c r="U238" s="13">
        <f>YEAR(B238)&amp;"-Q"&amp;ROUNDUP(MONTH(B238)/3,0)</f>
        <v/>
      </c>
      <c r="V238" s="13">
        <f>TEXT(B238,"YYYY-MM")</f>
        <v/>
      </c>
      <c r="W238" s="13">
        <f>IF(L238="","",IF(L238&gt;pLateDays,1,0))</f>
        <v/>
      </c>
      <c r="X238" s="13">
        <f>IF(Q238&gt;=pHighCutoff,1,0)</f>
        <v/>
      </c>
      <c r="Y238" s="13">
        <f>IF(M238="Returned",1,0)</f>
        <v/>
      </c>
    </row>
    <row r="239">
      <c r="A239" s="13" t="inlineStr">
        <is>
          <t>HC-100237</t>
        </is>
      </c>
      <c r="B239" s="18" t="n">
        <v>45667</v>
      </c>
      <c r="C239" s="13" t="inlineStr">
        <is>
          <t>South</t>
        </is>
      </c>
      <c r="D239" s="13" t="inlineStr">
        <is>
          <t>Store</t>
        </is>
      </c>
      <c r="E239" s="13" t="inlineStr">
        <is>
          <t>Textiles</t>
        </is>
      </c>
      <c r="F239" s="13" t="inlineStr">
        <is>
          <t>Cotton Duvet</t>
        </is>
      </c>
      <c r="G239" s="13" t="inlineStr">
        <is>
          <t>Consumer</t>
        </is>
      </c>
      <c r="H239" s="13" t="n">
        <v>1</v>
      </c>
      <c r="I239" s="14" t="n">
        <v>126.75</v>
      </c>
      <c r="J239" s="15" t="n">
        <v>0</v>
      </c>
      <c r="K239" s="14" t="n">
        <v>55.77</v>
      </c>
      <c r="L239" s="13" t="n">
        <v>6</v>
      </c>
      <c r="M239" s="13" t="inlineStr">
        <is>
          <t>Completed</t>
        </is>
      </c>
      <c r="N239" s="13" t="inlineStr">
        <is>
          <t>M. Okonkwo</t>
        </is>
      </c>
      <c r="O239" s="13" t="inlineStr">
        <is>
          <t>No</t>
        </is>
      </c>
      <c r="P239" s="14">
        <f>H239*I239</f>
        <v/>
      </c>
      <c r="Q239" s="14">
        <f>P239*(1-J239)</f>
        <v/>
      </c>
      <c r="R239" s="14">
        <f>H239*K239</f>
        <v/>
      </c>
      <c r="S239" s="15">
        <f>IF(Q239=0,"",(Q239-R239)/Q239)</f>
        <v/>
      </c>
      <c r="T239" s="13">
        <f>YEAR(B239)</f>
        <v/>
      </c>
      <c r="U239" s="13">
        <f>YEAR(B239)&amp;"-Q"&amp;ROUNDUP(MONTH(B239)/3,0)</f>
        <v/>
      </c>
      <c r="V239" s="13">
        <f>TEXT(B239,"YYYY-MM")</f>
        <v/>
      </c>
      <c r="W239" s="13">
        <f>IF(L239="","",IF(L239&gt;pLateDays,1,0))</f>
        <v/>
      </c>
      <c r="X239" s="13">
        <f>IF(Q239&gt;=pHighCutoff,1,0)</f>
        <v/>
      </c>
      <c r="Y239" s="13">
        <f>IF(M239="Returned",1,0)</f>
        <v/>
      </c>
    </row>
    <row r="240">
      <c r="A240" s="13" t="inlineStr">
        <is>
          <t>HC-100238</t>
        </is>
      </c>
      <c r="B240" s="18" t="n">
        <v>45468</v>
      </c>
      <c r="C240" s="13" t="inlineStr">
        <is>
          <t>North</t>
        </is>
      </c>
      <c r="D240" s="13" t="inlineStr">
        <is>
          <t>Wholesale</t>
        </is>
      </c>
      <c r="E240" s="13" t="inlineStr">
        <is>
          <t>Furniture</t>
        </is>
      </c>
      <c r="F240" s="13" t="inlineStr">
        <is>
          <t>Lounge Chair</t>
        </is>
      </c>
      <c r="G240" s="13" t="inlineStr">
        <is>
          <t>Consumer</t>
        </is>
      </c>
      <c r="H240" s="13" t="n">
        <v>33</v>
      </c>
      <c r="I240" s="14" t="n">
        <v>450.84</v>
      </c>
      <c r="J240" s="15" t="n">
        <v>0.23</v>
      </c>
      <c r="K240" s="14" t="n">
        <v>270.5</v>
      </c>
      <c r="L240" s="13" t="n">
        <v>5</v>
      </c>
      <c r="M240" s="13" t="inlineStr">
        <is>
          <t>Completed</t>
        </is>
      </c>
      <c r="N240" s="13" t="inlineStr">
        <is>
          <t>R. Ibarra</t>
        </is>
      </c>
      <c r="O240" s="13" t="inlineStr">
        <is>
          <t>No</t>
        </is>
      </c>
      <c r="P240" s="14">
        <f>H240*I240</f>
        <v/>
      </c>
      <c r="Q240" s="14">
        <f>P240*(1-J240)</f>
        <v/>
      </c>
      <c r="R240" s="14">
        <f>H240*K240</f>
        <v/>
      </c>
      <c r="S240" s="15">
        <f>IF(Q240=0,"",(Q240-R240)/Q240)</f>
        <v/>
      </c>
      <c r="T240" s="13">
        <f>YEAR(B240)</f>
        <v/>
      </c>
      <c r="U240" s="13">
        <f>YEAR(B240)&amp;"-Q"&amp;ROUNDUP(MONTH(B240)/3,0)</f>
        <v/>
      </c>
      <c r="V240" s="13">
        <f>TEXT(B240,"YYYY-MM")</f>
        <v/>
      </c>
      <c r="W240" s="13">
        <f>IF(L240="","",IF(L240&gt;pLateDays,1,0))</f>
        <v/>
      </c>
      <c r="X240" s="13">
        <f>IF(Q240&gt;=pHighCutoff,1,0)</f>
        <v/>
      </c>
      <c r="Y240" s="13">
        <f>IF(M240="Returned",1,0)</f>
        <v/>
      </c>
    </row>
    <row r="241">
      <c r="A241" s="13" t="inlineStr">
        <is>
          <t>HC-100239</t>
        </is>
      </c>
      <c r="B241" s="18" t="n">
        <v>45541</v>
      </c>
      <c r="C241" s="13" t="inlineStr">
        <is>
          <t>North</t>
        </is>
      </c>
      <c r="D241" s="13" t="inlineStr">
        <is>
          <t>Online</t>
        </is>
      </c>
      <c r="E241" s="13" t="inlineStr">
        <is>
          <t>Furniture</t>
        </is>
      </c>
      <c r="F241" s="13" t="inlineStr">
        <is>
          <t>Linen Sofa</t>
        </is>
      </c>
      <c r="G241" s="13" t="inlineStr">
        <is>
          <t>Consumer</t>
        </is>
      </c>
      <c r="H241" s="13" t="n">
        <v>2</v>
      </c>
      <c r="I241" s="14" t="n">
        <v>1251.15</v>
      </c>
      <c r="J241" s="15" t="n">
        <v>0.09</v>
      </c>
      <c r="K241" s="14" t="n">
        <v>825.76</v>
      </c>
      <c r="L241" s="13" t="n">
        <v>8</v>
      </c>
      <c r="M241" s="13" t="inlineStr">
        <is>
          <t>Cancelled</t>
        </is>
      </c>
      <c r="N241" s="13" t="inlineStr">
        <is>
          <t>R. Ibarra</t>
        </is>
      </c>
      <c r="O241" s="13" t="inlineStr">
        <is>
          <t>No</t>
        </is>
      </c>
      <c r="P241" s="14">
        <f>H241*I241</f>
        <v/>
      </c>
      <c r="Q241" s="14">
        <f>P241*(1-J241)</f>
        <v/>
      </c>
      <c r="R241" s="14">
        <f>H241*K241</f>
        <v/>
      </c>
      <c r="S241" s="15">
        <f>IF(Q241=0,"",(Q241-R241)/Q241)</f>
        <v/>
      </c>
      <c r="T241" s="13">
        <f>YEAR(B241)</f>
        <v/>
      </c>
      <c r="U241" s="13">
        <f>YEAR(B241)&amp;"-Q"&amp;ROUNDUP(MONTH(B241)/3,0)</f>
        <v/>
      </c>
      <c r="V241" s="13">
        <f>TEXT(B241,"YYYY-MM")</f>
        <v/>
      </c>
      <c r="W241" s="13">
        <f>IF(L241="","",IF(L241&gt;pLateDays,1,0))</f>
        <v/>
      </c>
      <c r="X241" s="13">
        <f>IF(Q241&gt;=pHighCutoff,1,0)</f>
        <v/>
      </c>
      <c r="Y241" s="13">
        <f>IF(M241="Returned",1,0)</f>
        <v/>
      </c>
    </row>
    <row r="242">
      <c r="A242" s="13" t="inlineStr">
        <is>
          <t>HC-100240</t>
        </is>
      </c>
      <c r="B242" s="18" t="n">
        <v>45895</v>
      </c>
      <c r="C242" s="13" t="inlineStr">
        <is>
          <t>South</t>
        </is>
      </c>
      <c r="D242" s="13" t="inlineStr">
        <is>
          <t>Online</t>
        </is>
      </c>
      <c r="E242" s="13" t="inlineStr">
        <is>
          <t>Lighting</t>
        </is>
      </c>
      <c r="F242" s="13" t="inlineStr">
        <is>
          <t>Arc Lamp</t>
        </is>
      </c>
      <c r="G242" s="13" t="inlineStr">
        <is>
          <t>Unknown</t>
        </is>
      </c>
      <c r="H242" s="13" t="n">
        <v>2</v>
      </c>
      <c r="I242" s="14" t="n">
        <v>312.76</v>
      </c>
      <c r="J242" s="15" t="n">
        <v>0.18</v>
      </c>
      <c r="K242" s="14" t="n">
        <v>150.12</v>
      </c>
      <c r="L242" s="13" t="n">
        <v>6</v>
      </c>
      <c r="M242" s="13" t="inlineStr">
        <is>
          <t>Completed</t>
        </is>
      </c>
      <c r="N242" s="13" t="inlineStr">
        <is>
          <t>L. Berger</t>
        </is>
      </c>
      <c r="O242" s="13" t="inlineStr">
        <is>
          <t>No</t>
        </is>
      </c>
      <c r="P242" s="14">
        <f>H242*I242</f>
        <v/>
      </c>
      <c r="Q242" s="14">
        <f>P242*(1-J242)</f>
        <v/>
      </c>
      <c r="R242" s="14">
        <f>H242*K242</f>
        <v/>
      </c>
      <c r="S242" s="15">
        <f>IF(Q242=0,"",(Q242-R242)/Q242)</f>
        <v/>
      </c>
      <c r="T242" s="13">
        <f>YEAR(B242)</f>
        <v/>
      </c>
      <c r="U242" s="13">
        <f>YEAR(B242)&amp;"-Q"&amp;ROUNDUP(MONTH(B242)/3,0)</f>
        <v/>
      </c>
      <c r="V242" s="13">
        <f>TEXT(B242,"YYYY-MM")</f>
        <v/>
      </c>
      <c r="W242" s="13">
        <f>IF(L242="","",IF(L242&gt;pLateDays,1,0))</f>
        <v/>
      </c>
      <c r="X242" s="13">
        <f>IF(Q242&gt;=pHighCutoff,1,0)</f>
        <v/>
      </c>
      <c r="Y242" s="13">
        <f>IF(M242="Returned",1,0)</f>
        <v/>
      </c>
    </row>
    <row r="243">
      <c r="A243" s="13" t="inlineStr">
        <is>
          <t>HC-100241</t>
        </is>
      </c>
      <c r="B243" s="18" t="n">
        <v>45617</v>
      </c>
      <c r="C243" s="13" t="inlineStr">
        <is>
          <t>North</t>
        </is>
      </c>
      <c r="D243" s="13" t="inlineStr">
        <is>
          <t>Online</t>
        </is>
      </c>
      <c r="E243" s="13" t="inlineStr">
        <is>
          <t>Textiles</t>
        </is>
      </c>
      <c r="F243" s="13" t="inlineStr">
        <is>
          <t>Linen Curtain</t>
        </is>
      </c>
      <c r="G243" s="13" t="inlineStr">
        <is>
          <t>Consumer</t>
        </is>
      </c>
      <c r="H243" s="13" t="n">
        <v>3</v>
      </c>
      <c r="I243" s="14" t="n">
        <v>101.48</v>
      </c>
      <c r="J243" s="15" t="n">
        <v>0.04</v>
      </c>
      <c r="K243" s="14" t="n">
        <v>45.67</v>
      </c>
      <c r="L243" s="13" t="n">
        <v>5</v>
      </c>
      <c r="M243" s="13" t="inlineStr">
        <is>
          <t>Completed</t>
        </is>
      </c>
      <c r="N243" s="13" t="inlineStr">
        <is>
          <t>J. Patel</t>
        </is>
      </c>
      <c r="O243" s="13" t="inlineStr">
        <is>
          <t>No</t>
        </is>
      </c>
      <c r="P243" s="14">
        <f>H243*I243</f>
        <v/>
      </c>
      <c r="Q243" s="14">
        <f>P243*(1-J243)</f>
        <v/>
      </c>
      <c r="R243" s="14">
        <f>H243*K243</f>
        <v/>
      </c>
      <c r="S243" s="15">
        <f>IF(Q243=0,"",(Q243-R243)/Q243)</f>
        <v/>
      </c>
      <c r="T243" s="13">
        <f>YEAR(B243)</f>
        <v/>
      </c>
      <c r="U243" s="13">
        <f>YEAR(B243)&amp;"-Q"&amp;ROUNDUP(MONTH(B243)/3,0)</f>
        <v/>
      </c>
      <c r="V243" s="13">
        <f>TEXT(B243,"YYYY-MM")</f>
        <v/>
      </c>
      <c r="W243" s="13">
        <f>IF(L243="","",IF(L243&gt;pLateDays,1,0))</f>
        <v/>
      </c>
      <c r="X243" s="13">
        <f>IF(Q243&gt;=pHighCutoff,1,0)</f>
        <v/>
      </c>
      <c r="Y243" s="13">
        <f>IF(M243="Returned",1,0)</f>
        <v/>
      </c>
    </row>
    <row r="244">
      <c r="A244" s="13" t="inlineStr">
        <is>
          <t>HC-100242</t>
        </is>
      </c>
      <c r="B244" s="18" t="n">
        <v>45906</v>
      </c>
      <c r="C244" s="13" t="inlineStr">
        <is>
          <t>North</t>
        </is>
      </c>
      <c r="D244" s="13" t="inlineStr">
        <is>
          <t>Store</t>
        </is>
      </c>
      <c r="E244" s="13" t="inlineStr">
        <is>
          <t>Lighting</t>
        </is>
      </c>
      <c r="F244" s="13" t="inlineStr">
        <is>
          <t>Arc Lamp</t>
        </is>
      </c>
      <c r="G244" s="13" t="inlineStr">
        <is>
          <t>Corporate</t>
        </is>
      </c>
      <c r="H244" s="13" t="n">
        <v>2</v>
      </c>
      <c r="I244" s="14" t="n">
        <v>287.95</v>
      </c>
      <c r="J244" s="15" t="n">
        <v>0.06</v>
      </c>
      <c r="K244" s="14" t="n">
        <v>138.21</v>
      </c>
      <c r="L244" s="13" t="n">
        <v>4</v>
      </c>
      <c r="M244" s="13" t="inlineStr">
        <is>
          <t>Completed</t>
        </is>
      </c>
      <c r="N244" s="13" t="inlineStr">
        <is>
          <t>K. Mensah</t>
        </is>
      </c>
      <c r="O244" s="13" t="inlineStr">
        <is>
          <t>No</t>
        </is>
      </c>
      <c r="P244" s="14">
        <f>H244*I244</f>
        <v/>
      </c>
      <c r="Q244" s="14">
        <f>P244*(1-J244)</f>
        <v/>
      </c>
      <c r="R244" s="14">
        <f>H244*K244</f>
        <v/>
      </c>
      <c r="S244" s="15">
        <f>IF(Q244=0,"",(Q244-R244)/Q244)</f>
        <v/>
      </c>
      <c r="T244" s="13">
        <f>YEAR(B244)</f>
        <v/>
      </c>
      <c r="U244" s="13">
        <f>YEAR(B244)&amp;"-Q"&amp;ROUNDUP(MONTH(B244)/3,0)</f>
        <v/>
      </c>
      <c r="V244" s="13">
        <f>TEXT(B244,"YYYY-MM")</f>
        <v/>
      </c>
      <c r="W244" s="13">
        <f>IF(L244="","",IF(L244&gt;pLateDays,1,0))</f>
        <v/>
      </c>
      <c r="X244" s="13">
        <f>IF(Q244&gt;=pHighCutoff,1,0)</f>
        <v/>
      </c>
      <c r="Y244" s="13">
        <f>IF(M244="Returned",1,0)</f>
        <v/>
      </c>
    </row>
    <row r="245">
      <c r="A245" s="13" t="inlineStr">
        <is>
          <t>HC-100243</t>
        </is>
      </c>
      <c r="B245" s="18" t="n">
        <v>45693</v>
      </c>
      <c r="C245" s="13" t="inlineStr">
        <is>
          <t>South</t>
        </is>
      </c>
      <c r="D245" s="13" t="inlineStr">
        <is>
          <t>Store</t>
        </is>
      </c>
      <c r="E245" s="13" t="inlineStr">
        <is>
          <t>Furniture</t>
        </is>
      </c>
      <c r="F245" s="13" t="inlineStr">
        <is>
          <t>Oak Desk</t>
        </is>
      </c>
      <c r="G245" s="13" t="inlineStr">
        <is>
          <t>Home Office</t>
        </is>
      </c>
      <c r="H245" s="13" t="n">
        <v>2</v>
      </c>
      <c r="I245" s="14" t="n">
        <v>852.03</v>
      </c>
      <c r="J245" s="15" t="n">
        <v>0.04</v>
      </c>
      <c r="K245" s="14" t="n">
        <v>528.26</v>
      </c>
      <c r="L245" s="13" t="n">
        <v>4</v>
      </c>
      <c r="M245" s="13" t="inlineStr">
        <is>
          <t>Completed</t>
        </is>
      </c>
      <c r="N245" s="13" t="inlineStr">
        <is>
          <t>A. Shah</t>
        </is>
      </c>
      <c r="O245" s="13" t="inlineStr">
        <is>
          <t>No</t>
        </is>
      </c>
      <c r="P245" s="14">
        <f>H245*I245</f>
        <v/>
      </c>
      <c r="Q245" s="14">
        <f>P245*(1-J245)</f>
        <v/>
      </c>
      <c r="R245" s="14">
        <f>H245*K245</f>
        <v/>
      </c>
      <c r="S245" s="15">
        <f>IF(Q245=0,"",(Q245-R245)/Q245)</f>
        <v/>
      </c>
      <c r="T245" s="13">
        <f>YEAR(B245)</f>
        <v/>
      </c>
      <c r="U245" s="13">
        <f>YEAR(B245)&amp;"-Q"&amp;ROUNDUP(MONTH(B245)/3,0)</f>
        <v/>
      </c>
      <c r="V245" s="13">
        <f>TEXT(B245,"YYYY-MM")</f>
        <v/>
      </c>
      <c r="W245" s="13">
        <f>IF(L245="","",IF(L245&gt;pLateDays,1,0))</f>
        <v/>
      </c>
      <c r="X245" s="13">
        <f>IF(Q245&gt;=pHighCutoff,1,0)</f>
        <v/>
      </c>
      <c r="Y245" s="13">
        <f>IF(M245="Returned",1,0)</f>
        <v/>
      </c>
    </row>
    <row r="246">
      <c r="A246" s="13" t="inlineStr">
        <is>
          <t>HC-100244</t>
        </is>
      </c>
      <c r="B246" s="18" t="n">
        <v>45821</v>
      </c>
      <c r="C246" s="13" t="inlineStr">
        <is>
          <t>North</t>
        </is>
      </c>
      <c r="D246" s="13" t="inlineStr">
        <is>
          <t>Store</t>
        </is>
      </c>
      <c r="E246" s="13" t="inlineStr">
        <is>
          <t>Furniture</t>
        </is>
      </c>
      <c r="F246" s="13" t="inlineStr">
        <is>
          <t>Oak Desk</t>
        </is>
      </c>
      <c r="G246" s="13" t="inlineStr">
        <is>
          <t>Unknown</t>
        </is>
      </c>
      <c r="H246" s="13" t="n">
        <v>1</v>
      </c>
      <c r="I246" s="14" t="n">
        <v>840.5700000000001</v>
      </c>
      <c r="J246" s="15" t="n">
        <v>0</v>
      </c>
      <c r="K246" s="14" t="n">
        <v>521.15</v>
      </c>
      <c r="L246" s="13" t="n">
        <v>5</v>
      </c>
      <c r="M246" s="13" t="inlineStr">
        <is>
          <t>Completed</t>
        </is>
      </c>
      <c r="N246" s="13" t="inlineStr">
        <is>
          <t>S. Nguyen</t>
        </is>
      </c>
      <c r="O246" s="13" t="inlineStr">
        <is>
          <t>No</t>
        </is>
      </c>
      <c r="P246" s="14">
        <f>H246*I246</f>
        <v/>
      </c>
      <c r="Q246" s="14">
        <f>P246*(1-J246)</f>
        <v/>
      </c>
      <c r="R246" s="14">
        <f>H246*K246</f>
        <v/>
      </c>
      <c r="S246" s="15">
        <f>IF(Q246=0,"",(Q246-R246)/Q246)</f>
        <v/>
      </c>
      <c r="T246" s="13">
        <f>YEAR(B246)</f>
        <v/>
      </c>
      <c r="U246" s="13">
        <f>YEAR(B246)&amp;"-Q"&amp;ROUNDUP(MONTH(B246)/3,0)</f>
        <v/>
      </c>
      <c r="V246" s="13">
        <f>TEXT(B246,"YYYY-MM")</f>
        <v/>
      </c>
      <c r="W246" s="13">
        <f>IF(L246="","",IF(L246&gt;pLateDays,1,0))</f>
        <v/>
      </c>
      <c r="X246" s="13">
        <f>IF(Q246&gt;=pHighCutoff,1,0)</f>
        <v/>
      </c>
      <c r="Y246" s="13">
        <f>IF(M246="Returned",1,0)</f>
        <v/>
      </c>
    </row>
    <row r="247">
      <c r="A247" s="13" t="inlineStr">
        <is>
          <t>HC-100245</t>
        </is>
      </c>
      <c r="B247" s="18" t="n">
        <v>45387</v>
      </c>
      <c r="C247" s="13" t="inlineStr">
        <is>
          <t>West</t>
        </is>
      </c>
      <c r="D247" s="13" t="inlineStr">
        <is>
          <t>Wholesale</t>
        </is>
      </c>
      <c r="E247" s="13" t="inlineStr">
        <is>
          <t>Lighting</t>
        </is>
      </c>
      <c r="F247" s="13" t="inlineStr">
        <is>
          <t>Brass Sconce</t>
        </is>
      </c>
      <c r="G247" s="13" t="inlineStr">
        <is>
          <t>Consumer</t>
        </is>
      </c>
      <c r="H247" s="13" t="n">
        <v>15</v>
      </c>
      <c r="I247" s="14" t="n">
        <v>140.96</v>
      </c>
      <c r="J247" s="15" t="n">
        <v>0.27</v>
      </c>
      <c r="K247" s="14" t="n">
        <v>64.84</v>
      </c>
      <c r="L247" s="13" t="n">
        <v>7</v>
      </c>
      <c r="M247" s="13" t="inlineStr">
        <is>
          <t>Completed</t>
        </is>
      </c>
      <c r="N247" s="13" t="inlineStr">
        <is>
          <t>L. Berger</t>
        </is>
      </c>
      <c r="O247" s="13" t="inlineStr">
        <is>
          <t>No</t>
        </is>
      </c>
      <c r="P247" s="14">
        <f>H247*I247</f>
        <v/>
      </c>
      <c r="Q247" s="14">
        <f>P247*(1-J247)</f>
        <v/>
      </c>
      <c r="R247" s="14">
        <f>H247*K247</f>
        <v/>
      </c>
      <c r="S247" s="15">
        <f>IF(Q247=0,"",(Q247-R247)/Q247)</f>
        <v/>
      </c>
      <c r="T247" s="13">
        <f>YEAR(B247)</f>
        <v/>
      </c>
      <c r="U247" s="13">
        <f>YEAR(B247)&amp;"-Q"&amp;ROUNDUP(MONTH(B247)/3,0)</f>
        <v/>
      </c>
      <c r="V247" s="13">
        <f>TEXT(B247,"YYYY-MM")</f>
        <v/>
      </c>
      <c r="W247" s="13">
        <f>IF(L247="","",IF(L247&gt;pLateDays,1,0))</f>
        <v/>
      </c>
      <c r="X247" s="13">
        <f>IF(Q247&gt;=pHighCutoff,1,0)</f>
        <v/>
      </c>
      <c r="Y247" s="13">
        <f>IF(M247="Returned",1,0)</f>
        <v/>
      </c>
    </row>
    <row r="248">
      <c r="A248" s="13" t="inlineStr">
        <is>
          <t>HC-100246</t>
        </is>
      </c>
      <c r="B248" s="18" t="n">
        <v>45879</v>
      </c>
      <c r="C248" s="13" t="inlineStr">
        <is>
          <t>South</t>
        </is>
      </c>
      <c r="D248" s="13" t="inlineStr">
        <is>
          <t>Store</t>
        </is>
      </c>
      <c r="E248" s="13" t="inlineStr">
        <is>
          <t>Furniture</t>
        </is>
      </c>
      <c r="F248" s="13" t="inlineStr">
        <is>
          <t>Linen Sofa</t>
        </is>
      </c>
      <c r="G248" s="13" t="inlineStr">
        <is>
          <t>Consumer</t>
        </is>
      </c>
      <c r="H248" s="13" t="n">
        <v>2</v>
      </c>
      <c r="I248" s="14" t="n">
        <v>1170.47</v>
      </c>
      <c r="J248" s="15" t="n">
        <v>0.01</v>
      </c>
      <c r="K248" s="14" t="n">
        <v>772.51</v>
      </c>
      <c r="L248" s="13" t="n">
        <v>3</v>
      </c>
      <c r="M248" s="13" t="inlineStr">
        <is>
          <t>Completed</t>
        </is>
      </c>
      <c r="N248" s="13" t="inlineStr">
        <is>
          <t>L. Berger</t>
        </is>
      </c>
      <c r="O248" s="13" t="inlineStr">
        <is>
          <t>No</t>
        </is>
      </c>
      <c r="P248" s="14">
        <f>H248*I248</f>
        <v/>
      </c>
      <c r="Q248" s="14">
        <f>P248*(1-J248)</f>
        <v/>
      </c>
      <c r="R248" s="14">
        <f>H248*K248</f>
        <v/>
      </c>
      <c r="S248" s="15">
        <f>IF(Q248=0,"",(Q248-R248)/Q248)</f>
        <v/>
      </c>
      <c r="T248" s="13">
        <f>YEAR(B248)</f>
        <v/>
      </c>
      <c r="U248" s="13">
        <f>YEAR(B248)&amp;"-Q"&amp;ROUNDUP(MONTH(B248)/3,0)</f>
        <v/>
      </c>
      <c r="V248" s="13">
        <f>TEXT(B248,"YYYY-MM")</f>
        <v/>
      </c>
      <c r="W248" s="13">
        <f>IF(L248="","",IF(L248&gt;pLateDays,1,0))</f>
        <v/>
      </c>
      <c r="X248" s="13">
        <f>IF(Q248&gt;=pHighCutoff,1,0)</f>
        <v/>
      </c>
      <c r="Y248" s="13">
        <f>IF(M248="Returned",1,0)</f>
        <v/>
      </c>
    </row>
    <row r="249">
      <c r="A249" s="13" t="inlineStr">
        <is>
          <t>HC-100247</t>
        </is>
      </c>
      <c r="B249" s="18" t="n">
        <v>45658</v>
      </c>
      <c r="C249" s="13" t="inlineStr">
        <is>
          <t>North</t>
        </is>
      </c>
      <c r="D249" s="13" t="inlineStr">
        <is>
          <t>Store</t>
        </is>
      </c>
      <c r="E249" s="13" t="inlineStr">
        <is>
          <t>Lighting</t>
        </is>
      </c>
      <c r="F249" s="13" t="inlineStr">
        <is>
          <t>Pendant Light</t>
        </is>
      </c>
      <c r="G249" s="13" t="inlineStr">
        <is>
          <t>Consumer</t>
        </is>
      </c>
      <c r="H249" s="13" t="n">
        <v>3</v>
      </c>
      <c r="I249" s="14" t="n">
        <v>174.05</v>
      </c>
      <c r="J249" s="15" t="n">
        <v>0.02</v>
      </c>
      <c r="K249" s="14" t="n">
        <v>87.02</v>
      </c>
      <c r="L249" s="13" t="n">
        <v>6</v>
      </c>
      <c r="M249" s="13" t="inlineStr">
        <is>
          <t>Completed</t>
        </is>
      </c>
      <c r="N249" s="13" t="inlineStr">
        <is>
          <t>K. Mensah</t>
        </is>
      </c>
      <c r="O249" s="13" t="inlineStr">
        <is>
          <t>No</t>
        </is>
      </c>
      <c r="P249" s="14">
        <f>H249*I249</f>
        <v/>
      </c>
      <c r="Q249" s="14">
        <f>P249*(1-J249)</f>
        <v/>
      </c>
      <c r="R249" s="14">
        <f>H249*K249</f>
        <v/>
      </c>
      <c r="S249" s="15">
        <f>IF(Q249=0,"",(Q249-R249)/Q249)</f>
        <v/>
      </c>
      <c r="T249" s="13">
        <f>YEAR(B249)</f>
        <v/>
      </c>
      <c r="U249" s="13">
        <f>YEAR(B249)&amp;"-Q"&amp;ROUNDUP(MONTH(B249)/3,0)</f>
        <v/>
      </c>
      <c r="V249" s="13">
        <f>TEXT(B249,"YYYY-MM")</f>
        <v/>
      </c>
      <c r="W249" s="13">
        <f>IF(L249="","",IF(L249&gt;pLateDays,1,0))</f>
        <v/>
      </c>
      <c r="X249" s="13">
        <f>IF(Q249&gt;=pHighCutoff,1,0)</f>
        <v/>
      </c>
      <c r="Y249" s="13">
        <f>IF(M249="Returned",1,0)</f>
        <v/>
      </c>
    </row>
    <row r="250">
      <c r="A250" s="13" t="inlineStr">
        <is>
          <t>HC-100248</t>
        </is>
      </c>
      <c r="B250" s="18" t="n">
        <v>45591</v>
      </c>
      <c r="C250" s="13" t="inlineStr">
        <is>
          <t>South</t>
        </is>
      </c>
      <c r="D250" s="13" t="inlineStr">
        <is>
          <t>Store</t>
        </is>
      </c>
      <c r="E250" s="13" t="inlineStr">
        <is>
          <t>Textiles</t>
        </is>
      </c>
      <c r="F250" s="13" t="inlineStr">
        <is>
          <t>Wool Throw</t>
        </is>
      </c>
      <c r="G250" s="13" t="inlineStr">
        <is>
          <t>Consumer</t>
        </is>
      </c>
      <c r="H250" s="13" t="n">
        <v>3</v>
      </c>
      <c r="I250" s="14" t="n">
        <v>79.63</v>
      </c>
      <c r="J250" s="15" t="n">
        <v>0.02</v>
      </c>
      <c r="K250" s="14" t="n">
        <v>33.44</v>
      </c>
      <c r="L250" s="13" t="n">
        <v>5</v>
      </c>
      <c r="M250" s="13" t="inlineStr">
        <is>
          <t>Completed</t>
        </is>
      </c>
      <c r="N250" s="13" t="inlineStr">
        <is>
          <t>J. Patel</t>
        </is>
      </c>
      <c r="O250" s="13" t="inlineStr">
        <is>
          <t>No</t>
        </is>
      </c>
      <c r="P250" s="14">
        <f>H250*I250</f>
        <v/>
      </c>
      <c r="Q250" s="14">
        <f>P250*(1-J250)</f>
        <v/>
      </c>
      <c r="R250" s="14">
        <f>H250*K250</f>
        <v/>
      </c>
      <c r="S250" s="15">
        <f>IF(Q250=0,"",(Q250-R250)/Q250)</f>
        <v/>
      </c>
      <c r="T250" s="13">
        <f>YEAR(B250)</f>
        <v/>
      </c>
      <c r="U250" s="13">
        <f>YEAR(B250)&amp;"-Q"&amp;ROUNDUP(MONTH(B250)/3,0)</f>
        <v/>
      </c>
      <c r="V250" s="13">
        <f>TEXT(B250,"YYYY-MM")</f>
        <v/>
      </c>
      <c r="W250" s="13">
        <f>IF(L250="","",IF(L250&gt;pLateDays,1,0))</f>
        <v/>
      </c>
      <c r="X250" s="13">
        <f>IF(Q250&gt;=pHighCutoff,1,0)</f>
        <v/>
      </c>
      <c r="Y250" s="13">
        <f>IF(M250="Returned",1,0)</f>
        <v/>
      </c>
    </row>
    <row r="251">
      <c r="A251" s="13" t="inlineStr">
        <is>
          <t>HC-100249</t>
        </is>
      </c>
      <c r="B251" s="18" t="n">
        <v>45439</v>
      </c>
      <c r="C251" s="13" t="inlineStr">
        <is>
          <t>West</t>
        </is>
      </c>
      <c r="D251" s="13" t="inlineStr">
        <is>
          <t>Wholesale</t>
        </is>
      </c>
      <c r="E251" s="13" t="inlineStr">
        <is>
          <t>Furniture</t>
        </is>
      </c>
      <c r="F251" s="13" t="inlineStr">
        <is>
          <t>Lounge Chair</t>
        </is>
      </c>
      <c r="G251" s="13" t="inlineStr">
        <is>
          <t>Consumer</t>
        </is>
      </c>
      <c r="H251" s="13" t="n">
        <v>35</v>
      </c>
      <c r="I251" s="14" t="n">
        <v>456.94</v>
      </c>
      <c r="J251" s="15" t="n">
        <v>0.2</v>
      </c>
      <c r="K251" s="14" t="n">
        <v>274.16</v>
      </c>
      <c r="L251" s="13" t="n">
        <v>6</v>
      </c>
      <c r="M251" s="13" t="inlineStr">
        <is>
          <t>Completed</t>
        </is>
      </c>
      <c r="N251" s="13" t="inlineStr">
        <is>
          <t>K. Mensah</t>
        </is>
      </c>
      <c r="O251" s="13" t="inlineStr">
        <is>
          <t>No</t>
        </is>
      </c>
      <c r="P251" s="14">
        <f>H251*I251</f>
        <v/>
      </c>
      <c r="Q251" s="14">
        <f>P251*(1-J251)</f>
        <v/>
      </c>
      <c r="R251" s="14">
        <f>H251*K251</f>
        <v/>
      </c>
      <c r="S251" s="15">
        <f>IF(Q251=0,"",(Q251-R251)/Q251)</f>
        <v/>
      </c>
      <c r="T251" s="13">
        <f>YEAR(B251)</f>
        <v/>
      </c>
      <c r="U251" s="13">
        <f>YEAR(B251)&amp;"-Q"&amp;ROUNDUP(MONTH(B251)/3,0)</f>
        <v/>
      </c>
      <c r="V251" s="13">
        <f>TEXT(B251,"YYYY-MM")</f>
        <v/>
      </c>
      <c r="W251" s="13">
        <f>IF(L251="","",IF(L251&gt;pLateDays,1,0))</f>
        <v/>
      </c>
      <c r="X251" s="13">
        <f>IF(Q251&gt;=pHighCutoff,1,0)</f>
        <v/>
      </c>
      <c r="Y251" s="13">
        <f>IF(M251="Returned",1,0)</f>
        <v/>
      </c>
    </row>
    <row r="252">
      <c r="A252" s="13" t="inlineStr">
        <is>
          <t>HC-100250</t>
        </is>
      </c>
      <c r="B252" s="18" t="n">
        <v>45483</v>
      </c>
      <c r="C252" s="13" t="inlineStr">
        <is>
          <t>North</t>
        </is>
      </c>
      <c r="D252" s="13" t="inlineStr">
        <is>
          <t>Online</t>
        </is>
      </c>
      <c r="E252" s="13" t="inlineStr">
        <is>
          <t>Textiles</t>
        </is>
      </c>
      <c r="F252" s="13" t="inlineStr">
        <is>
          <t>Linen Curtain</t>
        </is>
      </c>
      <c r="G252" s="13" t="inlineStr">
        <is>
          <t>Consumer</t>
        </is>
      </c>
      <c r="H252" s="13" t="n">
        <v>3</v>
      </c>
      <c r="I252" s="14" t="n">
        <v>87.59</v>
      </c>
      <c r="J252" s="15" t="n">
        <v>0.07000000000000001</v>
      </c>
      <c r="K252" s="14" t="n">
        <v>39.41</v>
      </c>
      <c r="L252" s="13" t="n">
        <v>11</v>
      </c>
      <c r="M252" s="13" t="inlineStr">
        <is>
          <t>Completed</t>
        </is>
      </c>
      <c r="N252" s="13" t="inlineStr">
        <is>
          <t>J. Patel</t>
        </is>
      </c>
      <c r="O252" s="13" t="inlineStr">
        <is>
          <t>No</t>
        </is>
      </c>
      <c r="P252" s="14">
        <f>H252*I252</f>
        <v/>
      </c>
      <c r="Q252" s="14">
        <f>P252*(1-J252)</f>
        <v/>
      </c>
      <c r="R252" s="14">
        <f>H252*K252</f>
        <v/>
      </c>
      <c r="S252" s="15">
        <f>IF(Q252=0,"",(Q252-R252)/Q252)</f>
        <v/>
      </c>
      <c r="T252" s="13">
        <f>YEAR(B252)</f>
        <v/>
      </c>
      <c r="U252" s="13">
        <f>YEAR(B252)&amp;"-Q"&amp;ROUNDUP(MONTH(B252)/3,0)</f>
        <v/>
      </c>
      <c r="V252" s="13">
        <f>TEXT(B252,"YYYY-MM")</f>
        <v/>
      </c>
      <c r="W252" s="13">
        <f>IF(L252="","",IF(L252&gt;pLateDays,1,0))</f>
        <v/>
      </c>
      <c r="X252" s="13">
        <f>IF(Q252&gt;=pHighCutoff,1,0)</f>
        <v/>
      </c>
      <c r="Y252" s="13">
        <f>IF(M252="Returned",1,0)</f>
        <v/>
      </c>
    </row>
    <row r="253">
      <c r="A253" s="13" t="inlineStr">
        <is>
          <t>HC-100251</t>
        </is>
      </c>
      <c r="B253" s="18" t="n">
        <v>45360</v>
      </c>
      <c r="C253" s="13" t="inlineStr">
        <is>
          <t>East</t>
        </is>
      </c>
      <c r="D253" s="13" t="inlineStr">
        <is>
          <t>Wholesale</t>
        </is>
      </c>
      <c r="E253" s="13" t="inlineStr">
        <is>
          <t>Furniture</t>
        </is>
      </c>
      <c r="F253" s="13" t="inlineStr">
        <is>
          <t>Linen Sofa</t>
        </is>
      </c>
      <c r="G253" s="13" t="inlineStr">
        <is>
          <t>Consumer</t>
        </is>
      </c>
      <c r="H253" s="13" t="n">
        <v>12</v>
      </c>
      <c r="I253" s="14" t="n">
        <v>1143.41</v>
      </c>
      <c r="J253" s="15" t="n">
        <v>0.15</v>
      </c>
      <c r="K253" s="14" t="n">
        <v>754.65</v>
      </c>
      <c r="L253" s="13" t="n">
        <v>6</v>
      </c>
      <c r="M253" s="13" t="inlineStr">
        <is>
          <t>Completed</t>
        </is>
      </c>
      <c r="N253" s="13" t="inlineStr">
        <is>
          <t>S. Nguyen</t>
        </is>
      </c>
      <c r="O253" s="13" t="inlineStr">
        <is>
          <t>No</t>
        </is>
      </c>
      <c r="P253" s="14">
        <f>H253*I253</f>
        <v/>
      </c>
      <c r="Q253" s="14">
        <f>P253*(1-J253)</f>
        <v/>
      </c>
      <c r="R253" s="14">
        <f>H253*K253</f>
        <v/>
      </c>
      <c r="S253" s="15">
        <f>IF(Q253=0,"",(Q253-R253)/Q253)</f>
        <v/>
      </c>
      <c r="T253" s="13">
        <f>YEAR(B253)</f>
        <v/>
      </c>
      <c r="U253" s="13">
        <f>YEAR(B253)&amp;"-Q"&amp;ROUNDUP(MONTH(B253)/3,0)</f>
        <v/>
      </c>
      <c r="V253" s="13">
        <f>TEXT(B253,"YYYY-MM")</f>
        <v/>
      </c>
      <c r="W253" s="13">
        <f>IF(L253="","",IF(L253&gt;pLateDays,1,0))</f>
        <v/>
      </c>
      <c r="X253" s="13">
        <f>IF(Q253&gt;=pHighCutoff,1,0)</f>
        <v/>
      </c>
      <c r="Y253" s="13">
        <f>IF(M253="Returned",1,0)</f>
        <v/>
      </c>
    </row>
    <row r="254">
      <c r="A254" s="13" t="inlineStr">
        <is>
          <t>HC-100252</t>
        </is>
      </c>
      <c r="B254" s="18" t="n">
        <v>45340</v>
      </c>
      <c r="C254" s="13" t="inlineStr">
        <is>
          <t>East</t>
        </is>
      </c>
      <c r="D254" s="13" t="inlineStr">
        <is>
          <t>Store</t>
        </is>
      </c>
      <c r="E254" s="13" t="inlineStr">
        <is>
          <t>Furniture</t>
        </is>
      </c>
      <c r="F254" s="13" t="inlineStr">
        <is>
          <t>Lounge Chair</t>
        </is>
      </c>
      <c r="G254" s="13" t="inlineStr">
        <is>
          <t>Corporate</t>
        </is>
      </c>
      <c r="H254" s="13" t="n">
        <v>3</v>
      </c>
      <c r="I254" s="14" t="n">
        <v>443.49</v>
      </c>
      <c r="J254" s="15" t="n">
        <v>0.09</v>
      </c>
      <c r="K254" s="14" t="n">
        <v>266.09</v>
      </c>
      <c r="L254" s="13" t="n">
        <v>9</v>
      </c>
      <c r="M254" s="13" t="inlineStr">
        <is>
          <t>Completed</t>
        </is>
      </c>
      <c r="N254" s="13" t="inlineStr">
        <is>
          <t>P. Rossi</t>
        </is>
      </c>
      <c r="O254" s="13" t="inlineStr">
        <is>
          <t>No</t>
        </is>
      </c>
      <c r="P254" s="14">
        <f>H254*I254</f>
        <v/>
      </c>
      <c r="Q254" s="14">
        <f>P254*(1-J254)</f>
        <v/>
      </c>
      <c r="R254" s="14">
        <f>H254*K254</f>
        <v/>
      </c>
      <c r="S254" s="15">
        <f>IF(Q254=0,"",(Q254-R254)/Q254)</f>
        <v/>
      </c>
      <c r="T254" s="13">
        <f>YEAR(B254)</f>
        <v/>
      </c>
      <c r="U254" s="13">
        <f>YEAR(B254)&amp;"-Q"&amp;ROUNDUP(MONTH(B254)/3,0)</f>
        <v/>
      </c>
      <c r="V254" s="13">
        <f>TEXT(B254,"YYYY-MM")</f>
        <v/>
      </c>
      <c r="W254" s="13">
        <f>IF(L254="","",IF(L254&gt;pLateDays,1,0))</f>
        <v/>
      </c>
      <c r="X254" s="13">
        <f>IF(Q254&gt;=pHighCutoff,1,0)</f>
        <v/>
      </c>
      <c r="Y254" s="13">
        <f>IF(M254="Returned",1,0)</f>
        <v/>
      </c>
    </row>
    <row r="255">
      <c r="A255" s="13" t="inlineStr">
        <is>
          <t>HC-100253</t>
        </is>
      </c>
      <c r="B255" s="18" t="n">
        <v>45406</v>
      </c>
      <c r="C255" s="13" t="inlineStr">
        <is>
          <t>West</t>
        </is>
      </c>
      <c r="D255" s="13" t="inlineStr">
        <is>
          <t>Wholesale</t>
        </is>
      </c>
      <c r="E255" s="13" t="inlineStr">
        <is>
          <t>Lighting</t>
        </is>
      </c>
      <c r="F255" s="13" t="inlineStr">
        <is>
          <t>Brass Sconce</t>
        </is>
      </c>
      <c r="G255" s="13" t="inlineStr">
        <is>
          <t>Consumer</t>
        </is>
      </c>
      <c r="H255" s="13" t="n">
        <v>18</v>
      </c>
      <c r="I255" s="14" t="n">
        <v>135.87</v>
      </c>
      <c r="J255" s="15" t="n">
        <v>0.29</v>
      </c>
      <c r="K255" s="14" t="n">
        <v>62.5</v>
      </c>
      <c r="L255" s="13" t="n">
        <v>12</v>
      </c>
      <c r="M255" s="13" t="inlineStr">
        <is>
          <t>Completed</t>
        </is>
      </c>
      <c r="N255" s="13" t="inlineStr">
        <is>
          <t>K. Mensah</t>
        </is>
      </c>
      <c r="O255" s="13" t="inlineStr">
        <is>
          <t>No</t>
        </is>
      </c>
      <c r="P255" s="14">
        <f>H255*I255</f>
        <v/>
      </c>
      <c r="Q255" s="14">
        <f>P255*(1-J255)</f>
        <v/>
      </c>
      <c r="R255" s="14">
        <f>H255*K255</f>
        <v/>
      </c>
      <c r="S255" s="15">
        <f>IF(Q255=0,"",(Q255-R255)/Q255)</f>
        <v/>
      </c>
      <c r="T255" s="13">
        <f>YEAR(B255)</f>
        <v/>
      </c>
      <c r="U255" s="13">
        <f>YEAR(B255)&amp;"-Q"&amp;ROUNDUP(MONTH(B255)/3,0)</f>
        <v/>
      </c>
      <c r="V255" s="13">
        <f>TEXT(B255,"YYYY-MM")</f>
        <v/>
      </c>
      <c r="W255" s="13">
        <f>IF(L255="","",IF(L255&gt;pLateDays,1,0))</f>
        <v/>
      </c>
      <c r="X255" s="13">
        <f>IF(Q255&gt;=pHighCutoff,1,0)</f>
        <v/>
      </c>
      <c r="Y255" s="13">
        <f>IF(M255="Returned",1,0)</f>
        <v/>
      </c>
    </row>
    <row r="256">
      <c r="A256" s="13" t="inlineStr">
        <is>
          <t>HC-100254</t>
        </is>
      </c>
      <c r="B256" s="18" t="n">
        <v>45421</v>
      </c>
      <c r="C256" s="13" t="inlineStr">
        <is>
          <t>West</t>
        </is>
      </c>
      <c r="D256" s="13" t="inlineStr">
        <is>
          <t>Store</t>
        </is>
      </c>
      <c r="E256" s="13" t="inlineStr">
        <is>
          <t>Furniture</t>
        </is>
      </c>
      <c r="F256" s="13" t="inlineStr">
        <is>
          <t>Oak Desk</t>
        </is>
      </c>
      <c r="G256" s="13" t="inlineStr">
        <is>
          <t>Consumer</t>
        </is>
      </c>
      <c r="H256" s="13" t="n">
        <v>2</v>
      </c>
      <c r="I256" s="14" t="n">
        <v>848.3200000000001</v>
      </c>
      <c r="J256" s="15" t="n">
        <v>0.11</v>
      </c>
      <c r="K256" s="14" t="n">
        <v>525.96</v>
      </c>
      <c r="L256" s="13" t="n">
        <v>2</v>
      </c>
      <c r="M256" s="13" t="inlineStr">
        <is>
          <t>Completed</t>
        </is>
      </c>
      <c r="N256" s="13" t="inlineStr">
        <is>
          <t>R. Ibarra</t>
        </is>
      </c>
      <c r="O256" s="13" t="inlineStr">
        <is>
          <t>No</t>
        </is>
      </c>
      <c r="P256" s="14">
        <f>H256*I256</f>
        <v/>
      </c>
      <c r="Q256" s="14">
        <f>P256*(1-J256)</f>
        <v/>
      </c>
      <c r="R256" s="14">
        <f>H256*K256</f>
        <v/>
      </c>
      <c r="S256" s="15">
        <f>IF(Q256=0,"",(Q256-R256)/Q256)</f>
        <v/>
      </c>
      <c r="T256" s="13">
        <f>YEAR(B256)</f>
        <v/>
      </c>
      <c r="U256" s="13">
        <f>YEAR(B256)&amp;"-Q"&amp;ROUNDUP(MONTH(B256)/3,0)</f>
        <v/>
      </c>
      <c r="V256" s="13">
        <f>TEXT(B256,"YYYY-MM")</f>
        <v/>
      </c>
      <c r="W256" s="13">
        <f>IF(L256="","",IF(L256&gt;pLateDays,1,0))</f>
        <v/>
      </c>
      <c r="X256" s="13">
        <f>IF(Q256&gt;=pHighCutoff,1,0)</f>
        <v/>
      </c>
      <c r="Y256" s="13">
        <f>IF(M256="Returned",1,0)</f>
        <v/>
      </c>
    </row>
    <row r="257">
      <c r="A257" s="13" t="inlineStr">
        <is>
          <t>HC-100255</t>
        </is>
      </c>
      <c r="B257" s="18" t="n">
        <v>45639</v>
      </c>
      <c r="C257" s="13" t="inlineStr">
        <is>
          <t>South</t>
        </is>
      </c>
      <c r="D257" s="13" t="inlineStr">
        <is>
          <t>Store</t>
        </is>
      </c>
      <c r="E257" s="13" t="inlineStr">
        <is>
          <t>Furniture</t>
        </is>
      </c>
      <c r="F257" s="13" t="inlineStr">
        <is>
          <t>Walnut Shelf</t>
        </is>
      </c>
      <c r="G257" s="13" t="inlineStr">
        <is>
          <t>Corporate</t>
        </is>
      </c>
      <c r="H257" s="13" t="n">
        <v>4</v>
      </c>
      <c r="I257" s="14" t="n">
        <v>229.67</v>
      </c>
      <c r="J257" s="15" t="n">
        <v>0.03</v>
      </c>
      <c r="K257" s="14" t="n">
        <v>126.32</v>
      </c>
      <c r="L257" s="13" t="n">
        <v>4</v>
      </c>
      <c r="M257" s="13" t="inlineStr">
        <is>
          <t>Completed</t>
        </is>
      </c>
      <c r="N257" s="13" t="inlineStr">
        <is>
          <t>K. Mensah</t>
        </is>
      </c>
      <c r="O257" s="13" t="inlineStr">
        <is>
          <t>No</t>
        </is>
      </c>
      <c r="P257" s="14">
        <f>H257*I257</f>
        <v/>
      </c>
      <c r="Q257" s="14">
        <f>P257*(1-J257)</f>
        <v/>
      </c>
      <c r="R257" s="14">
        <f>H257*K257</f>
        <v/>
      </c>
      <c r="S257" s="15">
        <f>IF(Q257=0,"",(Q257-R257)/Q257)</f>
        <v/>
      </c>
      <c r="T257" s="13">
        <f>YEAR(B257)</f>
        <v/>
      </c>
      <c r="U257" s="13">
        <f>YEAR(B257)&amp;"-Q"&amp;ROUNDUP(MONTH(B257)/3,0)</f>
        <v/>
      </c>
      <c r="V257" s="13">
        <f>TEXT(B257,"YYYY-MM")</f>
        <v/>
      </c>
      <c r="W257" s="13">
        <f>IF(L257="","",IF(L257&gt;pLateDays,1,0))</f>
        <v/>
      </c>
      <c r="X257" s="13">
        <f>IF(Q257&gt;=pHighCutoff,1,0)</f>
        <v/>
      </c>
      <c r="Y257" s="13">
        <f>IF(M257="Returned",1,0)</f>
        <v/>
      </c>
    </row>
    <row r="258">
      <c r="A258" s="13" t="inlineStr">
        <is>
          <t>HC-100256</t>
        </is>
      </c>
      <c r="B258" s="18" t="n">
        <v>45879</v>
      </c>
      <c r="C258" s="13" t="inlineStr">
        <is>
          <t>West</t>
        </is>
      </c>
      <c r="D258" s="13" t="inlineStr">
        <is>
          <t>Online</t>
        </is>
      </c>
      <c r="E258" s="13" t="inlineStr">
        <is>
          <t>Lighting</t>
        </is>
      </c>
      <c r="F258" s="13" t="inlineStr">
        <is>
          <t>Brass Sconce</t>
        </is>
      </c>
      <c r="G258" s="13" t="inlineStr">
        <is>
          <t>Corporate</t>
        </is>
      </c>
      <c r="H258" s="13" t="n">
        <v>1</v>
      </c>
      <c r="I258" s="14" t="n">
        <v>138.36</v>
      </c>
      <c r="J258" s="15" t="n">
        <v>0.13</v>
      </c>
      <c r="K258" s="14" t="n">
        <v>63.65</v>
      </c>
      <c r="L258" s="13" t="n">
        <v>7</v>
      </c>
      <c r="M258" s="13" t="inlineStr">
        <is>
          <t>Completed</t>
        </is>
      </c>
      <c r="N258" s="13" t="inlineStr">
        <is>
          <t>R. Ibarra</t>
        </is>
      </c>
      <c r="O258" s="13" t="inlineStr">
        <is>
          <t>No</t>
        </is>
      </c>
      <c r="P258" s="14">
        <f>H258*I258</f>
        <v/>
      </c>
      <c r="Q258" s="14">
        <f>P258*(1-J258)</f>
        <v/>
      </c>
      <c r="R258" s="14">
        <f>H258*K258</f>
        <v/>
      </c>
      <c r="S258" s="15">
        <f>IF(Q258=0,"",(Q258-R258)/Q258)</f>
        <v/>
      </c>
      <c r="T258" s="13">
        <f>YEAR(B258)</f>
        <v/>
      </c>
      <c r="U258" s="13">
        <f>YEAR(B258)&amp;"-Q"&amp;ROUNDUP(MONTH(B258)/3,0)</f>
        <v/>
      </c>
      <c r="V258" s="13">
        <f>TEXT(B258,"YYYY-MM")</f>
        <v/>
      </c>
      <c r="W258" s="13">
        <f>IF(L258="","",IF(L258&gt;pLateDays,1,0))</f>
        <v/>
      </c>
      <c r="X258" s="13">
        <f>IF(Q258&gt;=pHighCutoff,1,0)</f>
        <v/>
      </c>
      <c r="Y258" s="13">
        <f>IF(M258="Returned",1,0)</f>
        <v/>
      </c>
    </row>
    <row r="259">
      <c r="A259" s="13" t="inlineStr">
        <is>
          <t>HC-100257</t>
        </is>
      </c>
      <c r="B259" s="18" t="n">
        <v>45621</v>
      </c>
      <c r="C259" s="13" t="inlineStr">
        <is>
          <t>North</t>
        </is>
      </c>
      <c r="D259" s="13" t="inlineStr">
        <is>
          <t>Online</t>
        </is>
      </c>
      <c r="E259" s="13" t="inlineStr">
        <is>
          <t>Textiles</t>
        </is>
      </c>
      <c r="F259" s="13" t="inlineStr">
        <is>
          <t>Linen Curtain</t>
        </is>
      </c>
      <c r="G259" s="13" t="inlineStr">
        <is>
          <t>Consumer</t>
        </is>
      </c>
      <c r="H259" s="13" t="n">
        <v>2</v>
      </c>
      <c r="I259" s="14" t="n">
        <v>95.45999999999999</v>
      </c>
      <c r="J259" s="15" t="n">
        <v>0.17</v>
      </c>
      <c r="K259" s="14" t="n">
        <v>42.96</v>
      </c>
      <c r="L259" s="13" t="n">
        <v>6</v>
      </c>
      <c r="M259" s="13" t="inlineStr">
        <is>
          <t>Completed</t>
        </is>
      </c>
      <c r="N259" s="13" t="inlineStr">
        <is>
          <t>M. Okonkwo</t>
        </is>
      </c>
      <c r="O259" s="13" t="inlineStr">
        <is>
          <t>No</t>
        </is>
      </c>
      <c r="P259" s="14">
        <f>H259*I259</f>
        <v/>
      </c>
      <c r="Q259" s="14">
        <f>P259*(1-J259)</f>
        <v/>
      </c>
      <c r="R259" s="14">
        <f>H259*K259</f>
        <v/>
      </c>
      <c r="S259" s="15">
        <f>IF(Q259=0,"",(Q259-R259)/Q259)</f>
        <v/>
      </c>
      <c r="T259" s="13">
        <f>YEAR(B259)</f>
        <v/>
      </c>
      <c r="U259" s="13">
        <f>YEAR(B259)&amp;"-Q"&amp;ROUNDUP(MONTH(B259)/3,0)</f>
        <v/>
      </c>
      <c r="V259" s="13">
        <f>TEXT(B259,"YYYY-MM")</f>
        <v/>
      </c>
      <c r="W259" s="13">
        <f>IF(L259="","",IF(L259&gt;pLateDays,1,0))</f>
        <v/>
      </c>
      <c r="X259" s="13">
        <f>IF(Q259&gt;=pHighCutoff,1,0)</f>
        <v/>
      </c>
      <c r="Y259" s="13">
        <f>IF(M259="Returned",1,0)</f>
        <v/>
      </c>
    </row>
    <row r="260">
      <c r="A260" s="13" t="inlineStr">
        <is>
          <t>HC-100258</t>
        </is>
      </c>
      <c r="B260" s="18" t="n">
        <v>45344</v>
      </c>
      <c r="C260" s="13" t="inlineStr">
        <is>
          <t>West</t>
        </is>
      </c>
      <c r="D260" s="13" t="inlineStr">
        <is>
          <t>Store</t>
        </is>
      </c>
      <c r="E260" s="13" t="inlineStr">
        <is>
          <t>Textiles</t>
        </is>
      </c>
      <c r="F260" s="13" t="inlineStr">
        <is>
          <t>Wool Throw</t>
        </is>
      </c>
      <c r="G260" s="13" t="inlineStr">
        <is>
          <t>Consumer</t>
        </is>
      </c>
      <c r="H260" s="13" t="n">
        <v>1</v>
      </c>
      <c r="I260" s="14" t="n">
        <v>74.41</v>
      </c>
      <c r="J260" s="15" t="n">
        <v>0.03</v>
      </c>
      <c r="K260" s="14" t="n">
        <v>31.25</v>
      </c>
      <c r="L260" s="13" t="n">
        <v>4</v>
      </c>
      <c r="M260" s="13" t="inlineStr">
        <is>
          <t>Completed</t>
        </is>
      </c>
      <c r="N260" s="13" t="inlineStr">
        <is>
          <t>R. Ibarra</t>
        </is>
      </c>
      <c r="O260" s="13" t="inlineStr">
        <is>
          <t>No</t>
        </is>
      </c>
      <c r="P260" s="14">
        <f>H260*I260</f>
        <v/>
      </c>
      <c r="Q260" s="14">
        <f>P260*(1-J260)</f>
        <v/>
      </c>
      <c r="R260" s="14">
        <f>H260*K260</f>
        <v/>
      </c>
      <c r="S260" s="15">
        <f>IF(Q260=0,"",(Q260-R260)/Q260)</f>
        <v/>
      </c>
      <c r="T260" s="13">
        <f>YEAR(B260)</f>
        <v/>
      </c>
      <c r="U260" s="13">
        <f>YEAR(B260)&amp;"-Q"&amp;ROUNDUP(MONTH(B260)/3,0)</f>
        <v/>
      </c>
      <c r="V260" s="13">
        <f>TEXT(B260,"YYYY-MM")</f>
        <v/>
      </c>
      <c r="W260" s="13">
        <f>IF(L260="","",IF(L260&gt;pLateDays,1,0))</f>
        <v/>
      </c>
      <c r="X260" s="13">
        <f>IF(Q260&gt;=pHighCutoff,1,0)</f>
        <v/>
      </c>
      <c r="Y260" s="13">
        <f>IF(M260="Returned",1,0)</f>
        <v/>
      </c>
    </row>
    <row r="261">
      <c r="A261" s="13" t="inlineStr">
        <is>
          <t>HC-100259</t>
        </is>
      </c>
      <c r="B261" s="18" t="n">
        <v>45515</v>
      </c>
      <c r="C261" s="13" t="inlineStr">
        <is>
          <t>West</t>
        </is>
      </c>
      <c r="D261" s="13" t="inlineStr">
        <is>
          <t>Store</t>
        </is>
      </c>
      <c r="E261" s="13" t="inlineStr">
        <is>
          <t>Kitchen</t>
        </is>
      </c>
      <c r="F261" s="13" t="inlineStr">
        <is>
          <t>Ceramic Set</t>
        </is>
      </c>
      <c r="G261" s="13" t="inlineStr">
        <is>
          <t>Consumer</t>
        </is>
      </c>
      <c r="H261" s="13" t="n">
        <v>2</v>
      </c>
      <c r="I261" s="14" t="n">
        <v>82.63</v>
      </c>
      <c r="J261" s="15" t="n">
        <v>0</v>
      </c>
      <c r="K261" s="14" t="n">
        <v>31.4</v>
      </c>
      <c r="L261" s="13" t="n">
        <v>6</v>
      </c>
      <c r="M261" s="13" t="inlineStr">
        <is>
          <t>Completed</t>
        </is>
      </c>
      <c r="N261" s="13" t="inlineStr">
        <is>
          <t>R. Ibarra</t>
        </is>
      </c>
      <c r="O261" s="13" t="inlineStr">
        <is>
          <t>No</t>
        </is>
      </c>
      <c r="P261" s="14">
        <f>H261*I261</f>
        <v/>
      </c>
      <c r="Q261" s="14">
        <f>P261*(1-J261)</f>
        <v/>
      </c>
      <c r="R261" s="14">
        <f>H261*K261</f>
        <v/>
      </c>
      <c r="S261" s="15">
        <f>IF(Q261=0,"",(Q261-R261)/Q261)</f>
        <v/>
      </c>
      <c r="T261" s="13">
        <f>YEAR(B261)</f>
        <v/>
      </c>
      <c r="U261" s="13">
        <f>YEAR(B261)&amp;"-Q"&amp;ROUNDUP(MONTH(B261)/3,0)</f>
        <v/>
      </c>
      <c r="V261" s="13">
        <f>TEXT(B261,"YYYY-MM")</f>
        <v/>
      </c>
      <c r="W261" s="13">
        <f>IF(L261="","",IF(L261&gt;pLateDays,1,0))</f>
        <v/>
      </c>
      <c r="X261" s="13">
        <f>IF(Q261&gt;=pHighCutoff,1,0)</f>
        <v/>
      </c>
      <c r="Y261" s="13">
        <f>IF(M261="Returned",1,0)</f>
        <v/>
      </c>
    </row>
    <row r="262">
      <c r="A262" s="13" t="inlineStr">
        <is>
          <t>HC-100260</t>
        </is>
      </c>
      <c r="B262" s="18" t="n">
        <v>45389</v>
      </c>
      <c r="C262" s="13" t="inlineStr">
        <is>
          <t>North</t>
        </is>
      </c>
      <c r="D262" s="13" t="inlineStr">
        <is>
          <t>Store</t>
        </is>
      </c>
      <c r="E262" s="13" t="inlineStr">
        <is>
          <t>Furniture</t>
        </is>
      </c>
      <c r="F262" s="13" t="inlineStr">
        <is>
          <t>Lounge Chair</t>
        </is>
      </c>
      <c r="G262" s="13" t="inlineStr">
        <is>
          <t>Consumer</t>
        </is>
      </c>
      <c r="H262" s="13" t="n">
        <v>3</v>
      </c>
      <c r="I262" s="14" t="n">
        <v>460.77</v>
      </c>
      <c r="J262" s="15" t="n">
        <v>0.05</v>
      </c>
      <c r="K262" s="14" t="n">
        <v>276.46</v>
      </c>
      <c r="L262" s="13" t="n">
        <v>4</v>
      </c>
      <c r="M262" s="13" t="inlineStr">
        <is>
          <t>Completed</t>
        </is>
      </c>
      <c r="N262" s="13" t="inlineStr">
        <is>
          <t>S. Nguyen</t>
        </is>
      </c>
      <c r="O262" s="13" t="inlineStr">
        <is>
          <t>No</t>
        </is>
      </c>
      <c r="P262" s="14">
        <f>H262*I262</f>
        <v/>
      </c>
      <c r="Q262" s="14">
        <f>P262*(1-J262)</f>
        <v/>
      </c>
      <c r="R262" s="14">
        <f>H262*K262</f>
        <v/>
      </c>
      <c r="S262" s="15">
        <f>IF(Q262=0,"",(Q262-R262)/Q262)</f>
        <v/>
      </c>
      <c r="T262" s="13">
        <f>YEAR(B262)</f>
        <v/>
      </c>
      <c r="U262" s="13">
        <f>YEAR(B262)&amp;"-Q"&amp;ROUNDUP(MONTH(B262)/3,0)</f>
        <v/>
      </c>
      <c r="V262" s="13">
        <f>TEXT(B262,"YYYY-MM")</f>
        <v/>
      </c>
      <c r="W262" s="13">
        <f>IF(L262="","",IF(L262&gt;pLateDays,1,0))</f>
        <v/>
      </c>
      <c r="X262" s="13">
        <f>IF(Q262&gt;=pHighCutoff,1,0)</f>
        <v/>
      </c>
      <c r="Y262" s="13">
        <f>IF(M262="Returned",1,0)</f>
        <v/>
      </c>
    </row>
    <row r="263">
      <c r="A263" s="13" t="inlineStr">
        <is>
          <t>HC-100261</t>
        </is>
      </c>
      <c r="B263" s="18" t="n">
        <v>45503</v>
      </c>
      <c r="C263" s="13" t="inlineStr">
        <is>
          <t>East</t>
        </is>
      </c>
      <c r="D263" s="13" t="inlineStr">
        <is>
          <t>Store</t>
        </is>
      </c>
      <c r="E263" s="13" t="inlineStr">
        <is>
          <t>Furniture</t>
        </is>
      </c>
      <c r="F263" s="13" t="inlineStr">
        <is>
          <t>Oak Desk</t>
        </is>
      </c>
      <c r="G263" s="13" t="inlineStr">
        <is>
          <t>Consumer</t>
        </is>
      </c>
      <c r="H263" s="13" t="n">
        <v>4</v>
      </c>
      <c r="I263" s="14" t="n">
        <v>767.91</v>
      </c>
      <c r="J263" s="15" t="n">
        <v>0.07000000000000001</v>
      </c>
      <c r="K263" s="14" t="n">
        <v>476.1</v>
      </c>
      <c r="L263" s="13" t="n">
        <v>7</v>
      </c>
      <c r="M263" s="13" t="inlineStr">
        <is>
          <t>Completed</t>
        </is>
      </c>
      <c r="N263" s="13" t="inlineStr">
        <is>
          <t>A. Shah</t>
        </is>
      </c>
      <c r="O263" s="13" t="inlineStr">
        <is>
          <t>No</t>
        </is>
      </c>
      <c r="P263" s="14">
        <f>H263*I263</f>
        <v/>
      </c>
      <c r="Q263" s="14">
        <f>P263*(1-J263)</f>
        <v/>
      </c>
      <c r="R263" s="14">
        <f>H263*K263</f>
        <v/>
      </c>
      <c r="S263" s="15">
        <f>IF(Q263=0,"",(Q263-R263)/Q263)</f>
        <v/>
      </c>
      <c r="T263" s="13">
        <f>YEAR(B263)</f>
        <v/>
      </c>
      <c r="U263" s="13">
        <f>YEAR(B263)&amp;"-Q"&amp;ROUNDUP(MONTH(B263)/3,0)</f>
        <v/>
      </c>
      <c r="V263" s="13">
        <f>TEXT(B263,"YYYY-MM")</f>
        <v/>
      </c>
      <c r="W263" s="13">
        <f>IF(L263="","",IF(L263&gt;pLateDays,1,0))</f>
        <v/>
      </c>
      <c r="X263" s="13">
        <f>IF(Q263&gt;=pHighCutoff,1,0)</f>
        <v/>
      </c>
      <c r="Y263" s="13">
        <f>IF(M263="Returned",1,0)</f>
        <v/>
      </c>
    </row>
    <row r="264">
      <c r="A264" s="13" t="inlineStr">
        <is>
          <t>HC-100262</t>
        </is>
      </c>
      <c r="B264" s="18" t="n">
        <v>45535</v>
      </c>
      <c r="C264" s="13" t="inlineStr">
        <is>
          <t>East</t>
        </is>
      </c>
      <c r="D264" s="13" t="inlineStr">
        <is>
          <t>Store</t>
        </is>
      </c>
      <c r="E264" s="13" t="inlineStr">
        <is>
          <t>Kitchen</t>
        </is>
      </c>
      <c r="F264" s="13" t="inlineStr">
        <is>
          <t>Ceramic Set</t>
        </is>
      </c>
      <c r="G264" s="13" t="inlineStr">
        <is>
          <t>Corporate</t>
        </is>
      </c>
      <c r="H264" s="13" t="n">
        <v>2</v>
      </c>
      <c r="I264" s="14" t="n">
        <v>73.37</v>
      </c>
      <c r="J264" s="15" t="n">
        <v>0.01</v>
      </c>
      <c r="K264" s="14" t="n">
        <v>27.88</v>
      </c>
      <c r="L264" s="13" t="n">
        <v>11</v>
      </c>
      <c r="M264" s="13" t="inlineStr">
        <is>
          <t>Returned</t>
        </is>
      </c>
      <c r="N264" s="13" t="inlineStr">
        <is>
          <t>K. Mensah</t>
        </is>
      </c>
      <c r="O264" s="13" t="inlineStr">
        <is>
          <t>No</t>
        </is>
      </c>
      <c r="P264" s="14">
        <f>H264*I264</f>
        <v/>
      </c>
      <c r="Q264" s="14">
        <f>P264*(1-J264)</f>
        <v/>
      </c>
      <c r="R264" s="14">
        <f>H264*K264</f>
        <v/>
      </c>
      <c r="S264" s="15">
        <f>IF(Q264=0,"",(Q264-R264)/Q264)</f>
        <v/>
      </c>
      <c r="T264" s="13">
        <f>YEAR(B264)</f>
        <v/>
      </c>
      <c r="U264" s="13">
        <f>YEAR(B264)&amp;"-Q"&amp;ROUNDUP(MONTH(B264)/3,0)</f>
        <v/>
      </c>
      <c r="V264" s="13">
        <f>TEXT(B264,"YYYY-MM")</f>
        <v/>
      </c>
      <c r="W264" s="13">
        <f>IF(L264="","",IF(L264&gt;pLateDays,1,0))</f>
        <v/>
      </c>
      <c r="X264" s="13">
        <f>IF(Q264&gt;=pHighCutoff,1,0)</f>
        <v/>
      </c>
      <c r="Y264" s="13">
        <f>IF(M264="Returned",1,0)</f>
        <v/>
      </c>
    </row>
    <row r="265">
      <c r="A265" s="13" t="inlineStr">
        <is>
          <t>HC-100263</t>
        </is>
      </c>
      <c r="B265" s="18" t="n">
        <v>45748</v>
      </c>
      <c r="C265" s="13" t="inlineStr">
        <is>
          <t>East</t>
        </is>
      </c>
      <c r="D265" s="13" t="inlineStr">
        <is>
          <t>Store</t>
        </is>
      </c>
      <c r="E265" s="13" t="inlineStr">
        <is>
          <t>Furniture</t>
        </is>
      </c>
      <c r="F265" s="13" t="inlineStr">
        <is>
          <t>Lounge Chair</t>
        </is>
      </c>
      <c r="G265" s="13" t="inlineStr">
        <is>
          <t>Unknown</t>
        </is>
      </c>
      <c r="H265" s="13" t="n">
        <v>3</v>
      </c>
      <c r="I265" s="14" t="n">
        <v>463.14</v>
      </c>
      <c r="J265" s="15" t="n">
        <v>0.09</v>
      </c>
      <c r="K265" s="14" t="n">
        <v>277.89</v>
      </c>
      <c r="L265" s="13" t="n">
        <v>10</v>
      </c>
      <c r="M265" s="13" t="inlineStr">
        <is>
          <t>Completed</t>
        </is>
      </c>
      <c r="N265" s="13" t="inlineStr">
        <is>
          <t>J. Patel</t>
        </is>
      </c>
      <c r="O265" s="13" t="inlineStr">
        <is>
          <t>No</t>
        </is>
      </c>
      <c r="P265" s="14">
        <f>H265*I265</f>
        <v/>
      </c>
      <c r="Q265" s="14">
        <f>P265*(1-J265)</f>
        <v/>
      </c>
      <c r="R265" s="14">
        <f>H265*K265</f>
        <v/>
      </c>
      <c r="S265" s="15">
        <f>IF(Q265=0,"",(Q265-R265)/Q265)</f>
        <v/>
      </c>
      <c r="T265" s="13">
        <f>YEAR(B265)</f>
        <v/>
      </c>
      <c r="U265" s="13">
        <f>YEAR(B265)&amp;"-Q"&amp;ROUNDUP(MONTH(B265)/3,0)</f>
        <v/>
      </c>
      <c r="V265" s="13">
        <f>TEXT(B265,"YYYY-MM")</f>
        <v/>
      </c>
      <c r="W265" s="13">
        <f>IF(L265="","",IF(L265&gt;pLateDays,1,0))</f>
        <v/>
      </c>
      <c r="X265" s="13">
        <f>IF(Q265&gt;=pHighCutoff,1,0)</f>
        <v/>
      </c>
      <c r="Y265" s="13">
        <f>IF(M265="Returned",1,0)</f>
        <v/>
      </c>
    </row>
    <row r="266">
      <c r="A266" s="13" t="inlineStr">
        <is>
          <t>HC-100264</t>
        </is>
      </c>
      <c r="B266" s="18" t="n">
        <v>45615</v>
      </c>
      <c r="C266" s="13" t="inlineStr">
        <is>
          <t>South</t>
        </is>
      </c>
      <c r="D266" s="13" t="inlineStr">
        <is>
          <t>Store</t>
        </is>
      </c>
      <c r="E266" s="13" t="inlineStr">
        <is>
          <t>Kitchen</t>
        </is>
      </c>
      <c r="F266" s="13" t="inlineStr">
        <is>
          <t>Chef Knife</t>
        </is>
      </c>
      <c r="G266" s="13" t="inlineStr">
        <is>
          <t>Consumer</t>
        </is>
      </c>
      <c r="H266" s="13" t="n">
        <v>5</v>
      </c>
      <c r="I266" s="14" t="n">
        <v>64.58</v>
      </c>
      <c r="J266" s="15" t="n">
        <v>0.07000000000000001</v>
      </c>
      <c r="K266" s="14" t="n">
        <v>23.25</v>
      </c>
      <c r="L266" s="13" t="n">
        <v>3</v>
      </c>
      <c r="M266" s="13" t="inlineStr">
        <is>
          <t>Completed</t>
        </is>
      </c>
      <c r="N266" s="13" t="inlineStr">
        <is>
          <t>L. Berger</t>
        </is>
      </c>
      <c r="O266" s="13" t="inlineStr">
        <is>
          <t>No</t>
        </is>
      </c>
      <c r="P266" s="14">
        <f>H266*I266</f>
        <v/>
      </c>
      <c r="Q266" s="14">
        <f>P266*(1-J266)</f>
        <v/>
      </c>
      <c r="R266" s="14">
        <f>H266*K266</f>
        <v/>
      </c>
      <c r="S266" s="15">
        <f>IF(Q266=0,"",(Q266-R266)/Q266)</f>
        <v/>
      </c>
      <c r="T266" s="13">
        <f>YEAR(B266)</f>
        <v/>
      </c>
      <c r="U266" s="13">
        <f>YEAR(B266)&amp;"-Q"&amp;ROUNDUP(MONTH(B266)/3,0)</f>
        <v/>
      </c>
      <c r="V266" s="13">
        <f>TEXT(B266,"YYYY-MM")</f>
        <v/>
      </c>
      <c r="W266" s="13">
        <f>IF(L266="","",IF(L266&gt;pLateDays,1,0))</f>
        <v/>
      </c>
      <c r="X266" s="13">
        <f>IF(Q266&gt;=pHighCutoff,1,0)</f>
        <v/>
      </c>
      <c r="Y266" s="13">
        <f>IF(M266="Returned",1,0)</f>
        <v/>
      </c>
    </row>
    <row r="267">
      <c r="A267" s="13" t="inlineStr">
        <is>
          <t>HC-100265</t>
        </is>
      </c>
      <c r="B267" s="18" t="n">
        <v>45605</v>
      </c>
      <c r="C267" s="13" t="inlineStr">
        <is>
          <t>East</t>
        </is>
      </c>
      <c r="D267" s="13" t="inlineStr">
        <is>
          <t>Online</t>
        </is>
      </c>
      <c r="E267" s="13" t="inlineStr">
        <is>
          <t>Furniture</t>
        </is>
      </c>
      <c r="F267" s="13" t="inlineStr">
        <is>
          <t>Linen Sofa</t>
        </is>
      </c>
      <c r="G267" s="13" t="inlineStr">
        <is>
          <t>Consumer</t>
        </is>
      </c>
      <c r="H267" s="13" t="n">
        <v>4</v>
      </c>
      <c r="I267" s="14" t="n">
        <v>1173.37</v>
      </c>
      <c r="J267" s="15" t="n">
        <v>0.14</v>
      </c>
      <c r="K267" s="14" t="n">
        <v>774.4299999999999</v>
      </c>
      <c r="L267" s="13" t="n">
        <v>10</v>
      </c>
      <c r="M267" s="13" t="inlineStr">
        <is>
          <t>Completed</t>
        </is>
      </c>
      <c r="N267" s="13" t="inlineStr">
        <is>
          <t>S. Nguyen</t>
        </is>
      </c>
      <c r="O267" s="13" t="inlineStr">
        <is>
          <t>No</t>
        </is>
      </c>
      <c r="P267" s="14">
        <f>H267*I267</f>
        <v/>
      </c>
      <c r="Q267" s="14">
        <f>P267*(1-J267)</f>
        <v/>
      </c>
      <c r="R267" s="14">
        <f>H267*K267</f>
        <v/>
      </c>
      <c r="S267" s="15">
        <f>IF(Q267=0,"",(Q267-R267)/Q267)</f>
        <v/>
      </c>
      <c r="T267" s="13">
        <f>YEAR(B267)</f>
        <v/>
      </c>
      <c r="U267" s="13">
        <f>YEAR(B267)&amp;"-Q"&amp;ROUNDUP(MONTH(B267)/3,0)</f>
        <v/>
      </c>
      <c r="V267" s="13">
        <f>TEXT(B267,"YYYY-MM")</f>
        <v/>
      </c>
      <c r="W267" s="13">
        <f>IF(L267="","",IF(L267&gt;pLateDays,1,0))</f>
        <v/>
      </c>
      <c r="X267" s="13">
        <f>IF(Q267&gt;=pHighCutoff,1,0)</f>
        <v/>
      </c>
      <c r="Y267" s="13">
        <f>IF(M267="Returned",1,0)</f>
        <v/>
      </c>
    </row>
    <row r="268">
      <c r="A268" s="13" t="inlineStr">
        <is>
          <t>HC-100266</t>
        </is>
      </c>
      <c r="B268" s="18" t="n">
        <v>45556</v>
      </c>
      <c r="C268" s="13" t="inlineStr">
        <is>
          <t>East</t>
        </is>
      </c>
      <c r="D268" s="13" t="inlineStr">
        <is>
          <t>Store</t>
        </is>
      </c>
      <c r="E268" s="13" t="inlineStr">
        <is>
          <t>Textiles</t>
        </is>
      </c>
      <c r="F268" s="13" t="inlineStr">
        <is>
          <t>Linen Curtain</t>
        </is>
      </c>
      <c r="G268" s="13" t="inlineStr">
        <is>
          <t>Consumer</t>
        </is>
      </c>
      <c r="H268" s="13" t="n">
        <v>1</v>
      </c>
      <c r="I268" s="14" t="n">
        <v>81.16</v>
      </c>
      <c r="J268" s="15" t="n">
        <v>0.05</v>
      </c>
      <c r="K268" s="14" t="n">
        <v>36.52</v>
      </c>
      <c r="L268" s="13" t="n">
        <v>11</v>
      </c>
      <c r="M268" s="13" t="inlineStr">
        <is>
          <t>Returned</t>
        </is>
      </c>
      <c r="N268" s="13" t="inlineStr">
        <is>
          <t>M. Okonkwo</t>
        </is>
      </c>
      <c r="O268" s="13" t="inlineStr">
        <is>
          <t>No</t>
        </is>
      </c>
      <c r="P268" s="14">
        <f>H268*I268</f>
        <v/>
      </c>
      <c r="Q268" s="14">
        <f>P268*(1-J268)</f>
        <v/>
      </c>
      <c r="R268" s="14">
        <f>H268*K268</f>
        <v/>
      </c>
      <c r="S268" s="15">
        <f>IF(Q268=0,"",(Q268-R268)/Q268)</f>
        <v/>
      </c>
      <c r="T268" s="13">
        <f>YEAR(B268)</f>
        <v/>
      </c>
      <c r="U268" s="13">
        <f>YEAR(B268)&amp;"-Q"&amp;ROUNDUP(MONTH(B268)/3,0)</f>
        <v/>
      </c>
      <c r="V268" s="13">
        <f>TEXT(B268,"YYYY-MM")</f>
        <v/>
      </c>
      <c r="W268" s="13">
        <f>IF(L268="","",IF(L268&gt;pLateDays,1,0))</f>
        <v/>
      </c>
      <c r="X268" s="13">
        <f>IF(Q268&gt;=pHighCutoff,1,0)</f>
        <v/>
      </c>
      <c r="Y268" s="13">
        <f>IF(M268="Returned",1,0)</f>
        <v/>
      </c>
    </row>
    <row r="269">
      <c r="A269" s="13" t="inlineStr">
        <is>
          <t>HC-100267</t>
        </is>
      </c>
      <c r="B269" s="18" t="n">
        <v>45745</v>
      </c>
      <c r="C269" s="13" t="inlineStr">
        <is>
          <t>North</t>
        </is>
      </c>
      <c r="D269" s="13" t="inlineStr">
        <is>
          <t>Wholesale</t>
        </is>
      </c>
      <c r="E269" s="13" t="inlineStr">
        <is>
          <t>Textiles</t>
        </is>
      </c>
      <c r="F269" s="13" t="inlineStr">
        <is>
          <t>Linen Curtain</t>
        </is>
      </c>
      <c r="G269" s="13" t="inlineStr">
        <is>
          <t>Consumer</t>
        </is>
      </c>
      <c r="H269" s="13" t="n">
        <v>31</v>
      </c>
      <c r="I269" s="14" t="n">
        <v>100.61</v>
      </c>
      <c r="J269" s="15" t="n">
        <v>0.24</v>
      </c>
      <c r="K269" s="14" t="n">
        <v>45.27</v>
      </c>
      <c r="L269" s="13" t="n">
        <v>3</v>
      </c>
      <c r="M269" s="13" t="inlineStr">
        <is>
          <t>Completed</t>
        </is>
      </c>
      <c r="N269" s="13" t="inlineStr">
        <is>
          <t>S. Nguyen</t>
        </is>
      </c>
      <c r="O269" s="13" t="inlineStr">
        <is>
          <t>No</t>
        </is>
      </c>
      <c r="P269" s="14">
        <f>H269*I269</f>
        <v/>
      </c>
      <c r="Q269" s="14">
        <f>P269*(1-J269)</f>
        <v/>
      </c>
      <c r="R269" s="14">
        <f>H269*K269</f>
        <v/>
      </c>
      <c r="S269" s="15">
        <f>IF(Q269=0,"",(Q269-R269)/Q269)</f>
        <v/>
      </c>
      <c r="T269" s="13">
        <f>YEAR(B269)</f>
        <v/>
      </c>
      <c r="U269" s="13">
        <f>YEAR(B269)&amp;"-Q"&amp;ROUNDUP(MONTH(B269)/3,0)</f>
        <v/>
      </c>
      <c r="V269" s="13">
        <f>TEXT(B269,"YYYY-MM")</f>
        <v/>
      </c>
      <c r="W269" s="13">
        <f>IF(L269="","",IF(L269&gt;pLateDays,1,0))</f>
        <v/>
      </c>
      <c r="X269" s="13">
        <f>IF(Q269&gt;=pHighCutoff,1,0)</f>
        <v/>
      </c>
      <c r="Y269" s="13">
        <f>IF(M269="Returned",1,0)</f>
        <v/>
      </c>
    </row>
    <row r="270">
      <c r="A270" s="13" t="inlineStr">
        <is>
          <t>HC-100268</t>
        </is>
      </c>
      <c r="B270" s="18" t="n">
        <v>45315</v>
      </c>
      <c r="C270" s="13" t="inlineStr">
        <is>
          <t>North</t>
        </is>
      </c>
      <c r="D270" s="13" t="inlineStr">
        <is>
          <t>Online</t>
        </is>
      </c>
      <c r="E270" s="13" t="inlineStr">
        <is>
          <t>Kitchen</t>
        </is>
      </c>
      <c r="F270" s="13" t="inlineStr">
        <is>
          <t>Ceramic Set</t>
        </is>
      </c>
      <c r="G270" s="13" t="inlineStr">
        <is>
          <t>Consumer</t>
        </is>
      </c>
      <c r="H270" s="13" t="n">
        <v>1</v>
      </c>
      <c r="I270" s="14" t="n">
        <v>86.47</v>
      </c>
      <c r="J270" s="15" t="n">
        <v>0.04</v>
      </c>
      <c r="K270" s="14" t="n">
        <v>32.86</v>
      </c>
      <c r="L270" s="13" t="n">
        <v>9</v>
      </c>
      <c r="M270" s="13" t="inlineStr">
        <is>
          <t>Completed</t>
        </is>
      </c>
      <c r="N270" s="13" t="inlineStr">
        <is>
          <t>S. Nguyen</t>
        </is>
      </c>
      <c r="O270" s="13" t="inlineStr">
        <is>
          <t>No</t>
        </is>
      </c>
      <c r="P270" s="14">
        <f>H270*I270</f>
        <v/>
      </c>
      <c r="Q270" s="14">
        <f>P270*(1-J270)</f>
        <v/>
      </c>
      <c r="R270" s="14">
        <f>H270*K270</f>
        <v/>
      </c>
      <c r="S270" s="15">
        <f>IF(Q270=0,"",(Q270-R270)/Q270)</f>
        <v/>
      </c>
      <c r="T270" s="13">
        <f>YEAR(B270)</f>
        <v/>
      </c>
      <c r="U270" s="13">
        <f>YEAR(B270)&amp;"-Q"&amp;ROUNDUP(MONTH(B270)/3,0)</f>
        <v/>
      </c>
      <c r="V270" s="13">
        <f>TEXT(B270,"YYYY-MM")</f>
        <v/>
      </c>
      <c r="W270" s="13">
        <f>IF(L270="","",IF(L270&gt;pLateDays,1,0))</f>
        <v/>
      </c>
      <c r="X270" s="13">
        <f>IF(Q270&gt;=pHighCutoff,1,0)</f>
        <v/>
      </c>
      <c r="Y270" s="13">
        <f>IF(M270="Returned",1,0)</f>
        <v/>
      </c>
    </row>
    <row r="271">
      <c r="A271" s="13" t="inlineStr">
        <is>
          <t>HC-100269</t>
        </is>
      </c>
      <c r="B271" s="18" t="n">
        <v>45346</v>
      </c>
      <c r="C271" s="13" t="inlineStr">
        <is>
          <t>East</t>
        </is>
      </c>
      <c r="D271" s="13" t="inlineStr">
        <is>
          <t>Online</t>
        </is>
      </c>
      <c r="E271" s="13" t="inlineStr">
        <is>
          <t>Textiles</t>
        </is>
      </c>
      <c r="F271" s="13" t="inlineStr">
        <is>
          <t>Wool Throw</t>
        </is>
      </c>
      <c r="G271" s="13" t="inlineStr">
        <is>
          <t>Home Office</t>
        </is>
      </c>
      <c r="H271" s="13" t="n">
        <v>3</v>
      </c>
      <c r="I271" s="14" t="n">
        <v>63.22</v>
      </c>
      <c r="J271" s="15" t="n">
        <v>0.13</v>
      </c>
      <c r="K271" s="14" t="n">
        <v>26.55</v>
      </c>
      <c r="L271" s="13" t="n">
        <v>9</v>
      </c>
      <c r="M271" s="13" t="inlineStr">
        <is>
          <t>Completed</t>
        </is>
      </c>
      <c r="N271" s="13" t="inlineStr">
        <is>
          <t>M. Okonkwo</t>
        </is>
      </c>
      <c r="O271" s="13" t="inlineStr">
        <is>
          <t>No</t>
        </is>
      </c>
      <c r="P271" s="14">
        <f>H271*I271</f>
        <v/>
      </c>
      <c r="Q271" s="14">
        <f>P271*(1-J271)</f>
        <v/>
      </c>
      <c r="R271" s="14">
        <f>H271*K271</f>
        <v/>
      </c>
      <c r="S271" s="15">
        <f>IF(Q271=0,"",(Q271-R271)/Q271)</f>
        <v/>
      </c>
      <c r="T271" s="13">
        <f>YEAR(B271)</f>
        <v/>
      </c>
      <c r="U271" s="13">
        <f>YEAR(B271)&amp;"-Q"&amp;ROUNDUP(MONTH(B271)/3,0)</f>
        <v/>
      </c>
      <c r="V271" s="13">
        <f>TEXT(B271,"YYYY-MM")</f>
        <v/>
      </c>
      <c r="W271" s="13">
        <f>IF(L271="","",IF(L271&gt;pLateDays,1,0))</f>
        <v/>
      </c>
      <c r="X271" s="13">
        <f>IF(Q271&gt;=pHighCutoff,1,0)</f>
        <v/>
      </c>
      <c r="Y271" s="13">
        <f>IF(M271="Returned",1,0)</f>
        <v/>
      </c>
    </row>
    <row r="272">
      <c r="A272" s="13" t="inlineStr">
        <is>
          <t>HC-100270</t>
        </is>
      </c>
      <c r="B272" s="18" t="n">
        <v>45476</v>
      </c>
      <c r="C272" s="13" t="inlineStr">
        <is>
          <t>West</t>
        </is>
      </c>
      <c r="D272" s="13" t="inlineStr">
        <is>
          <t>Online</t>
        </is>
      </c>
      <c r="E272" s="13" t="inlineStr">
        <is>
          <t>Kitchen</t>
        </is>
      </c>
      <c r="F272" s="13" t="inlineStr">
        <is>
          <t>Cast Skillet</t>
        </is>
      </c>
      <c r="G272" s="13" t="inlineStr">
        <is>
          <t>Consumer</t>
        </is>
      </c>
      <c r="H272" s="13" t="n">
        <v>1</v>
      </c>
      <c r="I272" s="14" t="n">
        <v>54.97</v>
      </c>
      <c r="J272" s="15" t="n">
        <v>0.17</v>
      </c>
      <c r="K272" s="14" t="n">
        <v>21.99</v>
      </c>
      <c r="L272" s="13" t="n">
        <v>6</v>
      </c>
      <c r="M272" s="13" t="inlineStr">
        <is>
          <t>Completed</t>
        </is>
      </c>
      <c r="N272" s="13" t="inlineStr">
        <is>
          <t>M. Okonkwo</t>
        </is>
      </c>
      <c r="O272" s="13" t="inlineStr">
        <is>
          <t>No</t>
        </is>
      </c>
      <c r="P272" s="14">
        <f>H272*I272</f>
        <v/>
      </c>
      <c r="Q272" s="14">
        <f>P272*(1-J272)</f>
        <v/>
      </c>
      <c r="R272" s="14">
        <f>H272*K272</f>
        <v/>
      </c>
      <c r="S272" s="15">
        <f>IF(Q272=0,"",(Q272-R272)/Q272)</f>
        <v/>
      </c>
      <c r="T272" s="13">
        <f>YEAR(B272)</f>
        <v/>
      </c>
      <c r="U272" s="13">
        <f>YEAR(B272)&amp;"-Q"&amp;ROUNDUP(MONTH(B272)/3,0)</f>
        <v/>
      </c>
      <c r="V272" s="13">
        <f>TEXT(B272,"YYYY-MM")</f>
        <v/>
      </c>
      <c r="W272" s="13">
        <f>IF(L272="","",IF(L272&gt;pLateDays,1,0))</f>
        <v/>
      </c>
      <c r="X272" s="13">
        <f>IF(Q272&gt;=pHighCutoff,1,0)</f>
        <v/>
      </c>
      <c r="Y272" s="13">
        <f>IF(M272="Returned",1,0)</f>
        <v/>
      </c>
    </row>
    <row r="273">
      <c r="A273" s="13" t="inlineStr">
        <is>
          <t>HC-100271</t>
        </is>
      </c>
      <c r="B273" s="18" t="n">
        <v>45557</v>
      </c>
      <c r="C273" s="13" t="inlineStr">
        <is>
          <t>West</t>
        </is>
      </c>
      <c r="D273" s="13" t="inlineStr">
        <is>
          <t>Online</t>
        </is>
      </c>
      <c r="E273" s="13" t="inlineStr">
        <is>
          <t>Furniture</t>
        </is>
      </c>
      <c r="F273" s="13" t="inlineStr">
        <is>
          <t>Linen Sofa</t>
        </is>
      </c>
      <c r="G273" s="13" t="inlineStr">
        <is>
          <t>Consumer</t>
        </is>
      </c>
      <c r="H273" s="13" t="n">
        <v>2</v>
      </c>
      <c r="I273" s="14" t="n">
        <v>1248.64</v>
      </c>
      <c r="J273" s="15" t="n">
        <v>0.04</v>
      </c>
      <c r="K273" s="14" t="n">
        <v>824.1</v>
      </c>
      <c r="L273" s="13" t="n">
        <v>5</v>
      </c>
      <c r="M273" s="13" t="inlineStr">
        <is>
          <t>Completed</t>
        </is>
      </c>
      <c r="N273" s="13" t="inlineStr">
        <is>
          <t>M. Okonkwo</t>
        </is>
      </c>
      <c r="O273" s="13" t="inlineStr">
        <is>
          <t>No</t>
        </is>
      </c>
      <c r="P273" s="14">
        <f>H273*I273</f>
        <v/>
      </c>
      <c r="Q273" s="14">
        <f>P273*(1-J273)</f>
        <v/>
      </c>
      <c r="R273" s="14">
        <f>H273*K273</f>
        <v/>
      </c>
      <c r="S273" s="15">
        <f>IF(Q273=0,"",(Q273-R273)/Q273)</f>
        <v/>
      </c>
      <c r="T273" s="13">
        <f>YEAR(B273)</f>
        <v/>
      </c>
      <c r="U273" s="13">
        <f>YEAR(B273)&amp;"-Q"&amp;ROUNDUP(MONTH(B273)/3,0)</f>
        <v/>
      </c>
      <c r="V273" s="13">
        <f>TEXT(B273,"YYYY-MM")</f>
        <v/>
      </c>
      <c r="W273" s="13">
        <f>IF(L273="","",IF(L273&gt;pLateDays,1,0))</f>
        <v/>
      </c>
      <c r="X273" s="13">
        <f>IF(Q273&gt;=pHighCutoff,1,0)</f>
        <v/>
      </c>
      <c r="Y273" s="13">
        <f>IF(M273="Returned",1,0)</f>
        <v/>
      </c>
    </row>
    <row r="274">
      <c r="A274" s="13" t="inlineStr">
        <is>
          <t>HC-100272</t>
        </is>
      </c>
      <c r="B274" s="18" t="n">
        <v>45471</v>
      </c>
      <c r="C274" s="13" t="inlineStr">
        <is>
          <t>South</t>
        </is>
      </c>
      <c r="D274" s="13" t="inlineStr">
        <is>
          <t>Store</t>
        </is>
      </c>
      <c r="E274" s="13" t="inlineStr">
        <is>
          <t>Furniture</t>
        </is>
      </c>
      <c r="F274" s="13" t="inlineStr">
        <is>
          <t>Walnut Shelf</t>
        </is>
      </c>
      <c r="G274" s="13" t="inlineStr">
        <is>
          <t>Home Office</t>
        </is>
      </c>
      <c r="H274" s="13" t="n">
        <v>3</v>
      </c>
      <c r="I274" s="14" t="n">
        <v>227.88</v>
      </c>
      <c r="J274" s="15" t="n">
        <v>0.07000000000000001</v>
      </c>
      <c r="K274" s="14" t="n">
        <v>125.34</v>
      </c>
      <c r="L274" s="13" t="n">
        <v>9</v>
      </c>
      <c r="M274" s="13" t="inlineStr">
        <is>
          <t>Completed</t>
        </is>
      </c>
      <c r="N274" s="13" t="inlineStr">
        <is>
          <t>M. Okonkwo</t>
        </is>
      </c>
      <c r="O274" s="13" t="inlineStr">
        <is>
          <t>No</t>
        </is>
      </c>
      <c r="P274" s="14">
        <f>H274*I274</f>
        <v/>
      </c>
      <c r="Q274" s="14">
        <f>P274*(1-J274)</f>
        <v/>
      </c>
      <c r="R274" s="14">
        <f>H274*K274</f>
        <v/>
      </c>
      <c r="S274" s="15">
        <f>IF(Q274=0,"",(Q274-R274)/Q274)</f>
        <v/>
      </c>
      <c r="T274" s="13">
        <f>YEAR(B274)</f>
        <v/>
      </c>
      <c r="U274" s="13">
        <f>YEAR(B274)&amp;"-Q"&amp;ROUNDUP(MONTH(B274)/3,0)</f>
        <v/>
      </c>
      <c r="V274" s="13">
        <f>TEXT(B274,"YYYY-MM")</f>
        <v/>
      </c>
      <c r="W274" s="13">
        <f>IF(L274="","",IF(L274&gt;pLateDays,1,0))</f>
        <v/>
      </c>
      <c r="X274" s="13">
        <f>IF(Q274&gt;=pHighCutoff,1,0)</f>
        <v/>
      </c>
      <c r="Y274" s="13">
        <f>IF(M274="Returned",1,0)</f>
        <v/>
      </c>
    </row>
    <row r="275">
      <c r="A275" s="13" t="inlineStr">
        <is>
          <t>HC-100273</t>
        </is>
      </c>
      <c r="B275" s="18" t="n">
        <v>45396</v>
      </c>
      <c r="C275" s="13" t="inlineStr">
        <is>
          <t>West</t>
        </is>
      </c>
      <c r="D275" s="13" t="inlineStr">
        <is>
          <t>Online</t>
        </is>
      </c>
      <c r="E275" s="13" t="inlineStr">
        <is>
          <t>Lighting</t>
        </is>
      </c>
      <c r="F275" s="13" t="inlineStr">
        <is>
          <t>Pendant Light</t>
        </is>
      </c>
      <c r="G275" s="13" t="inlineStr">
        <is>
          <t>Corporate</t>
        </is>
      </c>
      <c r="H275" s="13" t="n">
        <v>3</v>
      </c>
      <c r="I275" s="14" t="n">
        <v>177.01</v>
      </c>
      <c r="J275" s="15" t="n">
        <v>0.13</v>
      </c>
      <c r="K275" s="14" t="n">
        <v>88.5</v>
      </c>
      <c r="L275" s="13" t="n">
        <v>8</v>
      </c>
      <c r="M275" s="13" t="inlineStr">
        <is>
          <t>Completed</t>
        </is>
      </c>
      <c r="N275" s="13" t="inlineStr">
        <is>
          <t>P. Rossi</t>
        </is>
      </c>
      <c r="O275" s="13" t="inlineStr">
        <is>
          <t>No</t>
        </is>
      </c>
      <c r="P275" s="14">
        <f>H275*I275</f>
        <v/>
      </c>
      <c r="Q275" s="14">
        <f>P275*(1-J275)</f>
        <v/>
      </c>
      <c r="R275" s="14">
        <f>H275*K275</f>
        <v/>
      </c>
      <c r="S275" s="15">
        <f>IF(Q275=0,"",(Q275-R275)/Q275)</f>
        <v/>
      </c>
      <c r="T275" s="13">
        <f>YEAR(B275)</f>
        <v/>
      </c>
      <c r="U275" s="13">
        <f>YEAR(B275)&amp;"-Q"&amp;ROUNDUP(MONTH(B275)/3,0)</f>
        <v/>
      </c>
      <c r="V275" s="13">
        <f>TEXT(B275,"YYYY-MM")</f>
        <v/>
      </c>
      <c r="W275" s="13">
        <f>IF(L275="","",IF(L275&gt;pLateDays,1,0))</f>
        <v/>
      </c>
      <c r="X275" s="13">
        <f>IF(Q275&gt;=pHighCutoff,1,0)</f>
        <v/>
      </c>
      <c r="Y275" s="13">
        <f>IF(M275="Returned",1,0)</f>
        <v/>
      </c>
    </row>
    <row r="276">
      <c r="A276" s="13" t="inlineStr">
        <is>
          <t>HC-100274</t>
        </is>
      </c>
      <c r="B276" s="18" t="n">
        <v>45644</v>
      </c>
      <c r="C276" s="13" t="inlineStr">
        <is>
          <t>West</t>
        </is>
      </c>
      <c r="D276" s="13" t="inlineStr">
        <is>
          <t>Store</t>
        </is>
      </c>
      <c r="E276" s="13" t="inlineStr">
        <is>
          <t>Furniture</t>
        </is>
      </c>
      <c r="F276" s="13" t="inlineStr">
        <is>
          <t>Linen Sofa</t>
        </is>
      </c>
      <c r="G276" s="13" t="inlineStr">
        <is>
          <t>Consumer</t>
        </is>
      </c>
      <c r="H276" s="13" t="n">
        <v>3</v>
      </c>
      <c r="I276" s="14" t="n">
        <v>1289.19</v>
      </c>
      <c r="J276" s="15" t="n">
        <v>0.05</v>
      </c>
      <c r="K276" s="14" t="n">
        <v>850.86</v>
      </c>
      <c r="L276" s="13" t="n">
        <v>2</v>
      </c>
      <c r="M276" s="13" t="inlineStr">
        <is>
          <t>Completed</t>
        </is>
      </c>
      <c r="N276" s="13" t="inlineStr">
        <is>
          <t>R. Ibarra</t>
        </is>
      </c>
      <c r="O276" s="13" t="inlineStr">
        <is>
          <t>No</t>
        </is>
      </c>
      <c r="P276" s="14">
        <f>H276*I276</f>
        <v/>
      </c>
      <c r="Q276" s="14">
        <f>P276*(1-J276)</f>
        <v/>
      </c>
      <c r="R276" s="14">
        <f>H276*K276</f>
        <v/>
      </c>
      <c r="S276" s="15">
        <f>IF(Q276=0,"",(Q276-R276)/Q276)</f>
        <v/>
      </c>
      <c r="T276" s="13">
        <f>YEAR(B276)</f>
        <v/>
      </c>
      <c r="U276" s="13">
        <f>YEAR(B276)&amp;"-Q"&amp;ROUNDUP(MONTH(B276)/3,0)</f>
        <v/>
      </c>
      <c r="V276" s="13">
        <f>TEXT(B276,"YYYY-MM")</f>
        <v/>
      </c>
      <c r="W276" s="13">
        <f>IF(L276="","",IF(L276&gt;pLateDays,1,0))</f>
        <v/>
      </c>
      <c r="X276" s="13">
        <f>IF(Q276&gt;=pHighCutoff,1,0)</f>
        <v/>
      </c>
      <c r="Y276" s="13">
        <f>IF(M276="Returned",1,0)</f>
        <v/>
      </c>
    </row>
    <row r="277">
      <c r="A277" s="13" t="inlineStr">
        <is>
          <t>HC-100275</t>
        </is>
      </c>
      <c r="B277" s="18" t="n">
        <v>45380</v>
      </c>
      <c r="C277" s="13" t="inlineStr">
        <is>
          <t>South</t>
        </is>
      </c>
      <c r="D277" s="13" t="inlineStr">
        <is>
          <t>Online</t>
        </is>
      </c>
      <c r="E277" s="13" t="inlineStr">
        <is>
          <t>Furniture</t>
        </is>
      </c>
      <c r="F277" s="13" t="inlineStr">
        <is>
          <t>Lounge Chair</t>
        </is>
      </c>
      <c r="G277" s="13" t="inlineStr">
        <is>
          <t>Home Office</t>
        </is>
      </c>
      <c r="H277" s="13" t="n">
        <v>1</v>
      </c>
      <c r="I277" s="14" t="n">
        <v>462.39</v>
      </c>
      <c r="J277" s="15" t="n">
        <v>0.07000000000000001</v>
      </c>
      <c r="K277" s="14" t="n">
        <v>277.44</v>
      </c>
      <c r="L277" s="13" t="n">
        <v>6</v>
      </c>
      <c r="M277" s="13" t="inlineStr">
        <is>
          <t>Completed</t>
        </is>
      </c>
      <c r="N277" s="13" t="inlineStr">
        <is>
          <t>R. Ibarra</t>
        </is>
      </c>
      <c r="O277" s="13" t="inlineStr">
        <is>
          <t>No</t>
        </is>
      </c>
      <c r="P277" s="14">
        <f>H277*I277</f>
        <v/>
      </c>
      <c r="Q277" s="14">
        <f>P277*(1-J277)</f>
        <v/>
      </c>
      <c r="R277" s="14">
        <f>H277*K277</f>
        <v/>
      </c>
      <c r="S277" s="15">
        <f>IF(Q277=0,"",(Q277-R277)/Q277)</f>
        <v/>
      </c>
      <c r="T277" s="13">
        <f>YEAR(B277)</f>
        <v/>
      </c>
      <c r="U277" s="13">
        <f>YEAR(B277)&amp;"-Q"&amp;ROUNDUP(MONTH(B277)/3,0)</f>
        <v/>
      </c>
      <c r="V277" s="13">
        <f>TEXT(B277,"YYYY-MM")</f>
        <v/>
      </c>
      <c r="W277" s="13">
        <f>IF(L277="","",IF(L277&gt;pLateDays,1,0))</f>
        <v/>
      </c>
      <c r="X277" s="13">
        <f>IF(Q277&gt;=pHighCutoff,1,0)</f>
        <v/>
      </c>
      <c r="Y277" s="13">
        <f>IF(M277="Returned",1,0)</f>
        <v/>
      </c>
    </row>
    <row r="278">
      <c r="A278" s="13" t="inlineStr">
        <is>
          <t>HC-100276</t>
        </is>
      </c>
      <c r="B278" s="18" t="n">
        <v>45630</v>
      </c>
      <c r="C278" s="13" t="inlineStr">
        <is>
          <t>North</t>
        </is>
      </c>
      <c r="D278" s="13" t="inlineStr">
        <is>
          <t>Online</t>
        </is>
      </c>
      <c r="E278" s="13" t="inlineStr">
        <is>
          <t>Furniture</t>
        </is>
      </c>
      <c r="F278" s="13" t="inlineStr">
        <is>
          <t>Linen Sofa</t>
        </is>
      </c>
      <c r="G278" s="13" t="inlineStr">
        <is>
          <t>Corporate</t>
        </is>
      </c>
      <c r="H278" s="13" t="n">
        <v>3</v>
      </c>
      <c r="I278" s="14" t="n">
        <v>1284.61</v>
      </c>
      <c r="J278" s="15" t="n">
        <v>0.14</v>
      </c>
      <c r="K278" s="14" t="n">
        <v>847.84</v>
      </c>
      <c r="L278" s="13" t="n">
        <v>3</v>
      </c>
      <c r="M278" s="13" t="inlineStr">
        <is>
          <t>Completed</t>
        </is>
      </c>
      <c r="N278" s="13" t="inlineStr">
        <is>
          <t>A. Shah</t>
        </is>
      </c>
      <c r="O278" s="13" t="inlineStr">
        <is>
          <t>No</t>
        </is>
      </c>
      <c r="P278" s="14">
        <f>H278*I278</f>
        <v/>
      </c>
      <c r="Q278" s="14">
        <f>P278*(1-J278)</f>
        <v/>
      </c>
      <c r="R278" s="14">
        <f>H278*K278</f>
        <v/>
      </c>
      <c r="S278" s="15">
        <f>IF(Q278=0,"",(Q278-R278)/Q278)</f>
        <v/>
      </c>
      <c r="T278" s="13">
        <f>YEAR(B278)</f>
        <v/>
      </c>
      <c r="U278" s="13">
        <f>YEAR(B278)&amp;"-Q"&amp;ROUNDUP(MONTH(B278)/3,0)</f>
        <v/>
      </c>
      <c r="V278" s="13">
        <f>TEXT(B278,"YYYY-MM")</f>
        <v/>
      </c>
      <c r="W278" s="13">
        <f>IF(L278="","",IF(L278&gt;pLateDays,1,0))</f>
        <v/>
      </c>
      <c r="X278" s="13">
        <f>IF(Q278&gt;=pHighCutoff,1,0)</f>
        <v/>
      </c>
      <c r="Y278" s="13">
        <f>IF(M278="Returned",1,0)</f>
        <v/>
      </c>
    </row>
    <row r="279">
      <c r="A279" s="13" t="inlineStr">
        <is>
          <t>HC-100277</t>
        </is>
      </c>
      <c r="B279" s="18" t="n">
        <v>45480</v>
      </c>
      <c r="C279" s="13" t="inlineStr">
        <is>
          <t>North</t>
        </is>
      </c>
      <c r="D279" s="13" t="inlineStr">
        <is>
          <t>Online</t>
        </is>
      </c>
      <c r="E279" s="13" t="inlineStr">
        <is>
          <t>Kitchen</t>
        </is>
      </c>
      <c r="F279" s="13" t="inlineStr">
        <is>
          <t>Ceramic Set</t>
        </is>
      </c>
      <c r="G279" s="13" t="inlineStr">
        <is>
          <t>Consumer</t>
        </is>
      </c>
      <c r="H279" s="13" t="n">
        <v>2</v>
      </c>
      <c r="I279" s="14" t="n">
        <v>82.70999999999999</v>
      </c>
      <c r="J279" s="15" t="n">
        <v>0.03</v>
      </c>
      <c r="K279" s="14" t="n">
        <v>31.43</v>
      </c>
      <c r="L279" s="13" t="n">
        <v>6</v>
      </c>
      <c r="M279" s="13" t="inlineStr">
        <is>
          <t>Completed</t>
        </is>
      </c>
      <c r="N279" s="13" t="inlineStr">
        <is>
          <t>R. Ibarra</t>
        </is>
      </c>
      <c r="O279" s="13" t="inlineStr">
        <is>
          <t>No</t>
        </is>
      </c>
      <c r="P279" s="14">
        <f>H279*I279</f>
        <v/>
      </c>
      <c r="Q279" s="14">
        <f>P279*(1-J279)</f>
        <v/>
      </c>
      <c r="R279" s="14">
        <f>H279*K279</f>
        <v/>
      </c>
      <c r="S279" s="15">
        <f>IF(Q279=0,"",(Q279-R279)/Q279)</f>
        <v/>
      </c>
      <c r="T279" s="13">
        <f>YEAR(B279)</f>
        <v/>
      </c>
      <c r="U279" s="13">
        <f>YEAR(B279)&amp;"-Q"&amp;ROUNDUP(MONTH(B279)/3,0)</f>
        <v/>
      </c>
      <c r="V279" s="13">
        <f>TEXT(B279,"YYYY-MM")</f>
        <v/>
      </c>
      <c r="W279" s="13">
        <f>IF(L279="","",IF(L279&gt;pLateDays,1,0))</f>
        <v/>
      </c>
      <c r="X279" s="13">
        <f>IF(Q279&gt;=pHighCutoff,1,0)</f>
        <v/>
      </c>
      <c r="Y279" s="13">
        <f>IF(M279="Returned",1,0)</f>
        <v/>
      </c>
    </row>
    <row r="280">
      <c r="A280" s="13" t="inlineStr">
        <is>
          <t>HC-100278</t>
        </is>
      </c>
      <c r="B280" s="18" t="n">
        <v>45825</v>
      </c>
      <c r="C280" s="13" t="inlineStr">
        <is>
          <t>North</t>
        </is>
      </c>
      <c r="D280" s="13" t="inlineStr">
        <is>
          <t>Online</t>
        </is>
      </c>
      <c r="E280" s="13" t="inlineStr">
        <is>
          <t>Lighting</t>
        </is>
      </c>
      <c r="F280" s="13" t="inlineStr">
        <is>
          <t>Arc Lamp</t>
        </is>
      </c>
      <c r="G280" s="13" t="inlineStr">
        <is>
          <t>Home Office</t>
        </is>
      </c>
      <c r="H280" s="13" t="n">
        <v>1</v>
      </c>
      <c r="I280" s="14" t="n">
        <v>316.13</v>
      </c>
      <c r="J280" s="15" t="n">
        <v>0.12</v>
      </c>
      <c r="K280" s="14" t="n">
        <v>151.74</v>
      </c>
      <c r="L280" s="13" t="n">
        <v>5</v>
      </c>
      <c r="M280" s="13" t="inlineStr">
        <is>
          <t>Completed</t>
        </is>
      </c>
      <c r="N280" s="13" t="inlineStr">
        <is>
          <t>J. Patel</t>
        </is>
      </c>
      <c r="O280" s="13" t="inlineStr">
        <is>
          <t>No</t>
        </is>
      </c>
      <c r="P280" s="14">
        <f>H280*I280</f>
        <v/>
      </c>
      <c r="Q280" s="14">
        <f>P280*(1-J280)</f>
        <v/>
      </c>
      <c r="R280" s="14">
        <f>H280*K280</f>
        <v/>
      </c>
      <c r="S280" s="15">
        <f>IF(Q280=0,"",(Q280-R280)/Q280)</f>
        <v/>
      </c>
      <c r="T280" s="13">
        <f>YEAR(B280)</f>
        <v/>
      </c>
      <c r="U280" s="13">
        <f>YEAR(B280)&amp;"-Q"&amp;ROUNDUP(MONTH(B280)/3,0)</f>
        <v/>
      </c>
      <c r="V280" s="13">
        <f>TEXT(B280,"YYYY-MM")</f>
        <v/>
      </c>
      <c r="W280" s="13">
        <f>IF(L280="","",IF(L280&gt;pLateDays,1,0))</f>
        <v/>
      </c>
      <c r="X280" s="13">
        <f>IF(Q280&gt;=pHighCutoff,1,0)</f>
        <v/>
      </c>
      <c r="Y280" s="13">
        <f>IF(M280="Returned",1,0)</f>
        <v/>
      </c>
    </row>
    <row r="281">
      <c r="A281" s="13" t="inlineStr">
        <is>
          <t>HC-100279</t>
        </is>
      </c>
      <c r="B281" s="18" t="n">
        <v>45763</v>
      </c>
      <c r="C281" s="13" t="inlineStr">
        <is>
          <t>South</t>
        </is>
      </c>
      <c r="D281" s="13" t="inlineStr">
        <is>
          <t>Online</t>
        </is>
      </c>
      <c r="E281" s="13" t="inlineStr">
        <is>
          <t>Furniture</t>
        </is>
      </c>
      <c r="F281" s="13" t="inlineStr">
        <is>
          <t>Walnut Shelf</t>
        </is>
      </c>
      <c r="G281" s="13" t="inlineStr">
        <is>
          <t>Consumer</t>
        </is>
      </c>
      <c r="H281" s="13" t="n">
        <v>3</v>
      </c>
      <c r="I281" s="14" t="n">
        <v>233.29</v>
      </c>
      <c r="J281" s="15" t="n">
        <v>0.15</v>
      </c>
      <c r="K281" s="14" t="n">
        <v>128.31</v>
      </c>
      <c r="L281" s="13" t="n">
        <v>8</v>
      </c>
      <c r="M281" s="13" t="inlineStr">
        <is>
          <t>Completed</t>
        </is>
      </c>
      <c r="N281" s="13" t="inlineStr">
        <is>
          <t>K. Mensah</t>
        </is>
      </c>
      <c r="O281" s="13" t="inlineStr">
        <is>
          <t>No</t>
        </is>
      </c>
      <c r="P281" s="14">
        <f>H281*I281</f>
        <v/>
      </c>
      <c r="Q281" s="14">
        <f>P281*(1-J281)</f>
        <v/>
      </c>
      <c r="R281" s="14">
        <f>H281*K281</f>
        <v/>
      </c>
      <c r="S281" s="15">
        <f>IF(Q281=0,"",(Q281-R281)/Q281)</f>
        <v/>
      </c>
      <c r="T281" s="13">
        <f>YEAR(B281)</f>
        <v/>
      </c>
      <c r="U281" s="13">
        <f>YEAR(B281)&amp;"-Q"&amp;ROUNDUP(MONTH(B281)/3,0)</f>
        <v/>
      </c>
      <c r="V281" s="13">
        <f>TEXT(B281,"YYYY-MM")</f>
        <v/>
      </c>
      <c r="W281" s="13">
        <f>IF(L281="","",IF(L281&gt;pLateDays,1,0))</f>
        <v/>
      </c>
      <c r="X281" s="13">
        <f>IF(Q281&gt;=pHighCutoff,1,0)</f>
        <v/>
      </c>
      <c r="Y281" s="13">
        <f>IF(M281="Returned",1,0)</f>
        <v/>
      </c>
    </row>
    <row r="282">
      <c r="A282" s="13" t="inlineStr">
        <is>
          <t>HC-100280</t>
        </is>
      </c>
      <c r="B282" s="18" t="n">
        <v>45835</v>
      </c>
      <c r="C282" s="13" t="inlineStr">
        <is>
          <t>North</t>
        </is>
      </c>
      <c r="D282" s="13" t="inlineStr">
        <is>
          <t>Store</t>
        </is>
      </c>
      <c r="E282" s="13" t="inlineStr">
        <is>
          <t>Textiles</t>
        </is>
      </c>
      <c r="F282" s="13" t="inlineStr">
        <is>
          <t>Wool Throw</t>
        </is>
      </c>
      <c r="G282" s="13" t="inlineStr">
        <is>
          <t>Consumer</t>
        </is>
      </c>
      <c r="H282" s="13" t="n">
        <v>3</v>
      </c>
      <c r="I282" s="14" t="n">
        <v>73.16</v>
      </c>
      <c r="J282" s="15" t="n">
        <v>0.08</v>
      </c>
      <c r="K282" s="14" t="n">
        <v>30.73</v>
      </c>
      <c r="L282" s="13" t="n">
        <v>7</v>
      </c>
      <c r="M282" s="13" t="inlineStr">
        <is>
          <t>Completed</t>
        </is>
      </c>
      <c r="N282" s="13" t="inlineStr">
        <is>
          <t>L. Berger</t>
        </is>
      </c>
      <c r="O282" s="13" t="inlineStr">
        <is>
          <t>No</t>
        </is>
      </c>
      <c r="P282" s="14">
        <f>H282*I282</f>
        <v/>
      </c>
      <c r="Q282" s="14">
        <f>P282*(1-J282)</f>
        <v/>
      </c>
      <c r="R282" s="14">
        <f>H282*K282</f>
        <v/>
      </c>
      <c r="S282" s="15">
        <f>IF(Q282=0,"",(Q282-R282)/Q282)</f>
        <v/>
      </c>
      <c r="T282" s="13">
        <f>YEAR(B282)</f>
        <v/>
      </c>
      <c r="U282" s="13">
        <f>YEAR(B282)&amp;"-Q"&amp;ROUNDUP(MONTH(B282)/3,0)</f>
        <v/>
      </c>
      <c r="V282" s="13">
        <f>TEXT(B282,"YYYY-MM")</f>
        <v/>
      </c>
      <c r="W282" s="13">
        <f>IF(L282="","",IF(L282&gt;pLateDays,1,0))</f>
        <v/>
      </c>
      <c r="X282" s="13">
        <f>IF(Q282&gt;=pHighCutoff,1,0)</f>
        <v/>
      </c>
      <c r="Y282" s="13">
        <f>IF(M282="Returned",1,0)</f>
        <v/>
      </c>
    </row>
    <row r="283">
      <c r="A283" s="13" t="inlineStr">
        <is>
          <t>HC-100281</t>
        </is>
      </c>
      <c r="B283" s="18" t="n">
        <v>45723</v>
      </c>
      <c r="C283" s="13" t="inlineStr">
        <is>
          <t>West</t>
        </is>
      </c>
      <c r="D283" s="13" t="inlineStr">
        <is>
          <t>Store</t>
        </is>
      </c>
      <c r="E283" s="13" t="inlineStr">
        <is>
          <t>Textiles</t>
        </is>
      </c>
      <c r="F283" s="13" t="inlineStr">
        <is>
          <t>Wool Throw</t>
        </is>
      </c>
      <c r="G283" s="13" t="inlineStr">
        <is>
          <t>Home Office</t>
        </is>
      </c>
      <c r="H283" s="13" t="n">
        <v>3</v>
      </c>
      <c r="I283" s="14" t="n">
        <v>69.56</v>
      </c>
      <c r="J283" s="15" t="n">
        <v>0.05</v>
      </c>
      <c r="K283" s="14" t="n">
        <v>29.22</v>
      </c>
      <c r="L283" s="13" t="n">
        <v>2</v>
      </c>
      <c r="M283" s="13" t="inlineStr">
        <is>
          <t>Completed</t>
        </is>
      </c>
      <c r="N283" s="13" t="inlineStr">
        <is>
          <t>K. Mensah</t>
        </is>
      </c>
      <c r="O283" s="13" t="inlineStr">
        <is>
          <t>No</t>
        </is>
      </c>
      <c r="P283" s="14">
        <f>H283*I283</f>
        <v/>
      </c>
      <c r="Q283" s="14">
        <f>P283*(1-J283)</f>
        <v/>
      </c>
      <c r="R283" s="14">
        <f>H283*K283</f>
        <v/>
      </c>
      <c r="S283" s="15">
        <f>IF(Q283=0,"",(Q283-R283)/Q283)</f>
        <v/>
      </c>
      <c r="T283" s="13">
        <f>YEAR(B283)</f>
        <v/>
      </c>
      <c r="U283" s="13">
        <f>YEAR(B283)&amp;"-Q"&amp;ROUNDUP(MONTH(B283)/3,0)</f>
        <v/>
      </c>
      <c r="V283" s="13">
        <f>TEXT(B283,"YYYY-MM")</f>
        <v/>
      </c>
      <c r="W283" s="13">
        <f>IF(L283="","",IF(L283&gt;pLateDays,1,0))</f>
        <v/>
      </c>
      <c r="X283" s="13">
        <f>IF(Q283&gt;=pHighCutoff,1,0)</f>
        <v/>
      </c>
      <c r="Y283" s="13">
        <f>IF(M283="Returned",1,0)</f>
        <v/>
      </c>
    </row>
    <row r="284">
      <c r="A284" s="13" t="inlineStr">
        <is>
          <t>HC-100282</t>
        </is>
      </c>
      <c r="B284" s="18" t="n">
        <v>45334</v>
      </c>
      <c r="C284" s="13" t="inlineStr">
        <is>
          <t>West</t>
        </is>
      </c>
      <c r="D284" s="13" t="inlineStr">
        <is>
          <t>Online</t>
        </is>
      </c>
      <c r="E284" s="13" t="inlineStr">
        <is>
          <t>Furniture</t>
        </is>
      </c>
      <c r="F284" s="13" t="inlineStr">
        <is>
          <t>Linen Sofa</t>
        </is>
      </c>
      <c r="G284" s="13" t="inlineStr">
        <is>
          <t>Consumer</t>
        </is>
      </c>
      <c r="H284" s="13" t="n">
        <v>2</v>
      </c>
      <c r="I284" s="14" t="n">
        <v>1331.59</v>
      </c>
      <c r="J284" s="15" t="n">
        <v>0.17</v>
      </c>
      <c r="K284" s="14" t="n">
        <v>878.85</v>
      </c>
      <c r="L284" s="13" t="n">
        <v>5</v>
      </c>
      <c r="M284" s="13" t="inlineStr">
        <is>
          <t>Completed</t>
        </is>
      </c>
      <c r="N284" s="13" t="inlineStr">
        <is>
          <t>P. Rossi</t>
        </is>
      </c>
      <c r="O284" s="13" t="inlineStr">
        <is>
          <t>No</t>
        </is>
      </c>
      <c r="P284" s="14">
        <f>H284*I284</f>
        <v/>
      </c>
      <c r="Q284" s="14">
        <f>P284*(1-J284)</f>
        <v/>
      </c>
      <c r="R284" s="14">
        <f>H284*K284</f>
        <v/>
      </c>
      <c r="S284" s="15">
        <f>IF(Q284=0,"",(Q284-R284)/Q284)</f>
        <v/>
      </c>
      <c r="T284" s="13">
        <f>YEAR(B284)</f>
        <v/>
      </c>
      <c r="U284" s="13">
        <f>YEAR(B284)&amp;"-Q"&amp;ROUNDUP(MONTH(B284)/3,0)</f>
        <v/>
      </c>
      <c r="V284" s="13">
        <f>TEXT(B284,"YYYY-MM")</f>
        <v/>
      </c>
      <c r="W284" s="13">
        <f>IF(L284="","",IF(L284&gt;pLateDays,1,0))</f>
        <v/>
      </c>
      <c r="X284" s="13">
        <f>IF(Q284&gt;=pHighCutoff,1,0)</f>
        <v/>
      </c>
      <c r="Y284" s="13">
        <f>IF(M284="Returned",1,0)</f>
        <v/>
      </c>
    </row>
    <row r="285">
      <c r="A285" s="13" t="inlineStr">
        <is>
          <t>HC-100283</t>
        </is>
      </c>
      <c r="B285" s="18" t="n">
        <v>45820</v>
      </c>
      <c r="C285" s="13" t="inlineStr">
        <is>
          <t>West</t>
        </is>
      </c>
      <c r="D285" s="13" t="inlineStr">
        <is>
          <t>Online</t>
        </is>
      </c>
      <c r="E285" s="13" t="inlineStr">
        <is>
          <t>Textiles</t>
        </is>
      </c>
      <c r="F285" s="13" t="inlineStr">
        <is>
          <t>Linen Curtain</t>
        </is>
      </c>
      <c r="G285" s="13" t="inlineStr">
        <is>
          <t>Corporate</t>
        </is>
      </c>
      <c r="H285" s="13" t="n">
        <v>3</v>
      </c>
      <c r="I285" s="14" t="n">
        <v>89.23</v>
      </c>
      <c r="J285" s="15" t="n">
        <v>0.12</v>
      </c>
      <c r="K285" s="14" t="n">
        <v>40.15</v>
      </c>
      <c r="L285" s="13" t="n">
        <v>4</v>
      </c>
      <c r="M285" s="13" t="inlineStr">
        <is>
          <t>Completed</t>
        </is>
      </c>
      <c r="N285" s="13" t="inlineStr">
        <is>
          <t>A. Shah</t>
        </is>
      </c>
      <c r="O285" s="13" t="inlineStr">
        <is>
          <t>No</t>
        </is>
      </c>
      <c r="P285" s="14">
        <f>H285*I285</f>
        <v/>
      </c>
      <c r="Q285" s="14">
        <f>P285*(1-J285)</f>
        <v/>
      </c>
      <c r="R285" s="14">
        <f>H285*K285</f>
        <v/>
      </c>
      <c r="S285" s="15">
        <f>IF(Q285=0,"",(Q285-R285)/Q285)</f>
        <v/>
      </c>
      <c r="T285" s="13">
        <f>YEAR(B285)</f>
        <v/>
      </c>
      <c r="U285" s="13">
        <f>YEAR(B285)&amp;"-Q"&amp;ROUNDUP(MONTH(B285)/3,0)</f>
        <v/>
      </c>
      <c r="V285" s="13">
        <f>TEXT(B285,"YYYY-MM")</f>
        <v/>
      </c>
      <c r="W285" s="13">
        <f>IF(L285="","",IF(L285&gt;pLateDays,1,0))</f>
        <v/>
      </c>
      <c r="X285" s="13">
        <f>IF(Q285&gt;=pHighCutoff,1,0)</f>
        <v/>
      </c>
      <c r="Y285" s="13">
        <f>IF(M285="Returned",1,0)</f>
        <v/>
      </c>
    </row>
    <row r="286">
      <c r="A286" s="13" t="inlineStr">
        <is>
          <t>HC-100284</t>
        </is>
      </c>
      <c r="B286" s="18" t="n">
        <v>45876</v>
      </c>
      <c r="C286" s="13" t="inlineStr">
        <is>
          <t>South</t>
        </is>
      </c>
      <c r="D286" s="13" t="inlineStr">
        <is>
          <t>Store</t>
        </is>
      </c>
      <c r="E286" s="13" t="inlineStr">
        <is>
          <t>Furniture</t>
        </is>
      </c>
      <c r="F286" s="13" t="inlineStr">
        <is>
          <t>Oak Desk</t>
        </is>
      </c>
      <c r="G286" s="13" t="inlineStr">
        <is>
          <t>Consumer</t>
        </is>
      </c>
      <c r="H286" s="13" t="n">
        <v>2</v>
      </c>
      <c r="I286" s="14" t="n">
        <v>890.62</v>
      </c>
      <c r="J286" s="15" t="n">
        <v>0.12</v>
      </c>
      <c r="K286" s="14" t="n">
        <v>552.1900000000001</v>
      </c>
      <c r="L286" s="13" t="n">
        <v>7</v>
      </c>
      <c r="M286" s="13" t="inlineStr">
        <is>
          <t>Completed</t>
        </is>
      </c>
      <c r="N286" s="13" t="inlineStr">
        <is>
          <t>A. Shah</t>
        </is>
      </c>
      <c r="O286" s="13" t="inlineStr">
        <is>
          <t>No</t>
        </is>
      </c>
      <c r="P286" s="14">
        <f>H286*I286</f>
        <v/>
      </c>
      <c r="Q286" s="14">
        <f>P286*(1-J286)</f>
        <v/>
      </c>
      <c r="R286" s="14">
        <f>H286*K286</f>
        <v/>
      </c>
      <c r="S286" s="15">
        <f>IF(Q286=0,"",(Q286-R286)/Q286)</f>
        <v/>
      </c>
      <c r="T286" s="13">
        <f>YEAR(B286)</f>
        <v/>
      </c>
      <c r="U286" s="13">
        <f>YEAR(B286)&amp;"-Q"&amp;ROUNDUP(MONTH(B286)/3,0)</f>
        <v/>
      </c>
      <c r="V286" s="13">
        <f>TEXT(B286,"YYYY-MM")</f>
        <v/>
      </c>
      <c r="W286" s="13">
        <f>IF(L286="","",IF(L286&gt;pLateDays,1,0))</f>
        <v/>
      </c>
      <c r="X286" s="13">
        <f>IF(Q286&gt;=pHighCutoff,1,0)</f>
        <v/>
      </c>
      <c r="Y286" s="13">
        <f>IF(M286="Returned",1,0)</f>
        <v/>
      </c>
    </row>
    <row r="287">
      <c r="A287" s="13" t="inlineStr">
        <is>
          <t>HC-100285</t>
        </is>
      </c>
      <c r="B287" s="18" t="n">
        <v>45590</v>
      </c>
      <c r="C287" s="13" t="inlineStr">
        <is>
          <t>East</t>
        </is>
      </c>
      <c r="D287" s="13" t="inlineStr">
        <is>
          <t>Online</t>
        </is>
      </c>
      <c r="E287" s="13" t="inlineStr">
        <is>
          <t>Furniture</t>
        </is>
      </c>
      <c r="F287" s="13" t="inlineStr">
        <is>
          <t>Linen Sofa</t>
        </is>
      </c>
      <c r="G287" s="13" t="inlineStr">
        <is>
          <t>Home Office</t>
        </is>
      </c>
      <c r="H287" s="13" t="n">
        <v>1</v>
      </c>
      <c r="I287" s="14" t="n">
        <v>1059.15</v>
      </c>
      <c r="J287" s="15" t="n">
        <v>0.03</v>
      </c>
      <c r="K287" s="14" t="n">
        <v>699.04</v>
      </c>
      <c r="L287" s="13" t="n">
        <v>9</v>
      </c>
      <c r="M287" s="13" t="inlineStr">
        <is>
          <t>Completed</t>
        </is>
      </c>
      <c r="N287" s="13" t="inlineStr">
        <is>
          <t>P. Rossi</t>
        </is>
      </c>
      <c r="O287" s="13" t="inlineStr">
        <is>
          <t>No</t>
        </is>
      </c>
      <c r="P287" s="14">
        <f>H287*I287</f>
        <v/>
      </c>
      <c r="Q287" s="14">
        <f>P287*(1-J287)</f>
        <v/>
      </c>
      <c r="R287" s="14">
        <f>H287*K287</f>
        <v/>
      </c>
      <c r="S287" s="15">
        <f>IF(Q287=0,"",(Q287-R287)/Q287)</f>
        <v/>
      </c>
      <c r="T287" s="13">
        <f>YEAR(B287)</f>
        <v/>
      </c>
      <c r="U287" s="13">
        <f>YEAR(B287)&amp;"-Q"&amp;ROUNDUP(MONTH(B287)/3,0)</f>
        <v/>
      </c>
      <c r="V287" s="13">
        <f>TEXT(B287,"YYYY-MM")</f>
        <v/>
      </c>
      <c r="W287" s="13">
        <f>IF(L287="","",IF(L287&gt;pLateDays,1,0))</f>
        <v/>
      </c>
      <c r="X287" s="13">
        <f>IF(Q287&gt;=pHighCutoff,1,0)</f>
        <v/>
      </c>
      <c r="Y287" s="13">
        <f>IF(M287="Returned",1,0)</f>
        <v/>
      </c>
    </row>
    <row r="288">
      <c r="A288" s="13" t="inlineStr">
        <is>
          <t>HC-100286</t>
        </is>
      </c>
      <c r="B288" s="18" t="n">
        <v>45335</v>
      </c>
      <c r="C288" s="13" t="inlineStr">
        <is>
          <t>North</t>
        </is>
      </c>
      <c r="D288" s="13" t="inlineStr">
        <is>
          <t>Online</t>
        </is>
      </c>
      <c r="E288" s="13" t="inlineStr">
        <is>
          <t>Textiles</t>
        </is>
      </c>
      <c r="F288" s="13" t="inlineStr">
        <is>
          <t>Wool Throw</t>
        </is>
      </c>
      <c r="G288" s="13" t="inlineStr">
        <is>
          <t>Consumer</t>
        </is>
      </c>
      <c r="H288" s="13" t="n">
        <v>3</v>
      </c>
      <c r="I288" s="14" t="n">
        <v>69.81999999999999</v>
      </c>
      <c r="J288" s="15" t="n">
        <v>0.08</v>
      </c>
      <c r="K288" s="14" t="n">
        <v>29.33</v>
      </c>
      <c r="L288" s="13" t="n">
        <v>7</v>
      </c>
      <c r="M288" s="13" t="inlineStr">
        <is>
          <t>Returned</t>
        </is>
      </c>
      <c r="N288" s="13" t="inlineStr">
        <is>
          <t>P. Rossi</t>
        </is>
      </c>
      <c r="O288" s="13" t="inlineStr">
        <is>
          <t>No</t>
        </is>
      </c>
      <c r="P288" s="14">
        <f>H288*I288</f>
        <v/>
      </c>
      <c r="Q288" s="14">
        <f>P288*(1-J288)</f>
        <v/>
      </c>
      <c r="R288" s="14">
        <f>H288*K288</f>
        <v/>
      </c>
      <c r="S288" s="15">
        <f>IF(Q288=0,"",(Q288-R288)/Q288)</f>
        <v/>
      </c>
      <c r="T288" s="13">
        <f>YEAR(B288)</f>
        <v/>
      </c>
      <c r="U288" s="13">
        <f>YEAR(B288)&amp;"-Q"&amp;ROUNDUP(MONTH(B288)/3,0)</f>
        <v/>
      </c>
      <c r="V288" s="13">
        <f>TEXT(B288,"YYYY-MM")</f>
        <v/>
      </c>
      <c r="W288" s="13">
        <f>IF(L288="","",IF(L288&gt;pLateDays,1,0))</f>
        <v/>
      </c>
      <c r="X288" s="13">
        <f>IF(Q288&gt;=pHighCutoff,1,0)</f>
        <v/>
      </c>
      <c r="Y288" s="13">
        <f>IF(M288="Returned",1,0)</f>
        <v/>
      </c>
    </row>
    <row r="289">
      <c r="A289" s="13" t="inlineStr">
        <is>
          <t>HC-100287</t>
        </is>
      </c>
      <c r="B289" s="18" t="n">
        <v>45660</v>
      </c>
      <c r="C289" s="13" t="inlineStr">
        <is>
          <t>West</t>
        </is>
      </c>
      <c r="D289" s="13" t="inlineStr">
        <is>
          <t>Store</t>
        </is>
      </c>
      <c r="E289" s="13" t="inlineStr">
        <is>
          <t>Furniture</t>
        </is>
      </c>
      <c r="F289" s="13" t="inlineStr">
        <is>
          <t>Oak Desk</t>
        </is>
      </c>
      <c r="G289" s="13" t="inlineStr">
        <is>
          <t>Corporate</t>
        </is>
      </c>
      <c r="H289" s="13" t="n">
        <v>3</v>
      </c>
      <c r="I289" s="14" t="n">
        <v>791.5599999999999</v>
      </c>
      <c r="J289" s="15" t="n">
        <v>0.08</v>
      </c>
      <c r="K289" s="14" t="n">
        <v>490.77</v>
      </c>
      <c r="L289" s="13" t="n">
        <v>7</v>
      </c>
      <c r="M289" s="13" t="inlineStr">
        <is>
          <t>Completed</t>
        </is>
      </c>
      <c r="N289" s="13" t="inlineStr">
        <is>
          <t>L. Berger</t>
        </is>
      </c>
      <c r="O289" s="13" t="inlineStr">
        <is>
          <t>No</t>
        </is>
      </c>
      <c r="P289" s="14">
        <f>H289*I289</f>
        <v/>
      </c>
      <c r="Q289" s="14">
        <f>P289*(1-J289)</f>
        <v/>
      </c>
      <c r="R289" s="14">
        <f>H289*K289</f>
        <v/>
      </c>
      <c r="S289" s="15">
        <f>IF(Q289=0,"",(Q289-R289)/Q289)</f>
        <v/>
      </c>
      <c r="T289" s="13">
        <f>YEAR(B289)</f>
        <v/>
      </c>
      <c r="U289" s="13">
        <f>YEAR(B289)&amp;"-Q"&amp;ROUNDUP(MONTH(B289)/3,0)</f>
        <v/>
      </c>
      <c r="V289" s="13">
        <f>TEXT(B289,"YYYY-MM")</f>
        <v/>
      </c>
      <c r="W289" s="13">
        <f>IF(L289="","",IF(L289&gt;pLateDays,1,0))</f>
        <v/>
      </c>
      <c r="X289" s="13">
        <f>IF(Q289&gt;=pHighCutoff,1,0)</f>
        <v/>
      </c>
      <c r="Y289" s="13">
        <f>IF(M289="Returned",1,0)</f>
        <v/>
      </c>
    </row>
    <row r="290">
      <c r="A290" s="13" t="inlineStr">
        <is>
          <t>HC-100288</t>
        </is>
      </c>
      <c r="B290" s="18" t="n">
        <v>45591</v>
      </c>
      <c r="C290" s="13" t="inlineStr">
        <is>
          <t>West</t>
        </is>
      </c>
      <c r="D290" s="13" t="inlineStr">
        <is>
          <t>Store</t>
        </is>
      </c>
      <c r="E290" s="13" t="inlineStr">
        <is>
          <t>Furniture</t>
        </is>
      </c>
      <c r="F290" s="13" t="inlineStr">
        <is>
          <t>Walnut Shelf</t>
        </is>
      </c>
      <c r="G290" s="13" t="inlineStr">
        <is>
          <t>Consumer</t>
        </is>
      </c>
      <c r="H290" s="13" t="n">
        <v>4</v>
      </c>
      <c r="I290" s="14" t="n">
        <v>204.37</v>
      </c>
      <c r="J290" s="15" t="n">
        <v>0</v>
      </c>
      <c r="K290" s="14" t="n">
        <v>112.4</v>
      </c>
      <c r="L290" s="13" t="n">
        <v>4</v>
      </c>
      <c r="M290" s="13" t="inlineStr">
        <is>
          <t>Completed</t>
        </is>
      </c>
      <c r="N290" s="13" t="inlineStr">
        <is>
          <t>J. Patel</t>
        </is>
      </c>
      <c r="O290" s="13" t="inlineStr">
        <is>
          <t>No</t>
        </is>
      </c>
      <c r="P290" s="14">
        <f>H290*I290</f>
        <v/>
      </c>
      <c r="Q290" s="14">
        <f>P290*(1-J290)</f>
        <v/>
      </c>
      <c r="R290" s="14">
        <f>H290*K290</f>
        <v/>
      </c>
      <c r="S290" s="15">
        <f>IF(Q290=0,"",(Q290-R290)/Q290)</f>
        <v/>
      </c>
      <c r="T290" s="13">
        <f>YEAR(B290)</f>
        <v/>
      </c>
      <c r="U290" s="13">
        <f>YEAR(B290)&amp;"-Q"&amp;ROUNDUP(MONTH(B290)/3,0)</f>
        <v/>
      </c>
      <c r="V290" s="13">
        <f>TEXT(B290,"YYYY-MM")</f>
        <v/>
      </c>
      <c r="W290" s="13">
        <f>IF(L290="","",IF(L290&gt;pLateDays,1,0))</f>
        <v/>
      </c>
      <c r="X290" s="13">
        <f>IF(Q290&gt;=pHighCutoff,1,0)</f>
        <v/>
      </c>
      <c r="Y290" s="13">
        <f>IF(M290="Returned",1,0)</f>
        <v/>
      </c>
    </row>
    <row r="291">
      <c r="A291" s="13" t="inlineStr">
        <is>
          <t>HC-100289</t>
        </is>
      </c>
      <c r="B291" s="18" t="n">
        <v>45452</v>
      </c>
      <c r="C291" s="13" t="inlineStr">
        <is>
          <t>North</t>
        </is>
      </c>
      <c r="D291" s="13" t="inlineStr">
        <is>
          <t>Store</t>
        </is>
      </c>
      <c r="E291" s="13" t="inlineStr">
        <is>
          <t>Lighting</t>
        </is>
      </c>
      <c r="F291" s="13" t="inlineStr">
        <is>
          <t>Brass Sconce</t>
        </is>
      </c>
      <c r="G291" s="13" t="inlineStr">
        <is>
          <t>Corporate</t>
        </is>
      </c>
      <c r="H291" s="13" t="n">
        <v>3</v>
      </c>
      <c r="I291" s="14" t="n">
        <v>130.95</v>
      </c>
      <c r="J291" s="15" t="n">
        <v>0.02</v>
      </c>
      <c r="K291" s="14" t="n">
        <v>60.24</v>
      </c>
      <c r="L291" s="13" t="n">
        <v>3</v>
      </c>
      <c r="M291" s="13" t="inlineStr">
        <is>
          <t>Completed</t>
        </is>
      </c>
      <c r="N291" s="13" t="inlineStr">
        <is>
          <t>M. Okonkwo</t>
        </is>
      </c>
      <c r="O291" s="13" t="inlineStr">
        <is>
          <t>No</t>
        </is>
      </c>
      <c r="P291" s="14">
        <f>H291*I291</f>
        <v/>
      </c>
      <c r="Q291" s="14">
        <f>P291*(1-J291)</f>
        <v/>
      </c>
      <c r="R291" s="14">
        <f>H291*K291</f>
        <v/>
      </c>
      <c r="S291" s="15">
        <f>IF(Q291=0,"",(Q291-R291)/Q291)</f>
        <v/>
      </c>
      <c r="T291" s="13">
        <f>YEAR(B291)</f>
        <v/>
      </c>
      <c r="U291" s="13">
        <f>YEAR(B291)&amp;"-Q"&amp;ROUNDUP(MONTH(B291)/3,0)</f>
        <v/>
      </c>
      <c r="V291" s="13">
        <f>TEXT(B291,"YYYY-MM")</f>
        <v/>
      </c>
      <c r="W291" s="13">
        <f>IF(L291="","",IF(L291&gt;pLateDays,1,0))</f>
        <v/>
      </c>
      <c r="X291" s="13">
        <f>IF(Q291&gt;=pHighCutoff,1,0)</f>
        <v/>
      </c>
      <c r="Y291" s="13">
        <f>IF(M291="Returned",1,0)</f>
        <v/>
      </c>
    </row>
    <row r="292">
      <c r="A292" s="13" t="inlineStr">
        <is>
          <t>HC-100290</t>
        </is>
      </c>
      <c r="B292" s="18" t="n">
        <v>45612</v>
      </c>
      <c r="C292" s="13" t="inlineStr">
        <is>
          <t>North</t>
        </is>
      </c>
      <c r="D292" s="13" t="inlineStr">
        <is>
          <t>Wholesale</t>
        </is>
      </c>
      <c r="E292" s="13" t="inlineStr">
        <is>
          <t>Textiles</t>
        </is>
      </c>
      <c r="F292" s="13" t="inlineStr">
        <is>
          <t>Wool Throw</t>
        </is>
      </c>
      <c r="G292" s="13" t="inlineStr">
        <is>
          <t>Consumer</t>
        </is>
      </c>
      <c r="H292" s="13" t="n">
        <v>12</v>
      </c>
      <c r="I292" s="14" t="n">
        <v>75.84999999999999</v>
      </c>
      <c r="J292" s="15" t="n">
        <v>0.19</v>
      </c>
      <c r="K292" s="14" t="n">
        <v>31.86</v>
      </c>
      <c r="L292" s="13" t="n">
        <v>5</v>
      </c>
      <c r="M292" s="13" t="inlineStr">
        <is>
          <t>Returned</t>
        </is>
      </c>
      <c r="N292" s="13" t="inlineStr">
        <is>
          <t>S. Nguyen</t>
        </is>
      </c>
      <c r="O292" s="13" t="inlineStr">
        <is>
          <t>No</t>
        </is>
      </c>
      <c r="P292" s="14">
        <f>H292*I292</f>
        <v/>
      </c>
      <c r="Q292" s="14">
        <f>P292*(1-J292)</f>
        <v/>
      </c>
      <c r="R292" s="14">
        <f>H292*K292</f>
        <v/>
      </c>
      <c r="S292" s="15">
        <f>IF(Q292=0,"",(Q292-R292)/Q292)</f>
        <v/>
      </c>
      <c r="T292" s="13">
        <f>YEAR(B292)</f>
        <v/>
      </c>
      <c r="U292" s="13">
        <f>YEAR(B292)&amp;"-Q"&amp;ROUNDUP(MONTH(B292)/3,0)</f>
        <v/>
      </c>
      <c r="V292" s="13">
        <f>TEXT(B292,"YYYY-MM")</f>
        <v/>
      </c>
      <c r="W292" s="13">
        <f>IF(L292="","",IF(L292&gt;pLateDays,1,0))</f>
        <v/>
      </c>
      <c r="X292" s="13">
        <f>IF(Q292&gt;=pHighCutoff,1,0)</f>
        <v/>
      </c>
      <c r="Y292" s="13">
        <f>IF(M292="Returned",1,0)</f>
        <v/>
      </c>
    </row>
    <row r="293">
      <c r="A293" s="13" t="inlineStr">
        <is>
          <t>HC-100291</t>
        </is>
      </c>
      <c r="B293" s="18" t="n">
        <v>45565</v>
      </c>
      <c r="C293" s="13" t="inlineStr">
        <is>
          <t>South</t>
        </is>
      </c>
      <c r="D293" s="13" t="inlineStr">
        <is>
          <t>Store</t>
        </is>
      </c>
      <c r="E293" s="13" t="inlineStr">
        <is>
          <t>Textiles</t>
        </is>
      </c>
      <c r="F293" s="13" t="inlineStr">
        <is>
          <t>Cotton Duvet</t>
        </is>
      </c>
      <c r="G293" s="13" t="inlineStr">
        <is>
          <t>Consumer</t>
        </is>
      </c>
      <c r="H293" s="13" t="n">
        <v>2</v>
      </c>
      <c r="I293" s="14" t="n">
        <v>114.21</v>
      </c>
      <c r="J293" s="15" t="n">
        <v>0.08</v>
      </c>
      <c r="K293" s="14" t="n">
        <v>50.25</v>
      </c>
      <c r="L293" s="13" t="n">
        <v>10</v>
      </c>
      <c r="M293" s="13" t="inlineStr">
        <is>
          <t>Completed</t>
        </is>
      </c>
      <c r="N293" s="13" t="inlineStr">
        <is>
          <t>K. Mensah</t>
        </is>
      </c>
      <c r="O293" s="13" t="inlineStr">
        <is>
          <t>No</t>
        </is>
      </c>
      <c r="P293" s="14">
        <f>H293*I293</f>
        <v/>
      </c>
      <c r="Q293" s="14">
        <f>P293*(1-J293)</f>
        <v/>
      </c>
      <c r="R293" s="14">
        <f>H293*K293</f>
        <v/>
      </c>
      <c r="S293" s="15">
        <f>IF(Q293=0,"",(Q293-R293)/Q293)</f>
        <v/>
      </c>
      <c r="T293" s="13">
        <f>YEAR(B293)</f>
        <v/>
      </c>
      <c r="U293" s="13">
        <f>YEAR(B293)&amp;"-Q"&amp;ROUNDUP(MONTH(B293)/3,0)</f>
        <v/>
      </c>
      <c r="V293" s="13">
        <f>TEXT(B293,"YYYY-MM")</f>
        <v/>
      </c>
      <c r="W293" s="13">
        <f>IF(L293="","",IF(L293&gt;pLateDays,1,0))</f>
        <v/>
      </c>
      <c r="X293" s="13">
        <f>IF(Q293&gt;=pHighCutoff,1,0)</f>
        <v/>
      </c>
      <c r="Y293" s="13">
        <f>IF(M293="Returned",1,0)</f>
        <v/>
      </c>
    </row>
    <row r="294">
      <c r="A294" s="13" t="inlineStr">
        <is>
          <t>HC-100292</t>
        </is>
      </c>
      <c r="B294" s="18" t="n">
        <v>45625</v>
      </c>
      <c r="C294" s="13" t="inlineStr">
        <is>
          <t>South</t>
        </is>
      </c>
      <c r="D294" s="13" t="inlineStr">
        <is>
          <t>Online</t>
        </is>
      </c>
      <c r="E294" s="13" t="inlineStr">
        <is>
          <t>Textiles</t>
        </is>
      </c>
      <c r="F294" s="13" t="inlineStr">
        <is>
          <t>Linen Curtain</t>
        </is>
      </c>
      <c r="G294" s="13" t="inlineStr">
        <is>
          <t>Consumer</t>
        </is>
      </c>
      <c r="H294" s="13" t="n">
        <v>3</v>
      </c>
      <c r="I294" s="14" t="n">
        <v>97.7</v>
      </c>
      <c r="J294" s="15" t="n">
        <v>0.04</v>
      </c>
      <c r="K294" s="14" t="n">
        <v>43.96</v>
      </c>
      <c r="L294" s="13" t="n">
        <v>8</v>
      </c>
      <c r="M294" s="13" t="inlineStr">
        <is>
          <t>Completed</t>
        </is>
      </c>
      <c r="N294" s="13" t="inlineStr">
        <is>
          <t>M. Okonkwo</t>
        </is>
      </c>
      <c r="O294" s="13" t="inlineStr">
        <is>
          <t>No</t>
        </is>
      </c>
      <c r="P294" s="14">
        <f>H294*I294</f>
        <v/>
      </c>
      <c r="Q294" s="14">
        <f>P294*(1-J294)</f>
        <v/>
      </c>
      <c r="R294" s="14">
        <f>H294*K294</f>
        <v/>
      </c>
      <c r="S294" s="15">
        <f>IF(Q294=0,"",(Q294-R294)/Q294)</f>
        <v/>
      </c>
      <c r="T294" s="13">
        <f>YEAR(B294)</f>
        <v/>
      </c>
      <c r="U294" s="13">
        <f>YEAR(B294)&amp;"-Q"&amp;ROUNDUP(MONTH(B294)/3,0)</f>
        <v/>
      </c>
      <c r="V294" s="13">
        <f>TEXT(B294,"YYYY-MM")</f>
        <v/>
      </c>
      <c r="W294" s="13">
        <f>IF(L294="","",IF(L294&gt;pLateDays,1,0))</f>
        <v/>
      </c>
      <c r="X294" s="13">
        <f>IF(Q294&gt;=pHighCutoff,1,0)</f>
        <v/>
      </c>
      <c r="Y294" s="13">
        <f>IF(M294="Returned",1,0)</f>
        <v/>
      </c>
    </row>
    <row r="295">
      <c r="A295" s="13" t="inlineStr">
        <is>
          <t>HC-100293</t>
        </is>
      </c>
      <c r="B295" s="18" t="n">
        <v>45619</v>
      </c>
      <c r="C295" s="13" t="inlineStr">
        <is>
          <t>North</t>
        </is>
      </c>
      <c r="D295" s="13" t="inlineStr">
        <is>
          <t>Online</t>
        </is>
      </c>
      <c r="E295" s="13" t="inlineStr">
        <is>
          <t>Furniture</t>
        </is>
      </c>
      <c r="F295" s="13" t="inlineStr">
        <is>
          <t>Walnut Shelf</t>
        </is>
      </c>
      <c r="G295" s="13" t="inlineStr">
        <is>
          <t>Consumer</t>
        </is>
      </c>
      <c r="H295" s="13" t="n">
        <v>3</v>
      </c>
      <c r="I295" s="14" t="n">
        <v>219.49</v>
      </c>
      <c r="J295" s="15" t="n">
        <v>0.04</v>
      </c>
      <c r="K295" s="14" t="n">
        <v>120.72</v>
      </c>
      <c r="L295" s="13" t="n">
        <v>10</v>
      </c>
      <c r="M295" s="13" t="inlineStr">
        <is>
          <t>Completed</t>
        </is>
      </c>
      <c r="N295" s="13" t="inlineStr">
        <is>
          <t>R. Ibarra</t>
        </is>
      </c>
      <c r="O295" s="13" t="inlineStr">
        <is>
          <t>No</t>
        </is>
      </c>
      <c r="P295" s="14">
        <f>H295*I295</f>
        <v/>
      </c>
      <c r="Q295" s="14">
        <f>P295*(1-J295)</f>
        <v/>
      </c>
      <c r="R295" s="14">
        <f>H295*K295</f>
        <v/>
      </c>
      <c r="S295" s="15">
        <f>IF(Q295=0,"",(Q295-R295)/Q295)</f>
        <v/>
      </c>
      <c r="T295" s="13">
        <f>YEAR(B295)</f>
        <v/>
      </c>
      <c r="U295" s="13">
        <f>YEAR(B295)&amp;"-Q"&amp;ROUNDUP(MONTH(B295)/3,0)</f>
        <v/>
      </c>
      <c r="V295" s="13">
        <f>TEXT(B295,"YYYY-MM")</f>
        <v/>
      </c>
      <c r="W295" s="13">
        <f>IF(L295="","",IF(L295&gt;pLateDays,1,0))</f>
        <v/>
      </c>
      <c r="X295" s="13">
        <f>IF(Q295&gt;=pHighCutoff,1,0)</f>
        <v/>
      </c>
      <c r="Y295" s="13">
        <f>IF(M295="Returned",1,0)</f>
        <v/>
      </c>
    </row>
    <row r="296">
      <c r="A296" s="13" t="inlineStr">
        <is>
          <t>HC-100294</t>
        </is>
      </c>
      <c r="B296" s="18" t="n">
        <v>45441</v>
      </c>
      <c r="C296" s="13" t="inlineStr">
        <is>
          <t>North</t>
        </is>
      </c>
      <c r="D296" s="13" t="inlineStr">
        <is>
          <t>Online</t>
        </is>
      </c>
      <c r="E296" s="13" t="inlineStr">
        <is>
          <t>Furniture</t>
        </is>
      </c>
      <c r="F296" s="13" t="inlineStr">
        <is>
          <t>Walnut Shelf</t>
        </is>
      </c>
      <c r="G296" s="13" t="inlineStr">
        <is>
          <t>Corporate</t>
        </is>
      </c>
      <c r="H296" s="13" t="n">
        <v>1</v>
      </c>
      <c r="I296" s="14" t="n">
        <v>236.32</v>
      </c>
      <c r="J296" s="15" t="n">
        <v>0.17</v>
      </c>
      <c r="K296" s="14" t="n">
        <v>129.97</v>
      </c>
      <c r="L296" s="13" t="n">
        <v>5</v>
      </c>
      <c r="M296" s="13" t="inlineStr">
        <is>
          <t>Completed</t>
        </is>
      </c>
      <c r="N296" s="13" t="inlineStr">
        <is>
          <t>M. Okonkwo</t>
        </is>
      </c>
      <c r="O296" s="13" t="inlineStr">
        <is>
          <t>No</t>
        </is>
      </c>
      <c r="P296" s="14">
        <f>H296*I296</f>
        <v/>
      </c>
      <c r="Q296" s="14">
        <f>P296*(1-J296)</f>
        <v/>
      </c>
      <c r="R296" s="14">
        <f>H296*K296</f>
        <v/>
      </c>
      <c r="S296" s="15">
        <f>IF(Q296=0,"",(Q296-R296)/Q296)</f>
        <v/>
      </c>
      <c r="T296" s="13">
        <f>YEAR(B296)</f>
        <v/>
      </c>
      <c r="U296" s="13">
        <f>YEAR(B296)&amp;"-Q"&amp;ROUNDUP(MONTH(B296)/3,0)</f>
        <v/>
      </c>
      <c r="V296" s="13">
        <f>TEXT(B296,"YYYY-MM")</f>
        <v/>
      </c>
      <c r="W296" s="13">
        <f>IF(L296="","",IF(L296&gt;pLateDays,1,0))</f>
        <v/>
      </c>
      <c r="X296" s="13">
        <f>IF(Q296&gt;=pHighCutoff,1,0)</f>
        <v/>
      </c>
      <c r="Y296" s="13">
        <f>IF(M296="Returned",1,0)</f>
        <v/>
      </c>
    </row>
    <row r="297">
      <c r="A297" s="13" t="inlineStr">
        <is>
          <t>HC-100295</t>
        </is>
      </c>
      <c r="B297" s="18" t="n">
        <v>45328</v>
      </c>
      <c r="C297" s="13" t="inlineStr">
        <is>
          <t>West</t>
        </is>
      </c>
      <c r="D297" s="13" t="inlineStr">
        <is>
          <t>Store</t>
        </is>
      </c>
      <c r="E297" s="13" t="inlineStr">
        <is>
          <t>Kitchen</t>
        </is>
      </c>
      <c r="F297" s="13" t="inlineStr">
        <is>
          <t>Ceramic Set</t>
        </is>
      </c>
      <c r="G297" s="13" t="inlineStr">
        <is>
          <t>Consumer</t>
        </is>
      </c>
      <c r="H297" s="13" t="n">
        <v>1</v>
      </c>
      <c r="I297" s="14" t="n">
        <v>79.63</v>
      </c>
      <c r="J297" s="15" t="n">
        <v>0.1</v>
      </c>
      <c r="K297" s="14" t="n">
        <v>30.26</v>
      </c>
      <c r="L297" s="13" t="n">
        <v>9</v>
      </c>
      <c r="M297" s="13" t="inlineStr">
        <is>
          <t>Completed</t>
        </is>
      </c>
      <c r="N297" s="13" t="inlineStr">
        <is>
          <t>S. Nguyen</t>
        </is>
      </c>
      <c r="O297" s="13" t="inlineStr">
        <is>
          <t>No</t>
        </is>
      </c>
      <c r="P297" s="14">
        <f>H297*I297</f>
        <v/>
      </c>
      <c r="Q297" s="14">
        <f>P297*(1-J297)</f>
        <v/>
      </c>
      <c r="R297" s="14">
        <f>H297*K297</f>
        <v/>
      </c>
      <c r="S297" s="15">
        <f>IF(Q297=0,"",(Q297-R297)/Q297)</f>
        <v/>
      </c>
      <c r="T297" s="13">
        <f>YEAR(B297)</f>
        <v/>
      </c>
      <c r="U297" s="13">
        <f>YEAR(B297)&amp;"-Q"&amp;ROUNDUP(MONTH(B297)/3,0)</f>
        <v/>
      </c>
      <c r="V297" s="13">
        <f>TEXT(B297,"YYYY-MM")</f>
        <v/>
      </c>
      <c r="W297" s="13">
        <f>IF(L297="","",IF(L297&gt;pLateDays,1,0))</f>
        <v/>
      </c>
      <c r="X297" s="13">
        <f>IF(Q297&gt;=pHighCutoff,1,0)</f>
        <v/>
      </c>
      <c r="Y297" s="13">
        <f>IF(M297="Returned",1,0)</f>
        <v/>
      </c>
    </row>
    <row r="298">
      <c r="A298" s="13" t="inlineStr">
        <is>
          <t>HC-100296</t>
        </is>
      </c>
      <c r="B298" s="18" t="n">
        <v>45830</v>
      </c>
      <c r="C298" s="13" t="inlineStr">
        <is>
          <t>East</t>
        </is>
      </c>
      <c r="D298" s="13" t="inlineStr">
        <is>
          <t>Online</t>
        </is>
      </c>
      <c r="E298" s="13" t="inlineStr">
        <is>
          <t>Kitchen</t>
        </is>
      </c>
      <c r="F298" s="13" t="inlineStr">
        <is>
          <t>Ceramic Set</t>
        </is>
      </c>
      <c r="G298" s="13" t="inlineStr">
        <is>
          <t>Home Office</t>
        </is>
      </c>
      <c r="H298" s="13" t="n">
        <v>2</v>
      </c>
      <c r="I298" s="14" t="n">
        <v>80.12</v>
      </c>
      <c r="J298" s="15" t="n">
        <v>0.16</v>
      </c>
      <c r="K298" s="14" t="n">
        <v>30.45</v>
      </c>
      <c r="L298" s="13" t="n">
        <v>9</v>
      </c>
      <c r="M298" s="13" t="inlineStr">
        <is>
          <t>Completed</t>
        </is>
      </c>
      <c r="N298" s="13" t="inlineStr">
        <is>
          <t>P. Rossi</t>
        </is>
      </c>
      <c r="O298" s="13" t="inlineStr">
        <is>
          <t>No</t>
        </is>
      </c>
      <c r="P298" s="14">
        <f>H298*I298</f>
        <v/>
      </c>
      <c r="Q298" s="14">
        <f>P298*(1-J298)</f>
        <v/>
      </c>
      <c r="R298" s="14">
        <f>H298*K298</f>
        <v/>
      </c>
      <c r="S298" s="15">
        <f>IF(Q298=0,"",(Q298-R298)/Q298)</f>
        <v/>
      </c>
      <c r="T298" s="13">
        <f>YEAR(B298)</f>
        <v/>
      </c>
      <c r="U298" s="13">
        <f>YEAR(B298)&amp;"-Q"&amp;ROUNDUP(MONTH(B298)/3,0)</f>
        <v/>
      </c>
      <c r="V298" s="13">
        <f>TEXT(B298,"YYYY-MM")</f>
        <v/>
      </c>
      <c r="W298" s="13">
        <f>IF(L298="","",IF(L298&gt;pLateDays,1,0))</f>
        <v/>
      </c>
      <c r="X298" s="13">
        <f>IF(Q298&gt;=pHighCutoff,1,0)</f>
        <v/>
      </c>
      <c r="Y298" s="13">
        <f>IF(M298="Returned",1,0)</f>
        <v/>
      </c>
    </row>
    <row r="299">
      <c r="A299" s="13" t="inlineStr">
        <is>
          <t>HC-100297</t>
        </is>
      </c>
      <c r="B299" s="18" t="n">
        <v>45356</v>
      </c>
      <c r="C299" s="13" t="inlineStr">
        <is>
          <t>East</t>
        </is>
      </c>
      <c r="D299" s="13" t="inlineStr">
        <is>
          <t>Online</t>
        </is>
      </c>
      <c r="E299" s="13" t="inlineStr">
        <is>
          <t>Lighting</t>
        </is>
      </c>
      <c r="F299" s="13" t="inlineStr">
        <is>
          <t>Arc Lamp</t>
        </is>
      </c>
      <c r="G299" s="13" t="inlineStr">
        <is>
          <t>Corporate</t>
        </is>
      </c>
      <c r="H299" s="13" t="n">
        <v>3</v>
      </c>
      <c r="I299" s="14" t="n">
        <v>294.44</v>
      </c>
      <c r="J299" s="15" t="n">
        <v>0.05</v>
      </c>
      <c r="K299" s="14" t="n">
        <v>141.33</v>
      </c>
      <c r="L299" s="13" t="n">
        <v>9</v>
      </c>
      <c r="M299" s="13" t="inlineStr">
        <is>
          <t>Returned</t>
        </is>
      </c>
      <c r="N299" s="13" t="inlineStr">
        <is>
          <t>A. Shah</t>
        </is>
      </c>
      <c r="O299" s="13" t="inlineStr">
        <is>
          <t>No</t>
        </is>
      </c>
      <c r="P299" s="14">
        <f>H299*I299</f>
        <v/>
      </c>
      <c r="Q299" s="14">
        <f>P299*(1-J299)</f>
        <v/>
      </c>
      <c r="R299" s="14">
        <f>H299*K299</f>
        <v/>
      </c>
      <c r="S299" s="15">
        <f>IF(Q299=0,"",(Q299-R299)/Q299)</f>
        <v/>
      </c>
      <c r="T299" s="13">
        <f>YEAR(B299)</f>
        <v/>
      </c>
      <c r="U299" s="13">
        <f>YEAR(B299)&amp;"-Q"&amp;ROUNDUP(MONTH(B299)/3,0)</f>
        <v/>
      </c>
      <c r="V299" s="13">
        <f>TEXT(B299,"YYYY-MM")</f>
        <v/>
      </c>
      <c r="W299" s="13">
        <f>IF(L299="","",IF(L299&gt;pLateDays,1,0))</f>
        <v/>
      </c>
      <c r="X299" s="13">
        <f>IF(Q299&gt;=pHighCutoff,1,0)</f>
        <v/>
      </c>
      <c r="Y299" s="13">
        <f>IF(M299="Returned",1,0)</f>
        <v/>
      </c>
    </row>
    <row r="300">
      <c r="A300" s="13" t="inlineStr">
        <is>
          <t>HC-100298</t>
        </is>
      </c>
      <c r="B300" s="18" t="n">
        <v>45824</v>
      </c>
      <c r="C300" s="13" t="inlineStr">
        <is>
          <t>East</t>
        </is>
      </c>
      <c r="D300" s="13" t="inlineStr">
        <is>
          <t>Store</t>
        </is>
      </c>
      <c r="E300" s="13" t="inlineStr">
        <is>
          <t>Furniture</t>
        </is>
      </c>
      <c r="F300" s="13" t="inlineStr">
        <is>
          <t>Linen Sofa</t>
        </is>
      </c>
      <c r="G300" s="13" t="inlineStr">
        <is>
          <t>Consumer</t>
        </is>
      </c>
      <c r="H300" s="13" t="n">
        <v>2</v>
      </c>
      <c r="I300" s="14" t="n">
        <v>1126.66</v>
      </c>
      <c r="J300" s="15" t="n">
        <v>0.11</v>
      </c>
      <c r="K300" s="14" t="n">
        <v>743.59</v>
      </c>
      <c r="L300" s="13" t="n">
        <v>6</v>
      </c>
      <c r="M300" s="13" t="inlineStr">
        <is>
          <t>Completed</t>
        </is>
      </c>
      <c r="N300" s="13" t="inlineStr">
        <is>
          <t>L. Berger</t>
        </is>
      </c>
      <c r="O300" s="13" t="inlineStr">
        <is>
          <t>No</t>
        </is>
      </c>
      <c r="P300" s="14">
        <f>H300*I300</f>
        <v/>
      </c>
      <c r="Q300" s="14">
        <f>P300*(1-J300)</f>
        <v/>
      </c>
      <c r="R300" s="14">
        <f>H300*K300</f>
        <v/>
      </c>
      <c r="S300" s="15">
        <f>IF(Q300=0,"",(Q300-R300)/Q300)</f>
        <v/>
      </c>
      <c r="T300" s="13">
        <f>YEAR(B300)</f>
        <v/>
      </c>
      <c r="U300" s="13">
        <f>YEAR(B300)&amp;"-Q"&amp;ROUNDUP(MONTH(B300)/3,0)</f>
        <v/>
      </c>
      <c r="V300" s="13">
        <f>TEXT(B300,"YYYY-MM")</f>
        <v/>
      </c>
      <c r="W300" s="13">
        <f>IF(L300="","",IF(L300&gt;pLateDays,1,0))</f>
        <v/>
      </c>
      <c r="X300" s="13">
        <f>IF(Q300&gt;=pHighCutoff,1,0)</f>
        <v/>
      </c>
      <c r="Y300" s="13">
        <f>IF(M300="Returned",1,0)</f>
        <v/>
      </c>
    </row>
    <row r="301">
      <c r="A301" s="13" t="inlineStr">
        <is>
          <t>HC-100299</t>
        </is>
      </c>
      <c r="B301" s="18" t="n">
        <v>45763</v>
      </c>
      <c r="C301" s="13" t="inlineStr">
        <is>
          <t>East</t>
        </is>
      </c>
      <c r="D301" s="13" t="inlineStr">
        <is>
          <t>Online</t>
        </is>
      </c>
      <c r="E301" s="13" t="inlineStr">
        <is>
          <t>Kitchen</t>
        </is>
      </c>
      <c r="F301" s="13" t="inlineStr">
        <is>
          <t>Chef Knife</t>
        </is>
      </c>
      <c r="G301" s="13" t="inlineStr">
        <is>
          <t>Home Office</t>
        </is>
      </c>
      <c r="H301" s="13" t="n">
        <v>1</v>
      </c>
      <c r="I301" s="14" t="n">
        <v>55.51</v>
      </c>
      <c r="J301" s="15" t="n">
        <v>0.09</v>
      </c>
      <c r="K301" s="14" t="n">
        <v>19.98</v>
      </c>
      <c r="L301" s="13" t="n">
        <v>7</v>
      </c>
      <c r="M301" s="13" t="inlineStr">
        <is>
          <t>Completed</t>
        </is>
      </c>
      <c r="N301" s="13" t="inlineStr">
        <is>
          <t>K. Mensah</t>
        </is>
      </c>
      <c r="O301" s="13" t="inlineStr">
        <is>
          <t>No</t>
        </is>
      </c>
      <c r="P301" s="14">
        <f>H301*I301</f>
        <v/>
      </c>
      <c r="Q301" s="14">
        <f>P301*(1-J301)</f>
        <v/>
      </c>
      <c r="R301" s="14">
        <f>H301*K301</f>
        <v/>
      </c>
      <c r="S301" s="15">
        <f>IF(Q301=0,"",(Q301-R301)/Q301)</f>
        <v/>
      </c>
      <c r="T301" s="13">
        <f>YEAR(B301)</f>
        <v/>
      </c>
      <c r="U301" s="13">
        <f>YEAR(B301)&amp;"-Q"&amp;ROUNDUP(MONTH(B301)/3,0)</f>
        <v/>
      </c>
      <c r="V301" s="13">
        <f>TEXT(B301,"YYYY-MM")</f>
        <v/>
      </c>
      <c r="W301" s="13">
        <f>IF(L301="","",IF(L301&gt;pLateDays,1,0))</f>
        <v/>
      </c>
      <c r="X301" s="13">
        <f>IF(Q301&gt;=pHighCutoff,1,0)</f>
        <v/>
      </c>
      <c r="Y301" s="13">
        <f>IF(M301="Returned",1,0)</f>
        <v/>
      </c>
    </row>
    <row r="302">
      <c r="A302" s="13" t="inlineStr">
        <is>
          <t>HC-100300</t>
        </is>
      </c>
      <c r="B302" s="18" t="n">
        <v>45630</v>
      </c>
      <c r="C302" s="13" t="inlineStr">
        <is>
          <t>West</t>
        </is>
      </c>
      <c r="D302" s="13" t="inlineStr">
        <is>
          <t>Store</t>
        </is>
      </c>
      <c r="E302" s="13" t="inlineStr">
        <is>
          <t>Kitchen</t>
        </is>
      </c>
      <c r="F302" s="13" t="inlineStr">
        <is>
          <t>Cast Skillet</t>
        </is>
      </c>
      <c r="G302" s="13" t="inlineStr">
        <is>
          <t>Consumer</t>
        </is>
      </c>
      <c r="H302" s="13" t="n">
        <v>3</v>
      </c>
      <c r="I302" s="14" t="n">
        <v>51.45</v>
      </c>
      <c r="J302" s="15" t="n">
        <v>0.03</v>
      </c>
      <c r="K302" s="14" t="n">
        <v>20.58</v>
      </c>
      <c r="L302" s="13" t="n">
        <v>5</v>
      </c>
      <c r="M302" s="13" t="inlineStr">
        <is>
          <t>Completed</t>
        </is>
      </c>
      <c r="N302" s="13" t="inlineStr">
        <is>
          <t>P. Rossi</t>
        </is>
      </c>
      <c r="O302" s="13" t="inlineStr">
        <is>
          <t>No</t>
        </is>
      </c>
      <c r="P302" s="14">
        <f>H302*I302</f>
        <v/>
      </c>
      <c r="Q302" s="14">
        <f>P302*(1-J302)</f>
        <v/>
      </c>
      <c r="R302" s="14">
        <f>H302*K302</f>
        <v/>
      </c>
      <c r="S302" s="15">
        <f>IF(Q302=0,"",(Q302-R302)/Q302)</f>
        <v/>
      </c>
      <c r="T302" s="13">
        <f>YEAR(B302)</f>
        <v/>
      </c>
      <c r="U302" s="13">
        <f>YEAR(B302)&amp;"-Q"&amp;ROUNDUP(MONTH(B302)/3,0)</f>
        <v/>
      </c>
      <c r="V302" s="13">
        <f>TEXT(B302,"YYYY-MM")</f>
        <v/>
      </c>
      <c r="W302" s="13">
        <f>IF(L302="","",IF(L302&gt;pLateDays,1,0))</f>
        <v/>
      </c>
      <c r="X302" s="13">
        <f>IF(Q302&gt;=pHighCutoff,1,0)</f>
        <v/>
      </c>
      <c r="Y302" s="13">
        <f>IF(M302="Returned",1,0)</f>
        <v/>
      </c>
    </row>
    <row r="303">
      <c r="A303" s="13" t="inlineStr">
        <is>
          <t>HC-100301</t>
        </is>
      </c>
      <c r="B303" s="18" t="n">
        <v>45456</v>
      </c>
      <c r="C303" s="13" t="inlineStr">
        <is>
          <t>East</t>
        </is>
      </c>
      <c r="D303" s="13" t="inlineStr">
        <is>
          <t>Store</t>
        </is>
      </c>
      <c r="E303" s="13" t="inlineStr">
        <is>
          <t>Furniture</t>
        </is>
      </c>
      <c r="F303" s="13" t="inlineStr">
        <is>
          <t>Oak Desk</t>
        </is>
      </c>
      <c r="G303" s="13" t="inlineStr">
        <is>
          <t>Corporate</t>
        </is>
      </c>
      <c r="H303" s="13" t="n">
        <v>2</v>
      </c>
      <c r="I303" s="14" t="n">
        <v>791.47</v>
      </c>
      <c r="J303" s="15" t="n">
        <v>0.09</v>
      </c>
      <c r="K303" s="14" t="n">
        <v>490.71</v>
      </c>
      <c r="L303" s="13" t="n">
        <v>6</v>
      </c>
      <c r="M303" s="13" t="inlineStr">
        <is>
          <t>Completed</t>
        </is>
      </c>
      <c r="N303" s="13" t="inlineStr">
        <is>
          <t>S. Nguyen</t>
        </is>
      </c>
      <c r="O303" s="13" t="inlineStr">
        <is>
          <t>No</t>
        </is>
      </c>
      <c r="P303" s="14">
        <f>H303*I303</f>
        <v/>
      </c>
      <c r="Q303" s="14">
        <f>P303*(1-J303)</f>
        <v/>
      </c>
      <c r="R303" s="14">
        <f>H303*K303</f>
        <v/>
      </c>
      <c r="S303" s="15">
        <f>IF(Q303=0,"",(Q303-R303)/Q303)</f>
        <v/>
      </c>
      <c r="T303" s="13">
        <f>YEAR(B303)</f>
        <v/>
      </c>
      <c r="U303" s="13">
        <f>YEAR(B303)&amp;"-Q"&amp;ROUNDUP(MONTH(B303)/3,0)</f>
        <v/>
      </c>
      <c r="V303" s="13">
        <f>TEXT(B303,"YYYY-MM")</f>
        <v/>
      </c>
      <c r="W303" s="13">
        <f>IF(L303="","",IF(L303&gt;pLateDays,1,0))</f>
        <v/>
      </c>
      <c r="X303" s="13">
        <f>IF(Q303&gt;=pHighCutoff,1,0)</f>
        <v/>
      </c>
      <c r="Y303" s="13">
        <f>IF(M303="Returned",1,0)</f>
        <v/>
      </c>
    </row>
    <row r="304">
      <c r="A304" s="13" t="inlineStr">
        <is>
          <t>HC-100302</t>
        </is>
      </c>
      <c r="B304" s="18" t="n">
        <v>45763</v>
      </c>
      <c r="C304" s="13" t="inlineStr">
        <is>
          <t>West</t>
        </is>
      </c>
      <c r="D304" s="13" t="inlineStr">
        <is>
          <t>Online</t>
        </is>
      </c>
      <c r="E304" s="13" t="inlineStr">
        <is>
          <t>Furniture</t>
        </is>
      </c>
      <c r="F304" s="13" t="inlineStr">
        <is>
          <t>Linen Sofa</t>
        </is>
      </c>
      <c r="G304" s="13" t="inlineStr">
        <is>
          <t>Consumer</t>
        </is>
      </c>
      <c r="H304" s="13" t="n">
        <v>1</v>
      </c>
      <c r="I304" s="14" t="n">
        <v>1325.61</v>
      </c>
      <c r="J304" s="15" t="n">
        <v>0.05</v>
      </c>
      <c r="K304" s="14" t="n">
        <v>874.9</v>
      </c>
      <c r="L304" s="13" t="n">
        <v>4</v>
      </c>
      <c r="M304" s="13" t="inlineStr">
        <is>
          <t>Completed</t>
        </is>
      </c>
      <c r="N304" s="13" t="inlineStr">
        <is>
          <t>R. Ibarra</t>
        </is>
      </c>
      <c r="O304" s="13" t="inlineStr">
        <is>
          <t>No</t>
        </is>
      </c>
      <c r="P304" s="14">
        <f>H304*I304</f>
        <v/>
      </c>
      <c r="Q304" s="14">
        <f>P304*(1-J304)</f>
        <v/>
      </c>
      <c r="R304" s="14">
        <f>H304*K304</f>
        <v/>
      </c>
      <c r="S304" s="15">
        <f>IF(Q304=0,"",(Q304-R304)/Q304)</f>
        <v/>
      </c>
      <c r="T304" s="13">
        <f>YEAR(B304)</f>
        <v/>
      </c>
      <c r="U304" s="13">
        <f>YEAR(B304)&amp;"-Q"&amp;ROUNDUP(MONTH(B304)/3,0)</f>
        <v/>
      </c>
      <c r="V304" s="13">
        <f>TEXT(B304,"YYYY-MM")</f>
        <v/>
      </c>
      <c r="W304" s="13">
        <f>IF(L304="","",IF(L304&gt;pLateDays,1,0))</f>
        <v/>
      </c>
      <c r="X304" s="13">
        <f>IF(Q304&gt;=pHighCutoff,1,0)</f>
        <v/>
      </c>
      <c r="Y304" s="13">
        <f>IF(M304="Returned",1,0)</f>
        <v/>
      </c>
    </row>
    <row r="305">
      <c r="A305" s="13" t="inlineStr">
        <is>
          <t>HC-100303</t>
        </is>
      </c>
      <c r="B305" s="18" t="n">
        <v>45870</v>
      </c>
      <c r="C305" s="13" t="inlineStr">
        <is>
          <t>East</t>
        </is>
      </c>
      <c r="D305" s="13" t="inlineStr">
        <is>
          <t>Store</t>
        </is>
      </c>
      <c r="E305" s="13" t="inlineStr">
        <is>
          <t>Lighting</t>
        </is>
      </c>
      <c r="F305" s="13" t="inlineStr">
        <is>
          <t>Brass Sconce</t>
        </is>
      </c>
      <c r="G305" s="13" t="inlineStr">
        <is>
          <t>Corporate</t>
        </is>
      </c>
      <c r="H305" s="13" t="n">
        <v>2</v>
      </c>
      <c r="I305" s="14" t="n">
        <v>127.51</v>
      </c>
      <c r="J305" s="15" t="n">
        <v>0.1</v>
      </c>
      <c r="K305" s="14" t="n">
        <v>58.66</v>
      </c>
      <c r="L305" s="13" t="n">
        <v>10</v>
      </c>
      <c r="M305" s="13" t="inlineStr">
        <is>
          <t>Completed</t>
        </is>
      </c>
      <c r="N305" s="13" t="inlineStr">
        <is>
          <t>K. Mensah</t>
        </is>
      </c>
      <c r="O305" s="13" t="inlineStr">
        <is>
          <t>No</t>
        </is>
      </c>
      <c r="P305" s="14">
        <f>H305*I305</f>
        <v/>
      </c>
      <c r="Q305" s="14">
        <f>P305*(1-J305)</f>
        <v/>
      </c>
      <c r="R305" s="14">
        <f>H305*K305</f>
        <v/>
      </c>
      <c r="S305" s="15">
        <f>IF(Q305=0,"",(Q305-R305)/Q305)</f>
        <v/>
      </c>
      <c r="T305" s="13">
        <f>YEAR(B305)</f>
        <v/>
      </c>
      <c r="U305" s="13">
        <f>YEAR(B305)&amp;"-Q"&amp;ROUNDUP(MONTH(B305)/3,0)</f>
        <v/>
      </c>
      <c r="V305" s="13">
        <f>TEXT(B305,"YYYY-MM")</f>
        <v/>
      </c>
      <c r="W305" s="13">
        <f>IF(L305="","",IF(L305&gt;pLateDays,1,0))</f>
        <v/>
      </c>
      <c r="X305" s="13">
        <f>IF(Q305&gt;=pHighCutoff,1,0)</f>
        <v/>
      </c>
      <c r="Y305" s="13">
        <f>IF(M305="Returned",1,0)</f>
        <v/>
      </c>
    </row>
    <row r="306">
      <c r="A306" s="13" t="inlineStr">
        <is>
          <t>HC-100304</t>
        </is>
      </c>
      <c r="B306" s="18" t="n">
        <v>45768</v>
      </c>
      <c r="C306" s="13" t="inlineStr">
        <is>
          <t>South</t>
        </is>
      </c>
      <c r="D306" s="13" t="inlineStr">
        <is>
          <t>Online</t>
        </is>
      </c>
      <c r="E306" s="13" t="inlineStr">
        <is>
          <t>Lighting</t>
        </is>
      </c>
      <c r="F306" s="13" t="inlineStr">
        <is>
          <t>Arc Lamp</t>
        </is>
      </c>
      <c r="G306" s="13" t="inlineStr">
        <is>
          <t>Consumer</t>
        </is>
      </c>
      <c r="H306" s="13" t="n">
        <v>3</v>
      </c>
      <c r="I306" s="14" t="n">
        <v>321.85</v>
      </c>
      <c r="J306" s="15" t="n">
        <v>0.06</v>
      </c>
      <c r="K306" s="14" t="n">
        <v>154.49</v>
      </c>
      <c r="L306" s="13" t="n">
        <v>5</v>
      </c>
      <c r="M306" s="13" t="inlineStr">
        <is>
          <t>Completed</t>
        </is>
      </c>
      <c r="N306" s="13" t="inlineStr">
        <is>
          <t>R. Ibarra</t>
        </is>
      </c>
      <c r="O306" s="13" t="inlineStr">
        <is>
          <t>No</t>
        </is>
      </c>
      <c r="P306" s="14">
        <f>H306*I306</f>
        <v/>
      </c>
      <c r="Q306" s="14">
        <f>P306*(1-J306)</f>
        <v/>
      </c>
      <c r="R306" s="14">
        <f>H306*K306</f>
        <v/>
      </c>
      <c r="S306" s="15">
        <f>IF(Q306=0,"",(Q306-R306)/Q306)</f>
        <v/>
      </c>
      <c r="T306" s="13">
        <f>YEAR(B306)</f>
        <v/>
      </c>
      <c r="U306" s="13">
        <f>YEAR(B306)&amp;"-Q"&amp;ROUNDUP(MONTH(B306)/3,0)</f>
        <v/>
      </c>
      <c r="V306" s="13">
        <f>TEXT(B306,"YYYY-MM")</f>
        <v/>
      </c>
      <c r="W306" s="13">
        <f>IF(L306="","",IF(L306&gt;pLateDays,1,0))</f>
        <v/>
      </c>
      <c r="X306" s="13">
        <f>IF(Q306&gt;=pHighCutoff,1,0)</f>
        <v/>
      </c>
      <c r="Y306" s="13">
        <f>IF(M306="Returned",1,0)</f>
        <v/>
      </c>
    </row>
    <row r="307">
      <c r="A307" s="13" t="inlineStr">
        <is>
          <t>HC-100305</t>
        </is>
      </c>
      <c r="B307" s="18" t="n">
        <v>45786</v>
      </c>
      <c r="C307" s="13" t="inlineStr">
        <is>
          <t>North</t>
        </is>
      </c>
      <c r="D307" s="13" t="inlineStr">
        <is>
          <t>Store</t>
        </is>
      </c>
      <c r="E307" s="13" t="inlineStr">
        <is>
          <t>Textiles</t>
        </is>
      </c>
      <c r="F307" s="13" t="inlineStr">
        <is>
          <t>Cotton Duvet</t>
        </is>
      </c>
      <c r="G307" s="13" t="inlineStr">
        <is>
          <t>Consumer</t>
        </is>
      </c>
      <c r="H307" s="13" t="n">
        <v>1</v>
      </c>
      <c r="I307" s="14" t="n">
        <v>124.51</v>
      </c>
      <c r="J307" s="15" t="n">
        <v>0.1</v>
      </c>
      <c r="K307" s="14" t="n">
        <v>54.78</v>
      </c>
      <c r="L307" s="13" t="n">
        <v>5</v>
      </c>
      <c r="M307" s="13" t="inlineStr">
        <is>
          <t>Cancelled</t>
        </is>
      </c>
      <c r="N307" s="13" t="inlineStr">
        <is>
          <t>R. Ibarra</t>
        </is>
      </c>
      <c r="O307" s="13" t="inlineStr">
        <is>
          <t>No</t>
        </is>
      </c>
      <c r="P307" s="14">
        <f>H307*I307</f>
        <v/>
      </c>
      <c r="Q307" s="14">
        <f>P307*(1-J307)</f>
        <v/>
      </c>
      <c r="R307" s="14">
        <f>H307*K307</f>
        <v/>
      </c>
      <c r="S307" s="15">
        <f>IF(Q307=0,"",(Q307-R307)/Q307)</f>
        <v/>
      </c>
      <c r="T307" s="13">
        <f>YEAR(B307)</f>
        <v/>
      </c>
      <c r="U307" s="13">
        <f>YEAR(B307)&amp;"-Q"&amp;ROUNDUP(MONTH(B307)/3,0)</f>
        <v/>
      </c>
      <c r="V307" s="13">
        <f>TEXT(B307,"YYYY-MM")</f>
        <v/>
      </c>
      <c r="W307" s="13">
        <f>IF(L307="","",IF(L307&gt;pLateDays,1,0))</f>
        <v/>
      </c>
      <c r="X307" s="13">
        <f>IF(Q307&gt;=pHighCutoff,1,0)</f>
        <v/>
      </c>
      <c r="Y307" s="13">
        <f>IF(M307="Returned",1,0)</f>
        <v/>
      </c>
    </row>
    <row r="308">
      <c r="A308" s="13" t="inlineStr">
        <is>
          <t>HC-100306</t>
        </is>
      </c>
      <c r="B308" s="18" t="n">
        <v>45565</v>
      </c>
      <c r="C308" s="13" t="inlineStr">
        <is>
          <t>East</t>
        </is>
      </c>
      <c r="D308" s="13" t="inlineStr">
        <is>
          <t>Wholesale</t>
        </is>
      </c>
      <c r="E308" s="13" t="inlineStr">
        <is>
          <t>Furniture</t>
        </is>
      </c>
      <c r="F308" s="13" t="inlineStr">
        <is>
          <t>Linen Sofa</t>
        </is>
      </c>
      <c r="G308" s="13" t="inlineStr">
        <is>
          <t>Consumer</t>
        </is>
      </c>
      <c r="H308" s="13" t="n">
        <v>24</v>
      </c>
      <c r="I308" s="14" t="n">
        <v>1174.14</v>
      </c>
      <c r="J308" s="15" t="n">
        <v>0.3</v>
      </c>
      <c r="K308" s="14" t="n">
        <v>774.9299999999999</v>
      </c>
      <c r="L308" s="13" t="n">
        <v>10</v>
      </c>
      <c r="M308" s="13" t="inlineStr">
        <is>
          <t>Completed</t>
        </is>
      </c>
      <c r="N308" s="13" t="inlineStr">
        <is>
          <t>P. Rossi</t>
        </is>
      </c>
      <c r="O308" s="13" t="inlineStr">
        <is>
          <t>No</t>
        </is>
      </c>
      <c r="P308" s="14">
        <f>H308*I308</f>
        <v/>
      </c>
      <c r="Q308" s="14">
        <f>P308*(1-J308)</f>
        <v/>
      </c>
      <c r="R308" s="14">
        <f>H308*K308</f>
        <v/>
      </c>
      <c r="S308" s="15">
        <f>IF(Q308=0,"",(Q308-R308)/Q308)</f>
        <v/>
      </c>
      <c r="T308" s="13">
        <f>YEAR(B308)</f>
        <v/>
      </c>
      <c r="U308" s="13">
        <f>YEAR(B308)&amp;"-Q"&amp;ROUNDUP(MONTH(B308)/3,0)</f>
        <v/>
      </c>
      <c r="V308" s="13">
        <f>TEXT(B308,"YYYY-MM")</f>
        <v/>
      </c>
      <c r="W308" s="13">
        <f>IF(L308="","",IF(L308&gt;pLateDays,1,0))</f>
        <v/>
      </c>
      <c r="X308" s="13">
        <f>IF(Q308&gt;=pHighCutoff,1,0)</f>
        <v/>
      </c>
      <c r="Y308" s="13">
        <f>IF(M308="Returned",1,0)</f>
        <v/>
      </c>
    </row>
    <row r="309">
      <c r="A309" s="13" t="inlineStr">
        <is>
          <t>HC-100307</t>
        </is>
      </c>
      <c r="B309" s="18" t="n">
        <v>45454</v>
      </c>
      <c r="C309" s="13" t="inlineStr">
        <is>
          <t>West</t>
        </is>
      </c>
      <c r="D309" s="13" t="inlineStr">
        <is>
          <t>Store</t>
        </is>
      </c>
      <c r="E309" s="13" t="inlineStr">
        <is>
          <t>Furniture</t>
        </is>
      </c>
      <c r="F309" s="13" t="inlineStr">
        <is>
          <t>Linen Sofa</t>
        </is>
      </c>
      <c r="G309" s="13" t="inlineStr">
        <is>
          <t>Consumer</t>
        </is>
      </c>
      <c r="H309" s="13" t="n">
        <v>4</v>
      </c>
      <c r="I309" s="14" t="n">
        <v>1349.9</v>
      </c>
      <c r="J309" s="15" t="n">
        <v>0.04</v>
      </c>
      <c r="K309" s="14" t="n">
        <v>890.9299999999999</v>
      </c>
      <c r="L309" s="13" t="n">
        <v>5</v>
      </c>
      <c r="M309" s="13" t="inlineStr">
        <is>
          <t>Completed</t>
        </is>
      </c>
      <c r="N309" s="13" t="inlineStr">
        <is>
          <t>M. Okonkwo</t>
        </is>
      </c>
      <c r="O309" s="13" t="inlineStr">
        <is>
          <t>No</t>
        </is>
      </c>
      <c r="P309" s="14">
        <f>H309*I309</f>
        <v/>
      </c>
      <c r="Q309" s="14">
        <f>P309*(1-J309)</f>
        <v/>
      </c>
      <c r="R309" s="14">
        <f>H309*K309</f>
        <v/>
      </c>
      <c r="S309" s="15">
        <f>IF(Q309=0,"",(Q309-R309)/Q309)</f>
        <v/>
      </c>
      <c r="T309" s="13">
        <f>YEAR(B309)</f>
        <v/>
      </c>
      <c r="U309" s="13">
        <f>YEAR(B309)&amp;"-Q"&amp;ROUNDUP(MONTH(B309)/3,0)</f>
        <v/>
      </c>
      <c r="V309" s="13">
        <f>TEXT(B309,"YYYY-MM")</f>
        <v/>
      </c>
      <c r="W309" s="13">
        <f>IF(L309="","",IF(L309&gt;pLateDays,1,0))</f>
        <v/>
      </c>
      <c r="X309" s="13">
        <f>IF(Q309&gt;=pHighCutoff,1,0)</f>
        <v/>
      </c>
      <c r="Y309" s="13">
        <f>IF(M309="Returned",1,0)</f>
        <v/>
      </c>
    </row>
    <row r="310">
      <c r="A310" s="13" t="inlineStr">
        <is>
          <t>HC-100308</t>
        </is>
      </c>
      <c r="B310" s="18" t="n">
        <v>45847</v>
      </c>
      <c r="C310" s="13" t="inlineStr">
        <is>
          <t>North</t>
        </is>
      </c>
      <c r="D310" s="13" t="inlineStr">
        <is>
          <t>Wholesale</t>
        </is>
      </c>
      <c r="E310" s="13" t="inlineStr">
        <is>
          <t>Lighting</t>
        </is>
      </c>
      <c r="F310" s="13" t="inlineStr">
        <is>
          <t>Brass Sconce</t>
        </is>
      </c>
      <c r="G310" s="13" t="inlineStr">
        <is>
          <t>Consumer</t>
        </is>
      </c>
      <c r="H310" s="13" t="n">
        <v>15</v>
      </c>
      <c r="I310" s="14" t="n">
        <v>129.6</v>
      </c>
      <c r="J310" s="15" t="n">
        <v>0.29</v>
      </c>
      <c r="K310" s="14" t="n">
        <v>59.61</v>
      </c>
      <c r="L310" s="13" t="n">
        <v>3</v>
      </c>
      <c r="M310" s="13" t="inlineStr">
        <is>
          <t>Completed</t>
        </is>
      </c>
      <c r="N310" s="13" t="inlineStr">
        <is>
          <t>L. Berger</t>
        </is>
      </c>
      <c r="O310" s="13" t="inlineStr">
        <is>
          <t>No</t>
        </is>
      </c>
      <c r="P310" s="14">
        <f>H310*I310</f>
        <v/>
      </c>
      <c r="Q310" s="14">
        <f>P310*(1-J310)</f>
        <v/>
      </c>
      <c r="R310" s="14">
        <f>H310*K310</f>
        <v/>
      </c>
      <c r="S310" s="15">
        <f>IF(Q310=0,"",(Q310-R310)/Q310)</f>
        <v/>
      </c>
      <c r="T310" s="13">
        <f>YEAR(B310)</f>
        <v/>
      </c>
      <c r="U310" s="13">
        <f>YEAR(B310)&amp;"-Q"&amp;ROUNDUP(MONTH(B310)/3,0)</f>
        <v/>
      </c>
      <c r="V310" s="13">
        <f>TEXT(B310,"YYYY-MM")</f>
        <v/>
      </c>
      <c r="W310" s="13">
        <f>IF(L310="","",IF(L310&gt;pLateDays,1,0))</f>
        <v/>
      </c>
      <c r="X310" s="13">
        <f>IF(Q310&gt;=pHighCutoff,1,0)</f>
        <v/>
      </c>
      <c r="Y310" s="13">
        <f>IF(M310="Returned",1,0)</f>
        <v/>
      </c>
    </row>
    <row r="311">
      <c r="A311" s="13" t="inlineStr">
        <is>
          <t>HC-100309</t>
        </is>
      </c>
      <c r="B311" s="18" t="n">
        <v>45540</v>
      </c>
      <c r="C311" s="13" t="inlineStr">
        <is>
          <t>North</t>
        </is>
      </c>
      <c r="D311" s="13" t="inlineStr">
        <is>
          <t>Wholesale</t>
        </is>
      </c>
      <c r="E311" s="13" t="inlineStr">
        <is>
          <t>Lighting</t>
        </is>
      </c>
      <c r="F311" s="13" t="inlineStr">
        <is>
          <t>Brass Sconce</t>
        </is>
      </c>
      <c r="G311" s="13" t="inlineStr">
        <is>
          <t>Corporate</t>
        </is>
      </c>
      <c r="H311" s="13" t="n">
        <v>27</v>
      </c>
      <c r="I311" s="14" t="n">
        <v>140.04</v>
      </c>
      <c r="J311" s="15" t="n">
        <v>0.24</v>
      </c>
      <c r="K311" s="14" t="n">
        <v>64.42</v>
      </c>
      <c r="L311" s="13" t="n">
        <v>5</v>
      </c>
      <c r="M311" s="13" t="inlineStr">
        <is>
          <t>Completed</t>
        </is>
      </c>
      <c r="N311" s="13" t="inlineStr">
        <is>
          <t>A. Shah</t>
        </is>
      </c>
      <c r="O311" s="13" t="inlineStr">
        <is>
          <t>No</t>
        </is>
      </c>
      <c r="P311" s="14">
        <f>H311*I311</f>
        <v/>
      </c>
      <c r="Q311" s="14">
        <f>P311*(1-J311)</f>
        <v/>
      </c>
      <c r="R311" s="14">
        <f>H311*K311</f>
        <v/>
      </c>
      <c r="S311" s="15">
        <f>IF(Q311=0,"",(Q311-R311)/Q311)</f>
        <v/>
      </c>
      <c r="T311" s="13">
        <f>YEAR(B311)</f>
        <v/>
      </c>
      <c r="U311" s="13">
        <f>YEAR(B311)&amp;"-Q"&amp;ROUNDUP(MONTH(B311)/3,0)</f>
        <v/>
      </c>
      <c r="V311" s="13">
        <f>TEXT(B311,"YYYY-MM")</f>
        <v/>
      </c>
      <c r="W311" s="13">
        <f>IF(L311="","",IF(L311&gt;pLateDays,1,0))</f>
        <v/>
      </c>
      <c r="X311" s="13">
        <f>IF(Q311&gt;=pHighCutoff,1,0)</f>
        <v/>
      </c>
      <c r="Y311" s="13">
        <f>IF(M311="Returned",1,0)</f>
        <v/>
      </c>
    </row>
    <row r="312">
      <c r="A312" s="13" t="inlineStr">
        <is>
          <t>HC-100310</t>
        </is>
      </c>
      <c r="B312" s="18" t="n">
        <v>45643</v>
      </c>
      <c r="C312" s="13" t="inlineStr">
        <is>
          <t>West</t>
        </is>
      </c>
      <c r="D312" s="13" t="inlineStr">
        <is>
          <t>Store</t>
        </is>
      </c>
      <c r="E312" s="13" t="inlineStr">
        <is>
          <t>Lighting</t>
        </is>
      </c>
      <c r="F312" s="13" t="inlineStr">
        <is>
          <t>Brass Sconce</t>
        </is>
      </c>
      <c r="G312" s="13" t="inlineStr">
        <is>
          <t>Consumer</t>
        </is>
      </c>
      <c r="H312" s="13" t="n">
        <v>3</v>
      </c>
      <c r="I312" s="14" t="n">
        <v>150.45</v>
      </c>
      <c r="J312" s="15" t="n">
        <v>0</v>
      </c>
      <c r="K312" s="14" t="n">
        <v>69.20999999999999</v>
      </c>
      <c r="L312" s="13" t="n"/>
      <c r="M312" s="13" t="inlineStr">
        <is>
          <t>Completed</t>
        </is>
      </c>
      <c r="N312" s="13" t="inlineStr">
        <is>
          <t>P. Rossi</t>
        </is>
      </c>
      <c r="O312" s="13" t="inlineStr">
        <is>
          <t>No</t>
        </is>
      </c>
      <c r="P312" s="14">
        <f>H312*I312</f>
        <v/>
      </c>
      <c r="Q312" s="14">
        <f>P312*(1-J312)</f>
        <v/>
      </c>
      <c r="R312" s="14">
        <f>H312*K312</f>
        <v/>
      </c>
      <c r="S312" s="15">
        <f>IF(Q312=0,"",(Q312-R312)/Q312)</f>
        <v/>
      </c>
      <c r="T312" s="13">
        <f>YEAR(B312)</f>
        <v/>
      </c>
      <c r="U312" s="13">
        <f>YEAR(B312)&amp;"-Q"&amp;ROUNDUP(MONTH(B312)/3,0)</f>
        <v/>
      </c>
      <c r="V312" s="13">
        <f>TEXT(B312,"YYYY-MM")</f>
        <v/>
      </c>
      <c r="W312" s="13">
        <f>IF(L312="","",IF(L312&gt;pLateDays,1,0))</f>
        <v/>
      </c>
      <c r="X312" s="13">
        <f>IF(Q312&gt;=pHighCutoff,1,0)</f>
        <v/>
      </c>
      <c r="Y312" s="13">
        <f>IF(M312="Returned",1,0)</f>
        <v/>
      </c>
    </row>
    <row r="313">
      <c r="A313" s="13" t="inlineStr">
        <is>
          <t>HC-100311</t>
        </is>
      </c>
      <c r="B313" s="18" t="n">
        <v>45495</v>
      </c>
      <c r="C313" s="13" t="inlineStr">
        <is>
          <t>North</t>
        </is>
      </c>
      <c r="D313" s="13" t="inlineStr">
        <is>
          <t>Online</t>
        </is>
      </c>
      <c r="E313" s="13" t="inlineStr">
        <is>
          <t>Furniture</t>
        </is>
      </c>
      <c r="F313" s="13" t="inlineStr">
        <is>
          <t>Walnut Shelf</t>
        </is>
      </c>
      <c r="G313" s="13" t="inlineStr">
        <is>
          <t>Consumer</t>
        </is>
      </c>
      <c r="H313" s="13" t="n">
        <v>3</v>
      </c>
      <c r="I313" s="14" t="n">
        <v>206.22</v>
      </c>
      <c r="J313" s="15" t="n">
        <v>0.06</v>
      </c>
      <c r="K313" s="14" t="n">
        <v>113.42</v>
      </c>
      <c r="L313" s="13" t="n"/>
      <c r="M313" s="13" t="inlineStr">
        <is>
          <t>Completed</t>
        </is>
      </c>
      <c r="N313" s="13" t="inlineStr">
        <is>
          <t>R. Ibarra</t>
        </is>
      </c>
      <c r="O313" s="13" t="inlineStr">
        <is>
          <t>No</t>
        </is>
      </c>
      <c r="P313" s="14">
        <f>H313*I313</f>
        <v/>
      </c>
      <c r="Q313" s="14">
        <f>P313*(1-J313)</f>
        <v/>
      </c>
      <c r="R313" s="14">
        <f>H313*K313</f>
        <v/>
      </c>
      <c r="S313" s="15">
        <f>IF(Q313=0,"",(Q313-R313)/Q313)</f>
        <v/>
      </c>
      <c r="T313" s="13">
        <f>YEAR(B313)</f>
        <v/>
      </c>
      <c r="U313" s="13">
        <f>YEAR(B313)&amp;"-Q"&amp;ROUNDUP(MONTH(B313)/3,0)</f>
        <v/>
      </c>
      <c r="V313" s="13">
        <f>TEXT(B313,"YYYY-MM")</f>
        <v/>
      </c>
      <c r="W313" s="13">
        <f>IF(L313="","",IF(L313&gt;pLateDays,1,0))</f>
        <v/>
      </c>
      <c r="X313" s="13">
        <f>IF(Q313&gt;=pHighCutoff,1,0)</f>
        <v/>
      </c>
      <c r="Y313" s="13">
        <f>IF(M313="Returned",1,0)</f>
        <v/>
      </c>
    </row>
    <row r="314">
      <c r="A314" s="13" t="inlineStr">
        <is>
          <t>HC-100312</t>
        </is>
      </c>
      <c r="B314" s="18" t="n">
        <v>45304</v>
      </c>
      <c r="C314" s="13" t="inlineStr">
        <is>
          <t>West</t>
        </is>
      </c>
      <c r="D314" s="13" t="inlineStr">
        <is>
          <t>Online</t>
        </is>
      </c>
      <c r="E314" s="13" t="inlineStr">
        <is>
          <t>Textiles</t>
        </is>
      </c>
      <c r="F314" s="13" t="inlineStr">
        <is>
          <t>Cotton Duvet</t>
        </is>
      </c>
      <c r="G314" s="13" t="inlineStr">
        <is>
          <t>Consumer</t>
        </is>
      </c>
      <c r="H314" s="13" t="n">
        <v>1</v>
      </c>
      <c r="I314" s="14" t="n">
        <v>123.4</v>
      </c>
      <c r="J314" s="15" t="n">
        <v>0.13</v>
      </c>
      <c r="K314" s="14" t="n">
        <v>54.3</v>
      </c>
      <c r="L314" s="13" t="n">
        <v>6</v>
      </c>
      <c r="M314" s="13" t="inlineStr">
        <is>
          <t>Completed</t>
        </is>
      </c>
      <c r="N314" s="13" t="inlineStr">
        <is>
          <t>M. Okonkwo</t>
        </is>
      </c>
      <c r="O314" s="13" t="inlineStr">
        <is>
          <t>No</t>
        </is>
      </c>
      <c r="P314" s="14">
        <f>H314*I314</f>
        <v/>
      </c>
      <c r="Q314" s="14">
        <f>P314*(1-J314)</f>
        <v/>
      </c>
      <c r="R314" s="14">
        <f>H314*K314</f>
        <v/>
      </c>
      <c r="S314" s="15">
        <f>IF(Q314=0,"",(Q314-R314)/Q314)</f>
        <v/>
      </c>
      <c r="T314" s="13">
        <f>YEAR(B314)</f>
        <v/>
      </c>
      <c r="U314" s="13">
        <f>YEAR(B314)&amp;"-Q"&amp;ROUNDUP(MONTH(B314)/3,0)</f>
        <v/>
      </c>
      <c r="V314" s="13">
        <f>TEXT(B314,"YYYY-MM")</f>
        <v/>
      </c>
      <c r="W314" s="13">
        <f>IF(L314="","",IF(L314&gt;pLateDays,1,0))</f>
        <v/>
      </c>
      <c r="X314" s="13">
        <f>IF(Q314&gt;=pHighCutoff,1,0)</f>
        <v/>
      </c>
      <c r="Y314" s="13">
        <f>IF(M314="Returned",1,0)</f>
        <v/>
      </c>
    </row>
    <row r="315">
      <c r="A315" s="13" t="inlineStr">
        <is>
          <t>HC-100313</t>
        </is>
      </c>
      <c r="B315" s="18" t="n">
        <v>45373</v>
      </c>
      <c r="C315" s="13" t="inlineStr">
        <is>
          <t>North</t>
        </is>
      </c>
      <c r="D315" s="13" t="inlineStr">
        <is>
          <t>Wholesale</t>
        </is>
      </c>
      <c r="E315" s="13" t="inlineStr">
        <is>
          <t>Furniture</t>
        </is>
      </c>
      <c r="F315" s="13" t="inlineStr">
        <is>
          <t>Walnut Shelf</t>
        </is>
      </c>
      <c r="G315" s="13" t="inlineStr">
        <is>
          <t>Consumer</t>
        </is>
      </c>
      <c r="H315" s="13" t="n">
        <v>26</v>
      </c>
      <c r="I315" s="14" t="n">
        <v>225.96</v>
      </c>
      <c r="J315" s="15" t="n">
        <v>0.32</v>
      </c>
      <c r="K315" s="14" t="n">
        <v>124.28</v>
      </c>
      <c r="L315" s="13" t="n">
        <v>5</v>
      </c>
      <c r="M315" s="13" t="inlineStr">
        <is>
          <t>Completed</t>
        </is>
      </c>
      <c r="N315" s="13" t="inlineStr">
        <is>
          <t>M. Okonkwo</t>
        </is>
      </c>
      <c r="O315" s="13" t="inlineStr">
        <is>
          <t>No</t>
        </is>
      </c>
      <c r="P315" s="14">
        <f>H315*I315</f>
        <v/>
      </c>
      <c r="Q315" s="14">
        <f>P315*(1-J315)</f>
        <v/>
      </c>
      <c r="R315" s="14">
        <f>H315*K315</f>
        <v/>
      </c>
      <c r="S315" s="15">
        <f>IF(Q315=0,"",(Q315-R315)/Q315)</f>
        <v/>
      </c>
      <c r="T315" s="13">
        <f>YEAR(B315)</f>
        <v/>
      </c>
      <c r="U315" s="13">
        <f>YEAR(B315)&amp;"-Q"&amp;ROUNDUP(MONTH(B315)/3,0)</f>
        <v/>
      </c>
      <c r="V315" s="13">
        <f>TEXT(B315,"YYYY-MM")</f>
        <v/>
      </c>
      <c r="W315" s="13">
        <f>IF(L315="","",IF(L315&gt;pLateDays,1,0))</f>
        <v/>
      </c>
      <c r="X315" s="13">
        <f>IF(Q315&gt;=pHighCutoff,1,0)</f>
        <v/>
      </c>
      <c r="Y315" s="13">
        <f>IF(M315="Returned",1,0)</f>
        <v/>
      </c>
    </row>
    <row r="316">
      <c r="A316" s="13" t="inlineStr">
        <is>
          <t>HC-100314</t>
        </is>
      </c>
      <c r="B316" s="18" t="n">
        <v>45826</v>
      </c>
      <c r="C316" s="13" t="inlineStr">
        <is>
          <t>South</t>
        </is>
      </c>
      <c r="D316" s="13" t="inlineStr">
        <is>
          <t>Store</t>
        </is>
      </c>
      <c r="E316" s="13" t="inlineStr">
        <is>
          <t>Kitchen</t>
        </is>
      </c>
      <c r="F316" s="13" t="inlineStr">
        <is>
          <t>Ceramic Set</t>
        </is>
      </c>
      <c r="G316" s="13" t="inlineStr">
        <is>
          <t>Consumer</t>
        </is>
      </c>
      <c r="H316" s="13" t="n">
        <v>2</v>
      </c>
      <c r="I316" s="14" t="n">
        <v>86.14</v>
      </c>
      <c r="J316" s="15" t="n">
        <v>0.04</v>
      </c>
      <c r="K316" s="14" t="n">
        <v>32.73</v>
      </c>
      <c r="L316" s="13" t="n">
        <v>4</v>
      </c>
      <c r="M316" s="13" t="inlineStr">
        <is>
          <t>Completed</t>
        </is>
      </c>
      <c r="N316" s="13" t="inlineStr">
        <is>
          <t>L. Berger</t>
        </is>
      </c>
      <c r="O316" s="13" t="inlineStr">
        <is>
          <t>No</t>
        </is>
      </c>
      <c r="P316" s="14">
        <f>H316*I316</f>
        <v/>
      </c>
      <c r="Q316" s="14">
        <f>P316*(1-J316)</f>
        <v/>
      </c>
      <c r="R316" s="14">
        <f>H316*K316</f>
        <v/>
      </c>
      <c r="S316" s="15">
        <f>IF(Q316=0,"",(Q316-R316)/Q316)</f>
        <v/>
      </c>
      <c r="T316" s="13">
        <f>YEAR(B316)</f>
        <v/>
      </c>
      <c r="U316" s="13">
        <f>YEAR(B316)&amp;"-Q"&amp;ROUNDUP(MONTH(B316)/3,0)</f>
        <v/>
      </c>
      <c r="V316" s="13">
        <f>TEXT(B316,"YYYY-MM")</f>
        <v/>
      </c>
      <c r="W316" s="13">
        <f>IF(L316="","",IF(L316&gt;pLateDays,1,0))</f>
        <v/>
      </c>
      <c r="X316" s="13">
        <f>IF(Q316&gt;=pHighCutoff,1,0)</f>
        <v/>
      </c>
      <c r="Y316" s="13">
        <f>IF(M316="Returned",1,0)</f>
        <v/>
      </c>
    </row>
    <row r="317">
      <c r="A317" s="13" t="inlineStr">
        <is>
          <t>HC-100315</t>
        </is>
      </c>
      <c r="B317" s="18" t="n">
        <v>45849</v>
      </c>
      <c r="C317" s="13" t="inlineStr">
        <is>
          <t>South</t>
        </is>
      </c>
      <c r="D317" s="13" t="inlineStr">
        <is>
          <t>Store</t>
        </is>
      </c>
      <c r="E317" s="13" t="inlineStr">
        <is>
          <t>Furniture</t>
        </is>
      </c>
      <c r="F317" s="13" t="inlineStr">
        <is>
          <t>Walnut Shelf</t>
        </is>
      </c>
      <c r="G317" s="13" t="inlineStr">
        <is>
          <t>Consumer</t>
        </is>
      </c>
      <c r="H317" s="13" t="n">
        <v>1</v>
      </c>
      <c r="I317" s="14" t="n">
        <v>218.46</v>
      </c>
      <c r="J317" s="15" t="n">
        <v>0.1</v>
      </c>
      <c r="K317" s="14" t="n">
        <v>120.15</v>
      </c>
      <c r="L317" s="13" t="n">
        <v>8</v>
      </c>
      <c r="M317" s="13" t="inlineStr">
        <is>
          <t>Completed</t>
        </is>
      </c>
      <c r="N317" s="13" t="inlineStr">
        <is>
          <t>J. Patel</t>
        </is>
      </c>
      <c r="O317" s="13" t="inlineStr">
        <is>
          <t>No</t>
        </is>
      </c>
      <c r="P317" s="14">
        <f>H317*I317</f>
        <v/>
      </c>
      <c r="Q317" s="14">
        <f>P317*(1-J317)</f>
        <v/>
      </c>
      <c r="R317" s="14">
        <f>H317*K317</f>
        <v/>
      </c>
      <c r="S317" s="15">
        <f>IF(Q317=0,"",(Q317-R317)/Q317)</f>
        <v/>
      </c>
      <c r="T317" s="13">
        <f>YEAR(B317)</f>
        <v/>
      </c>
      <c r="U317" s="13">
        <f>YEAR(B317)&amp;"-Q"&amp;ROUNDUP(MONTH(B317)/3,0)</f>
        <v/>
      </c>
      <c r="V317" s="13">
        <f>TEXT(B317,"YYYY-MM")</f>
        <v/>
      </c>
      <c r="W317" s="13">
        <f>IF(L317="","",IF(L317&gt;pLateDays,1,0))</f>
        <v/>
      </c>
      <c r="X317" s="13">
        <f>IF(Q317&gt;=pHighCutoff,1,0)</f>
        <v/>
      </c>
      <c r="Y317" s="13">
        <f>IF(M317="Returned",1,0)</f>
        <v/>
      </c>
    </row>
    <row r="318">
      <c r="A318" s="13" t="inlineStr">
        <is>
          <t>HC-100316</t>
        </is>
      </c>
      <c r="B318" s="18" t="n">
        <v>45671</v>
      </c>
      <c r="C318" s="13" t="inlineStr">
        <is>
          <t>North</t>
        </is>
      </c>
      <c r="D318" s="13" t="inlineStr">
        <is>
          <t>Wholesale</t>
        </is>
      </c>
      <c r="E318" s="13" t="inlineStr">
        <is>
          <t>Furniture</t>
        </is>
      </c>
      <c r="F318" s="13" t="inlineStr">
        <is>
          <t>Oak Desk</t>
        </is>
      </c>
      <c r="G318" s="13" t="inlineStr">
        <is>
          <t>Corporate</t>
        </is>
      </c>
      <c r="H318" s="13" t="n">
        <v>10</v>
      </c>
      <c r="I318" s="14" t="n">
        <v>885.58</v>
      </c>
      <c r="J318" s="15" t="n">
        <v>0.25</v>
      </c>
      <c r="K318" s="14" t="n">
        <v>549.0599999999999</v>
      </c>
      <c r="L318" s="13" t="n">
        <v>4</v>
      </c>
      <c r="M318" s="13" t="inlineStr">
        <is>
          <t>Completed</t>
        </is>
      </c>
      <c r="N318" s="13" t="inlineStr">
        <is>
          <t>P. Rossi</t>
        </is>
      </c>
      <c r="O318" s="13" t="inlineStr">
        <is>
          <t>No</t>
        </is>
      </c>
      <c r="P318" s="14">
        <f>H318*I318</f>
        <v/>
      </c>
      <c r="Q318" s="14">
        <f>P318*(1-J318)</f>
        <v/>
      </c>
      <c r="R318" s="14">
        <f>H318*K318</f>
        <v/>
      </c>
      <c r="S318" s="15">
        <f>IF(Q318=0,"",(Q318-R318)/Q318)</f>
        <v/>
      </c>
      <c r="T318" s="13">
        <f>YEAR(B318)</f>
        <v/>
      </c>
      <c r="U318" s="13">
        <f>YEAR(B318)&amp;"-Q"&amp;ROUNDUP(MONTH(B318)/3,0)</f>
        <v/>
      </c>
      <c r="V318" s="13">
        <f>TEXT(B318,"YYYY-MM")</f>
        <v/>
      </c>
      <c r="W318" s="13">
        <f>IF(L318="","",IF(L318&gt;pLateDays,1,0))</f>
        <v/>
      </c>
      <c r="X318" s="13">
        <f>IF(Q318&gt;=pHighCutoff,1,0)</f>
        <v/>
      </c>
      <c r="Y318" s="13">
        <f>IF(M318="Returned",1,0)</f>
        <v/>
      </c>
    </row>
    <row r="319">
      <c r="A319" s="13" t="inlineStr">
        <is>
          <t>HC-100317</t>
        </is>
      </c>
      <c r="B319" s="18" t="n">
        <v>45647</v>
      </c>
      <c r="C319" s="13" t="inlineStr">
        <is>
          <t>East</t>
        </is>
      </c>
      <c r="D319" s="13" t="inlineStr">
        <is>
          <t>Wholesale</t>
        </is>
      </c>
      <c r="E319" s="13" t="inlineStr">
        <is>
          <t>Kitchen</t>
        </is>
      </c>
      <c r="F319" s="13" t="inlineStr">
        <is>
          <t>Cast Skillet</t>
        </is>
      </c>
      <c r="G319" s="13" t="inlineStr">
        <is>
          <t>Consumer</t>
        </is>
      </c>
      <c r="H319" s="13" t="n">
        <v>24</v>
      </c>
      <c r="I319" s="14" t="n">
        <v>44.83</v>
      </c>
      <c r="J319" s="15" t="n">
        <v>0.32</v>
      </c>
      <c r="K319" s="14" t="n">
        <v>17.93</v>
      </c>
      <c r="L319" s="13" t="n">
        <v>7</v>
      </c>
      <c r="M319" s="13" t="inlineStr">
        <is>
          <t>Completed</t>
        </is>
      </c>
      <c r="N319" s="13" t="inlineStr">
        <is>
          <t>A. Shah</t>
        </is>
      </c>
      <c r="O319" s="13" t="inlineStr">
        <is>
          <t>No</t>
        </is>
      </c>
      <c r="P319" s="14">
        <f>H319*I319</f>
        <v/>
      </c>
      <c r="Q319" s="14">
        <f>P319*(1-J319)</f>
        <v/>
      </c>
      <c r="R319" s="14">
        <f>H319*K319</f>
        <v/>
      </c>
      <c r="S319" s="15">
        <f>IF(Q319=0,"",(Q319-R319)/Q319)</f>
        <v/>
      </c>
      <c r="T319" s="13">
        <f>YEAR(B319)</f>
        <v/>
      </c>
      <c r="U319" s="13">
        <f>YEAR(B319)&amp;"-Q"&amp;ROUNDUP(MONTH(B319)/3,0)</f>
        <v/>
      </c>
      <c r="V319" s="13">
        <f>TEXT(B319,"YYYY-MM")</f>
        <v/>
      </c>
      <c r="W319" s="13">
        <f>IF(L319="","",IF(L319&gt;pLateDays,1,0))</f>
        <v/>
      </c>
      <c r="X319" s="13">
        <f>IF(Q319&gt;=pHighCutoff,1,0)</f>
        <v/>
      </c>
      <c r="Y319" s="13">
        <f>IF(M319="Returned",1,0)</f>
        <v/>
      </c>
    </row>
    <row r="320">
      <c r="A320" s="13" t="inlineStr">
        <is>
          <t>HC-100318</t>
        </is>
      </c>
      <c r="B320" s="18" t="n">
        <v>45292</v>
      </c>
      <c r="C320" s="13" t="inlineStr">
        <is>
          <t>North</t>
        </is>
      </c>
      <c r="D320" s="13" t="inlineStr">
        <is>
          <t>Online</t>
        </is>
      </c>
      <c r="E320" s="13" t="inlineStr">
        <is>
          <t>Kitchen</t>
        </is>
      </c>
      <c r="F320" s="13" t="inlineStr">
        <is>
          <t>Chef Knife</t>
        </is>
      </c>
      <c r="G320" s="13" t="inlineStr">
        <is>
          <t>Consumer</t>
        </is>
      </c>
      <c r="H320" s="13" t="n">
        <v>2</v>
      </c>
      <c r="I320" s="14" t="n">
        <v>67.06</v>
      </c>
      <c r="J320" s="15" t="n">
        <v>0.03</v>
      </c>
      <c r="K320" s="14" t="n">
        <v>24.14</v>
      </c>
      <c r="L320" s="13" t="n">
        <v>6</v>
      </c>
      <c r="M320" s="13" t="inlineStr">
        <is>
          <t>Completed</t>
        </is>
      </c>
      <c r="N320" s="13" t="inlineStr">
        <is>
          <t>J. Patel</t>
        </is>
      </c>
      <c r="O320" s="13" t="inlineStr">
        <is>
          <t>No</t>
        </is>
      </c>
      <c r="P320" s="14">
        <f>H320*I320</f>
        <v/>
      </c>
      <c r="Q320" s="14">
        <f>P320*(1-J320)</f>
        <v/>
      </c>
      <c r="R320" s="14">
        <f>H320*K320</f>
        <v/>
      </c>
      <c r="S320" s="15">
        <f>IF(Q320=0,"",(Q320-R320)/Q320)</f>
        <v/>
      </c>
      <c r="T320" s="13">
        <f>YEAR(B320)</f>
        <v/>
      </c>
      <c r="U320" s="13">
        <f>YEAR(B320)&amp;"-Q"&amp;ROUNDUP(MONTH(B320)/3,0)</f>
        <v/>
      </c>
      <c r="V320" s="13">
        <f>TEXT(B320,"YYYY-MM")</f>
        <v/>
      </c>
      <c r="W320" s="13">
        <f>IF(L320="","",IF(L320&gt;pLateDays,1,0))</f>
        <v/>
      </c>
      <c r="X320" s="13">
        <f>IF(Q320&gt;=pHighCutoff,1,0)</f>
        <v/>
      </c>
      <c r="Y320" s="13">
        <f>IF(M320="Returned",1,0)</f>
        <v/>
      </c>
    </row>
    <row r="321">
      <c r="A321" s="13" t="inlineStr">
        <is>
          <t>HC-100319</t>
        </is>
      </c>
      <c r="B321" s="18" t="n">
        <v>45628</v>
      </c>
      <c r="C321" s="13" t="inlineStr">
        <is>
          <t>South</t>
        </is>
      </c>
      <c r="D321" s="13" t="inlineStr">
        <is>
          <t>Wholesale</t>
        </is>
      </c>
      <c r="E321" s="13" t="inlineStr">
        <is>
          <t>Lighting</t>
        </is>
      </c>
      <c r="F321" s="13" t="inlineStr">
        <is>
          <t>Pendant Light</t>
        </is>
      </c>
      <c r="G321" s="13" t="inlineStr">
        <is>
          <t>Consumer</t>
        </is>
      </c>
      <c r="H321" s="13" t="n">
        <v>22</v>
      </c>
      <c r="I321" s="14" t="n">
        <v>181.38</v>
      </c>
      <c r="J321" s="15" t="n">
        <v>0.2</v>
      </c>
      <c r="K321" s="14" t="n">
        <v>90.69</v>
      </c>
      <c r="L321" s="13" t="n">
        <v>3</v>
      </c>
      <c r="M321" s="13" t="inlineStr">
        <is>
          <t>Completed</t>
        </is>
      </c>
      <c r="N321" s="13" t="inlineStr">
        <is>
          <t>A. Shah</t>
        </is>
      </c>
      <c r="O321" s="13" t="inlineStr">
        <is>
          <t>No</t>
        </is>
      </c>
      <c r="P321" s="14">
        <f>H321*I321</f>
        <v/>
      </c>
      <c r="Q321" s="14">
        <f>P321*(1-J321)</f>
        <v/>
      </c>
      <c r="R321" s="14">
        <f>H321*K321</f>
        <v/>
      </c>
      <c r="S321" s="15">
        <f>IF(Q321=0,"",(Q321-R321)/Q321)</f>
        <v/>
      </c>
      <c r="T321" s="13">
        <f>YEAR(B321)</f>
        <v/>
      </c>
      <c r="U321" s="13">
        <f>YEAR(B321)&amp;"-Q"&amp;ROUNDUP(MONTH(B321)/3,0)</f>
        <v/>
      </c>
      <c r="V321" s="13">
        <f>TEXT(B321,"YYYY-MM")</f>
        <v/>
      </c>
      <c r="W321" s="13">
        <f>IF(L321="","",IF(L321&gt;pLateDays,1,0))</f>
        <v/>
      </c>
      <c r="X321" s="13">
        <f>IF(Q321&gt;=pHighCutoff,1,0)</f>
        <v/>
      </c>
      <c r="Y321" s="13">
        <f>IF(M321="Returned",1,0)</f>
        <v/>
      </c>
    </row>
    <row r="322">
      <c r="A322" s="13" t="inlineStr">
        <is>
          <t>HC-100320</t>
        </is>
      </c>
      <c r="B322" s="18" t="n">
        <v>45507</v>
      </c>
      <c r="C322" s="13" t="inlineStr">
        <is>
          <t>East</t>
        </is>
      </c>
      <c r="D322" s="13" t="inlineStr">
        <is>
          <t>Online</t>
        </is>
      </c>
      <c r="E322" s="13" t="inlineStr">
        <is>
          <t>Textiles</t>
        </is>
      </c>
      <c r="F322" s="13" t="inlineStr">
        <is>
          <t>Linen Curtain</t>
        </is>
      </c>
      <c r="G322" s="13" t="inlineStr">
        <is>
          <t>Corporate</t>
        </is>
      </c>
      <c r="H322" s="13" t="n">
        <v>2</v>
      </c>
      <c r="I322" s="14" t="n">
        <v>86.26000000000001</v>
      </c>
      <c r="J322" s="15" t="n">
        <v>0.05</v>
      </c>
      <c r="K322" s="14" t="n">
        <v>38.82</v>
      </c>
      <c r="L322" s="13" t="n">
        <v>8</v>
      </c>
      <c r="M322" s="13" t="inlineStr">
        <is>
          <t>Completed</t>
        </is>
      </c>
      <c r="N322" s="13" t="inlineStr">
        <is>
          <t>K. Mensah</t>
        </is>
      </c>
      <c r="O322" s="13" t="inlineStr">
        <is>
          <t>No</t>
        </is>
      </c>
      <c r="P322" s="14">
        <f>H322*I322</f>
        <v/>
      </c>
      <c r="Q322" s="14">
        <f>P322*(1-J322)</f>
        <v/>
      </c>
      <c r="R322" s="14">
        <f>H322*K322</f>
        <v/>
      </c>
      <c r="S322" s="15">
        <f>IF(Q322=0,"",(Q322-R322)/Q322)</f>
        <v/>
      </c>
      <c r="T322" s="13">
        <f>YEAR(B322)</f>
        <v/>
      </c>
      <c r="U322" s="13">
        <f>YEAR(B322)&amp;"-Q"&amp;ROUNDUP(MONTH(B322)/3,0)</f>
        <v/>
      </c>
      <c r="V322" s="13">
        <f>TEXT(B322,"YYYY-MM")</f>
        <v/>
      </c>
      <c r="W322" s="13">
        <f>IF(L322="","",IF(L322&gt;pLateDays,1,0))</f>
        <v/>
      </c>
      <c r="X322" s="13">
        <f>IF(Q322&gt;=pHighCutoff,1,0)</f>
        <v/>
      </c>
      <c r="Y322" s="13">
        <f>IF(M322="Returned",1,0)</f>
        <v/>
      </c>
    </row>
    <row r="323">
      <c r="A323" s="13" t="inlineStr">
        <is>
          <t>HC-100321</t>
        </is>
      </c>
      <c r="B323" s="18" t="n">
        <v>45508</v>
      </c>
      <c r="C323" s="13" t="inlineStr">
        <is>
          <t>South</t>
        </is>
      </c>
      <c r="D323" s="13" t="inlineStr">
        <is>
          <t>Store</t>
        </is>
      </c>
      <c r="E323" s="13" t="inlineStr">
        <is>
          <t>Textiles</t>
        </is>
      </c>
      <c r="F323" s="13" t="inlineStr">
        <is>
          <t>Wool Throw</t>
        </is>
      </c>
      <c r="G323" s="13" t="inlineStr">
        <is>
          <t>Consumer</t>
        </is>
      </c>
      <c r="H323" s="13" t="n">
        <v>3</v>
      </c>
      <c r="I323" s="14" t="n">
        <v>80.63</v>
      </c>
      <c r="J323" s="15" t="n">
        <v>0.01</v>
      </c>
      <c r="K323" s="14" t="n">
        <v>33.86</v>
      </c>
      <c r="L323" s="13" t="n">
        <v>4</v>
      </c>
      <c r="M323" s="13" t="inlineStr">
        <is>
          <t>Completed</t>
        </is>
      </c>
      <c r="N323" s="13" t="inlineStr">
        <is>
          <t>M. Okonkwo</t>
        </is>
      </c>
      <c r="O323" s="13" t="inlineStr">
        <is>
          <t>No</t>
        </is>
      </c>
      <c r="P323" s="14">
        <f>H323*I323</f>
        <v/>
      </c>
      <c r="Q323" s="14">
        <f>P323*(1-J323)</f>
        <v/>
      </c>
      <c r="R323" s="14">
        <f>H323*K323</f>
        <v/>
      </c>
      <c r="S323" s="15">
        <f>IF(Q323=0,"",(Q323-R323)/Q323)</f>
        <v/>
      </c>
      <c r="T323" s="13">
        <f>YEAR(B323)</f>
        <v/>
      </c>
      <c r="U323" s="13">
        <f>YEAR(B323)&amp;"-Q"&amp;ROUNDUP(MONTH(B323)/3,0)</f>
        <v/>
      </c>
      <c r="V323" s="13">
        <f>TEXT(B323,"YYYY-MM")</f>
        <v/>
      </c>
      <c r="W323" s="13">
        <f>IF(L323="","",IF(L323&gt;pLateDays,1,0))</f>
        <v/>
      </c>
      <c r="X323" s="13">
        <f>IF(Q323&gt;=pHighCutoff,1,0)</f>
        <v/>
      </c>
      <c r="Y323" s="13">
        <f>IF(M323="Returned",1,0)</f>
        <v/>
      </c>
    </row>
    <row r="324">
      <c r="A324" s="13" t="inlineStr">
        <is>
          <t>HC-100322</t>
        </is>
      </c>
      <c r="B324" s="18" t="n">
        <v>45594</v>
      </c>
      <c r="C324" s="13" t="inlineStr">
        <is>
          <t>North</t>
        </is>
      </c>
      <c r="D324" s="13" t="inlineStr">
        <is>
          <t>Online</t>
        </is>
      </c>
      <c r="E324" s="13" t="inlineStr">
        <is>
          <t>Kitchen</t>
        </is>
      </c>
      <c r="F324" s="13" t="inlineStr">
        <is>
          <t>Ceramic Set</t>
        </is>
      </c>
      <c r="G324" s="13" t="inlineStr">
        <is>
          <t>Consumer</t>
        </is>
      </c>
      <c r="H324" s="13" t="n">
        <v>3</v>
      </c>
      <c r="I324" s="14" t="n">
        <v>92.75</v>
      </c>
      <c r="J324" s="15" t="n">
        <v>0.13</v>
      </c>
      <c r="K324" s="14" t="n">
        <v>35.25</v>
      </c>
      <c r="L324" s="13" t="n">
        <v>9</v>
      </c>
      <c r="M324" s="13" t="inlineStr">
        <is>
          <t>Completed</t>
        </is>
      </c>
      <c r="N324" s="13" t="inlineStr">
        <is>
          <t>J. Patel</t>
        </is>
      </c>
      <c r="O324" s="13" t="inlineStr">
        <is>
          <t>No</t>
        </is>
      </c>
      <c r="P324" s="14">
        <f>H324*I324</f>
        <v/>
      </c>
      <c r="Q324" s="14">
        <f>P324*(1-J324)</f>
        <v/>
      </c>
      <c r="R324" s="14">
        <f>H324*K324</f>
        <v/>
      </c>
      <c r="S324" s="15">
        <f>IF(Q324=0,"",(Q324-R324)/Q324)</f>
        <v/>
      </c>
      <c r="T324" s="13">
        <f>YEAR(B324)</f>
        <v/>
      </c>
      <c r="U324" s="13">
        <f>YEAR(B324)&amp;"-Q"&amp;ROUNDUP(MONTH(B324)/3,0)</f>
        <v/>
      </c>
      <c r="V324" s="13">
        <f>TEXT(B324,"YYYY-MM")</f>
        <v/>
      </c>
      <c r="W324" s="13">
        <f>IF(L324="","",IF(L324&gt;pLateDays,1,0))</f>
        <v/>
      </c>
      <c r="X324" s="13">
        <f>IF(Q324&gt;=pHighCutoff,1,0)</f>
        <v/>
      </c>
      <c r="Y324" s="13">
        <f>IF(M324="Returned",1,0)</f>
        <v/>
      </c>
    </row>
    <row r="325">
      <c r="A325" s="13" t="inlineStr">
        <is>
          <t>HC-100323</t>
        </is>
      </c>
      <c r="B325" s="18" t="n">
        <v>45450</v>
      </c>
      <c r="C325" s="13" t="inlineStr">
        <is>
          <t>South</t>
        </is>
      </c>
      <c r="D325" s="13" t="inlineStr">
        <is>
          <t>Store</t>
        </is>
      </c>
      <c r="E325" s="13" t="inlineStr">
        <is>
          <t>Furniture</t>
        </is>
      </c>
      <c r="F325" s="13" t="inlineStr">
        <is>
          <t>Linen Sofa</t>
        </is>
      </c>
      <c r="G325" s="13" t="inlineStr">
        <is>
          <t>Consumer</t>
        </is>
      </c>
      <c r="H325" s="13" t="n">
        <v>1</v>
      </c>
      <c r="I325" s="14" t="n">
        <v>1167.04</v>
      </c>
      <c r="J325" s="15" t="n">
        <v>0.11</v>
      </c>
      <c r="K325" s="14" t="n">
        <v>770.25</v>
      </c>
      <c r="L325" s="13" t="n">
        <v>5</v>
      </c>
      <c r="M325" s="13" t="inlineStr">
        <is>
          <t>Completed</t>
        </is>
      </c>
      <c r="N325" s="13" t="inlineStr">
        <is>
          <t>L. Berger</t>
        </is>
      </c>
      <c r="O325" s="13" t="inlineStr">
        <is>
          <t>No</t>
        </is>
      </c>
      <c r="P325" s="14">
        <f>H325*I325</f>
        <v/>
      </c>
      <c r="Q325" s="14">
        <f>P325*(1-J325)</f>
        <v/>
      </c>
      <c r="R325" s="14">
        <f>H325*K325</f>
        <v/>
      </c>
      <c r="S325" s="15">
        <f>IF(Q325=0,"",(Q325-R325)/Q325)</f>
        <v/>
      </c>
      <c r="T325" s="13">
        <f>YEAR(B325)</f>
        <v/>
      </c>
      <c r="U325" s="13">
        <f>YEAR(B325)&amp;"-Q"&amp;ROUNDUP(MONTH(B325)/3,0)</f>
        <v/>
      </c>
      <c r="V325" s="13">
        <f>TEXT(B325,"YYYY-MM")</f>
        <v/>
      </c>
      <c r="W325" s="13">
        <f>IF(L325="","",IF(L325&gt;pLateDays,1,0))</f>
        <v/>
      </c>
      <c r="X325" s="13">
        <f>IF(Q325&gt;=pHighCutoff,1,0)</f>
        <v/>
      </c>
      <c r="Y325" s="13">
        <f>IF(M325="Returned",1,0)</f>
        <v/>
      </c>
    </row>
    <row r="326">
      <c r="A326" s="13" t="inlineStr">
        <is>
          <t>HC-100324</t>
        </is>
      </c>
      <c r="B326" s="18" t="n">
        <v>45527</v>
      </c>
      <c r="C326" s="13" t="inlineStr">
        <is>
          <t>North</t>
        </is>
      </c>
      <c r="D326" s="13" t="inlineStr">
        <is>
          <t>Store</t>
        </is>
      </c>
      <c r="E326" s="13" t="inlineStr">
        <is>
          <t>Textiles</t>
        </is>
      </c>
      <c r="F326" s="13" t="inlineStr">
        <is>
          <t>Linen Curtain</t>
        </is>
      </c>
      <c r="G326" s="13" t="inlineStr">
        <is>
          <t>Consumer</t>
        </is>
      </c>
      <c r="H326" s="13" t="n">
        <v>2</v>
      </c>
      <c r="I326" s="14" t="n">
        <v>101.65</v>
      </c>
      <c r="J326" s="15" t="n">
        <v>0.1</v>
      </c>
      <c r="K326" s="14" t="n">
        <v>45.74</v>
      </c>
      <c r="L326" s="13" t="n">
        <v>5</v>
      </c>
      <c r="M326" s="13" t="inlineStr">
        <is>
          <t>Returned</t>
        </is>
      </c>
      <c r="N326" s="13" t="inlineStr">
        <is>
          <t>R. Ibarra</t>
        </is>
      </c>
      <c r="O326" s="13" t="inlineStr">
        <is>
          <t>No</t>
        </is>
      </c>
      <c r="P326" s="14">
        <f>H326*I326</f>
        <v/>
      </c>
      <c r="Q326" s="14">
        <f>P326*(1-J326)</f>
        <v/>
      </c>
      <c r="R326" s="14">
        <f>H326*K326</f>
        <v/>
      </c>
      <c r="S326" s="15">
        <f>IF(Q326=0,"",(Q326-R326)/Q326)</f>
        <v/>
      </c>
      <c r="T326" s="13">
        <f>YEAR(B326)</f>
        <v/>
      </c>
      <c r="U326" s="13">
        <f>YEAR(B326)&amp;"-Q"&amp;ROUNDUP(MONTH(B326)/3,0)</f>
        <v/>
      </c>
      <c r="V326" s="13">
        <f>TEXT(B326,"YYYY-MM")</f>
        <v/>
      </c>
      <c r="W326" s="13">
        <f>IF(L326="","",IF(L326&gt;pLateDays,1,0))</f>
        <v/>
      </c>
      <c r="X326" s="13">
        <f>IF(Q326&gt;=pHighCutoff,1,0)</f>
        <v/>
      </c>
      <c r="Y326" s="13">
        <f>IF(M326="Returned",1,0)</f>
        <v/>
      </c>
    </row>
    <row r="327">
      <c r="A327" s="13" t="inlineStr">
        <is>
          <t>HC-100325</t>
        </is>
      </c>
      <c r="B327" s="18" t="n">
        <v>45643</v>
      </c>
      <c r="C327" s="13" t="inlineStr">
        <is>
          <t>South</t>
        </is>
      </c>
      <c r="D327" s="13" t="inlineStr">
        <is>
          <t>Online</t>
        </is>
      </c>
      <c r="E327" s="13" t="inlineStr">
        <is>
          <t>Textiles</t>
        </is>
      </c>
      <c r="F327" s="13" t="inlineStr">
        <is>
          <t>Linen Curtain</t>
        </is>
      </c>
      <c r="G327" s="13" t="inlineStr">
        <is>
          <t>Home Office</t>
        </is>
      </c>
      <c r="H327" s="13" t="n">
        <v>4</v>
      </c>
      <c r="I327" s="14" t="n">
        <v>99.81999999999999</v>
      </c>
      <c r="J327" s="15" t="n">
        <v>0.1</v>
      </c>
      <c r="K327" s="14" t="n">
        <v>44.92</v>
      </c>
      <c r="L327" s="13" t="n">
        <v>8</v>
      </c>
      <c r="M327" s="13" t="inlineStr">
        <is>
          <t>Completed</t>
        </is>
      </c>
      <c r="N327" s="13" t="inlineStr">
        <is>
          <t>L. Berger</t>
        </is>
      </c>
      <c r="O327" s="13" t="inlineStr">
        <is>
          <t>No</t>
        </is>
      </c>
      <c r="P327" s="14">
        <f>H327*I327</f>
        <v/>
      </c>
      <c r="Q327" s="14">
        <f>P327*(1-J327)</f>
        <v/>
      </c>
      <c r="R327" s="14">
        <f>H327*K327</f>
        <v/>
      </c>
      <c r="S327" s="15">
        <f>IF(Q327=0,"",(Q327-R327)/Q327)</f>
        <v/>
      </c>
      <c r="T327" s="13">
        <f>YEAR(B327)</f>
        <v/>
      </c>
      <c r="U327" s="13">
        <f>YEAR(B327)&amp;"-Q"&amp;ROUNDUP(MONTH(B327)/3,0)</f>
        <v/>
      </c>
      <c r="V327" s="13">
        <f>TEXT(B327,"YYYY-MM")</f>
        <v/>
      </c>
      <c r="W327" s="13">
        <f>IF(L327="","",IF(L327&gt;pLateDays,1,0))</f>
        <v/>
      </c>
      <c r="X327" s="13">
        <f>IF(Q327&gt;=pHighCutoff,1,0)</f>
        <v/>
      </c>
      <c r="Y327" s="13">
        <f>IF(M327="Returned",1,0)</f>
        <v/>
      </c>
    </row>
    <row r="328">
      <c r="A328" s="13" t="inlineStr">
        <is>
          <t>HC-100326</t>
        </is>
      </c>
      <c r="B328" s="18" t="n">
        <v>45645</v>
      </c>
      <c r="C328" s="13" t="inlineStr">
        <is>
          <t>West</t>
        </is>
      </c>
      <c r="D328" s="13" t="inlineStr">
        <is>
          <t>Store</t>
        </is>
      </c>
      <c r="E328" s="13" t="inlineStr">
        <is>
          <t>Lighting</t>
        </is>
      </c>
      <c r="F328" s="13" t="inlineStr">
        <is>
          <t>Brass Sconce</t>
        </is>
      </c>
      <c r="G328" s="13" t="inlineStr">
        <is>
          <t>Home Office</t>
        </is>
      </c>
      <c r="H328" s="13" t="n">
        <v>4</v>
      </c>
      <c r="I328" s="14" t="n">
        <v>134.64</v>
      </c>
      <c r="J328" s="15" t="n">
        <v>0.02</v>
      </c>
      <c r="K328" s="14" t="n">
        <v>61.93</v>
      </c>
      <c r="L328" s="13" t="n">
        <v>5</v>
      </c>
      <c r="M328" s="13" t="inlineStr">
        <is>
          <t>Completed</t>
        </is>
      </c>
      <c r="N328" s="13" t="inlineStr">
        <is>
          <t>L. Berger</t>
        </is>
      </c>
      <c r="O328" s="13" t="inlineStr">
        <is>
          <t>No</t>
        </is>
      </c>
      <c r="P328" s="14">
        <f>H328*I328</f>
        <v/>
      </c>
      <c r="Q328" s="14">
        <f>P328*(1-J328)</f>
        <v/>
      </c>
      <c r="R328" s="14">
        <f>H328*K328</f>
        <v/>
      </c>
      <c r="S328" s="15">
        <f>IF(Q328=0,"",(Q328-R328)/Q328)</f>
        <v/>
      </c>
      <c r="T328" s="13">
        <f>YEAR(B328)</f>
        <v/>
      </c>
      <c r="U328" s="13">
        <f>YEAR(B328)&amp;"-Q"&amp;ROUNDUP(MONTH(B328)/3,0)</f>
        <v/>
      </c>
      <c r="V328" s="13">
        <f>TEXT(B328,"YYYY-MM")</f>
        <v/>
      </c>
      <c r="W328" s="13">
        <f>IF(L328="","",IF(L328&gt;pLateDays,1,0))</f>
        <v/>
      </c>
      <c r="X328" s="13">
        <f>IF(Q328&gt;=pHighCutoff,1,0)</f>
        <v/>
      </c>
      <c r="Y328" s="13">
        <f>IF(M328="Returned",1,0)</f>
        <v/>
      </c>
    </row>
    <row r="329">
      <c r="A329" s="13" t="inlineStr">
        <is>
          <t>HC-100327</t>
        </is>
      </c>
      <c r="B329" s="18" t="n">
        <v>45618</v>
      </c>
      <c r="C329" s="13" t="inlineStr">
        <is>
          <t>East</t>
        </is>
      </c>
      <c r="D329" s="13" t="inlineStr">
        <is>
          <t>Online</t>
        </is>
      </c>
      <c r="E329" s="13" t="inlineStr">
        <is>
          <t>Lighting</t>
        </is>
      </c>
      <c r="F329" s="13" t="inlineStr">
        <is>
          <t>Brass Sconce</t>
        </is>
      </c>
      <c r="G329" s="13" t="inlineStr">
        <is>
          <t>Consumer</t>
        </is>
      </c>
      <c r="H329" s="13" t="n">
        <v>4</v>
      </c>
      <c r="I329" s="14" t="n">
        <v>130.32</v>
      </c>
      <c r="J329" s="15" t="n">
        <v>0.14</v>
      </c>
      <c r="K329" s="14" t="n">
        <v>59.95</v>
      </c>
      <c r="L329" s="13" t="n">
        <v>8</v>
      </c>
      <c r="M329" s="13" t="inlineStr">
        <is>
          <t>Completed</t>
        </is>
      </c>
      <c r="N329" s="13" t="inlineStr">
        <is>
          <t>P. Rossi</t>
        </is>
      </c>
      <c r="O329" s="13" t="inlineStr">
        <is>
          <t>No</t>
        </is>
      </c>
      <c r="P329" s="14">
        <f>H329*I329</f>
        <v/>
      </c>
      <c r="Q329" s="14">
        <f>P329*(1-J329)</f>
        <v/>
      </c>
      <c r="R329" s="14">
        <f>H329*K329</f>
        <v/>
      </c>
      <c r="S329" s="15">
        <f>IF(Q329=0,"",(Q329-R329)/Q329)</f>
        <v/>
      </c>
      <c r="T329" s="13">
        <f>YEAR(B329)</f>
        <v/>
      </c>
      <c r="U329" s="13">
        <f>YEAR(B329)&amp;"-Q"&amp;ROUNDUP(MONTH(B329)/3,0)</f>
        <v/>
      </c>
      <c r="V329" s="13">
        <f>TEXT(B329,"YYYY-MM")</f>
        <v/>
      </c>
      <c r="W329" s="13">
        <f>IF(L329="","",IF(L329&gt;pLateDays,1,0))</f>
        <v/>
      </c>
      <c r="X329" s="13">
        <f>IF(Q329&gt;=pHighCutoff,1,0)</f>
        <v/>
      </c>
      <c r="Y329" s="13">
        <f>IF(M329="Returned",1,0)</f>
        <v/>
      </c>
    </row>
    <row r="330">
      <c r="A330" s="13" t="inlineStr">
        <is>
          <t>HC-100328</t>
        </is>
      </c>
      <c r="B330" s="18" t="n">
        <v>45640</v>
      </c>
      <c r="C330" s="13" t="inlineStr">
        <is>
          <t>North</t>
        </is>
      </c>
      <c r="D330" s="13" t="inlineStr">
        <is>
          <t>Online</t>
        </is>
      </c>
      <c r="E330" s="13" t="inlineStr">
        <is>
          <t>Textiles</t>
        </is>
      </c>
      <c r="F330" s="13" t="inlineStr">
        <is>
          <t>Cotton Duvet</t>
        </is>
      </c>
      <c r="G330" s="13" t="inlineStr">
        <is>
          <t>Consumer</t>
        </is>
      </c>
      <c r="H330" s="13" t="n">
        <v>4</v>
      </c>
      <c r="I330" s="14" t="n">
        <v>121.29</v>
      </c>
      <c r="J330" s="15" t="n">
        <v>0.12</v>
      </c>
      <c r="K330" s="14" t="n">
        <v>53.37</v>
      </c>
      <c r="L330" s="13" t="n">
        <v>2</v>
      </c>
      <c r="M330" s="13" t="inlineStr">
        <is>
          <t>Completed</t>
        </is>
      </c>
      <c r="N330" s="13" t="inlineStr">
        <is>
          <t>M. Okonkwo</t>
        </is>
      </c>
      <c r="O330" s="13" t="inlineStr">
        <is>
          <t>No</t>
        </is>
      </c>
      <c r="P330" s="14">
        <f>H330*I330</f>
        <v/>
      </c>
      <c r="Q330" s="14">
        <f>P330*(1-J330)</f>
        <v/>
      </c>
      <c r="R330" s="14">
        <f>H330*K330</f>
        <v/>
      </c>
      <c r="S330" s="15">
        <f>IF(Q330=0,"",(Q330-R330)/Q330)</f>
        <v/>
      </c>
      <c r="T330" s="13">
        <f>YEAR(B330)</f>
        <v/>
      </c>
      <c r="U330" s="13">
        <f>YEAR(B330)&amp;"-Q"&amp;ROUNDUP(MONTH(B330)/3,0)</f>
        <v/>
      </c>
      <c r="V330" s="13">
        <f>TEXT(B330,"YYYY-MM")</f>
        <v/>
      </c>
      <c r="W330" s="13">
        <f>IF(L330="","",IF(L330&gt;pLateDays,1,0))</f>
        <v/>
      </c>
      <c r="X330" s="13">
        <f>IF(Q330&gt;=pHighCutoff,1,0)</f>
        <v/>
      </c>
      <c r="Y330" s="13">
        <f>IF(M330="Returned",1,0)</f>
        <v/>
      </c>
    </row>
    <row r="331">
      <c r="A331" s="13" t="inlineStr">
        <is>
          <t>HC-100329</t>
        </is>
      </c>
      <c r="B331" s="18" t="n">
        <v>45530</v>
      </c>
      <c r="C331" s="13" t="inlineStr">
        <is>
          <t>East</t>
        </is>
      </c>
      <c r="D331" s="13" t="inlineStr">
        <is>
          <t>Online</t>
        </is>
      </c>
      <c r="E331" s="13" t="inlineStr">
        <is>
          <t>Furniture</t>
        </is>
      </c>
      <c r="F331" s="13" t="inlineStr">
        <is>
          <t>Oak Desk</t>
        </is>
      </c>
      <c r="G331" s="13" t="inlineStr">
        <is>
          <t>Consumer</t>
        </is>
      </c>
      <c r="H331" s="13" t="n">
        <v>1</v>
      </c>
      <c r="I331" s="14" t="n">
        <v>711</v>
      </c>
      <c r="J331" s="15" t="n">
        <v>0.03</v>
      </c>
      <c r="K331" s="14" t="n">
        <v>440.82</v>
      </c>
      <c r="L331" s="13" t="n">
        <v>7</v>
      </c>
      <c r="M331" s="13" t="inlineStr">
        <is>
          <t>Completed</t>
        </is>
      </c>
      <c r="N331" s="13" t="inlineStr">
        <is>
          <t>K. Mensah</t>
        </is>
      </c>
      <c r="O331" s="13" t="inlineStr">
        <is>
          <t>No</t>
        </is>
      </c>
      <c r="P331" s="14">
        <f>H331*I331</f>
        <v/>
      </c>
      <c r="Q331" s="14">
        <f>P331*(1-J331)</f>
        <v/>
      </c>
      <c r="R331" s="14">
        <f>H331*K331</f>
        <v/>
      </c>
      <c r="S331" s="15">
        <f>IF(Q331=0,"",(Q331-R331)/Q331)</f>
        <v/>
      </c>
      <c r="T331" s="13">
        <f>YEAR(B331)</f>
        <v/>
      </c>
      <c r="U331" s="13">
        <f>YEAR(B331)&amp;"-Q"&amp;ROUNDUP(MONTH(B331)/3,0)</f>
        <v/>
      </c>
      <c r="V331" s="13">
        <f>TEXT(B331,"YYYY-MM")</f>
        <v/>
      </c>
      <c r="W331" s="13">
        <f>IF(L331="","",IF(L331&gt;pLateDays,1,0))</f>
        <v/>
      </c>
      <c r="X331" s="13">
        <f>IF(Q331&gt;=pHighCutoff,1,0)</f>
        <v/>
      </c>
      <c r="Y331" s="13">
        <f>IF(M331="Returned",1,0)</f>
        <v/>
      </c>
    </row>
    <row r="332">
      <c r="A332" s="13" t="inlineStr">
        <is>
          <t>HC-100330</t>
        </is>
      </c>
      <c r="B332" s="18" t="n">
        <v>45620</v>
      </c>
      <c r="C332" s="13" t="inlineStr">
        <is>
          <t>West</t>
        </is>
      </c>
      <c r="D332" s="13" t="inlineStr">
        <is>
          <t>Store</t>
        </is>
      </c>
      <c r="E332" s="13" t="inlineStr">
        <is>
          <t>Furniture</t>
        </is>
      </c>
      <c r="F332" s="13" t="inlineStr">
        <is>
          <t>Walnut Shelf</t>
        </is>
      </c>
      <c r="G332" s="13" t="inlineStr">
        <is>
          <t>Consumer</t>
        </is>
      </c>
      <c r="H332" s="13" t="n">
        <v>4</v>
      </c>
      <c r="I332" s="14" t="n">
        <v>236.77</v>
      </c>
      <c r="J332" s="15" t="n">
        <v>0.01</v>
      </c>
      <c r="K332" s="14" t="n">
        <v>130.23</v>
      </c>
      <c r="L332" s="13" t="n">
        <v>9</v>
      </c>
      <c r="M332" s="13" t="inlineStr">
        <is>
          <t>Completed</t>
        </is>
      </c>
      <c r="N332" s="13" t="inlineStr">
        <is>
          <t>K. Mensah</t>
        </is>
      </c>
      <c r="O332" s="13" t="inlineStr">
        <is>
          <t>No</t>
        </is>
      </c>
      <c r="P332" s="14">
        <f>H332*I332</f>
        <v/>
      </c>
      <c r="Q332" s="14">
        <f>P332*(1-J332)</f>
        <v/>
      </c>
      <c r="R332" s="14">
        <f>H332*K332</f>
        <v/>
      </c>
      <c r="S332" s="15">
        <f>IF(Q332=0,"",(Q332-R332)/Q332)</f>
        <v/>
      </c>
      <c r="T332" s="13">
        <f>YEAR(B332)</f>
        <v/>
      </c>
      <c r="U332" s="13">
        <f>YEAR(B332)&amp;"-Q"&amp;ROUNDUP(MONTH(B332)/3,0)</f>
        <v/>
      </c>
      <c r="V332" s="13">
        <f>TEXT(B332,"YYYY-MM")</f>
        <v/>
      </c>
      <c r="W332" s="13">
        <f>IF(L332="","",IF(L332&gt;pLateDays,1,0))</f>
        <v/>
      </c>
      <c r="X332" s="13">
        <f>IF(Q332&gt;=pHighCutoff,1,0)</f>
        <v/>
      </c>
      <c r="Y332" s="13">
        <f>IF(M332="Returned",1,0)</f>
        <v/>
      </c>
    </row>
    <row r="333">
      <c r="A333" s="13" t="inlineStr">
        <is>
          <t>HC-100331</t>
        </is>
      </c>
      <c r="B333" s="18" t="n">
        <v>45460</v>
      </c>
      <c r="C333" s="13" t="inlineStr">
        <is>
          <t>East</t>
        </is>
      </c>
      <c r="D333" s="13" t="inlineStr">
        <is>
          <t>Wholesale</t>
        </is>
      </c>
      <c r="E333" s="13" t="inlineStr">
        <is>
          <t>Furniture</t>
        </is>
      </c>
      <c r="F333" s="13" t="inlineStr">
        <is>
          <t>Walnut Shelf</t>
        </is>
      </c>
      <c r="G333" s="13" t="inlineStr">
        <is>
          <t>Consumer</t>
        </is>
      </c>
      <c r="H333" s="13" t="n">
        <v>14</v>
      </c>
      <c r="I333" s="14" t="n">
        <v>186.08</v>
      </c>
      <c r="J333" s="15" t="n">
        <v>0.16</v>
      </c>
      <c r="K333" s="14" t="n">
        <v>102.35</v>
      </c>
      <c r="L333" s="13" t="n">
        <v>8</v>
      </c>
      <c r="M333" s="13" t="inlineStr">
        <is>
          <t>Completed</t>
        </is>
      </c>
      <c r="N333" s="13" t="inlineStr">
        <is>
          <t>K. Mensah</t>
        </is>
      </c>
      <c r="O333" s="13" t="inlineStr">
        <is>
          <t>No</t>
        </is>
      </c>
      <c r="P333" s="14">
        <f>H333*I333</f>
        <v/>
      </c>
      <c r="Q333" s="14">
        <f>P333*(1-J333)</f>
        <v/>
      </c>
      <c r="R333" s="14">
        <f>H333*K333</f>
        <v/>
      </c>
      <c r="S333" s="15">
        <f>IF(Q333=0,"",(Q333-R333)/Q333)</f>
        <v/>
      </c>
      <c r="T333" s="13">
        <f>YEAR(B333)</f>
        <v/>
      </c>
      <c r="U333" s="13">
        <f>YEAR(B333)&amp;"-Q"&amp;ROUNDUP(MONTH(B333)/3,0)</f>
        <v/>
      </c>
      <c r="V333" s="13">
        <f>TEXT(B333,"YYYY-MM")</f>
        <v/>
      </c>
      <c r="W333" s="13">
        <f>IF(L333="","",IF(L333&gt;pLateDays,1,0))</f>
        <v/>
      </c>
      <c r="X333" s="13">
        <f>IF(Q333&gt;=pHighCutoff,1,0)</f>
        <v/>
      </c>
      <c r="Y333" s="13">
        <f>IF(M333="Returned",1,0)</f>
        <v/>
      </c>
    </row>
    <row r="334">
      <c r="A334" s="13" t="inlineStr">
        <is>
          <t>HC-100332</t>
        </is>
      </c>
      <c r="B334" s="18" t="n">
        <v>45527</v>
      </c>
      <c r="C334" s="13" t="inlineStr">
        <is>
          <t>South</t>
        </is>
      </c>
      <c r="D334" s="13" t="inlineStr">
        <is>
          <t>Store</t>
        </is>
      </c>
      <c r="E334" s="13" t="inlineStr">
        <is>
          <t>Kitchen</t>
        </is>
      </c>
      <c r="F334" s="13" t="inlineStr">
        <is>
          <t>Ceramic Set</t>
        </is>
      </c>
      <c r="G334" s="13" t="inlineStr">
        <is>
          <t>Unknown</t>
        </is>
      </c>
      <c r="H334" s="13" t="n">
        <v>1</v>
      </c>
      <c r="I334" s="14" t="n">
        <v>85.03</v>
      </c>
      <c r="J334" s="15" t="n">
        <v>0.04</v>
      </c>
      <c r="K334" s="14" t="n">
        <v>32.31</v>
      </c>
      <c r="L334" s="13" t="n">
        <v>6</v>
      </c>
      <c r="M334" s="13" t="inlineStr">
        <is>
          <t>Completed</t>
        </is>
      </c>
      <c r="N334" s="13" t="inlineStr">
        <is>
          <t>J. Patel</t>
        </is>
      </c>
      <c r="O334" s="13" t="inlineStr">
        <is>
          <t>No</t>
        </is>
      </c>
      <c r="P334" s="14">
        <f>H334*I334</f>
        <v/>
      </c>
      <c r="Q334" s="14">
        <f>P334*(1-J334)</f>
        <v/>
      </c>
      <c r="R334" s="14">
        <f>H334*K334</f>
        <v/>
      </c>
      <c r="S334" s="15">
        <f>IF(Q334=0,"",(Q334-R334)/Q334)</f>
        <v/>
      </c>
      <c r="T334" s="13">
        <f>YEAR(B334)</f>
        <v/>
      </c>
      <c r="U334" s="13">
        <f>YEAR(B334)&amp;"-Q"&amp;ROUNDUP(MONTH(B334)/3,0)</f>
        <v/>
      </c>
      <c r="V334" s="13">
        <f>TEXT(B334,"YYYY-MM")</f>
        <v/>
      </c>
      <c r="W334" s="13">
        <f>IF(L334="","",IF(L334&gt;pLateDays,1,0))</f>
        <v/>
      </c>
      <c r="X334" s="13">
        <f>IF(Q334&gt;=pHighCutoff,1,0)</f>
        <v/>
      </c>
      <c r="Y334" s="13">
        <f>IF(M334="Returned",1,0)</f>
        <v/>
      </c>
    </row>
    <row r="335">
      <c r="A335" s="13" t="inlineStr">
        <is>
          <t>HC-100333</t>
        </is>
      </c>
      <c r="B335" s="18" t="n">
        <v>45880</v>
      </c>
      <c r="C335" s="13" t="inlineStr">
        <is>
          <t>West</t>
        </is>
      </c>
      <c r="D335" s="13" t="inlineStr">
        <is>
          <t>Online</t>
        </is>
      </c>
      <c r="E335" s="13" t="inlineStr">
        <is>
          <t>Furniture</t>
        </is>
      </c>
      <c r="F335" s="13" t="inlineStr">
        <is>
          <t>Linen Sofa</t>
        </is>
      </c>
      <c r="G335" s="13" t="inlineStr">
        <is>
          <t>Home Office</t>
        </is>
      </c>
      <c r="H335" s="13" t="n">
        <v>2</v>
      </c>
      <c r="I335" s="14" t="n">
        <v>1309.33</v>
      </c>
      <c r="J335" s="15" t="n">
        <v>0.1</v>
      </c>
      <c r="K335" s="14" t="n">
        <v>864.16</v>
      </c>
      <c r="L335" s="13" t="n">
        <v>3</v>
      </c>
      <c r="M335" s="13" t="inlineStr">
        <is>
          <t>Completed</t>
        </is>
      </c>
      <c r="N335" s="13" t="inlineStr">
        <is>
          <t>L. Berger</t>
        </is>
      </c>
      <c r="O335" s="13" t="inlineStr">
        <is>
          <t>No</t>
        </is>
      </c>
      <c r="P335" s="14">
        <f>H335*I335</f>
        <v/>
      </c>
      <c r="Q335" s="14">
        <f>P335*(1-J335)</f>
        <v/>
      </c>
      <c r="R335" s="14">
        <f>H335*K335</f>
        <v/>
      </c>
      <c r="S335" s="15">
        <f>IF(Q335=0,"",(Q335-R335)/Q335)</f>
        <v/>
      </c>
      <c r="T335" s="13">
        <f>YEAR(B335)</f>
        <v/>
      </c>
      <c r="U335" s="13">
        <f>YEAR(B335)&amp;"-Q"&amp;ROUNDUP(MONTH(B335)/3,0)</f>
        <v/>
      </c>
      <c r="V335" s="13">
        <f>TEXT(B335,"YYYY-MM")</f>
        <v/>
      </c>
      <c r="W335" s="13">
        <f>IF(L335="","",IF(L335&gt;pLateDays,1,0))</f>
        <v/>
      </c>
      <c r="X335" s="13">
        <f>IF(Q335&gt;=pHighCutoff,1,0)</f>
        <v/>
      </c>
      <c r="Y335" s="13">
        <f>IF(M335="Returned",1,0)</f>
        <v/>
      </c>
    </row>
    <row r="336">
      <c r="A336" s="13" t="inlineStr">
        <is>
          <t>HC-100334</t>
        </is>
      </c>
      <c r="B336" s="18" t="n">
        <v>45534</v>
      </c>
      <c r="C336" s="13" t="inlineStr">
        <is>
          <t>South</t>
        </is>
      </c>
      <c r="D336" s="13" t="inlineStr">
        <is>
          <t>Online</t>
        </is>
      </c>
      <c r="E336" s="13" t="inlineStr">
        <is>
          <t>Kitchen</t>
        </is>
      </c>
      <c r="F336" s="13" t="inlineStr">
        <is>
          <t>Chef Knife</t>
        </is>
      </c>
      <c r="G336" s="13" t="inlineStr">
        <is>
          <t>Consumer</t>
        </is>
      </c>
      <c r="H336" s="13" t="n">
        <v>3</v>
      </c>
      <c r="I336" s="14" t="n">
        <v>61.58</v>
      </c>
      <c r="J336" s="15" t="n">
        <v>0.13</v>
      </c>
      <c r="K336" s="14" t="n">
        <v>22.17</v>
      </c>
      <c r="L336" s="13" t="n">
        <v>8</v>
      </c>
      <c r="M336" s="13" t="inlineStr">
        <is>
          <t>Completed</t>
        </is>
      </c>
      <c r="N336" s="13" t="inlineStr">
        <is>
          <t>K. Mensah</t>
        </is>
      </c>
      <c r="O336" s="13" t="inlineStr">
        <is>
          <t>No</t>
        </is>
      </c>
      <c r="P336" s="14">
        <f>H336*I336</f>
        <v/>
      </c>
      <c r="Q336" s="14">
        <f>P336*(1-J336)</f>
        <v/>
      </c>
      <c r="R336" s="14">
        <f>H336*K336</f>
        <v/>
      </c>
      <c r="S336" s="15">
        <f>IF(Q336=0,"",(Q336-R336)/Q336)</f>
        <v/>
      </c>
      <c r="T336" s="13">
        <f>YEAR(B336)</f>
        <v/>
      </c>
      <c r="U336" s="13">
        <f>YEAR(B336)&amp;"-Q"&amp;ROUNDUP(MONTH(B336)/3,0)</f>
        <v/>
      </c>
      <c r="V336" s="13">
        <f>TEXT(B336,"YYYY-MM")</f>
        <v/>
      </c>
      <c r="W336" s="13">
        <f>IF(L336="","",IF(L336&gt;pLateDays,1,0))</f>
        <v/>
      </c>
      <c r="X336" s="13">
        <f>IF(Q336&gt;=pHighCutoff,1,0)</f>
        <v/>
      </c>
      <c r="Y336" s="13">
        <f>IF(M336="Returned",1,0)</f>
        <v/>
      </c>
    </row>
    <row r="337">
      <c r="A337" s="13" t="inlineStr">
        <is>
          <t>HC-100335</t>
        </is>
      </c>
      <c r="B337" s="18" t="n">
        <v>45901</v>
      </c>
      <c r="C337" s="13" t="inlineStr">
        <is>
          <t>East</t>
        </is>
      </c>
      <c r="D337" s="13" t="inlineStr">
        <is>
          <t>Online</t>
        </is>
      </c>
      <c r="E337" s="13" t="inlineStr">
        <is>
          <t>Textiles</t>
        </is>
      </c>
      <c r="F337" s="13" t="inlineStr">
        <is>
          <t>Linen Curtain</t>
        </is>
      </c>
      <c r="G337" s="13" t="inlineStr">
        <is>
          <t>Corporate</t>
        </is>
      </c>
      <c r="H337" s="13" t="n">
        <v>3</v>
      </c>
      <c r="I337" s="14" t="n">
        <v>83.90000000000001</v>
      </c>
      <c r="J337" s="15" t="n">
        <v>0.16</v>
      </c>
      <c r="K337" s="14" t="n">
        <v>37.75</v>
      </c>
      <c r="L337" s="13" t="n">
        <v>4</v>
      </c>
      <c r="M337" s="13" t="inlineStr">
        <is>
          <t>Completed</t>
        </is>
      </c>
      <c r="N337" s="13" t="inlineStr">
        <is>
          <t>K. Mensah</t>
        </is>
      </c>
      <c r="O337" s="13" t="inlineStr">
        <is>
          <t>No</t>
        </is>
      </c>
      <c r="P337" s="14">
        <f>H337*I337</f>
        <v/>
      </c>
      <c r="Q337" s="14">
        <f>P337*(1-J337)</f>
        <v/>
      </c>
      <c r="R337" s="14">
        <f>H337*K337</f>
        <v/>
      </c>
      <c r="S337" s="15">
        <f>IF(Q337=0,"",(Q337-R337)/Q337)</f>
        <v/>
      </c>
      <c r="T337" s="13">
        <f>YEAR(B337)</f>
        <v/>
      </c>
      <c r="U337" s="13">
        <f>YEAR(B337)&amp;"-Q"&amp;ROUNDUP(MONTH(B337)/3,0)</f>
        <v/>
      </c>
      <c r="V337" s="13">
        <f>TEXT(B337,"YYYY-MM")</f>
        <v/>
      </c>
      <c r="W337" s="13">
        <f>IF(L337="","",IF(L337&gt;pLateDays,1,0))</f>
        <v/>
      </c>
      <c r="X337" s="13">
        <f>IF(Q337&gt;=pHighCutoff,1,0)</f>
        <v/>
      </c>
      <c r="Y337" s="13">
        <f>IF(M337="Returned",1,0)</f>
        <v/>
      </c>
    </row>
    <row r="338">
      <c r="A338" s="13" t="inlineStr">
        <is>
          <t>HC-100336</t>
        </is>
      </c>
      <c r="B338" s="18" t="n">
        <v>45715</v>
      </c>
      <c r="C338" s="13" t="inlineStr">
        <is>
          <t>South</t>
        </is>
      </c>
      <c r="D338" s="13" t="inlineStr">
        <is>
          <t>Store</t>
        </is>
      </c>
      <c r="E338" s="13" t="inlineStr">
        <is>
          <t>Textiles</t>
        </is>
      </c>
      <c r="F338" s="13" t="inlineStr">
        <is>
          <t>Wool Throw</t>
        </is>
      </c>
      <c r="G338" s="13" t="inlineStr">
        <is>
          <t>Corporate</t>
        </is>
      </c>
      <c r="H338" s="13" t="n">
        <v>3</v>
      </c>
      <c r="I338" s="14" t="n">
        <v>77.54000000000001</v>
      </c>
      <c r="J338" s="15" t="n">
        <v>0.03</v>
      </c>
      <c r="K338" s="14" t="n">
        <v>32.57</v>
      </c>
      <c r="L338" s="13" t="n">
        <v>6</v>
      </c>
      <c r="M338" s="13" t="inlineStr">
        <is>
          <t>Completed</t>
        </is>
      </c>
      <c r="N338" s="13" t="inlineStr">
        <is>
          <t>M. Okonkwo</t>
        </is>
      </c>
      <c r="O338" s="13" t="inlineStr">
        <is>
          <t>No</t>
        </is>
      </c>
      <c r="P338" s="14">
        <f>H338*I338</f>
        <v/>
      </c>
      <c r="Q338" s="14">
        <f>P338*(1-J338)</f>
        <v/>
      </c>
      <c r="R338" s="14">
        <f>H338*K338</f>
        <v/>
      </c>
      <c r="S338" s="15">
        <f>IF(Q338=0,"",(Q338-R338)/Q338)</f>
        <v/>
      </c>
      <c r="T338" s="13">
        <f>YEAR(B338)</f>
        <v/>
      </c>
      <c r="U338" s="13">
        <f>YEAR(B338)&amp;"-Q"&amp;ROUNDUP(MONTH(B338)/3,0)</f>
        <v/>
      </c>
      <c r="V338" s="13">
        <f>TEXT(B338,"YYYY-MM")</f>
        <v/>
      </c>
      <c r="W338" s="13">
        <f>IF(L338="","",IF(L338&gt;pLateDays,1,0))</f>
        <v/>
      </c>
      <c r="X338" s="13">
        <f>IF(Q338&gt;=pHighCutoff,1,0)</f>
        <v/>
      </c>
      <c r="Y338" s="13">
        <f>IF(M338="Returned",1,0)</f>
        <v/>
      </c>
    </row>
    <row r="339">
      <c r="A339" s="13" t="inlineStr">
        <is>
          <t>HC-100337</t>
        </is>
      </c>
      <c r="B339" s="18" t="n">
        <v>45653</v>
      </c>
      <c r="C339" s="13" t="inlineStr">
        <is>
          <t>West</t>
        </is>
      </c>
      <c r="D339" s="13" t="inlineStr">
        <is>
          <t>Online</t>
        </is>
      </c>
      <c r="E339" s="13" t="inlineStr">
        <is>
          <t>Kitchen</t>
        </is>
      </c>
      <c r="F339" s="13" t="inlineStr">
        <is>
          <t>Cast Skillet</t>
        </is>
      </c>
      <c r="G339" s="13" t="inlineStr">
        <is>
          <t>Consumer</t>
        </is>
      </c>
      <c r="H339" s="13" t="n">
        <v>4</v>
      </c>
      <c r="I339" s="14" t="n">
        <v>51.11</v>
      </c>
      <c r="J339" s="15" t="n">
        <v>0.05</v>
      </c>
      <c r="K339" s="14" t="n">
        <v>20.44</v>
      </c>
      <c r="L339" s="13" t="n">
        <v>3</v>
      </c>
      <c r="M339" s="13" t="inlineStr">
        <is>
          <t>Completed</t>
        </is>
      </c>
      <c r="N339" s="13" t="inlineStr">
        <is>
          <t>R. Ibarra</t>
        </is>
      </c>
      <c r="O339" s="13" t="inlineStr">
        <is>
          <t>No</t>
        </is>
      </c>
      <c r="P339" s="14">
        <f>H339*I339</f>
        <v/>
      </c>
      <c r="Q339" s="14">
        <f>P339*(1-J339)</f>
        <v/>
      </c>
      <c r="R339" s="14">
        <f>H339*K339</f>
        <v/>
      </c>
      <c r="S339" s="15">
        <f>IF(Q339=0,"",(Q339-R339)/Q339)</f>
        <v/>
      </c>
      <c r="T339" s="13">
        <f>YEAR(B339)</f>
        <v/>
      </c>
      <c r="U339" s="13">
        <f>YEAR(B339)&amp;"-Q"&amp;ROUNDUP(MONTH(B339)/3,0)</f>
        <v/>
      </c>
      <c r="V339" s="13">
        <f>TEXT(B339,"YYYY-MM")</f>
        <v/>
      </c>
      <c r="W339" s="13">
        <f>IF(L339="","",IF(L339&gt;pLateDays,1,0))</f>
        <v/>
      </c>
      <c r="X339" s="13">
        <f>IF(Q339&gt;=pHighCutoff,1,0)</f>
        <v/>
      </c>
      <c r="Y339" s="13">
        <f>IF(M339="Returned",1,0)</f>
        <v/>
      </c>
    </row>
    <row r="340">
      <c r="A340" s="13" t="inlineStr">
        <is>
          <t>HC-100338</t>
        </is>
      </c>
      <c r="B340" s="18" t="n">
        <v>45316</v>
      </c>
      <c r="C340" s="13" t="inlineStr">
        <is>
          <t>North</t>
        </is>
      </c>
      <c r="D340" s="13" t="inlineStr">
        <is>
          <t>Wholesale</t>
        </is>
      </c>
      <c r="E340" s="13" t="inlineStr">
        <is>
          <t>Kitchen</t>
        </is>
      </c>
      <c r="F340" s="13" t="inlineStr">
        <is>
          <t>Chef Knife</t>
        </is>
      </c>
      <c r="G340" s="13" t="inlineStr">
        <is>
          <t>Consumer</t>
        </is>
      </c>
      <c r="H340" s="13" t="n">
        <v>17</v>
      </c>
      <c r="I340" s="14" t="n">
        <v>63.35</v>
      </c>
      <c r="J340" s="15" t="n">
        <v>0.17</v>
      </c>
      <c r="K340" s="14" t="n">
        <v>22.81</v>
      </c>
      <c r="L340" s="13" t="n">
        <v>2</v>
      </c>
      <c r="M340" s="13" t="inlineStr">
        <is>
          <t>Completed</t>
        </is>
      </c>
      <c r="N340" s="13" t="inlineStr">
        <is>
          <t>A. Shah</t>
        </is>
      </c>
      <c r="O340" s="13" t="inlineStr">
        <is>
          <t>No</t>
        </is>
      </c>
      <c r="P340" s="14">
        <f>H340*I340</f>
        <v/>
      </c>
      <c r="Q340" s="14">
        <f>P340*(1-J340)</f>
        <v/>
      </c>
      <c r="R340" s="14">
        <f>H340*K340</f>
        <v/>
      </c>
      <c r="S340" s="15">
        <f>IF(Q340=0,"",(Q340-R340)/Q340)</f>
        <v/>
      </c>
      <c r="T340" s="13">
        <f>YEAR(B340)</f>
        <v/>
      </c>
      <c r="U340" s="13">
        <f>YEAR(B340)&amp;"-Q"&amp;ROUNDUP(MONTH(B340)/3,0)</f>
        <v/>
      </c>
      <c r="V340" s="13">
        <f>TEXT(B340,"YYYY-MM")</f>
        <v/>
      </c>
      <c r="W340" s="13">
        <f>IF(L340="","",IF(L340&gt;pLateDays,1,0))</f>
        <v/>
      </c>
      <c r="X340" s="13">
        <f>IF(Q340&gt;=pHighCutoff,1,0)</f>
        <v/>
      </c>
      <c r="Y340" s="13">
        <f>IF(M340="Returned",1,0)</f>
        <v/>
      </c>
    </row>
    <row r="341">
      <c r="A341" s="13" t="inlineStr">
        <is>
          <t>HC-100339</t>
        </is>
      </c>
      <c r="B341" s="18" t="n">
        <v>45402</v>
      </c>
      <c r="C341" s="13" t="inlineStr">
        <is>
          <t>West</t>
        </is>
      </c>
      <c r="D341" s="13" t="inlineStr">
        <is>
          <t>Online</t>
        </is>
      </c>
      <c r="E341" s="13" t="inlineStr">
        <is>
          <t>Textiles</t>
        </is>
      </c>
      <c r="F341" s="13" t="inlineStr">
        <is>
          <t>Wool Throw</t>
        </is>
      </c>
      <c r="G341" s="13" t="inlineStr">
        <is>
          <t>Consumer</t>
        </is>
      </c>
      <c r="H341" s="13" t="n">
        <v>2</v>
      </c>
      <c r="I341" s="14" t="n">
        <v>69.06999999999999</v>
      </c>
      <c r="J341" s="15" t="n">
        <v>0.08</v>
      </c>
      <c r="K341" s="14" t="n">
        <v>29.01</v>
      </c>
      <c r="L341" s="13" t="n">
        <v>8</v>
      </c>
      <c r="M341" s="13" t="inlineStr">
        <is>
          <t>Cancelled</t>
        </is>
      </c>
      <c r="N341" s="13" t="inlineStr">
        <is>
          <t>S. Nguyen</t>
        </is>
      </c>
      <c r="O341" s="13" t="inlineStr">
        <is>
          <t>No</t>
        </is>
      </c>
      <c r="P341" s="14">
        <f>H341*I341</f>
        <v/>
      </c>
      <c r="Q341" s="14">
        <f>P341*(1-J341)</f>
        <v/>
      </c>
      <c r="R341" s="14">
        <f>H341*K341</f>
        <v/>
      </c>
      <c r="S341" s="15">
        <f>IF(Q341=0,"",(Q341-R341)/Q341)</f>
        <v/>
      </c>
      <c r="T341" s="13">
        <f>YEAR(B341)</f>
        <v/>
      </c>
      <c r="U341" s="13">
        <f>YEAR(B341)&amp;"-Q"&amp;ROUNDUP(MONTH(B341)/3,0)</f>
        <v/>
      </c>
      <c r="V341" s="13">
        <f>TEXT(B341,"YYYY-MM")</f>
        <v/>
      </c>
      <c r="W341" s="13">
        <f>IF(L341="","",IF(L341&gt;pLateDays,1,0))</f>
        <v/>
      </c>
      <c r="X341" s="13">
        <f>IF(Q341&gt;=pHighCutoff,1,0)</f>
        <v/>
      </c>
      <c r="Y341" s="13">
        <f>IF(M341="Returned",1,0)</f>
        <v/>
      </c>
    </row>
    <row r="342">
      <c r="A342" s="13" t="inlineStr">
        <is>
          <t>HC-100340</t>
        </is>
      </c>
      <c r="B342" s="18" t="n">
        <v>45493</v>
      </c>
      <c r="C342" s="13" t="inlineStr">
        <is>
          <t>North</t>
        </is>
      </c>
      <c r="D342" s="13" t="inlineStr">
        <is>
          <t>Store</t>
        </is>
      </c>
      <c r="E342" s="13" t="inlineStr">
        <is>
          <t>Furniture</t>
        </is>
      </c>
      <c r="F342" s="13" t="inlineStr">
        <is>
          <t>Oak Desk</t>
        </is>
      </c>
      <c r="G342" s="13" t="inlineStr">
        <is>
          <t>Consumer</t>
        </is>
      </c>
      <c r="H342" s="13" t="n">
        <v>3</v>
      </c>
      <c r="I342" s="14" t="n">
        <v>861.41</v>
      </c>
      <c r="J342" s="15" t="n">
        <v>0.02</v>
      </c>
      <c r="K342" s="14" t="n">
        <v>534.0700000000001</v>
      </c>
      <c r="L342" s="13" t="n">
        <v>6</v>
      </c>
      <c r="M342" s="13" t="inlineStr">
        <is>
          <t>Completed</t>
        </is>
      </c>
      <c r="N342" s="13" t="inlineStr">
        <is>
          <t>K. Mensah</t>
        </is>
      </c>
      <c r="O342" s="13" t="inlineStr">
        <is>
          <t>No</t>
        </is>
      </c>
      <c r="P342" s="14">
        <f>H342*I342</f>
        <v/>
      </c>
      <c r="Q342" s="14">
        <f>P342*(1-J342)</f>
        <v/>
      </c>
      <c r="R342" s="14">
        <f>H342*K342</f>
        <v/>
      </c>
      <c r="S342" s="15">
        <f>IF(Q342=0,"",(Q342-R342)/Q342)</f>
        <v/>
      </c>
      <c r="T342" s="13">
        <f>YEAR(B342)</f>
        <v/>
      </c>
      <c r="U342" s="13">
        <f>YEAR(B342)&amp;"-Q"&amp;ROUNDUP(MONTH(B342)/3,0)</f>
        <v/>
      </c>
      <c r="V342" s="13">
        <f>TEXT(B342,"YYYY-MM")</f>
        <v/>
      </c>
      <c r="W342" s="13">
        <f>IF(L342="","",IF(L342&gt;pLateDays,1,0))</f>
        <v/>
      </c>
      <c r="X342" s="13">
        <f>IF(Q342&gt;=pHighCutoff,1,0)</f>
        <v/>
      </c>
      <c r="Y342" s="13">
        <f>IF(M342="Returned",1,0)</f>
        <v/>
      </c>
    </row>
    <row r="343">
      <c r="A343" s="13" t="inlineStr">
        <is>
          <t>HC-100341</t>
        </is>
      </c>
      <c r="B343" s="18" t="n">
        <v>45814</v>
      </c>
      <c r="C343" s="13" t="inlineStr">
        <is>
          <t>East</t>
        </is>
      </c>
      <c r="D343" s="13" t="inlineStr">
        <is>
          <t>Store</t>
        </is>
      </c>
      <c r="E343" s="13" t="inlineStr">
        <is>
          <t>Textiles</t>
        </is>
      </c>
      <c r="F343" s="13" t="inlineStr">
        <is>
          <t>Linen Curtain</t>
        </is>
      </c>
      <c r="G343" s="13" t="inlineStr">
        <is>
          <t>Corporate</t>
        </is>
      </c>
      <c r="H343" s="13" t="n">
        <v>4</v>
      </c>
      <c r="I343" s="14" t="n">
        <v>92.16</v>
      </c>
      <c r="J343" s="15" t="n">
        <v>0.06</v>
      </c>
      <c r="K343" s="14" t="n">
        <v>41.47</v>
      </c>
      <c r="L343" s="13" t="n">
        <v>9</v>
      </c>
      <c r="M343" s="13" t="inlineStr">
        <is>
          <t>Returned</t>
        </is>
      </c>
      <c r="N343" s="13" t="inlineStr">
        <is>
          <t>J. Patel</t>
        </is>
      </c>
      <c r="O343" s="13" t="inlineStr">
        <is>
          <t>No</t>
        </is>
      </c>
      <c r="P343" s="14">
        <f>H343*I343</f>
        <v/>
      </c>
      <c r="Q343" s="14">
        <f>P343*(1-J343)</f>
        <v/>
      </c>
      <c r="R343" s="14">
        <f>H343*K343</f>
        <v/>
      </c>
      <c r="S343" s="15">
        <f>IF(Q343=0,"",(Q343-R343)/Q343)</f>
        <v/>
      </c>
      <c r="T343" s="13">
        <f>YEAR(B343)</f>
        <v/>
      </c>
      <c r="U343" s="13">
        <f>YEAR(B343)&amp;"-Q"&amp;ROUNDUP(MONTH(B343)/3,0)</f>
        <v/>
      </c>
      <c r="V343" s="13">
        <f>TEXT(B343,"YYYY-MM")</f>
        <v/>
      </c>
      <c r="W343" s="13">
        <f>IF(L343="","",IF(L343&gt;pLateDays,1,0))</f>
        <v/>
      </c>
      <c r="X343" s="13">
        <f>IF(Q343&gt;=pHighCutoff,1,0)</f>
        <v/>
      </c>
      <c r="Y343" s="13">
        <f>IF(M343="Returned",1,0)</f>
        <v/>
      </c>
    </row>
    <row r="344">
      <c r="A344" s="13" t="inlineStr">
        <is>
          <t>HC-100342</t>
        </is>
      </c>
      <c r="B344" s="18" t="n">
        <v>45857</v>
      </c>
      <c r="C344" s="13" t="inlineStr">
        <is>
          <t>West</t>
        </is>
      </c>
      <c r="D344" s="13" t="inlineStr">
        <is>
          <t>Online</t>
        </is>
      </c>
      <c r="E344" s="13" t="inlineStr">
        <is>
          <t>Furniture</t>
        </is>
      </c>
      <c r="F344" s="13" t="inlineStr">
        <is>
          <t>Lounge Chair</t>
        </is>
      </c>
      <c r="G344" s="13" t="inlineStr">
        <is>
          <t>Consumer</t>
        </is>
      </c>
      <c r="H344" s="13" t="n">
        <v>2</v>
      </c>
      <c r="I344" s="14" t="n">
        <v>466.21</v>
      </c>
      <c r="J344" s="15" t="n">
        <v>0.03</v>
      </c>
      <c r="K344" s="14" t="n">
        <v>279.72</v>
      </c>
      <c r="L344" s="13" t="n">
        <v>3</v>
      </c>
      <c r="M344" s="13" t="inlineStr">
        <is>
          <t>Completed</t>
        </is>
      </c>
      <c r="N344" s="13" t="inlineStr">
        <is>
          <t>L. Berger</t>
        </is>
      </c>
      <c r="O344" s="13" t="inlineStr">
        <is>
          <t>No</t>
        </is>
      </c>
      <c r="P344" s="14">
        <f>H344*I344</f>
        <v/>
      </c>
      <c r="Q344" s="14">
        <f>P344*(1-J344)</f>
        <v/>
      </c>
      <c r="R344" s="14">
        <f>H344*K344</f>
        <v/>
      </c>
      <c r="S344" s="15">
        <f>IF(Q344=0,"",(Q344-R344)/Q344)</f>
        <v/>
      </c>
      <c r="T344" s="13">
        <f>YEAR(B344)</f>
        <v/>
      </c>
      <c r="U344" s="13">
        <f>YEAR(B344)&amp;"-Q"&amp;ROUNDUP(MONTH(B344)/3,0)</f>
        <v/>
      </c>
      <c r="V344" s="13">
        <f>TEXT(B344,"YYYY-MM")</f>
        <v/>
      </c>
      <c r="W344" s="13">
        <f>IF(L344="","",IF(L344&gt;pLateDays,1,0))</f>
        <v/>
      </c>
      <c r="X344" s="13">
        <f>IF(Q344&gt;=pHighCutoff,1,0)</f>
        <v/>
      </c>
      <c r="Y344" s="13">
        <f>IF(M344="Returned",1,0)</f>
        <v/>
      </c>
    </row>
    <row r="345">
      <c r="A345" s="13" t="inlineStr">
        <is>
          <t>HC-100343</t>
        </is>
      </c>
      <c r="B345" s="18" t="n">
        <v>45374</v>
      </c>
      <c r="C345" s="13" t="inlineStr">
        <is>
          <t>North</t>
        </is>
      </c>
      <c r="D345" s="13" t="inlineStr">
        <is>
          <t>Wholesale</t>
        </is>
      </c>
      <c r="E345" s="13" t="inlineStr">
        <is>
          <t>Kitchen</t>
        </is>
      </c>
      <c r="F345" s="13" t="inlineStr">
        <is>
          <t>Ceramic Set</t>
        </is>
      </c>
      <c r="G345" s="13" t="inlineStr">
        <is>
          <t>Consumer</t>
        </is>
      </c>
      <c r="H345" s="13" t="n">
        <v>17</v>
      </c>
      <c r="I345" s="14" t="n">
        <v>87.02</v>
      </c>
      <c r="J345" s="15" t="n">
        <v>0.14</v>
      </c>
      <c r="K345" s="14" t="n">
        <v>33.07</v>
      </c>
      <c r="L345" s="13" t="n">
        <v>8</v>
      </c>
      <c r="M345" s="13" t="inlineStr">
        <is>
          <t>Completed</t>
        </is>
      </c>
      <c r="N345" s="13" t="inlineStr">
        <is>
          <t>K. Mensah</t>
        </is>
      </c>
      <c r="O345" s="13" t="inlineStr">
        <is>
          <t>No</t>
        </is>
      </c>
      <c r="P345" s="14">
        <f>H345*I345</f>
        <v/>
      </c>
      <c r="Q345" s="14">
        <f>P345*(1-J345)</f>
        <v/>
      </c>
      <c r="R345" s="14">
        <f>H345*K345</f>
        <v/>
      </c>
      <c r="S345" s="15">
        <f>IF(Q345=0,"",(Q345-R345)/Q345)</f>
        <v/>
      </c>
      <c r="T345" s="13">
        <f>YEAR(B345)</f>
        <v/>
      </c>
      <c r="U345" s="13">
        <f>YEAR(B345)&amp;"-Q"&amp;ROUNDUP(MONTH(B345)/3,0)</f>
        <v/>
      </c>
      <c r="V345" s="13">
        <f>TEXT(B345,"YYYY-MM")</f>
        <v/>
      </c>
      <c r="W345" s="13">
        <f>IF(L345="","",IF(L345&gt;pLateDays,1,0))</f>
        <v/>
      </c>
      <c r="X345" s="13">
        <f>IF(Q345&gt;=pHighCutoff,1,0)</f>
        <v/>
      </c>
      <c r="Y345" s="13">
        <f>IF(M345="Returned",1,0)</f>
        <v/>
      </c>
    </row>
    <row r="346">
      <c r="A346" s="13" t="inlineStr">
        <is>
          <t>HC-100344</t>
        </is>
      </c>
      <c r="B346" s="18" t="n">
        <v>45859</v>
      </c>
      <c r="C346" s="13" t="inlineStr">
        <is>
          <t>South</t>
        </is>
      </c>
      <c r="D346" s="13" t="inlineStr">
        <is>
          <t>Online</t>
        </is>
      </c>
      <c r="E346" s="13" t="inlineStr">
        <is>
          <t>Lighting</t>
        </is>
      </c>
      <c r="F346" s="13" t="inlineStr">
        <is>
          <t>Arc Lamp</t>
        </is>
      </c>
      <c r="G346" s="13" t="inlineStr">
        <is>
          <t>Consumer</t>
        </is>
      </c>
      <c r="H346" s="13" t="n">
        <v>1</v>
      </c>
      <c r="I346" s="14" t="n">
        <v>291.47</v>
      </c>
      <c r="J346" s="15" t="n">
        <v>0.15</v>
      </c>
      <c r="K346" s="14" t="n">
        <v>139.91</v>
      </c>
      <c r="L346" s="13" t="n">
        <v>5</v>
      </c>
      <c r="M346" s="13" t="inlineStr">
        <is>
          <t>Completed</t>
        </is>
      </c>
      <c r="N346" s="13" t="inlineStr">
        <is>
          <t>A. Shah</t>
        </is>
      </c>
      <c r="O346" s="13" t="inlineStr">
        <is>
          <t>No</t>
        </is>
      </c>
      <c r="P346" s="14">
        <f>H346*I346</f>
        <v/>
      </c>
      <c r="Q346" s="14">
        <f>P346*(1-J346)</f>
        <v/>
      </c>
      <c r="R346" s="14">
        <f>H346*K346</f>
        <v/>
      </c>
      <c r="S346" s="15">
        <f>IF(Q346=0,"",(Q346-R346)/Q346)</f>
        <v/>
      </c>
      <c r="T346" s="13">
        <f>YEAR(B346)</f>
        <v/>
      </c>
      <c r="U346" s="13">
        <f>YEAR(B346)&amp;"-Q"&amp;ROUNDUP(MONTH(B346)/3,0)</f>
        <v/>
      </c>
      <c r="V346" s="13">
        <f>TEXT(B346,"YYYY-MM")</f>
        <v/>
      </c>
      <c r="W346" s="13">
        <f>IF(L346="","",IF(L346&gt;pLateDays,1,0))</f>
        <v/>
      </c>
      <c r="X346" s="13">
        <f>IF(Q346&gt;=pHighCutoff,1,0)</f>
        <v/>
      </c>
      <c r="Y346" s="13">
        <f>IF(M346="Returned",1,0)</f>
        <v/>
      </c>
    </row>
    <row r="347">
      <c r="A347" s="13" t="inlineStr">
        <is>
          <t>HC-100345</t>
        </is>
      </c>
      <c r="B347" s="18" t="n">
        <v>45895</v>
      </c>
      <c r="C347" s="13" t="inlineStr">
        <is>
          <t>South</t>
        </is>
      </c>
      <c r="D347" s="13" t="inlineStr">
        <is>
          <t>Wholesale</t>
        </is>
      </c>
      <c r="E347" s="13" t="inlineStr">
        <is>
          <t>Lighting</t>
        </is>
      </c>
      <c r="F347" s="13" t="inlineStr">
        <is>
          <t>Brass Sconce</t>
        </is>
      </c>
      <c r="G347" s="13" t="inlineStr">
        <is>
          <t>Corporate</t>
        </is>
      </c>
      <c r="H347" s="13" t="n">
        <v>11</v>
      </c>
      <c r="I347" s="14" t="n">
        <v>133.54</v>
      </c>
      <c r="J347" s="15" t="n">
        <v>0.21</v>
      </c>
      <c r="K347" s="14" t="n">
        <v>61.43</v>
      </c>
      <c r="L347" s="13" t="n">
        <v>9</v>
      </c>
      <c r="M347" s="13" t="inlineStr">
        <is>
          <t>Completed</t>
        </is>
      </c>
      <c r="N347" s="13" t="inlineStr">
        <is>
          <t>L. Berger</t>
        </is>
      </c>
      <c r="O347" s="13" t="inlineStr">
        <is>
          <t>No</t>
        </is>
      </c>
      <c r="P347" s="14">
        <f>H347*I347</f>
        <v/>
      </c>
      <c r="Q347" s="14">
        <f>P347*(1-J347)</f>
        <v/>
      </c>
      <c r="R347" s="14">
        <f>H347*K347</f>
        <v/>
      </c>
      <c r="S347" s="15">
        <f>IF(Q347=0,"",(Q347-R347)/Q347)</f>
        <v/>
      </c>
      <c r="T347" s="13">
        <f>YEAR(B347)</f>
        <v/>
      </c>
      <c r="U347" s="13">
        <f>YEAR(B347)&amp;"-Q"&amp;ROUNDUP(MONTH(B347)/3,0)</f>
        <v/>
      </c>
      <c r="V347" s="13">
        <f>TEXT(B347,"YYYY-MM")</f>
        <v/>
      </c>
      <c r="W347" s="13">
        <f>IF(L347="","",IF(L347&gt;pLateDays,1,0))</f>
        <v/>
      </c>
      <c r="X347" s="13">
        <f>IF(Q347&gt;=pHighCutoff,1,0)</f>
        <v/>
      </c>
      <c r="Y347" s="13">
        <f>IF(M347="Returned",1,0)</f>
        <v/>
      </c>
    </row>
    <row r="348">
      <c r="A348" s="13" t="inlineStr">
        <is>
          <t>HC-100346</t>
        </is>
      </c>
      <c r="B348" s="18" t="n">
        <v>45527</v>
      </c>
      <c r="C348" s="13" t="inlineStr">
        <is>
          <t>South</t>
        </is>
      </c>
      <c r="D348" s="13" t="inlineStr">
        <is>
          <t>Online</t>
        </is>
      </c>
      <c r="E348" s="13" t="inlineStr">
        <is>
          <t>Furniture</t>
        </is>
      </c>
      <c r="F348" s="13" t="inlineStr">
        <is>
          <t>Walnut Shelf</t>
        </is>
      </c>
      <c r="G348" s="13" t="inlineStr">
        <is>
          <t>Consumer</t>
        </is>
      </c>
      <c r="H348" s="13" t="n">
        <v>1</v>
      </c>
      <c r="I348" s="14" t="n">
        <v>207.95</v>
      </c>
      <c r="J348" s="15" t="n">
        <v>0.03</v>
      </c>
      <c r="K348" s="14" t="n">
        <v>114.37</v>
      </c>
      <c r="L348" s="13" t="n">
        <v>8</v>
      </c>
      <c r="M348" s="13" t="inlineStr">
        <is>
          <t>Returned</t>
        </is>
      </c>
      <c r="N348" s="13" t="inlineStr">
        <is>
          <t>M. Okonkwo</t>
        </is>
      </c>
      <c r="O348" s="13" t="inlineStr">
        <is>
          <t>No</t>
        </is>
      </c>
      <c r="P348" s="14">
        <f>H348*I348</f>
        <v/>
      </c>
      <c r="Q348" s="14">
        <f>P348*(1-J348)</f>
        <v/>
      </c>
      <c r="R348" s="14">
        <f>H348*K348</f>
        <v/>
      </c>
      <c r="S348" s="15">
        <f>IF(Q348=0,"",(Q348-R348)/Q348)</f>
        <v/>
      </c>
      <c r="T348" s="13">
        <f>YEAR(B348)</f>
        <v/>
      </c>
      <c r="U348" s="13">
        <f>YEAR(B348)&amp;"-Q"&amp;ROUNDUP(MONTH(B348)/3,0)</f>
        <v/>
      </c>
      <c r="V348" s="13">
        <f>TEXT(B348,"YYYY-MM")</f>
        <v/>
      </c>
      <c r="W348" s="13">
        <f>IF(L348="","",IF(L348&gt;pLateDays,1,0))</f>
        <v/>
      </c>
      <c r="X348" s="13">
        <f>IF(Q348&gt;=pHighCutoff,1,0)</f>
        <v/>
      </c>
      <c r="Y348" s="13">
        <f>IF(M348="Returned",1,0)</f>
        <v/>
      </c>
    </row>
    <row r="349">
      <c r="A349" s="13" t="inlineStr">
        <is>
          <t>HC-100347</t>
        </is>
      </c>
      <c r="B349" s="18" t="n">
        <v>45421</v>
      </c>
      <c r="C349" s="13" t="inlineStr">
        <is>
          <t>West</t>
        </is>
      </c>
      <c r="D349" s="13" t="inlineStr">
        <is>
          <t>Wholesale</t>
        </is>
      </c>
      <c r="E349" s="13" t="inlineStr">
        <is>
          <t>Kitchen</t>
        </is>
      </c>
      <c r="F349" s="13" t="inlineStr">
        <is>
          <t>Chef Knife</t>
        </is>
      </c>
      <c r="G349" s="13" t="inlineStr">
        <is>
          <t>Consumer</t>
        </is>
      </c>
      <c r="H349" s="13" t="n">
        <v>16</v>
      </c>
      <c r="I349" s="14" t="n">
        <v>64.37</v>
      </c>
      <c r="J349" s="15" t="n">
        <v>0.29</v>
      </c>
      <c r="K349" s="14" t="n">
        <v>23.17</v>
      </c>
      <c r="L349" s="13" t="n">
        <v>4</v>
      </c>
      <c r="M349" s="13" t="inlineStr">
        <is>
          <t>Completed</t>
        </is>
      </c>
      <c r="N349" s="13" t="inlineStr">
        <is>
          <t>A. Shah</t>
        </is>
      </c>
      <c r="O349" s="13" t="inlineStr">
        <is>
          <t>No</t>
        </is>
      </c>
      <c r="P349" s="14">
        <f>H349*I349</f>
        <v/>
      </c>
      <c r="Q349" s="14">
        <f>P349*(1-J349)</f>
        <v/>
      </c>
      <c r="R349" s="14">
        <f>H349*K349</f>
        <v/>
      </c>
      <c r="S349" s="15">
        <f>IF(Q349=0,"",(Q349-R349)/Q349)</f>
        <v/>
      </c>
      <c r="T349" s="13">
        <f>YEAR(B349)</f>
        <v/>
      </c>
      <c r="U349" s="13">
        <f>YEAR(B349)&amp;"-Q"&amp;ROUNDUP(MONTH(B349)/3,0)</f>
        <v/>
      </c>
      <c r="V349" s="13">
        <f>TEXT(B349,"YYYY-MM")</f>
        <v/>
      </c>
      <c r="W349" s="13">
        <f>IF(L349="","",IF(L349&gt;pLateDays,1,0))</f>
        <v/>
      </c>
      <c r="X349" s="13">
        <f>IF(Q349&gt;=pHighCutoff,1,0)</f>
        <v/>
      </c>
      <c r="Y349" s="13">
        <f>IF(M349="Returned",1,0)</f>
        <v/>
      </c>
    </row>
    <row r="350">
      <c r="A350" s="13" t="inlineStr">
        <is>
          <t>HC-100348</t>
        </is>
      </c>
      <c r="B350" s="18" t="n">
        <v>45629</v>
      </c>
      <c r="C350" s="13" t="inlineStr">
        <is>
          <t>North</t>
        </is>
      </c>
      <c r="D350" s="13" t="inlineStr">
        <is>
          <t>Store</t>
        </is>
      </c>
      <c r="E350" s="13" t="inlineStr">
        <is>
          <t>Furniture</t>
        </is>
      </c>
      <c r="F350" s="13" t="inlineStr">
        <is>
          <t>Lounge Chair</t>
        </is>
      </c>
      <c r="G350" s="13" t="inlineStr">
        <is>
          <t>Home Office</t>
        </is>
      </c>
      <c r="H350" s="13" t="n">
        <v>3</v>
      </c>
      <c r="I350" s="14" t="n">
        <v>458.2</v>
      </c>
      <c r="J350" s="15" t="n">
        <v>0</v>
      </c>
      <c r="K350" s="14" t="n">
        <v>274.92</v>
      </c>
      <c r="L350" s="13" t="n"/>
      <c r="M350" s="13" t="inlineStr">
        <is>
          <t>Completed</t>
        </is>
      </c>
      <c r="N350" s="13" t="inlineStr">
        <is>
          <t>R. Ibarra</t>
        </is>
      </c>
      <c r="O350" s="13" t="inlineStr">
        <is>
          <t>No</t>
        </is>
      </c>
      <c r="P350" s="14">
        <f>H350*I350</f>
        <v/>
      </c>
      <c r="Q350" s="14">
        <f>P350*(1-J350)</f>
        <v/>
      </c>
      <c r="R350" s="14">
        <f>H350*K350</f>
        <v/>
      </c>
      <c r="S350" s="15">
        <f>IF(Q350=0,"",(Q350-R350)/Q350)</f>
        <v/>
      </c>
      <c r="T350" s="13">
        <f>YEAR(B350)</f>
        <v/>
      </c>
      <c r="U350" s="13">
        <f>YEAR(B350)&amp;"-Q"&amp;ROUNDUP(MONTH(B350)/3,0)</f>
        <v/>
      </c>
      <c r="V350" s="13">
        <f>TEXT(B350,"YYYY-MM")</f>
        <v/>
      </c>
      <c r="W350" s="13">
        <f>IF(L350="","",IF(L350&gt;pLateDays,1,0))</f>
        <v/>
      </c>
      <c r="X350" s="13">
        <f>IF(Q350&gt;=pHighCutoff,1,0)</f>
        <v/>
      </c>
      <c r="Y350" s="13">
        <f>IF(M350="Returned",1,0)</f>
        <v/>
      </c>
    </row>
    <row r="351">
      <c r="A351" s="13" t="inlineStr">
        <is>
          <t>HC-100349</t>
        </is>
      </c>
      <c r="B351" s="18" t="n">
        <v>45639</v>
      </c>
      <c r="C351" s="13" t="inlineStr">
        <is>
          <t>East</t>
        </is>
      </c>
      <c r="D351" s="13" t="inlineStr">
        <is>
          <t>Store</t>
        </is>
      </c>
      <c r="E351" s="13" t="inlineStr">
        <is>
          <t>Textiles</t>
        </is>
      </c>
      <c r="F351" s="13" t="inlineStr">
        <is>
          <t>Wool Throw</t>
        </is>
      </c>
      <c r="G351" s="13" t="inlineStr">
        <is>
          <t>Consumer</t>
        </is>
      </c>
      <c r="H351" s="13" t="n">
        <v>4</v>
      </c>
      <c r="I351" s="14" t="n">
        <v>68.53</v>
      </c>
      <c r="J351" s="15" t="n">
        <v>0.01</v>
      </c>
      <c r="K351" s="14" t="n">
        <v>28.78</v>
      </c>
      <c r="L351" s="13" t="n">
        <v>11</v>
      </c>
      <c r="M351" s="13" t="inlineStr">
        <is>
          <t>Completed</t>
        </is>
      </c>
      <c r="N351" s="13" t="inlineStr">
        <is>
          <t>A. Shah</t>
        </is>
      </c>
      <c r="O351" s="13" t="inlineStr">
        <is>
          <t>No</t>
        </is>
      </c>
      <c r="P351" s="14">
        <f>H351*I351</f>
        <v/>
      </c>
      <c r="Q351" s="14">
        <f>P351*(1-J351)</f>
        <v/>
      </c>
      <c r="R351" s="14">
        <f>H351*K351</f>
        <v/>
      </c>
      <c r="S351" s="15">
        <f>IF(Q351=0,"",(Q351-R351)/Q351)</f>
        <v/>
      </c>
      <c r="T351" s="13">
        <f>YEAR(B351)</f>
        <v/>
      </c>
      <c r="U351" s="13">
        <f>YEAR(B351)&amp;"-Q"&amp;ROUNDUP(MONTH(B351)/3,0)</f>
        <v/>
      </c>
      <c r="V351" s="13">
        <f>TEXT(B351,"YYYY-MM")</f>
        <v/>
      </c>
      <c r="W351" s="13">
        <f>IF(L351="","",IF(L351&gt;pLateDays,1,0))</f>
        <v/>
      </c>
      <c r="X351" s="13">
        <f>IF(Q351&gt;=pHighCutoff,1,0)</f>
        <v/>
      </c>
      <c r="Y351" s="13">
        <f>IF(M351="Returned",1,0)</f>
        <v/>
      </c>
    </row>
    <row r="352">
      <c r="A352" s="13" t="inlineStr">
        <is>
          <t>HC-100350</t>
        </is>
      </c>
      <c r="B352" s="18" t="n">
        <v>45876</v>
      </c>
      <c r="C352" s="13" t="inlineStr">
        <is>
          <t>West</t>
        </is>
      </c>
      <c r="D352" s="13" t="inlineStr">
        <is>
          <t>Online</t>
        </is>
      </c>
      <c r="E352" s="13" t="inlineStr">
        <is>
          <t>Textiles</t>
        </is>
      </c>
      <c r="F352" s="13" t="inlineStr">
        <is>
          <t>Cotton Duvet</t>
        </is>
      </c>
      <c r="G352" s="13" t="inlineStr">
        <is>
          <t>Consumer</t>
        </is>
      </c>
      <c r="H352" s="13" t="n">
        <v>1</v>
      </c>
      <c r="I352" s="14" t="n">
        <v>118.74</v>
      </c>
      <c r="J352" s="15" t="n">
        <v>0.02</v>
      </c>
      <c r="K352" s="14" t="n">
        <v>52.24</v>
      </c>
      <c r="L352" s="13" t="n">
        <v>4</v>
      </c>
      <c r="M352" s="13" t="inlineStr">
        <is>
          <t>Completed</t>
        </is>
      </c>
      <c r="N352" s="13" t="inlineStr">
        <is>
          <t>R. Ibarra</t>
        </is>
      </c>
      <c r="O352" s="13" t="inlineStr">
        <is>
          <t>No</t>
        </is>
      </c>
      <c r="P352" s="14">
        <f>H352*I352</f>
        <v/>
      </c>
      <c r="Q352" s="14">
        <f>P352*(1-J352)</f>
        <v/>
      </c>
      <c r="R352" s="14">
        <f>H352*K352</f>
        <v/>
      </c>
      <c r="S352" s="15">
        <f>IF(Q352=0,"",(Q352-R352)/Q352)</f>
        <v/>
      </c>
      <c r="T352" s="13">
        <f>YEAR(B352)</f>
        <v/>
      </c>
      <c r="U352" s="13">
        <f>YEAR(B352)&amp;"-Q"&amp;ROUNDUP(MONTH(B352)/3,0)</f>
        <v/>
      </c>
      <c r="V352" s="13">
        <f>TEXT(B352,"YYYY-MM")</f>
        <v/>
      </c>
      <c r="W352" s="13">
        <f>IF(L352="","",IF(L352&gt;pLateDays,1,0))</f>
        <v/>
      </c>
      <c r="X352" s="13">
        <f>IF(Q352&gt;=pHighCutoff,1,0)</f>
        <v/>
      </c>
      <c r="Y352" s="13">
        <f>IF(M352="Returned",1,0)</f>
        <v/>
      </c>
    </row>
    <row r="353">
      <c r="A353" s="13" t="inlineStr">
        <is>
          <t>HC-100351</t>
        </is>
      </c>
      <c r="B353" s="18" t="n">
        <v>45471</v>
      </c>
      <c r="C353" s="13" t="inlineStr">
        <is>
          <t>South</t>
        </is>
      </c>
      <c r="D353" s="13" t="inlineStr">
        <is>
          <t>Store</t>
        </is>
      </c>
      <c r="E353" s="13" t="inlineStr">
        <is>
          <t>Textiles</t>
        </is>
      </c>
      <c r="F353" s="13" t="inlineStr">
        <is>
          <t>Linen Curtain</t>
        </is>
      </c>
      <c r="G353" s="13" t="inlineStr">
        <is>
          <t>Corporate</t>
        </is>
      </c>
      <c r="H353" s="13" t="n">
        <v>4</v>
      </c>
      <c r="I353" s="14" t="n">
        <v>98.51000000000001</v>
      </c>
      <c r="J353" s="15" t="n">
        <v>0.06</v>
      </c>
      <c r="K353" s="14" t="n">
        <v>44.33</v>
      </c>
      <c r="L353" s="13" t="n">
        <v>10</v>
      </c>
      <c r="M353" s="13" t="inlineStr">
        <is>
          <t>Completed</t>
        </is>
      </c>
      <c r="N353" s="13" t="inlineStr">
        <is>
          <t>S. Nguyen</t>
        </is>
      </c>
      <c r="O353" s="13" t="inlineStr">
        <is>
          <t>No</t>
        </is>
      </c>
      <c r="P353" s="14">
        <f>H353*I353</f>
        <v/>
      </c>
      <c r="Q353" s="14">
        <f>P353*(1-J353)</f>
        <v/>
      </c>
      <c r="R353" s="14">
        <f>H353*K353</f>
        <v/>
      </c>
      <c r="S353" s="15">
        <f>IF(Q353=0,"",(Q353-R353)/Q353)</f>
        <v/>
      </c>
      <c r="T353" s="13">
        <f>YEAR(B353)</f>
        <v/>
      </c>
      <c r="U353" s="13">
        <f>YEAR(B353)&amp;"-Q"&amp;ROUNDUP(MONTH(B353)/3,0)</f>
        <v/>
      </c>
      <c r="V353" s="13">
        <f>TEXT(B353,"YYYY-MM")</f>
        <v/>
      </c>
      <c r="W353" s="13">
        <f>IF(L353="","",IF(L353&gt;pLateDays,1,0))</f>
        <v/>
      </c>
      <c r="X353" s="13">
        <f>IF(Q353&gt;=pHighCutoff,1,0)</f>
        <v/>
      </c>
      <c r="Y353" s="13">
        <f>IF(M353="Returned",1,0)</f>
        <v/>
      </c>
    </row>
    <row r="354">
      <c r="A354" s="13" t="inlineStr">
        <is>
          <t>HC-100352</t>
        </is>
      </c>
      <c r="B354" s="18" t="n">
        <v>45819</v>
      </c>
      <c r="C354" s="13" t="inlineStr">
        <is>
          <t>South</t>
        </is>
      </c>
      <c r="D354" s="13" t="inlineStr">
        <is>
          <t>Store</t>
        </is>
      </c>
      <c r="E354" s="13" t="inlineStr">
        <is>
          <t>Textiles</t>
        </is>
      </c>
      <c r="F354" s="13" t="inlineStr">
        <is>
          <t>Cotton Duvet</t>
        </is>
      </c>
      <c r="G354" s="13" t="inlineStr">
        <is>
          <t>Home Office</t>
        </is>
      </c>
      <c r="H354" s="13" t="n">
        <v>1</v>
      </c>
      <c r="I354" s="14" t="n">
        <v>118.55</v>
      </c>
      <c r="J354" s="15" t="n">
        <v>0.03</v>
      </c>
      <c r="K354" s="14" t="n">
        <v>52.16</v>
      </c>
      <c r="L354" s="13" t="n">
        <v>6</v>
      </c>
      <c r="M354" s="13" t="inlineStr">
        <is>
          <t>Returned</t>
        </is>
      </c>
      <c r="N354" s="13" t="inlineStr">
        <is>
          <t>R. Ibarra</t>
        </is>
      </c>
      <c r="O354" s="13" t="inlineStr">
        <is>
          <t>No</t>
        </is>
      </c>
      <c r="P354" s="14">
        <f>H354*I354</f>
        <v/>
      </c>
      <c r="Q354" s="14">
        <f>P354*(1-J354)</f>
        <v/>
      </c>
      <c r="R354" s="14">
        <f>H354*K354</f>
        <v/>
      </c>
      <c r="S354" s="15">
        <f>IF(Q354=0,"",(Q354-R354)/Q354)</f>
        <v/>
      </c>
      <c r="T354" s="13">
        <f>YEAR(B354)</f>
        <v/>
      </c>
      <c r="U354" s="13">
        <f>YEAR(B354)&amp;"-Q"&amp;ROUNDUP(MONTH(B354)/3,0)</f>
        <v/>
      </c>
      <c r="V354" s="13">
        <f>TEXT(B354,"YYYY-MM")</f>
        <v/>
      </c>
      <c r="W354" s="13">
        <f>IF(L354="","",IF(L354&gt;pLateDays,1,0))</f>
        <v/>
      </c>
      <c r="X354" s="13">
        <f>IF(Q354&gt;=pHighCutoff,1,0)</f>
        <v/>
      </c>
      <c r="Y354" s="13">
        <f>IF(M354="Returned",1,0)</f>
        <v/>
      </c>
    </row>
    <row r="355">
      <c r="A355" s="13" t="inlineStr">
        <is>
          <t>HC-100353</t>
        </is>
      </c>
      <c r="B355" s="18" t="n">
        <v>45352</v>
      </c>
      <c r="C355" s="13" t="inlineStr">
        <is>
          <t>West</t>
        </is>
      </c>
      <c r="D355" s="13" t="inlineStr">
        <is>
          <t>Store</t>
        </is>
      </c>
      <c r="E355" s="13" t="inlineStr">
        <is>
          <t>Lighting</t>
        </is>
      </c>
      <c r="F355" s="13" t="inlineStr">
        <is>
          <t>Brass Sconce</t>
        </is>
      </c>
      <c r="G355" s="13" t="inlineStr">
        <is>
          <t>Consumer</t>
        </is>
      </c>
      <c r="H355" s="13" t="n">
        <v>3</v>
      </c>
      <c r="I355" s="14" t="n">
        <v>140.03</v>
      </c>
      <c r="J355" s="15" t="n">
        <v>0</v>
      </c>
      <c r="K355" s="14" t="n">
        <v>64.42</v>
      </c>
      <c r="L355" s="13" t="n">
        <v>5</v>
      </c>
      <c r="M355" s="13" t="inlineStr">
        <is>
          <t>Completed</t>
        </is>
      </c>
      <c r="N355" s="13" t="inlineStr">
        <is>
          <t>P. Rossi</t>
        </is>
      </c>
      <c r="O355" s="13" t="inlineStr">
        <is>
          <t>No</t>
        </is>
      </c>
      <c r="P355" s="14">
        <f>H355*I355</f>
        <v/>
      </c>
      <c r="Q355" s="14">
        <f>P355*(1-J355)</f>
        <v/>
      </c>
      <c r="R355" s="14">
        <f>H355*K355</f>
        <v/>
      </c>
      <c r="S355" s="15">
        <f>IF(Q355=0,"",(Q355-R355)/Q355)</f>
        <v/>
      </c>
      <c r="T355" s="13">
        <f>YEAR(B355)</f>
        <v/>
      </c>
      <c r="U355" s="13">
        <f>YEAR(B355)&amp;"-Q"&amp;ROUNDUP(MONTH(B355)/3,0)</f>
        <v/>
      </c>
      <c r="V355" s="13">
        <f>TEXT(B355,"YYYY-MM")</f>
        <v/>
      </c>
      <c r="W355" s="13">
        <f>IF(L355="","",IF(L355&gt;pLateDays,1,0))</f>
        <v/>
      </c>
      <c r="X355" s="13">
        <f>IF(Q355&gt;=pHighCutoff,1,0)</f>
        <v/>
      </c>
      <c r="Y355" s="13">
        <f>IF(M355="Returned",1,0)</f>
        <v/>
      </c>
    </row>
    <row r="356">
      <c r="A356" s="13" t="inlineStr">
        <is>
          <t>HC-100354</t>
        </is>
      </c>
      <c r="B356" s="18" t="n">
        <v>45771</v>
      </c>
      <c r="C356" s="13" t="inlineStr">
        <is>
          <t>West</t>
        </is>
      </c>
      <c r="D356" s="13" t="inlineStr">
        <is>
          <t>Online</t>
        </is>
      </c>
      <c r="E356" s="13" t="inlineStr">
        <is>
          <t>Lighting</t>
        </is>
      </c>
      <c r="F356" s="13" t="inlineStr">
        <is>
          <t>Pendant Light</t>
        </is>
      </c>
      <c r="G356" s="13" t="inlineStr">
        <is>
          <t>Consumer</t>
        </is>
      </c>
      <c r="H356" s="13" t="n">
        <v>2</v>
      </c>
      <c r="I356" s="14" t="n">
        <v>175.73</v>
      </c>
      <c r="J356" s="15" t="n">
        <v>0.03</v>
      </c>
      <c r="K356" s="14" t="n">
        <v>87.87</v>
      </c>
      <c r="L356" s="13" t="n">
        <v>5</v>
      </c>
      <c r="M356" s="13" t="inlineStr">
        <is>
          <t>Completed</t>
        </is>
      </c>
      <c r="N356" s="13" t="inlineStr">
        <is>
          <t>A. Shah</t>
        </is>
      </c>
      <c r="O356" s="13" t="inlineStr">
        <is>
          <t>No</t>
        </is>
      </c>
      <c r="P356" s="14">
        <f>H356*I356</f>
        <v/>
      </c>
      <c r="Q356" s="14">
        <f>P356*(1-J356)</f>
        <v/>
      </c>
      <c r="R356" s="14">
        <f>H356*K356</f>
        <v/>
      </c>
      <c r="S356" s="15">
        <f>IF(Q356=0,"",(Q356-R356)/Q356)</f>
        <v/>
      </c>
      <c r="T356" s="13">
        <f>YEAR(B356)</f>
        <v/>
      </c>
      <c r="U356" s="13">
        <f>YEAR(B356)&amp;"-Q"&amp;ROUNDUP(MONTH(B356)/3,0)</f>
        <v/>
      </c>
      <c r="V356" s="13">
        <f>TEXT(B356,"YYYY-MM")</f>
        <v/>
      </c>
      <c r="W356" s="13">
        <f>IF(L356="","",IF(L356&gt;pLateDays,1,0))</f>
        <v/>
      </c>
      <c r="X356" s="13">
        <f>IF(Q356&gt;=pHighCutoff,1,0)</f>
        <v/>
      </c>
      <c r="Y356" s="13">
        <f>IF(M356="Returned",1,0)</f>
        <v/>
      </c>
    </row>
    <row r="357">
      <c r="A357" s="13" t="inlineStr">
        <is>
          <t>HC-100355</t>
        </is>
      </c>
      <c r="B357" s="18" t="n">
        <v>45620</v>
      </c>
      <c r="C357" s="13" t="inlineStr">
        <is>
          <t>West</t>
        </is>
      </c>
      <c r="D357" s="13" t="inlineStr">
        <is>
          <t>Store</t>
        </is>
      </c>
      <c r="E357" s="13" t="inlineStr">
        <is>
          <t>Furniture</t>
        </is>
      </c>
      <c r="F357" s="13" t="inlineStr">
        <is>
          <t>Linen Sofa</t>
        </is>
      </c>
      <c r="G357" s="13" t="inlineStr">
        <is>
          <t>Consumer</t>
        </is>
      </c>
      <c r="H357" s="13" t="n">
        <v>5</v>
      </c>
      <c r="I357" s="14" t="n">
        <v>1279.68</v>
      </c>
      <c r="J357" s="15" t="n">
        <v>0.05</v>
      </c>
      <c r="K357" s="14" t="n">
        <v>844.59</v>
      </c>
      <c r="L357" s="13" t="n">
        <v>7</v>
      </c>
      <c r="M357" s="13" t="inlineStr">
        <is>
          <t>Cancelled</t>
        </is>
      </c>
      <c r="N357" s="13" t="inlineStr">
        <is>
          <t>R. Ibarra</t>
        </is>
      </c>
      <c r="O357" s="13" t="inlineStr">
        <is>
          <t>No</t>
        </is>
      </c>
      <c r="P357" s="14">
        <f>H357*I357</f>
        <v/>
      </c>
      <c r="Q357" s="14">
        <f>P357*(1-J357)</f>
        <v/>
      </c>
      <c r="R357" s="14">
        <f>H357*K357</f>
        <v/>
      </c>
      <c r="S357" s="15">
        <f>IF(Q357=0,"",(Q357-R357)/Q357)</f>
        <v/>
      </c>
      <c r="T357" s="13">
        <f>YEAR(B357)</f>
        <v/>
      </c>
      <c r="U357" s="13">
        <f>YEAR(B357)&amp;"-Q"&amp;ROUNDUP(MONTH(B357)/3,0)</f>
        <v/>
      </c>
      <c r="V357" s="13">
        <f>TEXT(B357,"YYYY-MM")</f>
        <v/>
      </c>
      <c r="W357" s="13">
        <f>IF(L357="","",IF(L357&gt;pLateDays,1,0))</f>
        <v/>
      </c>
      <c r="X357" s="13">
        <f>IF(Q357&gt;=pHighCutoff,1,0)</f>
        <v/>
      </c>
      <c r="Y357" s="13">
        <f>IF(M357="Returned",1,0)</f>
        <v/>
      </c>
    </row>
    <row r="358">
      <c r="A358" s="13" t="inlineStr">
        <is>
          <t>HC-100356</t>
        </is>
      </c>
      <c r="B358" s="18" t="n">
        <v>45809</v>
      </c>
      <c r="C358" s="13" t="inlineStr">
        <is>
          <t>West</t>
        </is>
      </c>
      <c r="D358" s="13" t="inlineStr">
        <is>
          <t>Wholesale</t>
        </is>
      </c>
      <c r="E358" s="13" t="inlineStr">
        <is>
          <t>Furniture</t>
        </is>
      </c>
      <c r="F358" s="13" t="inlineStr">
        <is>
          <t>Oak Desk</t>
        </is>
      </c>
      <c r="G358" s="13" t="inlineStr">
        <is>
          <t>Corporate</t>
        </is>
      </c>
      <c r="H358" s="13" t="n">
        <v>11</v>
      </c>
      <c r="I358" s="14" t="n">
        <v>812.55</v>
      </c>
      <c r="J358" s="15" t="n">
        <v>0.21</v>
      </c>
      <c r="K358" s="14" t="n">
        <v>503.78</v>
      </c>
      <c r="L358" s="13" t="n"/>
      <c r="M358" s="13" t="inlineStr">
        <is>
          <t>Completed</t>
        </is>
      </c>
      <c r="N358" s="13" t="inlineStr">
        <is>
          <t>M. Okonkwo</t>
        </is>
      </c>
      <c r="O358" s="13" t="inlineStr">
        <is>
          <t>No</t>
        </is>
      </c>
      <c r="P358" s="14">
        <f>H358*I358</f>
        <v/>
      </c>
      <c r="Q358" s="14">
        <f>P358*(1-J358)</f>
        <v/>
      </c>
      <c r="R358" s="14">
        <f>H358*K358</f>
        <v/>
      </c>
      <c r="S358" s="15">
        <f>IF(Q358=0,"",(Q358-R358)/Q358)</f>
        <v/>
      </c>
      <c r="T358" s="13">
        <f>YEAR(B358)</f>
        <v/>
      </c>
      <c r="U358" s="13">
        <f>YEAR(B358)&amp;"-Q"&amp;ROUNDUP(MONTH(B358)/3,0)</f>
        <v/>
      </c>
      <c r="V358" s="13">
        <f>TEXT(B358,"YYYY-MM")</f>
        <v/>
      </c>
      <c r="W358" s="13">
        <f>IF(L358="","",IF(L358&gt;pLateDays,1,0))</f>
        <v/>
      </c>
      <c r="X358" s="13">
        <f>IF(Q358&gt;=pHighCutoff,1,0)</f>
        <v/>
      </c>
      <c r="Y358" s="13">
        <f>IF(M358="Returned",1,0)</f>
        <v/>
      </c>
    </row>
    <row r="359">
      <c r="A359" s="13" t="inlineStr">
        <is>
          <t>HC-100357</t>
        </is>
      </c>
      <c r="B359" s="18" t="n">
        <v>45502</v>
      </c>
      <c r="C359" s="13" t="inlineStr">
        <is>
          <t>West</t>
        </is>
      </c>
      <c r="D359" s="13" t="inlineStr">
        <is>
          <t>Store</t>
        </is>
      </c>
      <c r="E359" s="13" t="inlineStr">
        <is>
          <t>Kitchen</t>
        </is>
      </c>
      <c r="F359" s="13" t="inlineStr">
        <is>
          <t>Chef Knife</t>
        </is>
      </c>
      <c r="G359" s="13" t="inlineStr">
        <is>
          <t>Consumer</t>
        </is>
      </c>
      <c r="H359" s="13" t="n">
        <v>3</v>
      </c>
      <c r="I359" s="14" t="n">
        <v>60.37</v>
      </c>
      <c r="J359" s="15" t="n">
        <v>0.05</v>
      </c>
      <c r="K359" s="14" t="n">
        <v>21.73</v>
      </c>
      <c r="L359" s="13" t="n">
        <v>3</v>
      </c>
      <c r="M359" s="13" t="inlineStr">
        <is>
          <t>Cancelled</t>
        </is>
      </c>
      <c r="N359" s="13" t="inlineStr">
        <is>
          <t>A. Shah</t>
        </is>
      </c>
      <c r="O359" s="13" t="inlineStr">
        <is>
          <t>No</t>
        </is>
      </c>
      <c r="P359" s="14">
        <f>H359*I359</f>
        <v/>
      </c>
      <c r="Q359" s="14">
        <f>P359*(1-J359)</f>
        <v/>
      </c>
      <c r="R359" s="14">
        <f>H359*K359</f>
        <v/>
      </c>
      <c r="S359" s="15">
        <f>IF(Q359=0,"",(Q359-R359)/Q359)</f>
        <v/>
      </c>
      <c r="T359" s="13">
        <f>YEAR(B359)</f>
        <v/>
      </c>
      <c r="U359" s="13">
        <f>YEAR(B359)&amp;"-Q"&amp;ROUNDUP(MONTH(B359)/3,0)</f>
        <v/>
      </c>
      <c r="V359" s="13">
        <f>TEXT(B359,"YYYY-MM")</f>
        <v/>
      </c>
      <c r="W359" s="13">
        <f>IF(L359="","",IF(L359&gt;pLateDays,1,0))</f>
        <v/>
      </c>
      <c r="X359" s="13">
        <f>IF(Q359&gt;=pHighCutoff,1,0)</f>
        <v/>
      </c>
      <c r="Y359" s="13">
        <f>IF(M359="Returned",1,0)</f>
        <v/>
      </c>
    </row>
    <row r="360">
      <c r="A360" s="13" t="inlineStr">
        <is>
          <t>HC-100358</t>
        </is>
      </c>
      <c r="B360" s="18" t="n">
        <v>45912</v>
      </c>
      <c r="C360" s="13" t="inlineStr">
        <is>
          <t>South</t>
        </is>
      </c>
      <c r="D360" s="13" t="inlineStr">
        <is>
          <t>Online</t>
        </is>
      </c>
      <c r="E360" s="13" t="inlineStr">
        <is>
          <t>Kitchen</t>
        </is>
      </c>
      <c r="F360" s="13" t="inlineStr">
        <is>
          <t>Ceramic Set</t>
        </is>
      </c>
      <c r="G360" s="13" t="inlineStr">
        <is>
          <t>Corporate</t>
        </is>
      </c>
      <c r="H360" s="13" t="n">
        <v>3</v>
      </c>
      <c r="I360" s="14" t="n">
        <v>80.02</v>
      </c>
      <c r="J360" s="15" t="n">
        <v>0.14</v>
      </c>
      <c r="K360" s="14" t="n">
        <v>30.41</v>
      </c>
      <c r="L360" s="13" t="n">
        <v>6</v>
      </c>
      <c r="M360" s="13" t="inlineStr">
        <is>
          <t>Completed</t>
        </is>
      </c>
      <c r="N360" s="13" t="inlineStr">
        <is>
          <t>A. Shah</t>
        </is>
      </c>
      <c r="O360" s="13" t="inlineStr">
        <is>
          <t>No</t>
        </is>
      </c>
      <c r="P360" s="14">
        <f>H360*I360</f>
        <v/>
      </c>
      <c r="Q360" s="14">
        <f>P360*(1-J360)</f>
        <v/>
      </c>
      <c r="R360" s="14">
        <f>H360*K360</f>
        <v/>
      </c>
      <c r="S360" s="15">
        <f>IF(Q360=0,"",(Q360-R360)/Q360)</f>
        <v/>
      </c>
      <c r="T360" s="13">
        <f>YEAR(B360)</f>
        <v/>
      </c>
      <c r="U360" s="13">
        <f>YEAR(B360)&amp;"-Q"&amp;ROUNDUP(MONTH(B360)/3,0)</f>
        <v/>
      </c>
      <c r="V360" s="13">
        <f>TEXT(B360,"YYYY-MM")</f>
        <v/>
      </c>
      <c r="W360" s="13">
        <f>IF(L360="","",IF(L360&gt;pLateDays,1,0))</f>
        <v/>
      </c>
      <c r="X360" s="13">
        <f>IF(Q360&gt;=pHighCutoff,1,0)</f>
        <v/>
      </c>
      <c r="Y360" s="13">
        <f>IF(M360="Returned",1,0)</f>
        <v/>
      </c>
    </row>
    <row r="361">
      <c r="A361" s="13" t="inlineStr">
        <is>
          <t>HC-100359</t>
        </is>
      </c>
      <c r="B361" s="18" t="n">
        <v>45375</v>
      </c>
      <c r="C361" s="13" t="inlineStr">
        <is>
          <t>North</t>
        </is>
      </c>
      <c r="D361" s="13" t="inlineStr">
        <is>
          <t>Store</t>
        </is>
      </c>
      <c r="E361" s="13" t="inlineStr">
        <is>
          <t>Furniture</t>
        </is>
      </c>
      <c r="F361" s="13" t="inlineStr">
        <is>
          <t>Oak Desk</t>
        </is>
      </c>
      <c r="G361" s="13" t="inlineStr">
        <is>
          <t>Corporate</t>
        </is>
      </c>
      <c r="H361" s="13" t="n">
        <v>4</v>
      </c>
      <c r="I361" s="14" t="n">
        <v>779.38</v>
      </c>
      <c r="J361" s="15" t="n">
        <v>0.11</v>
      </c>
      <c r="K361" s="14" t="n">
        <v>483.21</v>
      </c>
      <c r="L361" s="13" t="n">
        <v>5</v>
      </c>
      <c r="M361" s="13" t="inlineStr">
        <is>
          <t>Completed</t>
        </is>
      </c>
      <c r="N361" s="13" t="inlineStr">
        <is>
          <t>J. Patel</t>
        </is>
      </c>
      <c r="O361" s="13" t="inlineStr">
        <is>
          <t>No</t>
        </is>
      </c>
      <c r="P361" s="14">
        <f>H361*I361</f>
        <v/>
      </c>
      <c r="Q361" s="14">
        <f>P361*(1-J361)</f>
        <v/>
      </c>
      <c r="R361" s="14">
        <f>H361*K361</f>
        <v/>
      </c>
      <c r="S361" s="15">
        <f>IF(Q361=0,"",(Q361-R361)/Q361)</f>
        <v/>
      </c>
      <c r="T361" s="13">
        <f>YEAR(B361)</f>
        <v/>
      </c>
      <c r="U361" s="13">
        <f>YEAR(B361)&amp;"-Q"&amp;ROUNDUP(MONTH(B361)/3,0)</f>
        <v/>
      </c>
      <c r="V361" s="13">
        <f>TEXT(B361,"YYYY-MM")</f>
        <v/>
      </c>
      <c r="W361" s="13">
        <f>IF(L361="","",IF(L361&gt;pLateDays,1,0))</f>
        <v/>
      </c>
      <c r="X361" s="13">
        <f>IF(Q361&gt;=pHighCutoff,1,0)</f>
        <v/>
      </c>
      <c r="Y361" s="13">
        <f>IF(M361="Returned",1,0)</f>
        <v/>
      </c>
    </row>
    <row r="362">
      <c r="A362" s="13" t="inlineStr">
        <is>
          <t>HC-100360</t>
        </is>
      </c>
      <c r="B362" s="18" t="n">
        <v>45732</v>
      </c>
      <c r="C362" s="13" t="inlineStr">
        <is>
          <t>North</t>
        </is>
      </c>
      <c r="D362" s="13" t="inlineStr">
        <is>
          <t>Store</t>
        </is>
      </c>
      <c r="E362" s="13" t="inlineStr">
        <is>
          <t>Lighting</t>
        </is>
      </c>
      <c r="F362" s="13" t="inlineStr">
        <is>
          <t>Brass Sconce</t>
        </is>
      </c>
      <c r="G362" s="13" t="inlineStr">
        <is>
          <t>Consumer</t>
        </is>
      </c>
      <c r="H362" s="13" t="n">
        <v>2</v>
      </c>
      <c r="I362" s="14" t="n">
        <v>147.16</v>
      </c>
      <c r="J362" s="15" t="n">
        <v>0.08</v>
      </c>
      <c r="K362" s="14" t="n">
        <v>67.7</v>
      </c>
      <c r="L362" s="13" t="n">
        <v>6</v>
      </c>
      <c r="M362" s="13" t="inlineStr">
        <is>
          <t>Completed</t>
        </is>
      </c>
      <c r="N362" s="13" t="inlineStr">
        <is>
          <t>R. Ibarra</t>
        </is>
      </c>
      <c r="O362" s="13" t="inlineStr">
        <is>
          <t>No</t>
        </is>
      </c>
      <c r="P362" s="14">
        <f>H362*I362</f>
        <v/>
      </c>
      <c r="Q362" s="14">
        <f>P362*(1-J362)</f>
        <v/>
      </c>
      <c r="R362" s="14">
        <f>H362*K362</f>
        <v/>
      </c>
      <c r="S362" s="15">
        <f>IF(Q362=0,"",(Q362-R362)/Q362)</f>
        <v/>
      </c>
      <c r="T362" s="13">
        <f>YEAR(B362)</f>
        <v/>
      </c>
      <c r="U362" s="13">
        <f>YEAR(B362)&amp;"-Q"&amp;ROUNDUP(MONTH(B362)/3,0)</f>
        <v/>
      </c>
      <c r="V362" s="13">
        <f>TEXT(B362,"YYYY-MM")</f>
        <v/>
      </c>
      <c r="W362" s="13">
        <f>IF(L362="","",IF(L362&gt;pLateDays,1,0))</f>
        <v/>
      </c>
      <c r="X362" s="13">
        <f>IF(Q362&gt;=pHighCutoff,1,0)</f>
        <v/>
      </c>
      <c r="Y362" s="13">
        <f>IF(M362="Returned",1,0)</f>
        <v/>
      </c>
    </row>
    <row r="363">
      <c r="A363" s="13" t="inlineStr">
        <is>
          <t>HC-100361</t>
        </is>
      </c>
      <c r="B363" s="18" t="n">
        <v>45603</v>
      </c>
      <c r="C363" s="13" t="inlineStr">
        <is>
          <t>West</t>
        </is>
      </c>
      <c r="D363" s="13" t="inlineStr">
        <is>
          <t>Store</t>
        </is>
      </c>
      <c r="E363" s="13" t="inlineStr">
        <is>
          <t>Textiles</t>
        </is>
      </c>
      <c r="F363" s="13" t="inlineStr">
        <is>
          <t>Cotton Duvet</t>
        </is>
      </c>
      <c r="G363" s="13" t="inlineStr">
        <is>
          <t>Consumer</t>
        </is>
      </c>
      <c r="H363" s="13" t="n">
        <v>4</v>
      </c>
      <c r="I363" s="14" t="n">
        <v>113.74</v>
      </c>
      <c r="J363" s="15" t="n">
        <v>0.12</v>
      </c>
      <c r="K363" s="14" t="n">
        <v>50.04</v>
      </c>
      <c r="L363" s="13" t="n"/>
      <c r="M363" s="13" t="inlineStr">
        <is>
          <t>Returned</t>
        </is>
      </c>
      <c r="N363" s="13" t="inlineStr">
        <is>
          <t>A. Shah</t>
        </is>
      </c>
      <c r="O363" s="13" t="inlineStr">
        <is>
          <t>No</t>
        </is>
      </c>
      <c r="P363" s="14">
        <f>H363*I363</f>
        <v/>
      </c>
      <c r="Q363" s="14">
        <f>P363*(1-J363)</f>
        <v/>
      </c>
      <c r="R363" s="14">
        <f>H363*K363</f>
        <v/>
      </c>
      <c r="S363" s="15">
        <f>IF(Q363=0,"",(Q363-R363)/Q363)</f>
        <v/>
      </c>
      <c r="T363" s="13">
        <f>YEAR(B363)</f>
        <v/>
      </c>
      <c r="U363" s="13">
        <f>YEAR(B363)&amp;"-Q"&amp;ROUNDUP(MONTH(B363)/3,0)</f>
        <v/>
      </c>
      <c r="V363" s="13">
        <f>TEXT(B363,"YYYY-MM")</f>
        <v/>
      </c>
      <c r="W363" s="13">
        <f>IF(L363="","",IF(L363&gt;pLateDays,1,0))</f>
        <v/>
      </c>
      <c r="X363" s="13">
        <f>IF(Q363&gt;=pHighCutoff,1,0)</f>
        <v/>
      </c>
      <c r="Y363" s="13">
        <f>IF(M363="Returned",1,0)</f>
        <v/>
      </c>
    </row>
    <row r="364">
      <c r="A364" s="13" t="inlineStr">
        <is>
          <t>HC-100362</t>
        </is>
      </c>
      <c r="B364" s="18" t="n">
        <v>45607</v>
      </c>
      <c r="C364" s="13" t="inlineStr">
        <is>
          <t>South</t>
        </is>
      </c>
      <c r="D364" s="13" t="inlineStr">
        <is>
          <t>Store</t>
        </is>
      </c>
      <c r="E364" s="13" t="inlineStr">
        <is>
          <t>Furniture</t>
        </is>
      </c>
      <c r="F364" s="13" t="inlineStr">
        <is>
          <t>Walnut Shelf</t>
        </is>
      </c>
      <c r="G364" s="13" t="inlineStr">
        <is>
          <t>Consumer</t>
        </is>
      </c>
      <c r="H364" s="13" t="n">
        <v>2</v>
      </c>
      <c r="I364" s="14" t="n">
        <v>210.31</v>
      </c>
      <c r="J364" s="15" t="n">
        <v>0.05</v>
      </c>
      <c r="K364" s="14" t="n">
        <v>115.67</v>
      </c>
      <c r="L364" s="13" t="n">
        <v>4</v>
      </c>
      <c r="M364" s="13" t="inlineStr">
        <is>
          <t>Completed</t>
        </is>
      </c>
      <c r="N364" s="13" t="inlineStr">
        <is>
          <t>R. Ibarra</t>
        </is>
      </c>
      <c r="O364" s="13" t="inlineStr">
        <is>
          <t>No</t>
        </is>
      </c>
      <c r="P364" s="14">
        <f>H364*I364</f>
        <v/>
      </c>
      <c r="Q364" s="14">
        <f>P364*(1-J364)</f>
        <v/>
      </c>
      <c r="R364" s="14">
        <f>H364*K364</f>
        <v/>
      </c>
      <c r="S364" s="15">
        <f>IF(Q364=0,"",(Q364-R364)/Q364)</f>
        <v/>
      </c>
      <c r="T364" s="13">
        <f>YEAR(B364)</f>
        <v/>
      </c>
      <c r="U364" s="13">
        <f>YEAR(B364)&amp;"-Q"&amp;ROUNDUP(MONTH(B364)/3,0)</f>
        <v/>
      </c>
      <c r="V364" s="13">
        <f>TEXT(B364,"YYYY-MM")</f>
        <v/>
      </c>
      <c r="W364" s="13">
        <f>IF(L364="","",IF(L364&gt;pLateDays,1,0))</f>
        <v/>
      </c>
      <c r="X364" s="13">
        <f>IF(Q364&gt;=pHighCutoff,1,0)</f>
        <v/>
      </c>
      <c r="Y364" s="13">
        <f>IF(M364="Returned",1,0)</f>
        <v/>
      </c>
    </row>
    <row r="365">
      <c r="A365" s="13" t="inlineStr">
        <is>
          <t>HC-100363</t>
        </is>
      </c>
      <c r="B365" s="18" t="n">
        <v>45546</v>
      </c>
      <c r="C365" s="13" t="inlineStr">
        <is>
          <t>South</t>
        </is>
      </c>
      <c r="D365" s="13" t="inlineStr">
        <is>
          <t>Online</t>
        </is>
      </c>
      <c r="E365" s="13" t="inlineStr">
        <is>
          <t>Lighting</t>
        </is>
      </c>
      <c r="F365" s="13" t="inlineStr">
        <is>
          <t>Pendant Light</t>
        </is>
      </c>
      <c r="G365" s="13" t="inlineStr">
        <is>
          <t>Corporate</t>
        </is>
      </c>
      <c r="H365" s="13" t="n">
        <v>1</v>
      </c>
      <c r="I365" s="14" t="n">
        <v>166.9</v>
      </c>
      <c r="J365" s="15" t="n">
        <v>0.06</v>
      </c>
      <c r="K365" s="14" t="n">
        <v>83.45</v>
      </c>
      <c r="L365" s="13" t="n">
        <v>9</v>
      </c>
      <c r="M365" s="13" t="inlineStr">
        <is>
          <t>Completed</t>
        </is>
      </c>
      <c r="N365" s="13" t="inlineStr">
        <is>
          <t>M. Okonkwo</t>
        </is>
      </c>
      <c r="O365" s="13" t="inlineStr">
        <is>
          <t>No</t>
        </is>
      </c>
      <c r="P365" s="14">
        <f>H365*I365</f>
        <v/>
      </c>
      <c r="Q365" s="14">
        <f>P365*(1-J365)</f>
        <v/>
      </c>
      <c r="R365" s="14">
        <f>H365*K365</f>
        <v/>
      </c>
      <c r="S365" s="15">
        <f>IF(Q365=0,"",(Q365-R365)/Q365)</f>
        <v/>
      </c>
      <c r="T365" s="13">
        <f>YEAR(B365)</f>
        <v/>
      </c>
      <c r="U365" s="13">
        <f>YEAR(B365)&amp;"-Q"&amp;ROUNDUP(MONTH(B365)/3,0)</f>
        <v/>
      </c>
      <c r="V365" s="13">
        <f>TEXT(B365,"YYYY-MM")</f>
        <v/>
      </c>
      <c r="W365" s="13">
        <f>IF(L365="","",IF(L365&gt;pLateDays,1,0))</f>
        <v/>
      </c>
      <c r="X365" s="13">
        <f>IF(Q365&gt;=pHighCutoff,1,0)</f>
        <v/>
      </c>
      <c r="Y365" s="13">
        <f>IF(M365="Returned",1,0)</f>
        <v/>
      </c>
    </row>
    <row r="366">
      <c r="A366" s="13" t="inlineStr">
        <is>
          <t>HC-100364</t>
        </is>
      </c>
      <c r="B366" s="18" t="n">
        <v>45712</v>
      </c>
      <c r="C366" s="13" t="inlineStr">
        <is>
          <t>South</t>
        </is>
      </c>
      <c r="D366" s="13" t="inlineStr">
        <is>
          <t>Store</t>
        </is>
      </c>
      <c r="E366" s="13" t="inlineStr">
        <is>
          <t>Kitchen</t>
        </is>
      </c>
      <c r="F366" s="13" t="inlineStr">
        <is>
          <t>Chef Knife</t>
        </is>
      </c>
      <c r="G366" s="13" t="inlineStr">
        <is>
          <t>Consumer</t>
        </is>
      </c>
      <c r="H366" s="13" t="n">
        <v>3</v>
      </c>
      <c r="I366" s="14" t="n">
        <v>63.39</v>
      </c>
      <c r="J366" s="15" t="n">
        <v>0.09</v>
      </c>
      <c r="K366" s="14" t="n">
        <v>22.82</v>
      </c>
      <c r="L366" s="13" t="n">
        <v>7</v>
      </c>
      <c r="M366" s="13" t="inlineStr">
        <is>
          <t>Completed</t>
        </is>
      </c>
      <c r="N366" s="13" t="inlineStr">
        <is>
          <t>R. Ibarra</t>
        </is>
      </c>
      <c r="O366" s="13" t="inlineStr">
        <is>
          <t>No</t>
        </is>
      </c>
      <c r="P366" s="14">
        <f>H366*I366</f>
        <v/>
      </c>
      <c r="Q366" s="14">
        <f>P366*(1-J366)</f>
        <v/>
      </c>
      <c r="R366" s="14">
        <f>H366*K366</f>
        <v/>
      </c>
      <c r="S366" s="15">
        <f>IF(Q366=0,"",(Q366-R366)/Q366)</f>
        <v/>
      </c>
      <c r="T366" s="13">
        <f>YEAR(B366)</f>
        <v/>
      </c>
      <c r="U366" s="13">
        <f>YEAR(B366)&amp;"-Q"&amp;ROUNDUP(MONTH(B366)/3,0)</f>
        <v/>
      </c>
      <c r="V366" s="13">
        <f>TEXT(B366,"YYYY-MM")</f>
        <v/>
      </c>
      <c r="W366" s="13">
        <f>IF(L366="","",IF(L366&gt;pLateDays,1,0))</f>
        <v/>
      </c>
      <c r="X366" s="13">
        <f>IF(Q366&gt;=pHighCutoff,1,0)</f>
        <v/>
      </c>
      <c r="Y366" s="13">
        <f>IF(M366="Returned",1,0)</f>
        <v/>
      </c>
    </row>
    <row r="367">
      <c r="A367" s="13" t="inlineStr">
        <is>
          <t>HC-100365</t>
        </is>
      </c>
      <c r="B367" s="18" t="n">
        <v>45480</v>
      </c>
      <c r="C367" s="13" t="inlineStr">
        <is>
          <t>West</t>
        </is>
      </c>
      <c r="D367" s="13" t="inlineStr">
        <is>
          <t>Store</t>
        </is>
      </c>
      <c r="E367" s="13" t="inlineStr">
        <is>
          <t>Kitchen</t>
        </is>
      </c>
      <c r="F367" s="13" t="inlineStr">
        <is>
          <t>Cast Skillet</t>
        </is>
      </c>
      <c r="G367" s="13" t="inlineStr">
        <is>
          <t>Home Office</t>
        </is>
      </c>
      <c r="H367" s="13" t="n">
        <v>3</v>
      </c>
      <c r="I367" s="14" t="n">
        <v>52.69</v>
      </c>
      <c r="J367" s="15" t="n">
        <v>0</v>
      </c>
      <c r="K367" s="14" t="n">
        <v>21.07</v>
      </c>
      <c r="L367" s="13" t="n">
        <v>4</v>
      </c>
      <c r="M367" s="13" t="inlineStr">
        <is>
          <t>Completed</t>
        </is>
      </c>
      <c r="N367" s="13" t="inlineStr">
        <is>
          <t>A. Shah</t>
        </is>
      </c>
      <c r="O367" s="13" t="inlineStr">
        <is>
          <t>No</t>
        </is>
      </c>
      <c r="P367" s="14">
        <f>H367*I367</f>
        <v/>
      </c>
      <c r="Q367" s="14">
        <f>P367*(1-J367)</f>
        <v/>
      </c>
      <c r="R367" s="14">
        <f>H367*K367</f>
        <v/>
      </c>
      <c r="S367" s="15">
        <f>IF(Q367=0,"",(Q367-R367)/Q367)</f>
        <v/>
      </c>
      <c r="T367" s="13">
        <f>YEAR(B367)</f>
        <v/>
      </c>
      <c r="U367" s="13">
        <f>YEAR(B367)&amp;"-Q"&amp;ROUNDUP(MONTH(B367)/3,0)</f>
        <v/>
      </c>
      <c r="V367" s="13">
        <f>TEXT(B367,"YYYY-MM")</f>
        <v/>
      </c>
      <c r="W367" s="13">
        <f>IF(L367="","",IF(L367&gt;pLateDays,1,0))</f>
        <v/>
      </c>
      <c r="X367" s="13">
        <f>IF(Q367&gt;=pHighCutoff,1,0)</f>
        <v/>
      </c>
      <c r="Y367" s="13">
        <f>IF(M367="Returned",1,0)</f>
        <v/>
      </c>
    </row>
    <row r="368">
      <c r="A368" s="13" t="inlineStr">
        <is>
          <t>HC-100366</t>
        </is>
      </c>
      <c r="B368" s="18" t="n">
        <v>45879</v>
      </c>
      <c r="C368" s="13" t="inlineStr">
        <is>
          <t>South</t>
        </is>
      </c>
      <c r="D368" s="13" t="inlineStr">
        <is>
          <t>Store</t>
        </is>
      </c>
      <c r="E368" s="13" t="inlineStr">
        <is>
          <t>Kitchen</t>
        </is>
      </c>
      <c r="F368" s="13" t="inlineStr">
        <is>
          <t>Cast Skillet</t>
        </is>
      </c>
      <c r="G368" s="13" t="inlineStr">
        <is>
          <t>Consumer</t>
        </is>
      </c>
      <c r="H368" s="13" t="n">
        <v>3</v>
      </c>
      <c r="I368" s="14" t="n">
        <v>56.28</v>
      </c>
      <c r="J368" s="15" t="n">
        <v>0.08</v>
      </c>
      <c r="K368" s="14" t="n">
        <v>22.51</v>
      </c>
      <c r="L368" s="13" t="n">
        <v>5</v>
      </c>
      <c r="M368" s="13" t="inlineStr">
        <is>
          <t>Completed</t>
        </is>
      </c>
      <c r="N368" s="13" t="inlineStr">
        <is>
          <t>M. Okonkwo</t>
        </is>
      </c>
      <c r="O368" s="13" t="inlineStr">
        <is>
          <t>No</t>
        </is>
      </c>
      <c r="P368" s="14">
        <f>H368*I368</f>
        <v/>
      </c>
      <c r="Q368" s="14">
        <f>P368*(1-J368)</f>
        <v/>
      </c>
      <c r="R368" s="14">
        <f>H368*K368</f>
        <v/>
      </c>
      <c r="S368" s="15">
        <f>IF(Q368=0,"",(Q368-R368)/Q368)</f>
        <v/>
      </c>
      <c r="T368" s="13">
        <f>YEAR(B368)</f>
        <v/>
      </c>
      <c r="U368" s="13">
        <f>YEAR(B368)&amp;"-Q"&amp;ROUNDUP(MONTH(B368)/3,0)</f>
        <v/>
      </c>
      <c r="V368" s="13">
        <f>TEXT(B368,"YYYY-MM")</f>
        <v/>
      </c>
      <c r="W368" s="13">
        <f>IF(L368="","",IF(L368&gt;pLateDays,1,0))</f>
        <v/>
      </c>
      <c r="X368" s="13">
        <f>IF(Q368&gt;=pHighCutoff,1,0)</f>
        <v/>
      </c>
      <c r="Y368" s="13">
        <f>IF(M368="Returned",1,0)</f>
        <v/>
      </c>
    </row>
    <row r="369">
      <c r="A369" s="13" t="inlineStr">
        <is>
          <t>HC-100367</t>
        </is>
      </c>
      <c r="B369" s="18" t="n">
        <v>45662</v>
      </c>
      <c r="C369" s="13" t="inlineStr">
        <is>
          <t>North</t>
        </is>
      </c>
      <c r="D369" s="13" t="inlineStr">
        <is>
          <t>Wholesale</t>
        </is>
      </c>
      <c r="E369" s="13" t="inlineStr">
        <is>
          <t>Lighting</t>
        </is>
      </c>
      <c r="F369" s="13" t="inlineStr">
        <is>
          <t>Brass Sconce</t>
        </is>
      </c>
      <c r="G369" s="13" t="inlineStr">
        <is>
          <t>Consumer</t>
        </is>
      </c>
      <c r="H369" s="13" t="n">
        <v>10</v>
      </c>
      <c r="I369" s="14" t="n">
        <v>146.81</v>
      </c>
      <c r="J369" s="15" t="n">
        <v>0.16</v>
      </c>
      <c r="K369" s="14" t="n">
        <v>67.53</v>
      </c>
      <c r="L369" s="13" t="n">
        <v>4</v>
      </c>
      <c r="M369" s="13" t="inlineStr">
        <is>
          <t>Completed</t>
        </is>
      </c>
      <c r="N369" s="13" t="inlineStr">
        <is>
          <t>L. Berger</t>
        </is>
      </c>
      <c r="O369" s="13" t="inlineStr">
        <is>
          <t>No</t>
        </is>
      </c>
      <c r="P369" s="14">
        <f>H369*I369</f>
        <v/>
      </c>
      <c r="Q369" s="14">
        <f>P369*(1-J369)</f>
        <v/>
      </c>
      <c r="R369" s="14">
        <f>H369*K369</f>
        <v/>
      </c>
      <c r="S369" s="15">
        <f>IF(Q369=0,"",(Q369-R369)/Q369)</f>
        <v/>
      </c>
      <c r="T369" s="13">
        <f>YEAR(B369)</f>
        <v/>
      </c>
      <c r="U369" s="13">
        <f>YEAR(B369)&amp;"-Q"&amp;ROUNDUP(MONTH(B369)/3,0)</f>
        <v/>
      </c>
      <c r="V369" s="13">
        <f>TEXT(B369,"YYYY-MM")</f>
        <v/>
      </c>
      <c r="W369" s="13">
        <f>IF(L369="","",IF(L369&gt;pLateDays,1,0))</f>
        <v/>
      </c>
      <c r="X369" s="13">
        <f>IF(Q369&gt;=pHighCutoff,1,0)</f>
        <v/>
      </c>
      <c r="Y369" s="13">
        <f>IF(M369="Returned",1,0)</f>
        <v/>
      </c>
    </row>
    <row r="370">
      <c r="A370" s="13" t="inlineStr">
        <is>
          <t>HC-100368</t>
        </is>
      </c>
      <c r="B370" s="18" t="n">
        <v>45505</v>
      </c>
      <c r="C370" s="13" t="inlineStr">
        <is>
          <t>East</t>
        </is>
      </c>
      <c r="D370" s="13" t="inlineStr">
        <is>
          <t>Wholesale</t>
        </is>
      </c>
      <c r="E370" s="13" t="inlineStr">
        <is>
          <t>Lighting</t>
        </is>
      </c>
      <c r="F370" s="13" t="inlineStr">
        <is>
          <t>Pendant Light</t>
        </is>
      </c>
      <c r="G370" s="13" t="inlineStr">
        <is>
          <t>Consumer</t>
        </is>
      </c>
      <c r="H370" s="13" t="n">
        <v>27</v>
      </c>
      <c r="I370" s="14" t="n">
        <v>157.27</v>
      </c>
      <c r="J370" s="15" t="n">
        <v>0.24</v>
      </c>
      <c r="K370" s="14" t="n">
        <v>78.64</v>
      </c>
      <c r="L370" s="13" t="n">
        <v>12</v>
      </c>
      <c r="M370" s="13" t="inlineStr">
        <is>
          <t>Completed</t>
        </is>
      </c>
      <c r="N370" s="13" t="inlineStr">
        <is>
          <t>P. Rossi</t>
        </is>
      </c>
      <c r="O370" s="13" t="inlineStr">
        <is>
          <t>No</t>
        </is>
      </c>
      <c r="P370" s="14">
        <f>H370*I370</f>
        <v/>
      </c>
      <c r="Q370" s="14">
        <f>P370*(1-J370)</f>
        <v/>
      </c>
      <c r="R370" s="14">
        <f>H370*K370</f>
        <v/>
      </c>
      <c r="S370" s="15">
        <f>IF(Q370=0,"",(Q370-R370)/Q370)</f>
        <v/>
      </c>
      <c r="T370" s="13">
        <f>YEAR(B370)</f>
        <v/>
      </c>
      <c r="U370" s="13">
        <f>YEAR(B370)&amp;"-Q"&amp;ROUNDUP(MONTH(B370)/3,0)</f>
        <v/>
      </c>
      <c r="V370" s="13">
        <f>TEXT(B370,"YYYY-MM")</f>
        <v/>
      </c>
      <c r="W370" s="13">
        <f>IF(L370="","",IF(L370&gt;pLateDays,1,0))</f>
        <v/>
      </c>
      <c r="X370" s="13">
        <f>IF(Q370&gt;=pHighCutoff,1,0)</f>
        <v/>
      </c>
      <c r="Y370" s="13">
        <f>IF(M370="Returned",1,0)</f>
        <v/>
      </c>
    </row>
    <row r="371">
      <c r="A371" s="13" t="inlineStr">
        <is>
          <t>HC-100369</t>
        </is>
      </c>
      <c r="B371" s="18" t="n">
        <v>45481</v>
      </c>
      <c r="C371" s="13" t="inlineStr">
        <is>
          <t>West</t>
        </is>
      </c>
      <c r="D371" s="13" t="inlineStr">
        <is>
          <t>Store</t>
        </is>
      </c>
      <c r="E371" s="13" t="inlineStr">
        <is>
          <t>Kitchen</t>
        </is>
      </c>
      <c r="F371" s="13" t="inlineStr">
        <is>
          <t>Cast Skillet</t>
        </is>
      </c>
      <c r="G371" s="13" t="inlineStr">
        <is>
          <t>Consumer</t>
        </is>
      </c>
      <c r="H371" s="13" t="n">
        <v>2</v>
      </c>
      <c r="I371" s="14" t="n">
        <v>54.86</v>
      </c>
      <c r="J371" s="15" t="n">
        <v>0.01</v>
      </c>
      <c r="K371" s="14" t="n">
        <v>21.95</v>
      </c>
      <c r="L371" s="13" t="n">
        <v>5</v>
      </c>
      <c r="M371" s="13" t="inlineStr">
        <is>
          <t>Completed</t>
        </is>
      </c>
      <c r="N371" s="13" t="inlineStr">
        <is>
          <t>L. Berger</t>
        </is>
      </c>
      <c r="O371" s="13" t="inlineStr">
        <is>
          <t>No</t>
        </is>
      </c>
      <c r="P371" s="14">
        <f>H371*I371</f>
        <v/>
      </c>
      <c r="Q371" s="14">
        <f>P371*(1-J371)</f>
        <v/>
      </c>
      <c r="R371" s="14">
        <f>H371*K371</f>
        <v/>
      </c>
      <c r="S371" s="15">
        <f>IF(Q371=0,"",(Q371-R371)/Q371)</f>
        <v/>
      </c>
      <c r="T371" s="13">
        <f>YEAR(B371)</f>
        <v/>
      </c>
      <c r="U371" s="13">
        <f>YEAR(B371)&amp;"-Q"&amp;ROUNDUP(MONTH(B371)/3,0)</f>
        <v/>
      </c>
      <c r="V371" s="13">
        <f>TEXT(B371,"YYYY-MM")</f>
        <v/>
      </c>
      <c r="W371" s="13">
        <f>IF(L371="","",IF(L371&gt;pLateDays,1,0))</f>
        <v/>
      </c>
      <c r="X371" s="13">
        <f>IF(Q371&gt;=pHighCutoff,1,0)</f>
        <v/>
      </c>
      <c r="Y371" s="13">
        <f>IF(M371="Returned",1,0)</f>
        <v/>
      </c>
    </row>
    <row r="372">
      <c r="A372" s="13" t="inlineStr">
        <is>
          <t>HC-100370</t>
        </is>
      </c>
      <c r="B372" s="18" t="n">
        <v>45815</v>
      </c>
      <c r="C372" s="13" t="inlineStr">
        <is>
          <t>West</t>
        </is>
      </c>
      <c r="D372" s="13" t="inlineStr">
        <is>
          <t>Online</t>
        </is>
      </c>
      <c r="E372" s="13" t="inlineStr">
        <is>
          <t>Furniture</t>
        </is>
      </c>
      <c r="F372" s="13" t="inlineStr">
        <is>
          <t>Walnut Shelf</t>
        </is>
      </c>
      <c r="G372" s="13" t="inlineStr">
        <is>
          <t>Consumer</t>
        </is>
      </c>
      <c r="H372" s="13" t="n">
        <v>1</v>
      </c>
      <c r="I372" s="14" t="n">
        <v>228.67</v>
      </c>
      <c r="J372" s="15" t="n">
        <v>0.1</v>
      </c>
      <c r="K372" s="14" t="n">
        <v>125.77</v>
      </c>
      <c r="L372" s="13" t="n">
        <v>5</v>
      </c>
      <c r="M372" s="13" t="inlineStr">
        <is>
          <t>Completed</t>
        </is>
      </c>
      <c r="N372" s="13" t="inlineStr">
        <is>
          <t>K. Mensah</t>
        </is>
      </c>
      <c r="O372" s="13" t="inlineStr">
        <is>
          <t>No</t>
        </is>
      </c>
      <c r="P372" s="14">
        <f>H372*I372</f>
        <v/>
      </c>
      <c r="Q372" s="14">
        <f>P372*(1-J372)</f>
        <v/>
      </c>
      <c r="R372" s="14">
        <f>H372*K372</f>
        <v/>
      </c>
      <c r="S372" s="15">
        <f>IF(Q372=0,"",(Q372-R372)/Q372)</f>
        <v/>
      </c>
      <c r="T372" s="13">
        <f>YEAR(B372)</f>
        <v/>
      </c>
      <c r="U372" s="13">
        <f>YEAR(B372)&amp;"-Q"&amp;ROUNDUP(MONTH(B372)/3,0)</f>
        <v/>
      </c>
      <c r="V372" s="13">
        <f>TEXT(B372,"YYYY-MM")</f>
        <v/>
      </c>
      <c r="W372" s="13">
        <f>IF(L372="","",IF(L372&gt;pLateDays,1,0))</f>
        <v/>
      </c>
      <c r="X372" s="13">
        <f>IF(Q372&gt;=pHighCutoff,1,0)</f>
        <v/>
      </c>
      <c r="Y372" s="13">
        <f>IF(M372="Returned",1,0)</f>
        <v/>
      </c>
    </row>
    <row r="373">
      <c r="A373" s="13" t="inlineStr">
        <is>
          <t>HC-100371</t>
        </is>
      </c>
      <c r="B373" s="18" t="n">
        <v>45482</v>
      </c>
      <c r="C373" s="13" t="inlineStr">
        <is>
          <t>North</t>
        </is>
      </c>
      <c r="D373" s="13" t="inlineStr">
        <is>
          <t>Store</t>
        </is>
      </c>
      <c r="E373" s="13" t="inlineStr">
        <is>
          <t>Textiles</t>
        </is>
      </c>
      <c r="F373" s="13" t="inlineStr">
        <is>
          <t>Wool Throw</t>
        </is>
      </c>
      <c r="G373" s="13" t="inlineStr">
        <is>
          <t>Corporate</t>
        </is>
      </c>
      <c r="H373" s="13" t="n">
        <v>1</v>
      </c>
      <c r="I373" s="14" t="n">
        <v>72.58</v>
      </c>
      <c r="J373" s="15" t="n">
        <v>0.04</v>
      </c>
      <c r="K373" s="14" t="n">
        <v>30.48</v>
      </c>
      <c r="L373" s="13" t="n">
        <v>5</v>
      </c>
      <c r="M373" s="13" t="inlineStr">
        <is>
          <t>Completed</t>
        </is>
      </c>
      <c r="N373" s="13" t="inlineStr">
        <is>
          <t>A. Shah</t>
        </is>
      </c>
      <c r="O373" s="13" t="inlineStr">
        <is>
          <t>No</t>
        </is>
      </c>
      <c r="P373" s="14">
        <f>H373*I373</f>
        <v/>
      </c>
      <c r="Q373" s="14">
        <f>P373*(1-J373)</f>
        <v/>
      </c>
      <c r="R373" s="14">
        <f>H373*K373</f>
        <v/>
      </c>
      <c r="S373" s="15">
        <f>IF(Q373=0,"",(Q373-R373)/Q373)</f>
        <v/>
      </c>
      <c r="T373" s="13">
        <f>YEAR(B373)</f>
        <v/>
      </c>
      <c r="U373" s="13">
        <f>YEAR(B373)&amp;"-Q"&amp;ROUNDUP(MONTH(B373)/3,0)</f>
        <v/>
      </c>
      <c r="V373" s="13">
        <f>TEXT(B373,"YYYY-MM")</f>
        <v/>
      </c>
      <c r="W373" s="13">
        <f>IF(L373="","",IF(L373&gt;pLateDays,1,0))</f>
        <v/>
      </c>
      <c r="X373" s="13">
        <f>IF(Q373&gt;=pHighCutoff,1,0)</f>
        <v/>
      </c>
      <c r="Y373" s="13">
        <f>IF(M373="Returned",1,0)</f>
        <v/>
      </c>
    </row>
    <row r="374">
      <c r="A374" s="13" t="inlineStr">
        <is>
          <t>HC-100372</t>
        </is>
      </c>
      <c r="B374" s="18" t="n">
        <v>45881</v>
      </c>
      <c r="C374" s="13" t="inlineStr">
        <is>
          <t>East</t>
        </is>
      </c>
      <c r="D374" s="13" t="inlineStr">
        <is>
          <t>Wholesale</t>
        </is>
      </c>
      <c r="E374" s="13" t="inlineStr">
        <is>
          <t>Furniture</t>
        </is>
      </c>
      <c r="F374" s="13" t="inlineStr">
        <is>
          <t>Linen Sofa</t>
        </is>
      </c>
      <c r="G374" s="13" t="inlineStr">
        <is>
          <t>Consumer</t>
        </is>
      </c>
      <c r="H374" s="13" t="n">
        <v>25</v>
      </c>
      <c r="I374" s="14" t="n">
        <v>1126.62</v>
      </c>
      <c r="J374" s="15" t="n">
        <v>0.29</v>
      </c>
      <c r="K374" s="14" t="n">
        <v>743.5700000000001</v>
      </c>
      <c r="L374" s="13" t="n">
        <v>6</v>
      </c>
      <c r="M374" s="13" t="inlineStr">
        <is>
          <t>Completed</t>
        </is>
      </c>
      <c r="N374" s="13" t="inlineStr">
        <is>
          <t>P. Rossi</t>
        </is>
      </c>
      <c r="O374" s="13" t="inlineStr">
        <is>
          <t>No</t>
        </is>
      </c>
      <c r="P374" s="14">
        <f>H374*I374</f>
        <v/>
      </c>
      <c r="Q374" s="14">
        <f>P374*(1-J374)</f>
        <v/>
      </c>
      <c r="R374" s="14">
        <f>H374*K374</f>
        <v/>
      </c>
      <c r="S374" s="15">
        <f>IF(Q374=0,"",(Q374-R374)/Q374)</f>
        <v/>
      </c>
      <c r="T374" s="13">
        <f>YEAR(B374)</f>
        <v/>
      </c>
      <c r="U374" s="13">
        <f>YEAR(B374)&amp;"-Q"&amp;ROUNDUP(MONTH(B374)/3,0)</f>
        <v/>
      </c>
      <c r="V374" s="13">
        <f>TEXT(B374,"YYYY-MM")</f>
        <v/>
      </c>
      <c r="W374" s="13">
        <f>IF(L374="","",IF(L374&gt;pLateDays,1,0))</f>
        <v/>
      </c>
      <c r="X374" s="13">
        <f>IF(Q374&gt;=pHighCutoff,1,0)</f>
        <v/>
      </c>
      <c r="Y374" s="13">
        <f>IF(M374="Returned",1,0)</f>
        <v/>
      </c>
    </row>
    <row r="375">
      <c r="A375" s="13" t="inlineStr">
        <is>
          <t>HC-100373</t>
        </is>
      </c>
      <c r="B375" s="18" t="n">
        <v>45821</v>
      </c>
      <c r="C375" s="13" t="inlineStr">
        <is>
          <t>East</t>
        </is>
      </c>
      <c r="D375" s="13" t="inlineStr">
        <is>
          <t>Online</t>
        </is>
      </c>
      <c r="E375" s="13" t="inlineStr">
        <is>
          <t>Furniture</t>
        </is>
      </c>
      <c r="F375" s="13" t="inlineStr">
        <is>
          <t>Linen Sofa</t>
        </is>
      </c>
      <c r="G375" s="13" t="inlineStr">
        <is>
          <t>Consumer</t>
        </is>
      </c>
      <c r="H375" s="13" t="n">
        <v>1</v>
      </c>
      <c r="I375" s="14" t="n">
        <v>1035.86</v>
      </c>
      <c r="J375" s="15" t="n">
        <v>0.09</v>
      </c>
      <c r="K375" s="14" t="n">
        <v>683.66</v>
      </c>
      <c r="L375" s="13" t="n">
        <v>7</v>
      </c>
      <c r="M375" s="13" t="inlineStr">
        <is>
          <t>Completed</t>
        </is>
      </c>
      <c r="N375" s="13" t="inlineStr">
        <is>
          <t>K. Mensah</t>
        </is>
      </c>
      <c r="O375" s="13" t="inlineStr">
        <is>
          <t>No</t>
        </is>
      </c>
      <c r="P375" s="14">
        <f>H375*I375</f>
        <v/>
      </c>
      <c r="Q375" s="14">
        <f>P375*(1-J375)</f>
        <v/>
      </c>
      <c r="R375" s="14">
        <f>H375*K375</f>
        <v/>
      </c>
      <c r="S375" s="15">
        <f>IF(Q375=0,"",(Q375-R375)/Q375)</f>
        <v/>
      </c>
      <c r="T375" s="13">
        <f>YEAR(B375)</f>
        <v/>
      </c>
      <c r="U375" s="13">
        <f>YEAR(B375)&amp;"-Q"&amp;ROUNDUP(MONTH(B375)/3,0)</f>
        <v/>
      </c>
      <c r="V375" s="13">
        <f>TEXT(B375,"YYYY-MM")</f>
        <v/>
      </c>
      <c r="W375" s="13">
        <f>IF(L375="","",IF(L375&gt;pLateDays,1,0))</f>
        <v/>
      </c>
      <c r="X375" s="13">
        <f>IF(Q375&gt;=pHighCutoff,1,0)</f>
        <v/>
      </c>
      <c r="Y375" s="13">
        <f>IF(M375="Returned",1,0)</f>
        <v/>
      </c>
    </row>
    <row r="376">
      <c r="A376" s="13" t="inlineStr">
        <is>
          <t>HC-100374</t>
        </is>
      </c>
      <c r="B376" s="18" t="n">
        <v>45612</v>
      </c>
      <c r="C376" s="13" t="inlineStr">
        <is>
          <t>North</t>
        </is>
      </c>
      <c r="D376" s="13" t="inlineStr">
        <is>
          <t>Wholesale</t>
        </is>
      </c>
      <c r="E376" s="13" t="inlineStr">
        <is>
          <t>Lighting</t>
        </is>
      </c>
      <c r="F376" s="13" t="inlineStr">
        <is>
          <t>Pendant Light</t>
        </is>
      </c>
      <c r="G376" s="13" t="inlineStr">
        <is>
          <t>Consumer</t>
        </is>
      </c>
      <c r="H376" s="13" t="n">
        <v>36</v>
      </c>
      <c r="I376" s="14" t="n">
        <v>184.47</v>
      </c>
      <c r="J376" s="15" t="n">
        <v>0.3</v>
      </c>
      <c r="K376" s="14" t="n">
        <v>92.23999999999999</v>
      </c>
      <c r="L376" s="13" t="n">
        <v>6</v>
      </c>
      <c r="M376" s="13" t="inlineStr">
        <is>
          <t>Completed</t>
        </is>
      </c>
      <c r="N376" s="13" t="inlineStr">
        <is>
          <t>L. Berger</t>
        </is>
      </c>
      <c r="O376" s="13" t="inlineStr">
        <is>
          <t>No</t>
        </is>
      </c>
      <c r="P376" s="14">
        <f>H376*I376</f>
        <v/>
      </c>
      <c r="Q376" s="14">
        <f>P376*(1-J376)</f>
        <v/>
      </c>
      <c r="R376" s="14">
        <f>H376*K376</f>
        <v/>
      </c>
      <c r="S376" s="15">
        <f>IF(Q376=0,"",(Q376-R376)/Q376)</f>
        <v/>
      </c>
      <c r="T376" s="13">
        <f>YEAR(B376)</f>
        <v/>
      </c>
      <c r="U376" s="13">
        <f>YEAR(B376)&amp;"-Q"&amp;ROUNDUP(MONTH(B376)/3,0)</f>
        <v/>
      </c>
      <c r="V376" s="13">
        <f>TEXT(B376,"YYYY-MM")</f>
        <v/>
      </c>
      <c r="W376" s="13">
        <f>IF(L376="","",IF(L376&gt;pLateDays,1,0))</f>
        <v/>
      </c>
      <c r="X376" s="13">
        <f>IF(Q376&gt;=pHighCutoff,1,0)</f>
        <v/>
      </c>
      <c r="Y376" s="13">
        <f>IF(M376="Returned",1,0)</f>
        <v/>
      </c>
    </row>
    <row r="377">
      <c r="A377" s="13" t="inlineStr">
        <is>
          <t>HC-100375</t>
        </is>
      </c>
      <c r="B377" s="18" t="n">
        <v>45732</v>
      </c>
      <c r="C377" s="13" t="inlineStr">
        <is>
          <t>West</t>
        </is>
      </c>
      <c r="D377" s="13" t="inlineStr">
        <is>
          <t>Online</t>
        </is>
      </c>
      <c r="E377" s="13" t="inlineStr">
        <is>
          <t>Kitchen</t>
        </is>
      </c>
      <c r="F377" s="13" t="inlineStr">
        <is>
          <t>Ceramic Set</t>
        </is>
      </c>
      <c r="G377" s="13" t="inlineStr">
        <is>
          <t>Consumer</t>
        </is>
      </c>
      <c r="H377" s="13" t="n">
        <v>3</v>
      </c>
      <c r="I377" s="14" t="n">
        <v>87.88</v>
      </c>
      <c r="J377" s="15" t="n">
        <v>0.03</v>
      </c>
      <c r="K377" s="14" t="n">
        <v>33.4</v>
      </c>
      <c r="L377" s="13" t="n">
        <v>6</v>
      </c>
      <c r="M377" s="13" t="inlineStr">
        <is>
          <t>Completed</t>
        </is>
      </c>
      <c r="N377" s="13" t="inlineStr">
        <is>
          <t>A. Shah</t>
        </is>
      </c>
      <c r="O377" s="13" t="inlineStr">
        <is>
          <t>No</t>
        </is>
      </c>
      <c r="P377" s="14">
        <f>H377*I377</f>
        <v/>
      </c>
      <c r="Q377" s="14">
        <f>P377*(1-J377)</f>
        <v/>
      </c>
      <c r="R377" s="14">
        <f>H377*K377</f>
        <v/>
      </c>
      <c r="S377" s="15">
        <f>IF(Q377=0,"",(Q377-R377)/Q377)</f>
        <v/>
      </c>
      <c r="T377" s="13">
        <f>YEAR(B377)</f>
        <v/>
      </c>
      <c r="U377" s="13">
        <f>YEAR(B377)&amp;"-Q"&amp;ROUNDUP(MONTH(B377)/3,0)</f>
        <v/>
      </c>
      <c r="V377" s="13">
        <f>TEXT(B377,"YYYY-MM")</f>
        <v/>
      </c>
      <c r="W377" s="13">
        <f>IF(L377="","",IF(L377&gt;pLateDays,1,0))</f>
        <v/>
      </c>
      <c r="X377" s="13">
        <f>IF(Q377&gt;=pHighCutoff,1,0)</f>
        <v/>
      </c>
      <c r="Y377" s="13">
        <f>IF(M377="Returned",1,0)</f>
        <v/>
      </c>
    </row>
    <row r="378">
      <c r="A378" s="13" t="inlineStr">
        <is>
          <t>HC-100376</t>
        </is>
      </c>
      <c r="B378" s="18" t="n">
        <v>45801</v>
      </c>
      <c r="C378" s="13" t="inlineStr">
        <is>
          <t>West</t>
        </is>
      </c>
      <c r="D378" s="13" t="inlineStr">
        <is>
          <t>Wholesale</t>
        </is>
      </c>
      <c r="E378" s="13" t="inlineStr">
        <is>
          <t>Textiles</t>
        </is>
      </c>
      <c r="F378" s="13" t="inlineStr">
        <is>
          <t>Wool Throw</t>
        </is>
      </c>
      <c r="G378" s="13" t="inlineStr">
        <is>
          <t>Consumer</t>
        </is>
      </c>
      <c r="H378" s="13" t="n">
        <v>21</v>
      </c>
      <c r="I378" s="14" t="n">
        <v>80.33</v>
      </c>
      <c r="J378" s="15" t="n">
        <v>0.23</v>
      </c>
      <c r="K378" s="14" t="n">
        <v>33.74</v>
      </c>
      <c r="L378" s="13" t="n"/>
      <c r="M378" s="13" t="inlineStr">
        <is>
          <t>Completed</t>
        </is>
      </c>
      <c r="N378" s="13" t="inlineStr">
        <is>
          <t>K. Mensah</t>
        </is>
      </c>
      <c r="O378" s="13" t="inlineStr">
        <is>
          <t>No</t>
        </is>
      </c>
      <c r="P378" s="14">
        <f>H378*I378</f>
        <v/>
      </c>
      <c r="Q378" s="14">
        <f>P378*(1-J378)</f>
        <v/>
      </c>
      <c r="R378" s="14">
        <f>H378*K378</f>
        <v/>
      </c>
      <c r="S378" s="15">
        <f>IF(Q378=0,"",(Q378-R378)/Q378)</f>
        <v/>
      </c>
      <c r="T378" s="13">
        <f>YEAR(B378)</f>
        <v/>
      </c>
      <c r="U378" s="13">
        <f>YEAR(B378)&amp;"-Q"&amp;ROUNDUP(MONTH(B378)/3,0)</f>
        <v/>
      </c>
      <c r="V378" s="13">
        <f>TEXT(B378,"YYYY-MM")</f>
        <v/>
      </c>
      <c r="W378" s="13">
        <f>IF(L378="","",IF(L378&gt;pLateDays,1,0))</f>
        <v/>
      </c>
      <c r="X378" s="13">
        <f>IF(Q378&gt;=pHighCutoff,1,0)</f>
        <v/>
      </c>
      <c r="Y378" s="13">
        <f>IF(M378="Returned",1,0)</f>
        <v/>
      </c>
    </row>
    <row r="379">
      <c r="A379" s="13" t="inlineStr">
        <is>
          <t>HC-100377</t>
        </is>
      </c>
      <c r="B379" s="18" t="n">
        <v>45731</v>
      </c>
      <c r="C379" s="13" t="inlineStr">
        <is>
          <t>East</t>
        </is>
      </c>
      <c r="D379" s="13" t="inlineStr">
        <is>
          <t>Online</t>
        </is>
      </c>
      <c r="E379" s="13" t="inlineStr">
        <is>
          <t>Kitchen</t>
        </is>
      </c>
      <c r="F379" s="13" t="inlineStr">
        <is>
          <t>Ceramic Set</t>
        </is>
      </c>
      <c r="G379" s="13" t="inlineStr">
        <is>
          <t>Consumer</t>
        </is>
      </c>
      <c r="H379" s="13" t="n">
        <v>2</v>
      </c>
      <c r="I379" s="14" t="n">
        <v>80.12</v>
      </c>
      <c r="J379" s="15" t="n">
        <v>0.17</v>
      </c>
      <c r="K379" s="14" t="n">
        <v>30.45</v>
      </c>
      <c r="L379" s="13" t="n">
        <v>11</v>
      </c>
      <c r="M379" s="13" t="inlineStr">
        <is>
          <t>Completed</t>
        </is>
      </c>
      <c r="N379" s="13" t="inlineStr">
        <is>
          <t>S. Nguyen</t>
        </is>
      </c>
      <c r="O379" s="13" t="inlineStr">
        <is>
          <t>No</t>
        </is>
      </c>
      <c r="P379" s="14">
        <f>H379*I379</f>
        <v/>
      </c>
      <c r="Q379" s="14">
        <f>P379*(1-J379)</f>
        <v/>
      </c>
      <c r="R379" s="14">
        <f>H379*K379</f>
        <v/>
      </c>
      <c r="S379" s="15">
        <f>IF(Q379=0,"",(Q379-R379)/Q379)</f>
        <v/>
      </c>
      <c r="T379" s="13">
        <f>YEAR(B379)</f>
        <v/>
      </c>
      <c r="U379" s="13">
        <f>YEAR(B379)&amp;"-Q"&amp;ROUNDUP(MONTH(B379)/3,0)</f>
        <v/>
      </c>
      <c r="V379" s="13">
        <f>TEXT(B379,"YYYY-MM")</f>
        <v/>
      </c>
      <c r="W379" s="13">
        <f>IF(L379="","",IF(L379&gt;pLateDays,1,0))</f>
        <v/>
      </c>
      <c r="X379" s="13">
        <f>IF(Q379&gt;=pHighCutoff,1,0)</f>
        <v/>
      </c>
      <c r="Y379" s="13">
        <f>IF(M379="Returned",1,0)</f>
        <v/>
      </c>
    </row>
    <row r="380">
      <c r="A380" s="13" t="inlineStr">
        <is>
          <t>HC-100378</t>
        </is>
      </c>
      <c r="B380" s="18" t="n">
        <v>45543</v>
      </c>
      <c r="C380" s="13" t="inlineStr">
        <is>
          <t>West</t>
        </is>
      </c>
      <c r="D380" s="13" t="inlineStr">
        <is>
          <t>Wholesale</t>
        </is>
      </c>
      <c r="E380" s="13" t="inlineStr">
        <is>
          <t>Textiles</t>
        </is>
      </c>
      <c r="F380" s="13" t="inlineStr">
        <is>
          <t>Wool Throw</t>
        </is>
      </c>
      <c r="G380" s="13" t="inlineStr">
        <is>
          <t>Home Office</t>
        </is>
      </c>
      <c r="H380" s="13" t="n">
        <v>24</v>
      </c>
      <c r="I380" s="14" t="n">
        <v>75.78</v>
      </c>
      <c r="J380" s="15" t="n">
        <v>0.19</v>
      </c>
      <c r="K380" s="14" t="n">
        <v>31.83</v>
      </c>
      <c r="L380" s="13" t="n">
        <v>6</v>
      </c>
      <c r="M380" s="13" t="inlineStr">
        <is>
          <t>Completed</t>
        </is>
      </c>
      <c r="N380" s="13" t="inlineStr">
        <is>
          <t>K. Mensah</t>
        </is>
      </c>
      <c r="O380" s="13" t="inlineStr">
        <is>
          <t>No</t>
        </is>
      </c>
      <c r="P380" s="14">
        <f>H380*I380</f>
        <v/>
      </c>
      <c r="Q380" s="14">
        <f>P380*(1-J380)</f>
        <v/>
      </c>
      <c r="R380" s="14">
        <f>H380*K380</f>
        <v/>
      </c>
      <c r="S380" s="15">
        <f>IF(Q380=0,"",(Q380-R380)/Q380)</f>
        <v/>
      </c>
      <c r="T380" s="13">
        <f>YEAR(B380)</f>
        <v/>
      </c>
      <c r="U380" s="13">
        <f>YEAR(B380)&amp;"-Q"&amp;ROUNDUP(MONTH(B380)/3,0)</f>
        <v/>
      </c>
      <c r="V380" s="13">
        <f>TEXT(B380,"YYYY-MM")</f>
        <v/>
      </c>
      <c r="W380" s="13">
        <f>IF(L380="","",IF(L380&gt;pLateDays,1,0))</f>
        <v/>
      </c>
      <c r="X380" s="13">
        <f>IF(Q380&gt;=pHighCutoff,1,0)</f>
        <v/>
      </c>
      <c r="Y380" s="13">
        <f>IF(M380="Returned",1,0)</f>
        <v/>
      </c>
    </row>
    <row r="381">
      <c r="A381" s="13" t="inlineStr">
        <is>
          <t>HC-100379</t>
        </is>
      </c>
      <c r="B381" s="18" t="n">
        <v>45755</v>
      </c>
      <c r="C381" s="13" t="inlineStr">
        <is>
          <t>East</t>
        </is>
      </c>
      <c r="D381" s="13" t="inlineStr">
        <is>
          <t>Online</t>
        </is>
      </c>
      <c r="E381" s="13" t="inlineStr">
        <is>
          <t>Lighting</t>
        </is>
      </c>
      <c r="F381" s="13" t="inlineStr">
        <is>
          <t>Brass Sconce</t>
        </is>
      </c>
      <c r="G381" s="13" t="inlineStr">
        <is>
          <t>Consumer</t>
        </is>
      </c>
      <c r="H381" s="13" t="n">
        <v>2</v>
      </c>
      <c r="I381" s="14" t="n">
        <v>130.09</v>
      </c>
      <c r="J381" s="15" t="n">
        <v>0.17</v>
      </c>
      <c r="K381" s="14" t="n">
        <v>59.84</v>
      </c>
      <c r="L381" s="13" t="n">
        <v>6</v>
      </c>
      <c r="M381" s="13" t="inlineStr">
        <is>
          <t>Returned</t>
        </is>
      </c>
      <c r="N381" s="13" t="inlineStr">
        <is>
          <t>K. Mensah</t>
        </is>
      </c>
      <c r="O381" s="13" t="inlineStr">
        <is>
          <t>No</t>
        </is>
      </c>
      <c r="P381" s="14">
        <f>H381*I381</f>
        <v/>
      </c>
      <c r="Q381" s="14">
        <f>P381*(1-J381)</f>
        <v/>
      </c>
      <c r="R381" s="14">
        <f>H381*K381</f>
        <v/>
      </c>
      <c r="S381" s="15">
        <f>IF(Q381=0,"",(Q381-R381)/Q381)</f>
        <v/>
      </c>
      <c r="T381" s="13">
        <f>YEAR(B381)</f>
        <v/>
      </c>
      <c r="U381" s="13">
        <f>YEAR(B381)&amp;"-Q"&amp;ROUNDUP(MONTH(B381)/3,0)</f>
        <v/>
      </c>
      <c r="V381" s="13">
        <f>TEXT(B381,"YYYY-MM")</f>
        <v/>
      </c>
      <c r="W381" s="13">
        <f>IF(L381="","",IF(L381&gt;pLateDays,1,0))</f>
        <v/>
      </c>
      <c r="X381" s="13">
        <f>IF(Q381&gt;=pHighCutoff,1,0)</f>
        <v/>
      </c>
      <c r="Y381" s="13">
        <f>IF(M381="Returned",1,0)</f>
        <v/>
      </c>
    </row>
    <row r="382">
      <c r="A382" s="13" t="inlineStr">
        <is>
          <t>HC-100380</t>
        </is>
      </c>
      <c r="B382" s="18" t="n">
        <v>45592</v>
      </c>
      <c r="C382" s="13" t="inlineStr">
        <is>
          <t>West</t>
        </is>
      </c>
      <c r="D382" s="13" t="inlineStr">
        <is>
          <t>Store</t>
        </is>
      </c>
      <c r="E382" s="13" t="inlineStr">
        <is>
          <t>Textiles</t>
        </is>
      </c>
      <c r="F382" s="13" t="inlineStr">
        <is>
          <t>Wool Throw</t>
        </is>
      </c>
      <c r="G382" s="13" t="inlineStr">
        <is>
          <t>Consumer</t>
        </is>
      </c>
      <c r="H382" s="13" t="n">
        <v>4</v>
      </c>
      <c r="I382" s="14" t="n">
        <v>80.81999999999999</v>
      </c>
      <c r="J382" s="15" t="n">
        <v>0.05</v>
      </c>
      <c r="K382" s="14" t="n">
        <v>33.94</v>
      </c>
      <c r="L382" s="13" t="n">
        <v>6</v>
      </c>
      <c r="M382" s="13" t="inlineStr">
        <is>
          <t>Completed</t>
        </is>
      </c>
      <c r="N382" s="13" t="inlineStr">
        <is>
          <t>M. Okonkwo</t>
        </is>
      </c>
      <c r="O382" s="13" t="inlineStr">
        <is>
          <t>No</t>
        </is>
      </c>
      <c r="P382" s="14">
        <f>H382*I382</f>
        <v/>
      </c>
      <c r="Q382" s="14">
        <f>P382*(1-J382)</f>
        <v/>
      </c>
      <c r="R382" s="14">
        <f>H382*K382</f>
        <v/>
      </c>
      <c r="S382" s="15">
        <f>IF(Q382=0,"",(Q382-R382)/Q382)</f>
        <v/>
      </c>
      <c r="T382" s="13">
        <f>YEAR(B382)</f>
        <v/>
      </c>
      <c r="U382" s="13">
        <f>YEAR(B382)&amp;"-Q"&amp;ROUNDUP(MONTH(B382)/3,0)</f>
        <v/>
      </c>
      <c r="V382" s="13">
        <f>TEXT(B382,"YYYY-MM")</f>
        <v/>
      </c>
      <c r="W382" s="13">
        <f>IF(L382="","",IF(L382&gt;pLateDays,1,0))</f>
        <v/>
      </c>
      <c r="X382" s="13">
        <f>IF(Q382&gt;=pHighCutoff,1,0)</f>
        <v/>
      </c>
      <c r="Y382" s="13">
        <f>IF(M382="Returned",1,0)</f>
        <v/>
      </c>
    </row>
    <row r="383">
      <c r="A383" s="13" t="inlineStr">
        <is>
          <t>HC-100381</t>
        </is>
      </c>
      <c r="B383" s="18" t="n">
        <v>45604</v>
      </c>
      <c r="C383" s="13" t="inlineStr">
        <is>
          <t>South</t>
        </is>
      </c>
      <c r="D383" s="13" t="inlineStr">
        <is>
          <t>Store</t>
        </is>
      </c>
      <c r="E383" s="13" t="inlineStr">
        <is>
          <t>Furniture</t>
        </is>
      </c>
      <c r="F383" s="13" t="inlineStr">
        <is>
          <t>Oak Desk</t>
        </is>
      </c>
      <c r="G383" s="13" t="inlineStr">
        <is>
          <t>Consumer</t>
        </is>
      </c>
      <c r="H383" s="13" t="n">
        <v>5</v>
      </c>
      <c r="I383" s="14" t="n">
        <v>888.25</v>
      </c>
      <c r="J383" s="15" t="n">
        <v>0.01</v>
      </c>
      <c r="K383" s="14" t="n">
        <v>550.71</v>
      </c>
      <c r="L383" s="13" t="n">
        <v>4</v>
      </c>
      <c r="M383" s="13" t="inlineStr">
        <is>
          <t>Completed</t>
        </is>
      </c>
      <c r="N383" s="13" t="inlineStr">
        <is>
          <t>J. Patel</t>
        </is>
      </c>
      <c r="O383" s="13" t="inlineStr">
        <is>
          <t>No</t>
        </is>
      </c>
      <c r="P383" s="14">
        <f>H383*I383</f>
        <v/>
      </c>
      <c r="Q383" s="14">
        <f>P383*(1-J383)</f>
        <v/>
      </c>
      <c r="R383" s="14">
        <f>H383*K383</f>
        <v/>
      </c>
      <c r="S383" s="15">
        <f>IF(Q383=0,"",(Q383-R383)/Q383)</f>
        <v/>
      </c>
      <c r="T383" s="13">
        <f>YEAR(B383)</f>
        <v/>
      </c>
      <c r="U383" s="13">
        <f>YEAR(B383)&amp;"-Q"&amp;ROUNDUP(MONTH(B383)/3,0)</f>
        <v/>
      </c>
      <c r="V383" s="13">
        <f>TEXT(B383,"YYYY-MM")</f>
        <v/>
      </c>
      <c r="W383" s="13">
        <f>IF(L383="","",IF(L383&gt;pLateDays,1,0))</f>
        <v/>
      </c>
      <c r="X383" s="13">
        <f>IF(Q383&gt;=pHighCutoff,1,0)</f>
        <v/>
      </c>
      <c r="Y383" s="13">
        <f>IF(M383="Returned",1,0)</f>
        <v/>
      </c>
    </row>
    <row r="384">
      <c r="A384" s="13" t="inlineStr">
        <is>
          <t>HC-100382</t>
        </is>
      </c>
      <c r="B384" s="18" t="n">
        <v>45479</v>
      </c>
      <c r="C384" s="13" t="inlineStr">
        <is>
          <t>West</t>
        </is>
      </c>
      <c r="D384" s="13" t="inlineStr">
        <is>
          <t>Online</t>
        </is>
      </c>
      <c r="E384" s="13" t="inlineStr">
        <is>
          <t>Furniture</t>
        </is>
      </c>
      <c r="F384" s="13" t="inlineStr">
        <is>
          <t>Walnut Shelf</t>
        </is>
      </c>
      <c r="G384" s="13" t="inlineStr">
        <is>
          <t>Consumer</t>
        </is>
      </c>
      <c r="H384" s="13" t="n">
        <v>3</v>
      </c>
      <c r="I384" s="14" t="n">
        <v>214.13</v>
      </c>
      <c r="J384" s="15" t="n">
        <v>0.11</v>
      </c>
      <c r="K384" s="14" t="n">
        <v>117.77</v>
      </c>
      <c r="L384" s="13" t="n">
        <v>2</v>
      </c>
      <c r="M384" s="13" t="inlineStr">
        <is>
          <t>Completed</t>
        </is>
      </c>
      <c r="N384" s="13" t="inlineStr">
        <is>
          <t>J. Patel</t>
        </is>
      </c>
      <c r="O384" s="13" t="inlineStr">
        <is>
          <t>No</t>
        </is>
      </c>
      <c r="P384" s="14">
        <f>H384*I384</f>
        <v/>
      </c>
      <c r="Q384" s="14">
        <f>P384*(1-J384)</f>
        <v/>
      </c>
      <c r="R384" s="14">
        <f>H384*K384</f>
        <v/>
      </c>
      <c r="S384" s="15">
        <f>IF(Q384=0,"",(Q384-R384)/Q384)</f>
        <v/>
      </c>
      <c r="T384" s="13">
        <f>YEAR(B384)</f>
        <v/>
      </c>
      <c r="U384" s="13">
        <f>YEAR(B384)&amp;"-Q"&amp;ROUNDUP(MONTH(B384)/3,0)</f>
        <v/>
      </c>
      <c r="V384" s="13">
        <f>TEXT(B384,"YYYY-MM")</f>
        <v/>
      </c>
      <c r="W384" s="13">
        <f>IF(L384="","",IF(L384&gt;pLateDays,1,0))</f>
        <v/>
      </c>
      <c r="X384" s="13">
        <f>IF(Q384&gt;=pHighCutoff,1,0)</f>
        <v/>
      </c>
      <c r="Y384" s="13">
        <f>IF(M384="Returned",1,0)</f>
        <v/>
      </c>
    </row>
    <row r="385">
      <c r="A385" s="13" t="inlineStr">
        <is>
          <t>HC-100383</t>
        </is>
      </c>
      <c r="B385" s="18" t="n">
        <v>45783</v>
      </c>
      <c r="C385" s="13" t="inlineStr">
        <is>
          <t>North</t>
        </is>
      </c>
      <c r="D385" s="13" t="inlineStr">
        <is>
          <t>Store</t>
        </is>
      </c>
      <c r="E385" s="13" t="inlineStr">
        <is>
          <t>Textiles</t>
        </is>
      </c>
      <c r="F385" s="13" t="inlineStr">
        <is>
          <t>Linen Curtain</t>
        </is>
      </c>
      <c r="G385" s="13" t="inlineStr">
        <is>
          <t>Consumer</t>
        </is>
      </c>
      <c r="H385" s="13" t="n">
        <v>1</v>
      </c>
      <c r="I385" s="14" t="n">
        <v>92.31999999999999</v>
      </c>
      <c r="J385" s="15" t="n">
        <v>0.09</v>
      </c>
      <c r="K385" s="14" t="n">
        <v>41.54</v>
      </c>
      <c r="L385" s="13" t="n">
        <v>6</v>
      </c>
      <c r="M385" s="13" t="inlineStr">
        <is>
          <t>Completed</t>
        </is>
      </c>
      <c r="N385" s="13" t="inlineStr">
        <is>
          <t>A. Shah</t>
        </is>
      </c>
      <c r="O385" s="13" t="inlineStr">
        <is>
          <t>No</t>
        </is>
      </c>
      <c r="P385" s="14">
        <f>H385*I385</f>
        <v/>
      </c>
      <c r="Q385" s="14">
        <f>P385*(1-J385)</f>
        <v/>
      </c>
      <c r="R385" s="14">
        <f>H385*K385</f>
        <v/>
      </c>
      <c r="S385" s="15">
        <f>IF(Q385=0,"",(Q385-R385)/Q385)</f>
        <v/>
      </c>
      <c r="T385" s="13">
        <f>YEAR(B385)</f>
        <v/>
      </c>
      <c r="U385" s="13">
        <f>YEAR(B385)&amp;"-Q"&amp;ROUNDUP(MONTH(B385)/3,0)</f>
        <v/>
      </c>
      <c r="V385" s="13">
        <f>TEXT(B385,"YYYY-MM")</f>
        <v/>
      </c>
      <c r="W385" s="13">
        <f>IF(L385="","",IF(L385&gt;pLateDays,1,0))</f>
        <v/>
      </c>
      <c r="X385" s="13">
        <f>IF(Q385&gt;=pHighCutoff,1,0)</f>
        <v/>
      </c>
      <c r="Y385" s="13">
        <f>IF(M385="Returned",1,0)</f>
        <v/>
      </c>
    </row>
    <row r="386">
      <c r="A386" s="13" t="inlineStr">
        <is>
          <t>HC-100384</t>
        </is>
      </c>
      <c r="B386" s="18" t="n">
        <v>45845</v>
      </c>
      <c r="C386" s="13" t="inlineStr">
        <is>
          <t>West</t>
        </is>
      </c>
      <c r="D386" s="13" t="inlineStr">
        <is>
          <t>Wholesale</t>
        </is>
      </c>
      <c r="E386" s="13" t="inlineStr">
        <is>
          <t>Furniture</t>
        </is>
      </c>
      <c r="F386" s="13" t="inlineStr">
        <is>
          <t>Walnut Shelf</t>
        </is>
      </c>
      <c r="G386" s="13" t="inlineStr">
        <is>
          <t>Consumer</t>
        </is>
      </c>
      <c r="H386" s="13" t="n">
        <v>29</v>
      </c>
      <c r="I386" s="14" t="n">
        <v>216.18</v>
      </c>
      <c r="J386" s="15" t="n">
        <v>0.19</v>
      </c>
      <c r="K386" s="14" t="n">
        <v>118.9</v>
      </c>
      <c r="L386" s="13" t="n">
        <v>4</v>
      </c>
      <c r="M386" s="13" t="inlineStr">
        <is>
          <t>Completed</t>
        </is>
      </c>
      <c r="N386" s="13" t="inlineStr">
        <is>
          <t>M. Okonkwo</t>
        </is>
      </c>
      <c r="O386" s="13" t="inlineStr">
        <is>
          <t>No</t>
        </is>
      </c>
      <c r="P386" s="14">
        <f>H386*I386</f>
        <v/>
      </c>
      <c r="Q386" s="14">
        <f>P386*(1-J386)</f>
        <v/>
      </c>
      <c r="R386" s="14">
        <f>H386*K386</f>
        <v/>
      </c>
      <c r="S386" s="15">
        <f>IF(Q386=0,"",(Q386-R386)/Q386)</f>
        <v/>
      </c>
      <c r="T386" s="13">
        <f>YEAR(B386)</f>
        <v/>
      </c>
      <c r="U386" s="13">
        <f>YEAR(B386)&amp;"-Q"&amp;ROUNDUP(MONTH(B386)/3,0)</f>
        <v/>
      </c>
      <c r="V386" s="13">
        <f>TEXT(B386,"YYYY-MM")</f>
        <v/>
      </c>
      <c r="W386" s="13">
        <f>IF(L386="","",IF(L386&gt;pLateDays,1,0))</f>
        <v/>
      </c>
      <c r="X386" s="13">
        <f>IF(Q386&gt;=pHighCutoff,1,0)</f>
        <v/>
      </c>
      <c r="Y386" s="13">
        <f>IF(M386="Returned",1,0)</f>
        <v/>
      </c>
    </row>
    <row r="387">
      <c r="A387" s="13" t="inlineStr">
        <is>
          <t>HC-100385</t>
        </is>
      </c>
      <c r="B387" s="18" t="n">
        <v>45633</v>
      </c>
      <c r="C387" s="13" t="inlineStr">
        <is>
          <t>West</t>
        </is>
      </c>
      <c r="D387" s="13" t="inlineStr">
        <is>
          <t>Online</t>
        </is>
      </c>
      <c r="E387" s="13" t="inlineStr">
        <is>
          <t>Textiles</t>
        </is>
      </c>
      <c r="F387" s="13" t="inlineStr">
        <is>
          <t>Wool Throw</t>
        </is>
      </c>
      <c r="G387" s="13" t="inlineStr">
        <is>
          <t>Consumer</t>
        </is>
      </c>
      <c r="H387" s="13" t="n">
        <v>4</v>
      </c>
      <c r="I387" s="14" t="n">
        <v>72.06</v>
      </c>
      <c r="J387" s="15" t="n">
        <v>0.08</v>
      </c>
      <c r="K387" s="14" t="n">
        <v>30.26</v>
      </c>
      <c r="L387" s="13" t="n">
        <v>5</v>
      </c>
      <c r="M387" s="13" t="inlineStr">
        <is>
          <t>Completed</t>
        </is>
      </c>
      <c r="N387" s="13" t="inlineStr">
        <is>
          <t>S. Nguyen</t>
        </is>
      </c>
      <c r="O387" s="13" t="inlineStr">
        <is>
          <t>No</t>
        </is>
      </c>
      <c r="P387" s="14">
        <f>H387*I387</f>
        <v/>
      </c>
      <c r="Q387" s="14">
        <f>P387*(1-J387)</f>
        <v/>
      </c>
      <c r="R387" s="14">
        <f>H387*K387</f>
        <v/>
      </c>
      <c r="S387" s="15">
        <f>IF(Q387=0,"",(Q387-R387)/Q387)</f>
        <v/>
      </c>
      <c r="T387" s="13">
        <f>YEAR(B387)</f>
        <v/>
      </c>
      <c r="U387" s="13">
        <f>YEAR(B387)&amp;"-Q"&amp;ROUNDUP(MONTH(B387)/3,0)</f>
        <v/>
      </c>
      <c r="V387" s="13">
        <f>TEXT(B387,"YYYY-MM")</f>
        <v/>
      </c>
      <c r="W387" s="13">
        <f>IF(L387="","",IF(L387&gt;pLateDays,1,0))</f>
        <v/>
      </c>
      <c r="X387" s="13">
        <f>IF(Q387&gt;=pHighCutoff,1,0)</f>
        <v/>
      </c>
      <c r="Y387" s="13">
        <f>IF(M387="Returned",1,0)</f>
        <v/>
      </c>
    </row>
    <row r="388">
      <c r="A388" s="13" t="inlineStr">
        <is>
          <t>HC-100386</t>
        </is>
      </c>
      <c r="B388" s="18" t="n">
        <v>45843</v>
      </c>
      <c r="C388" s="13" t="inlineStr">
        <is>
          <t>East</t>
        </is>
      </c>
      <c r="D388" s="13" t="inlineStr">
        <is>
          <t>Store</t>
        </is>
      </c>
      <c r="E388" s="13" t="inlineStr">
        <is>
          <t>Lighting</t>
        </is>
      </c>
      <c r="F388" s="13" t="inlineStr">
        <is>
          <t>Pendant Light</t>
        </is>
      </c>
      <c r="G388" s="13" t="inlineStr">
        <is>
          <t>Consumer</t>
        </is>
      </c>
      <c r="H388" s="13" t="n">
        <v>4</v>
      </c>
      <c r="I388" s="14" t="n">
        <v>174.47</v>
      </c>
      <c r="J388" s="15" t="n">
        <v>0</v>
      </c>
      <c r="K388" s="14" t="n">
        <v>87.23</v>
      </c>
      <c r="L388" s="13" t="n">
        <v>7</v>
      </c>
      <c r="M388" s="13" t="inlineStr">
        <is>
          <t>Completed</t>
        </is>
      </c>
      <c r="N388" s="13" t="inlineStr">
        <is>
          <t>M. Okonkwo</t>
        </is>
      </c>
      <c r="O388" s="13" t="inlineStr">
        <is>
          <t>No</t>
        </is>
      </c>
      <c r="P388" s="14">
        <f>H388*I388</f>
        <v/>
      </c>
      <c r="Q388" s="14">
        <f>P388*(1-J388)</f>
        <v/>
      </c>
      <c r="R388" s="14">
        <f>H388*K388</f>
        <v/>
      </c>
      <c r="S388" s="15">
        <f>IF(Q388=0,"",(Q388-R388)/Q388)</f>
        <v/>
      </c>
      <c r="T388" s="13">
        <f>YEAR(B388)</f>
        <v/>
      </c>
      <c r="U388" s="13">
        <f>YEAR(B388)&amp;"-Q"&amp;ROUNDUP(MONTH(B388)/3,0)</f>
        <v/>
      </c>
      <c r="V388" s="13">
        <f>TEXT(B388,"YYYY-MM")</f>
        <v/>
      </c>
      <c r="W388" s="13">
        <f>IF(L388="","",IF(L388&gt;pLateDays,1,0))</f>
        <v/>
      </c>
      <c r="X388" s="13">
        <f>IF(Q388&gt;=pHighCutoff,1,0)</f>
        <v/>
      </c>
      <c r="Y388" s="13">
        <f>IF(M388="Returned",1,0)</f>
        <v/>
      </c>
    </row>
    <row r="389">
      <c r="A389" s="13" t="inlineStr">
        <is>
          <t>HC-100387</t>
        </is>
      </c>
      <c r="B389" s="18" t="n">
        <v>45344</v>
      </c>
      <c r="C389" s="13" t="inlineStr">
        <is>
          <t>East</t>
        </is>
      </c>
      <c r="D389" s="13" t="inlineStr">
        <is>
          <t>Store</t>
        </is>
      </c>
      <c r="E389" s="13" t="inlineStr">
        <is>
          <t>Kitchen</t>
        </is>
      </c>
      <c r="F389" s="13" t="inlineStr">
        <is>
          <t>Cast Skillet</t>
        </is>
      </c>
      <c r="G389" s="13" t="inlineStr">
        <is>
          <t>Consumer</t>
        </is>
      </c>
      <c r="H389" s="13" t="n">
        <v>4</v>
      </c>
      <c r="I389" s="14" t="n">
        <v>47.26</v>
      </c>
      <c r="J389" s="15" t="n">
        <v>0.09</v>
      </c>
      <c r="K389" s="14" t="n">
        <v>18.9</v>
      </c>
      <c r="L389" s="13" t="n">
        <v>9</v>
      </c>
      <c r="M389" s="13" t="inlineStr">
        <is>
          <t>Completed</t>
        </is>
      </c>
      <c r="N389" s="13" t="inlineStr">
        <is>
          <t>L. Berger</t>
        </is>
      </c>
      <c r="O389" s="13" t="inlineStr">
        <is>
          <t>No</t>
        </is>
      </c>
      <c r="P389" s="14">
        <f>H389*I389</f>
        <v/>
      </c>
      <c r="Q389" s="14">
        <f>P389*(1-J389)</f>
        <v/>
      </c>
      <c r="R389" s="14">
        <f>H389*K389</f>
        <v/>
      </c>
      <c r="S389" s="15">
        <f>IF(Q389=0,"",(Q389-R389)/Q389)</f>
        <v/>
      </c>
      <c r="T389" s="13">
        <f>YEAR(B389)</f>
        <v/>
      </c>
      <c r="U389" s="13">
        <f>YEAR(B389)&amp;"-Q"&amp;ROUNDUP(MONTH(B389)/3,0)</f>
        <v/>
      </c>
      <c r="V389" s="13">
        <f>TEXT(B389,"YYYY-MM")</f>
        <v/>
      </c>
      <c r="W389" s="13">
        <f>IF(L389="","",IF(L389&gt;pLateDays,1,0))</f>
        <v/>
      </c>
      <c r="X389" s="13">
        <f>IF(Q389&gt;=pHighCutoff,1,0)</f>
        <v/>
      </c>
      <c r="Y389" s="13">
        <f>IF(M389="Returned",1,0)</f>
        <v/>
      </c>
    </row>
    <row r="390">
      <c r="A390" s="13" t="inlineStr">
        <is>
          <t>HC-100388</t>
        </is>
      </c>
      <c r="B390" s="18" t="n">
        <v>45625</v>
      </c>
      <c r="C390" s="13" t="inlineStr">
        <is>
          <t>East</t>
        </is>
      </c>
      <c r="D390" s="13" t="inlineStr">
        <is>
          <t>Store</t>
        </is>
      </c>
      <c r="E390" s="13" t="inlineStr">
        <is>
          <t>Furniture</t>
        </is>
      </c>
      <c r="F390" s="13" t="inlineStr">
        <is>
          <t>Oak Desk</t>
        </is>
      </c>
      <c r="G390" s="13" t="inlineStr">
        <is>
          <t>Consumer</t>
        </is>
      </c>
      <c r="H390" s="13" t="n">
        <v>5</v>
      </c>
      <c r="I390" s="14" t="n">
        <v>739.62</v>
      </c>
      <c r="J390" s="15" t="n">
        <v>0.12</v>
      </c>
      <c r="K390" s="14" t="n">
        <v>458.56</v>
      </c>
      <c r="L390" s="13" t="n">
        <v>11</v>
      </c>
      <c r="M390" s="13" t="inlineStr">
        <is>
          <t>Returned</t>
        </is>
      </c>
      <c r="N390" s="13" t="inlineStr">
        <is>
          <t>K. Mensah</t>
        </is>
      </c>
      <c r="O390" s="13" t="inlineStr">
        <is>
          <t>No</t>
        </is>
      </c>
      <c r="P390" s="14">
        <f>H390*I390</f>
        <v/>
      </c>
      <c r="Q390" s="14">
        <f>P390*(1-J390)</f>
        <v/>
      </c>
      <c r="R390" s="14">
        <f>H390*K390</f>
        <v/>
      </c>
      <c r="S390" s="15">
        <f>IF(Q390=0,"",(Q390-R390)/Q390)</f>
        <v/>
      </c>
      <c r="T390" s="13">
        <f>YEAR(B390)</f>
        <v/>
      </c>
      <c r="U390" s="13">
        <f>YEAR(B390)&amp;"-Q"&amp;ROUNDUP(MONTH(B390)/3,0)</f>
        <v/>
      </c>
      <c r="V390" s="13">
        <f>TEXT(B390,"YYYY-MM")</f>
        <v/>
      </c>
      <c r="W390" s="13">
        <f>IF(L390="","",IF(L390&gt;pLateDays,1,0))</f>
        <v/>
      </c>
      <c r="X390" s="13">
        <f>IF(Q390&gt;=pHighCutoff,1,0)</f>
        <v/>
      </c>
      <c r="Y390" s="13">
        <f>IF(M390="Returned",1,0)</f>
        <v/>
      </c>
    </row>
    <row r="391">
      <c r="A391" s="13" t="inlineStr">
        <is>
          <t>HC-100389</t>
        </is>
      </c>
      <c r="B391" s="18" t="n">
        <v>45748</v>
      </c>
      <c r="C391" s="13" t="inlineStr">
        <is>
          <t>South</t>
        </is>
      </c>
      <c r="D391" s="13" t="inlineStr">
        <is>
          <t>Store</t>
        </is>
      </c>
      <c r="E391" s="13" t="inlineStr">
        <is>
          <t>Kitchen</t>
        </is>
      </c>
      <c r="F391" s="13" t="inlineStr">
        <is>
          <t>Chef Knife</t>
        </is>
      </c>
      <c r="G391" s="13" t="inlineStr">
        <is>
          <t>Corporate</t>
        </is>
      </c>
      <c r="H391" s="13" t="n">
        <v>2</v>
      </c>
      <c r="I391" s="14" t="n">
        <v>68.76000000000001</v>
      </c>
      <c r="J391" s="15" t="n">
        <v>0.08</v>
      </c>
      <c r="K391" s="14" t="n">
        <v>24.75</v>
      </c>
      <c r="L391" s="13" t="n">
        <v>8</v>
      </c>
      <c r="M391" s="13" t="inlineStr">
        <is>
          <t>Returned</t>
        </is>
      </c>
      <c r="N391" s="13" t="inlineStr">
        <is>
          <t>J. Patel</t>
        </is>
      </c>
      <c r="O391" s="13" t="inlineStr">
        <is>
          <t>No</t>
        </is>
      </c>
      <c r="P391" s="14">
        <f>H391*I391</f>
        <v/>
      </c>
      <c r="Q391" s="14">
        <f>P391*(1-J391)</f>
        <v/>
      </c>
      <c r="R391" s="14">
        <f>H391*K391</f>
        <v/>
      </c>
      <c r="S391" s="15">
        <f>IF(Q391=0,"",(Q391-R391)/Q391)</f>
        <v/>
      </c>
      <c r="T391" s="13">
        <f>YEAR(B391)</f>
        <v/>
      </c>
      <c r="U391" s="13">
        <f>YEAR(B391)&amp;"-Q"&amp;ROUNDUP(MONTH(B391)/3,0)</f>
        <v/>
      </c>
      <c r="V391" s="13">
        <f>TEXT(B391,"YYYY-MM")</f>
        <v/>
      </c>
      <c r="W391" s="13">
        <f>IF(L391="","",IF(L391&gt;pLateDays,1,0))</f>
        <v/>
      </c>
      <c r="X391" s="13">
        <f>IF(Q391&gt;=pHighCutoff,1,0)</f>
        <v/>
      </c>
      <c r="Y391" s="13">
        <f>IF(M391="Returned",1,0)</f>
        <v/>
      </c>
    </row>
    <row r="392">
      <c r="A392" s="13" t="inlineStr">
        <is>
          <t>HC-100390</t>
        </is>
      </c>
      <c r="B392" s="18" t="n">
        <v>45626</v>
      </c>
      <c r="C392" s="13" t="inlineStr">
        <is>
          <t>East</t>
        </is>
      </c>
      <c r="D392" s="13" t="inlineStr">
        <is>
          <t>Store</t>
        </is>
      </c>
      <c r="E392" s="13" t="inlineStr">
        <is>
          <t>Lighting</t>
        </is>
      </c>
      <c r="F392" s="13" t="inlineStr">
        <is>
          <t>Pendant Light</t>
        </is>
      </c>
      <c r="G392" s="13" t="inlineStr">
        <is>
          <t>Consumer</t>
        </is>
      </c>
      <c r="H392" s="13" t="n">
        <v>2</v>
      </c>
      <c r="I392" s="14" t="n">
        <v>159.44</v>
      </c>
      <c r="J392" s="15" t="n">
        <v>0.02</v>
      </c>
      <c r="K392" s="14" t="n">
        <v>79.72</v>
      </c>
      <c r="L392" s="13" t="n">
        <v>11</v>
      </c>
      <c r="M392" s="13" t="inlineStr">
        <is>
          <t>Completed</t>
        </is>
      </c>
      <c r="N392" s="13" t="inlineStr">
        <is>
          <t>J. Patel</t>
        </is>
      </c>
      <c r="O392" s="13" t="inlineStr">
        <is>
          <t>No</t>
        </is>
      </c>
      <c r="P392" s="14">
        <f>H392*I392</f>
        <v/>
      </c>
      <c r="Q392" s="14">
        <f>P392*(1-J392)</f>
        <v/>
      </c>
      <c r="R392" s="14">
        <f>H392*K392</f>
        <v/>
      </c>
      <c r="S392" s="15">
        <f>IF(Q392=0,"",(Q392-R392)/Q392)</f>
        <v/>
      </c>
      <c r="T392" s="13">
        <f>YEAR(B392)</f>
        <v/>
      </c>
      <c r="U392" s="13">
        <f>YEAR(B392)&amp;"-Q"&amp;ROUNDUP(MONTH(B392)/3,0)</f>
        <v/>
      </c>
      <c r="V392" s="13">
        <f>TEXT(B392,"YYYY-MM")</f>
        <v/>
      </c>
      <c r="W392" s="13">
        <f>IF(L392="","",IF(L392&gt;pLateDays,1,0))</f>
        <v/>
      </c>
      <c r="X392" s="13">
        <f>IF(Q392&gt;=pHighCutoff,1,0)</f>
        <v/>
      </c>
      <c r="Y392" s="13">
        <f>IF(M392="Returned",1,0)</f>
        <v/>
      </c>
    </row>
    <row r="393">
      <c r="A393" s="13" t="inlineStr">
        <is>
          <t>HC-100391</t>
        </is>
      </c>
      <c r="B393" s="18" t="n">
        <v>45564</v>
      </c>
      <c r="C393" s="13" t="inlineStr">
        <is>
          <t>South</t>
        </is>
      </c>
      <c r="D393" s="13" t="inlineStr">
        <is>
          <t>Online</t>
        </is>
      </c>
      <c r="E393" s="13" t="inlineStr">
        <is>
          <t>Furniture</t>
        </is>
      </c>
      <c r="F393" s="13" t="inlineStr">
        <is>
          <t>Oak Desk</t>
        </is>
      </c>
      <c r="G393" s="13" t="inlineStr">
        <is>
          <t>Consumer</t>
        </is>
      </c>
      <c r="H393" s="13" t="n">
        <v>2</v>
      </c>
      <c r="I393" s="14" t="n">
        <v>822.63</v>
      </c>
      <c r="J393" s="15" t="n">
        <v>0.13</v>
      </c>
      <c r="K393" s="14" t="n">
        <v>510.03</v>
      </c>
      <c r="L393" s="13" t="n">
        <v>5</v>
      </c>
      <c r="M393" s="13" t="inlineStr">
        <is>
          <t>Cancelled</t>
        </is>
      </c>
      <c r="N393" s="13" t="inlineStr">
        <is>
          <t>P. Rossi</t>
        </is>
      </c>
      <c r="O393" s="13" t="inlineStr">
        <is>
          <t>No</t>
        </is>
      </c>
      <c r="P393" s="14">
        <f>H393*I393</f>
        <v/>
      </c>
      <c r="Q393" s="14">
        <f>P393*(1-J393)</f>
        <v/>
      </c>
      <c r="R393" s="14">
        <f>H393*K393</f>
        <v/>
      </c>
      <c r="S393" s="15">
        <f>IF(Q393=0,"",(Q393-R393)/Q393)</f>
        <v/>
      </c>
      <c r="T393" s="13">
        <f>YEAR(B393)</f>
        <v/>
      </c>
      <c r="U393" s="13">
        <f>YEAR(B393)&amp;"-Q"&amp;ROUNDUP(MONTH(B393)/3,0)</f>
        <v/>
      </c>
      <c r="V393" s="13">
        <f>TEXT(B393,"YYYY-MM")</f>
        <v/>
      </c>
      <c r="W393" s="13">
        <f>IF(L393="","",IF(L393&gt;pLateDays,1,0))</f>
        <v/>
      </c>
      <c r="X393" s="13">
        <f>IF(Q393&gt;=pHighCutoff,1,0)</f>
        <v/>
      </c>
      <c r="Y393" s="13">
        <f>IF(M393="Returned",1,0)</f>
        <v/>
      </c>
    </row>
    <row r="394">
      <c r="A394" s="13" t="inlineStr">
        <is>
          <t>HC-100392</t>
        </is>
      </c>
      <c r="B394" s="18" t="n">
        <v>45885</v>
      </c>
      <c r="C394" s="13" t="inlineStr">
        <is>
          <t>North</t>
        </is>
      </c>
      <c r="D394" s="13" t="inlineStr">
        <is>
          <t>Online</t>
        </is>
      </c>
      <c r="E394" s="13" t="inlineStr">
        <is>
          <t>Textiles</t>
        </is>
      </c>
      <c r="F394" s="13" t="inlineStr">
        <is>
          <t>Linen Curtain</t>
        </is>
      </c>
      <c r="G394" s="13" t="inlineStr">
        <is>
          <t>Consumer</t>
        </is>
      </c>
      <c r="H394" s="13" t="n">
        <v>2</v>
      </c>
      <c r="I394" s="14" t="n">
        <v>90.31</v>
      </c>
      <c r="J394" s="15" t="n">
        <v>0.1</v>
      </c>
      <c r="K394" s="14" t="n">
        <v>40.64</v>
      </c>
      <c r="L394" s="13" t="n">
        <v>3</v>
      </c>
      <c r="M394" s="13" t="inlineStr">
        <is>
          <t>Completed</t>
        </is>
      </c>
      <c r="N394" s="13" t="inlineStr">
        <is>
          <t>K. Mensah</t>
        </is>
      </c>
      <c r="O394" s="13" t="inlineStr">
        <is>
          <t>No</t>
        </is>
      </c>
      <c r="P394" s="14">
        <f>H394*I394</f>
        <v/>
      </c>
      <c r="Q394" s="14">
        <f>P394*(1-J394)</f>
        <v/>
      </c>
      <c r="R394" s="14">
        <f>H394*K394</f>
        <v/>
      </c>
      <c r="S394" s="15">
        <f>IF(Q394=0,"",(Q394-R394)/Q394)</f>
        <v/>
      </c>
      <c r="T394" s="13">
        <f>YEAR(B394)</f>
        <v/>
      </c>
      <c r="U394" s="13">
        <f>YEAR(B394)&amp;"-Q"&amp;ROUNDUP(MONTH(B394)/3,0)</f>
        <v/>
      </c>
      <c r="V394" s="13">
        <f>TEXT(B394,"YYYY-MM")</f>
        <v/>
      </c>
      <c r="W394" s="13">
        <f>IF(L394="","",IF(L394&gt;pLateDays,1,0))</f>
        <v/>
      </c>
      <c r="X394" s="13">
        <f>IF(Q394&gt;=pHighCutoff,1,0)</f>
        <v/>
      </c>
      <c r="Y394" s="13">
        <f>IF(M394="Returned",1,0)</f>
        <v/>
      </c>
    </row>
    <row r="395">
      <c r="A395" s="13" t="inlineStr">
        <is>
          <t>HC-100393</t>
        </is>
      </c>
      <c r="B395" s="18" t="n">
        <v>45606</v>
      </c>
      <c r="C395" s="13" t="inlineStr">
        <is>
          <t>North</t>
        </is>
      </c>
      <c r="D395" s="13" t="inlineStr">
        <is>
          <t>Store</t>
        </is>
      </c>
      <c r="E395" s="13" t="inlineStr">
        <is>
          <t>Furniture</t>
        </is>
      </c>
      <c r="F395" s="13" t="inlineStr">
        <is>
          <t>Walnut Shelf</t>
        </is>
      </c>
      <c r="G395" s="13" t="inlineStr">
        <is>
          <t>Corporate</t>
        </is>
      </c>
      <c r="H395" s="13" t="n">
        <v>4</v>
      </c>
      <c r="I395" s="14" t="n">
        <v>230.83</v>
      </c>
      <c r="J395" s="15" t="n">
        <v>0.11</v>
      </c>
      <c r="K395" s="14" t="n">
        <v>126.95</v>
      </c>
      <c r="L395" s="13" t="n">
        <v>6</v>
      </c>
      <c r="M395" s="13" t="inlineStr">
        <is>
          <t>Completed</t>
        </is>
      </c>
      <c r="N395" s="13" t="inlineStr">
        <is>
          <t>J. Patel</t>
        </is>
      </c>
      <c r="O395" s="13" t="inlineStr">
        <is>
          <t>No</t>
        </is>
      </c>
      <c r="P395" s="14">
        <f>H395*I395</f>
        <v/>
      </c>
      <c r="Q395" s="14">
        <f>P395*(1-J395)</f>
        <v/>
      </c>
      <c r="R395" s="14">
        <f>H395*K395</f>
        <v/>
      </c>
      <c r="S395" s="15">
        <f>IF(Q395=0,"",(Q395-R395)/Q395)</f>
        <v/>
      </c>
      <c r="T395" s="13">
        <f>YEAR(B395)</f>
        <v/>
      </c>
      <c r="U395" s="13">
        <f>YEAR(B395)&amp;"-Q"&amp;ROUNDUP(MONTH(B395)/3,0)</f>
        <v/>
      </c>
      <c r="V395" s="13">
        <f>TEXT(B395,"YYYY-MM")</f>
        <v/>
      </c>
      <c r="W395" s="13">
        <f>IF(L395="","",IF(L395&gt;pLateDays,1,0))</f>
        <v/>
      </c>
      <c r="X395" s="13">
        <f>IF(Q395&gt;=pHighCutoff,1,0)</f>
        <v/>
      </c>
      <c r="Y395" s="13">
        <f>IF(M395="Returned",1,0)</f>
        <v/>
      </c>
    </row>
    <row r="396">
      <c r="A396" s="13" t="inlineStr">
        <is>
          <t>HC-100394</t>
        </is>
      </c>
      <c r="B396" s="18" t="n">
        <v>45764</v>
      </c>
      <c r="C396" s="13" t="inlineStr">
        <is>
          <t>North</t>
        </is>
      </c>
      <c r="D396" s="13" t="inlineStr">
        <is>
          <t>Store</t>
        </is>
      </c>
      <c r="E396" s="13" t="inlineStr">
        <is>
          <t>Textiles</t>
        </is>
      </c>
      <c r="F396" s="13" t="inlineStr">
        <is>
          <t>Cotton Duvet</t>
        </is>
      </c>
      <c r="G396" s="13" t="inlineStr">
        <is>
          <t>Corporate</t>
        </is>
      </c>
      <c r="H396" s="13" t="n">
        <v>2</v>
      </c>
      <c r="I396" s="14" t="n">
        <v>122.6</v>
      </c>
      <c r="J396" s="15" t="n">
        <v>0.05</v>
      </c>
      <c r="K396" s="14" t="n">
        <v>53.95</v>
      </c>
      <c r="L396" s="13" t="n">
        <v>3</v>
      </c>
      <c r="M396" s="13" t="inlineStr">
        <is>
          <t>Completed</t>
        </is>
      </c>
      <c r="N396" s="13" t="inlineStr">
        <is>
          <t>M. Okonkwo</t>
        </is>
      </c>
      <c r="O396" s="13" t="inlineStr">
        <is>
          <t>No</t>
        </is>
      </c>
      <c r="P396" s="14">
        <f>H396*I396</f>
        <v/>
      </c>
      <c r="Q396" s="14">
        <f>P396*(1-J396)</f>
        <v/>
      </c>
      <c r="R396" s="14">
        <f>H396*K396</f>
        <v/>
      </c>
      <c r="S396" s="15">
        <f>IF(Q396=0,"",(Q396-R396)/Q396)</f>
        <v/>
      </c>
      <c r="T396" s="13">
        <f>YEAR(B396)</f>
        <v/>
      </c>
      <c r="U396" s="13">
        <f>YEAR(B396)&amp;"-Q"&amp;ROUNDUP(MONTH(B396)/3,0)</f>
        <v/>
      </c>
      <c r="V396" s="13">
        <f>TEXT(B396,"YYYY-MM")</f>
        <v/>
      </c>
      <c r="W396" s="13">
        <f>IF(L396="","",IF(L396&gt;pLateDays,1,0))</f>
        <v/>
      </c>
      <c r="X396" s="13">
        <f>IF(Q396&gt;=pHighCutoff,1,0)</f>
        <v/>
      </c>
      <c r="Y396" s="13">
        <f>IF(M396="Returned",1,0)</f>
        <v/>
      </c>
    </row>
    <row r="397">
      <c r="A397" s="13" t="inlineStr">
        <is>
          <t>HC-100395</t>
        </is>
      </c>
      <c r="B397" s="18" t="n">
        <v>45584</v>
      </c>
      <c r="C397" s="13" t="inlineStr">
        <is>
          <t>East</t>
        </is>
      </c>
      <c r="D397" s="13" t="inlineStr">
        <is>
          <t>Store</t>
        </is>
      </c>
      <c r="E397" s="13" t="inlineStr">
        <is>
          <t>Lighting</t>
        </is>
      </c>
      <c r="F397" s="13" t="inlineStr">
        <is>
          <t>Pendant Light</t>
        </is>
      </c>
      <c r="G397" s="13" t="inlineStr">
        <is>
          <t>Home Office</t>
        </is>
      </c>
      <c r="H397" s="13" t="n">
        <v>1</v>
      </c>
      <c r="I397" s="14" t="n">
        <v>163.04</v>
      </c>
      <c r="J397" s="15" t="n">
        <v>0.01</v>
      </c>
      <c r="K397" s="14" t="n">
        <v>81.52</v>
      </c>
      <c r="L397" s="13" t="n">
        <v>9</v>
      </c>
      <c r="M397" s="13" t="inlineStr">
        <is>
          <t>Completed</t>
        </is>
      </c>
      <c r="N397" s="13" t="inlineStr">
        <is>
          <t>P. Rossi</t>
        </is>
      </c>
      <c r="O397" s="13" t="inlineStr">
        <is>
          <t>No</t>
        </is>
      </c>
      <c r="P397" s="14">
        <f>H397*I397</f>
        <v/>
      </c>
      <c r="Q397" s="14">
        <f>P397*(1-J397)</f>
        <v/>
      </c>
      <c r="R397" s="14">
        <f>H397*K397</f>
        <v/>
      </c>
      <c r="S397" s="15">
        <f>IF(Q397=0,"",(Q397-R397)/Q397)</f>
        <v/>
      </c>
      <c r="T397" s="13">
        <f>YEAR(B397)</f>
        <v/>
      </c>
      <c r="U397" s="13">
        <f>YEAR(B397)&amp;"-Q"&amp;ROUNDUP(MONTH(B397)/3,0)</f>
        <v/>
      </c>
      <c r="V397" s="13">
        <f>TEXT(B397,"YYYY-MM")</f>
        <v/>
      </c>
      <c r="W397" s="13">
        <f>IF(L397="","",IF(L397&gt;pLateDays,1,0))</f>
        <v/>
      </c>
      <c r="X397" s="13">
        <f>IF(Q397&gt;=pHighCutoff,1,0)</f>
        <v/>
      </c>
      <c r="Y397" s="13">
        <f>IF(M397="Returned",1,0)</f>
        <v/>
      </c>
    </row>
    <row r="398">
      <c r="A398" s="13" t="inlineStr">
        <is>
          <t>HC-100396</t>
        </is>
      </c>
      <c r="B398" s="18" t="n">
        <v>45735</v>
      </c>
      <c r="C398" s="13" t="inlineStr">
        <is>
          <t>South</t>
        </is>
      </c>
      <c r="D398" s="13" t="inlineStr">
        <is>
          <t>Online</t>
        </is>
      </c>
      <c r="E398" s="13" t="inlineStr">
        <is>
          <t>Furniture</t>
        </is>
      </c>
      <c r="F398" s="13" t="inlineStr">
        <is>
          <t>Linen Sofa</t>
        </is>
      </c>
      <c r="G398" s="13" t="inlineStr">
        <is>
          <t>Consumer</t>
        </is>
      </c>
      <c r="H398" s="13" t="n">
        <v>1</v>
      </c>
      <c r="I398" s="14" t="n">
        <v>1338.63</v>
      </c>
      <c r="J398" s="15" t="n">
        <v>0.15</v>
      </c>
      <c r="K398" s="14" t="n">
        <v>883.5</v>
      </c>
      <c r="L398" s="13" t="n">
        <v>3</v>
      </c>
      <c r="M398" s="13" t="inlineStr">
        <is>
          <t>Completed</t>
        </is>
      </c>
      <c r="N398" s="13" t="inlineStr">
        <is>
          <t>M. Okonkwo</t>
        </is>
      </c>
      <c r="O398" s="13" t="inlineStr">
        <is>
          <t>No</t>
        </is>
      </c>
      <c r="P398" s="14">
        <f>H398*I398</f>
        <v/>
      </c>
      <c r="Q398" s="14">
        <f>P398*(1-J398)</f>
        <v/>
      </c>
      <c r="R398" s="14">
        <f>H398*K398</f>
        <v/>
      </c>
      <c r="S398" s="15">
        <f>IF(Q398=0,"",(Q398-R398)/Q398)</f>
        <v/>
      </c>
      <c r="T398" s="13">
        <f>YEAR(B398)</f>
        <v/>
      </c>
      <c r="U398" s="13">
        <f>YEAR(B398)&amp;"-Q"&amp;ROUNDUP(MONTH(B398)/3,0)</f>
        <v/>
      </c>
      <c r="V398" s="13">
        <f>TEXT(B398,"YYYY-MM")</f>
        <v/>
      </c>
      <c r="W398" s="13">
        <f>IF(L398="","",IF(L398&gt;pLateDays,1,0))</f>
        <v/>
      </c>
      <c r="X398" s="13">
        <f>IF(Q398&gt;=pHighCutoff,1,0)</f>
        <v/>
      </c>
      <c r="Y398" s="13">
        <f>IF(M398="Returned",1,0)</f>
        <v/>
      </c>
    </row>
    <row r="399">
      <c r="A399" s="13" t="inlineStr">
        <is>
          <t>HC-100397</t>
        </is>
      </c>
      <c r="B399" s="18" t="n">
        <v>45300</v>
      </c>
      <c r="C399" s="13" t="inlineStr">
        <is>
          <t>West</t>
        </is>
      </c>
      <c r="D399" s="13" t="inlineStr">
        <is>
          <t>Online</t>
        </is>
      </c>
      <c r="E399" s="13" t="inlineStr">
        <is>
          <t>Textiles</t>
        </is>
      </c>
      <c r="F399" s="13" t="inlineStr">
        <is>
          <t>Cotton Duvet</t>
        </is>
      </c>
      <c r="G399" s="13" t="inlineStr">
        <is>
          <t>Unknown</t>
        </is>
      </c>
      <c r="H399" s="13" t="n">
        <v>3</v>
      </c>
      <c r="I399" s="14" t="n">
        <v>125.73</v>
      </c>
      <c r="J399" s="15" t="n">
        <v>0.09</v>
      </c>
      <c r="K399" s="14" t="n">
        <v>55.32</v>
      </c>
      <c r="L399" s="13" t="n">
        <v>6</v>
      </c>
      <c r="M399" s="13" t="inlineStr">
        <is>
          <t>Returned</t>
        </is>
      </c>
      <c r="N399" s="13" t="inlineStr">
        <is>
          <t>P. Rossi</t>
        </is>
      </c>
      <c r="O399" s="13" t="inlineStr">
        <is>
          <t>No</t>
        </is>
      </c>
      <c r="P399" s="14">
        <f>H399*I399</f>
        <v/>
      </c>
      <c r="Q399" s="14">
        <f>P399*(1-J399)</f>
        <v/>
      </c>
      <c r="R399" s="14">
        <f>H399*K399</f>
        <v/>
      </c>
      <c r="S399" s="15">
        <f>IF(Q399=0,"",(Q399-R399)/Q399)</f>
        <v/>
      </c>
      <c r="T399" s="13">
        <f>YEAR(B399)</f>
        <v/>
      </c>
      <c r="U399" s="13">
        <f>YEAR(B399)&amp;"-Q"&amp;ROUNDUP(MONTH(B399)/3,0)</f>
        <v/>
      </c>
      <c r="V399" s="13">
        <f>TEXT(B399,"YYYY-MM")</f>
        <v/>
      </c>
      <c r="W399" s="13">
        <f>IF(L399="","",IF(L399&gt;pLateDays,1,0))</f>
        <v/>
      </c>
      <c r="X399" s="13">
        <f>IF(Q399&gt;=pHighCutoff,1,0)</f>
        <v/>
      </c>
      <c r="Y399" s="13">
        <f>IF(M399="Returned",1,0)</f>
        <v/>
      </c>
    </row>
    <row r="400">
      <c r="A400" s="13" t="inlineStr">
        <is>
          <t>HC-100398</t>
        </is>
      </c>
      <c r="B400" s="18" t="n">
        <v>45361</v>
      </c>
      <c r="C400" s="13" t="inlineStr">
        <is>
          <t>North</t>
        </is>
      </c>
      <c r="D400" s="13" t="inlineStr">
        <is>
          <t>Wholesale</t>
        </is>
      </c>
      <c r="E400" s="13" t="inlineStr">
        <is>
          <t>Furniture</t>
        </is>
      </c>
      <c r="F400" s="13" t="inlineStr">
        <is>
          <t>Walnut Shelf</t>
        </is>
      </c>
      <c r="G400" s="13" t="inlineStr">
        <is>
          <t>Home Office</t>
        </is>
      </c>
      <c r="H400" s="13" t="n">
        <v>10</v>
      </c>
      <c r="I400" s="14" t="n">
        <v>233.82</v>
      </c>
      <c r="J400" s="15" t="n">
        <v>0.31</v>
      </c>
      <c r="K400" s="14" t="n">
        <v>128.6</v>
      </c>
      <c r="L400" s="13" t="n">
        <v>7</v>
      </c>
      <c r="M400" s="13" t="inlineStr">
        <is>
          <t>Completed</t>
        </is>
      </c>
      <c r="N400" s="13" t="inlineStr">
        <is>
          <t>R. Ibarra</t>
        </is>
      </c>
      <c r="O400" s="13" t="inlineStr">
        <is>
          <t>No</t>
        </is>
      </c>
      <c r="P400" s="14">
        <f>H400*I400</f>
        <v/>
      </c>
      <c r="Q400" s="14">
        <f>P400*(1-J400)</f>
        <v/>
      </c>
      <c r="R400" s="14">
        <f>H400*K400</f>
        <v/>
      </c>
      <c r="S400" s="15">
        <f>IF(Q400=0,"",(Q400-R400)/Q400)</f>
        <v/>
      </c>
      <c r="T400" s="13">
        <f>YEAR(B400)</f>
        <v/>
      </c>
      <c r="U400" s="13">
        <f>YEAR(B400)&amp;"-Q"&amp;ROUNDUP(MONTH(B400)/3,0)</f>
        <v/>
      </c>
      <c r="V400" s="13">
        <f>TEXT(B400,"YYYY-MM")</f>
        <v/>
      </c>
      <c r="W400" s="13">
        <f>IF(L400="","",IF(L400&gt;pLateDays,1,0))</f>
        <v/>
      </c>
      <c r="X400" s="13">
        <f>IF(Q400&gt;=pHighCutoff,1,0)</f>
        <v/>
      </c>
      <c r="Y400" s="13">
        <f>IF(M400="Returned",1,0)</f>
        <v/>
      </c>
    </row>
    <row r="401">
      <c r="A401" s="13" t="inlineStr">
        <is>
          <t>HC-100399</t>
        </is>
      </c>
      <c r="B401" s="18" t="n">
        <v>45586</v>
      </c>
      <c r="C401" s="13" t="inlineStr">
        <is>
          <t>North</t>
        </is>
      </c>
      <c r="D401" s="13" t="inlineStr">
        <is>
          <t>Store</t>
        </is>
      </c>
      <c r="E401" s="13" t="inlineStr">
        <is>
          <t>Furniture</t>
        </is>
      </c>
      <c r="F401" s="13" t="inlineStr">
        <is>
          <t>Walnut Shelf</t>
        </is>
      </c>
      <c r="G401" s="13" t="inlineStr">
        <is>
          <t>Consumer</t>
        </is>
      </c>
      <c r="H401" s="13" t="n">
        <v>4</v>
      </c>
      <c r="I401" s="14" t="n">
        <v>212.27</v>
      </c>
      <c r="J401" s="15" t="n">
        <v>0.05</v>
      </c>
      <c r="K401" s="14" t="n">
        <v>116.75</v>
      </c>
      <c r="L401" s="13" t="n">
        <v>5</v>
      </c>
      <c r="M401" s="13" t="inlineStr">
        <is>
          <t>Completed</t>
        </is>
      </c>
      <c r="N401" s="13" t="inlineStr">
        <is>
          <t>S. Nguyen</t>
        </is>
      </c>
      <c r="O401" s="13" t="inlineStr">
        <is>
          <t>No</t>
        </is>
      </c>
      <c r="P401" s="14">
        <f>H401*I401</f>
        <v/>
      </c>
      <c r="Q401" s="14">
        <f>P401*(1-J401)</f>
        <v/>
      </c>
      <c r="R401" s="14">
        <f>H401*K401</f>
        <v/>
      </c>
      <c r="S401" s="15">
        <f>IF(Q401=0,"",(Q401-R401)/Q401)</f>
        <v/>
      </c>
      <c r="T401" s="13">
        <f>YEAR(B401)</f>
        <v/>
      </c>
      <c r="U401" s="13">
        <f>YEAR(B401)&amp;"-Q"&amp;ROUNDUP(MONTH(B401)/3,0)</f>
        <v/>
      </c>
      <c r="V401" s="13">
        <f>TEXT(B401,"YYYY-MM")</f>
        <v/>
      </c>
      <c r="W401" s="13">
        <f>IF(L401="","",IF(L401&gt;pLateDays,1,0))</f>
        <v/>
      </c>
      <c r="X401" s="13">
        <f>IF(Q401&gt;=pHighCutoff,1,0)</f>
        <v/>
      </c>
      <c r="Y401" s="13">
        <f>IF(M401="Returned",1,0)</f>
        <v/>
      </c>
    </row>
    <row r="402">
      <c r="A402" s="13" t="inlineStr">
        <is>
          <t>HC-100400</t>
        </is>
      </c>
      <c r="B402" s="18" t="n">
        <v>45864</v>
      </c>
      <c r="C402" s="13" t="inlineStr">
        <is>
          <t>East</t>
        </is>
      </c>
      <c r="D402" s="13" t="inlineStr">
        <is>
          <t>Online</t>
        </is>
      </c>
      <c r="E402" s="13" t="inlineStr">
        <is>
          <t>Furniture</t>
        </is>
      </c>
      <c r="F402" s="13" t="inlineStr">
        <is>
          <t>Oak Desk</t>
        </is>
      </c>
      <c r="G402" s="13" t="inlineStr">
        <is>
          <t>Consumer</t>
        </is>
      </c>
      <c r="H402" s="13" t="n">
        <v>3</v>
      </c>
      <c r="I402" s="14" t="n">
        <v>696.26</v>
      </c>
      <c r="J402" s="15" t="n">
        <v>0.11</v>
      </c>
      <c r="K402" s="14" t="n">
        <v>431.68</v>
      </c>
      <c r="L402" s="13" t="n">
        <v>7</v>
      </c>
      <c r="M402" s="13" t="inlineStr">
        <is>
          <t>Completed</t>
        </is>
      </c>
      <c r="N402" s="13" t="inlineStr">
        <is>
          <t>J. Patel</t>
        </is>
      </c>
      <c r="O402" s="13" t="inlineStr">
        <is>
          <t>No</t>
        </is>
      </c>
      <c r="P402" s="14">
        <f>H402*I402</f>
        <v/>
      </c>
      <c r="Q402" s="14">
        <f>P402*(1-J402)</f>
        <v/>
      </c>
      <c r="R402" s="14">
        <f>H402*K402</f>
        <v/>
      </c>
      <c r="S402" s="15">
        <f>IF(Q402=0,"",(Q402-R402)/Q402)</f>
        <v/>
      </c>
      <c r="T402" s="13">
        <f>YEAR(B402)</f>
        <v/>
      </c>
      <c r="U402" s="13">
        <f>YEAR(B402)&amp;"-Q"&amp;ROUNDUP(MONTH(B402)/3,0)</f>
        <v/>
      </c>
      <c r="V402" s="13">
        <f>TEXT(B402,"YYYY-MM")</f>
        <v/>
      </c>
      <c r="W402" s="13">
        <f>IF(L402="","",IF(L402&gt;pLateDays,1,0))</f>
        <v/>
      </c>
      <c r="X402" s="13">
        <f>IF(Q402&gt;=pHighCutoff,1,0)</f>
        <v/>
      </c>
      <c r="Y402" s="13">
        <f>IF(M402="Returned",1,0)</f>
        <v/>
      </c>
    </row>
    <row r="403">
      <c r="A403" s="13" t="inlineStr">
        <is>
          <t>HC-100401</t>
        </is>
      </c>
      <c r="B403" s="18" t="n">
        <v>45553</v>
      </c>
      <c r="C403" s="13" t="inlineStr">
        <is>
          <t>East</t>
        </is>
      </c>
      <c r="D403" s="13" t="inlineStr">
        <is>
          <t>Wholesale</t>
        </is>
      </c>
      <c r="E403" s="13" t="inlineStr">
        <is>
          <t>Furniture</t>
        </is>
      </c>
      <c r="F403" s="13" t="inlineStr">
        <is>
          <t>Lounge Chair</t>
        </is>
      </c>
      <c r="G403" s="13" t="inlineStr">
        <is>
          <t>Consumer</t>
        </is>
      </c>
      <c r="H403" s="13" t="n">
        <v>23</v>
      </c>
      <c r="I403" s="14" t="n">
        <v>440.12</v>
      </c>
      <c r="J403" s="15" t="n">
        <v>0.14</v>
      </c>
      <c r="K403" s="14" t="n">
        <v>264.07</v>
      </c>
      <c r="L403" s="13" t="n">
        <v>10</v>
      </c>
      <c r="M403" s="13" t="inlineStr">
        <is>
          <t>Completed</t>
        </is>
      </c>
      <c r="N403" s="13" t="inlineStr">
        <is>
          <t>L. Berger</t>
        </is>
      </c>
      <c r="O403" s="13" t="inlineStr">
        <is>
          <t>No</t>
        </is>
      </c>
      <c r="P403" s="14">
        <f>H403*I403</f>
        <v/>
      </c>
      <c r="Q403" s="14">
        <f>P403*(1-J403)</f>
        <v/>
      </c>
      <c r="R403" s="14">
        <f>H403*K403</f>
        <v/>
      </c>
      <c r="S403" s="15">
        <f>IF(Q403=0,"",(Q403-R403)/Q403)</f>
        <v/>
      </c>
      <c r="T403" s="13">
        <f>YEAR(B403)</f>
        <v/>
      </c>
      <c r="U403" s="13">
        <f>YEAR(B403)&amp;"-Q"&amp;ROUNDUP(MONTH(B403)/3,0)</f>
        <v/>
      </c>
      <c r="V403" s="13">
        <f>TEXT(B403,"YYYY-MM")</f>
        <v/>
      </c>
      <c r="W403" s="13">
        <f>IF(L403="","",IF(L403&gt;pLateDays,1,0))</f>
        <v/>
      </c>
      <c r="X403" s="13">
        <f>IF(Q403&gt;=pHighCutoff,1,0)</f>
        <v/>
      </c>
      <c r="Y403" s="13">
        <f>IF(M403="Returned",1,0)</f>
        <v/>
      </c>
    </row>
    <row r="404">
      <c r="A404" s="13" t="inlineStr">
        <is>
          <t>HC-100402</t>
        </is>
      </c>
      <c r="B404" s="18" t="n">
        <v>45752</v>
      </c>
      <c r="C404" s="13" t="inlineStr">
        <is>
          <t>North</t>
        </is>
      </c>
      <c r="D404" s="13" t="inlineStr">
        <is>
          <t>Store</t>
        </is>
      </c>
      <c r="E404" s="13" t="inlineStr">
        <is>
          <t>Kitchen</t>
        </is>
      </c>
      <c r="F404" s="13" t="inlineStr">
        <is>
          <t>Cast Skillet</t>
        </is>
      </c>
      <c r="G404" s="13" t="inlineStr">
        <is>
          <t>Home Office</t>
        </is>
      </c>
      <c r="H404" s="13" t="n">
        <v>1</v>
      </c>
      <c r="I404" s="14" t="n">
        <v>51.26</v>
      </c>
      <c r="J404" s="15" t="n">
        <v>0.03</v>
      </c>
      <c r="K404" s="14" t="n">
        <v>20.5</v>
      </c>
      <c r="L404" s="13" t="n">
        <v>2</v>
      </c>
      <c r="M404" s="13" t="inlineStr">
        <is>
          <t>Completed</t>
        </is>
      </c>
      <c r="N404" s="13" t="inlineStr">
        <is>
          <t>K. Mensah</t>
        </is>
      </c>
      <c r="O404" s="13" t="inlineStr">
        <is>
          <t>No</t>
        </is>
      </c>
      <c r="P404" s="14">
        <f>H404*I404</f>
        <v/>
      </c>
      <c r="Q404" s="14">
        <f>P404*(1-J404)</f>
        <v/>
      </c>
      <c r="R404" s="14">
        <f>H404*K404</f>
        <v/>
      </c>
      <c r="S404" s="15">
        <f>IF(Q404=0,"",(Q404-R404)/Q404)</f>
        <v/>
      </c>
      <c r="T404" s="13">
        <f>YEAR(B404)</f>
        <v/>
      </c>
      <c r="U404" s="13">
        <f>YEAR(B404)&amp;"-Q"&amp;ROUNDUP(MONTH(B404)/3,0)</f>
        <v/>
      </c>
      <c r="V404" s="13">
        <f>TEXT(B404,"YYYY-MM")</f>
        <v/>
      </c>
      <c r="W404" s="13">
        <f>IF(L404="","",IF(L404&gt;pLateDays,1,0))</f>
        <v/>
      </c>
      <c r="X404" s="13">
        <f>IF(Q404&gt;=pHighCutoff,1,0)</f>
        <v/>
      </c>
      <c r="Y404" s="13">
        <f>IF(M404="Returned",1,0)</f>
        <v/>
      </c>
    </row>
    <row r="405">
      <c r="A405" s="13" t="inlineStr">
        <is>
          <t>HC-100403</t>
        </is>
      </c>
      <c r="B405" s="18" t="n">
        <v>45393</v>
      </c>
      <c r="C405" s="13" t="inlineStr">
        <is>
          <t>East</t>
        </is>
      </c>
      <c r="D405" s="13" t="inlineStr">
        <is>
          <t>Online</t>
        </is>
      </c>
      <c r="E405" s="13" t="inlineStr">
        <is>
          <t>Furniture</t>
        </is>
      </c>
      <c r="F405" s="13" t="inlineStr">
        <is>
          <t>Lounge Chair</t>
        </is>
      </c>
      <c r="G405" s="13" t="inlineStr">
        <is>
          <t>Consumer</t>
        </is>
      </c>
      <c r="H405" s="13" t="n">
        <v>3</v>
      </c>
      <c r="I405" s="14" t="n">
        <v>414.29</v>
      </c>
      <c r="J405" s="15" t="n">
        <v>0.07000000000000001</v>
      </c>
      <c r="K405" s="14" t="n">
        <v>248.58</v>
      </c>
      <c r="L405" s="13" t="n">
        <v>13</v>
      </c>
      <c r="M405" s="13" t="inlineStr">
        <is>
          <t>Completed</t>
        </is>
      </c>
      <c r="N405" s="13" t="inlineStr">
        <is>
          <t>R. Ibarra</t>
        </is>
      </c>
      <c r="O405" s="13" t="inlineStr">
        <is>
          <t>No</t>
        </is>
      </c>
      <c r="P405" s="14">
        <f>H405*I405</f>
        <v/>
      </c>
      <c r="Q405" s="14">
        <f>P405*(1-J405)</f>
        <v/>
      </c>
      <c r="R405" s="14">
        <f>H405*K405</f>
        <v/>
      </c>
      <c r="S405" s="15">
        <f>IF(Q405=0,"",(Q405-R405)/Q405)</f>
        <v/>
      </c>
      <c r="T405" s="13">
        <f>YEAR(B405)</f>
        <v/>
      </c>
      <c r="U405" s="13">
        <f>YEAR(B405)&amp;"-Q"&amp;ROUNDUP(MONTH(B405)/3,0)</f>
        <v/>
      </c>
      <c r="V405" s="13">
        <f>TEXT(B405,"YYYY-MM")</f>
        <v/>
      </c>
      <c r="W405" s="13">
        <f>IF(L405="","",IF(L405&gt;pLateDays,1,0))</f>
        <v/>
      </c>
      <c r="X405" s="13">
        <f>IF(Q405&gt;=pHighCutoff,1,0)</f>
        <v/>
      </c>
      <c r="Y405" s="13">
        <f>IF(M405="Returned",1,0)</f>
        <v/>
      </c>
    </row>
    <row r="406">
      <c r="A406" s="13" t="inlineStr">
        <is>
          <t>HC-100404</t>
        </is>
      </c>
      <c r="B406" s="18" t="n">
        <v>45303</v>
      </c>
      <c r="C406" s="13" t="inlineStr">
        <is>
          <t>North</t>
        </is>
      </c>
      <c r="D406" s="13" t="inlineStr">
        <is>
          <t>Online</t>
        </is>
      </c>
      <c r="E406" s="13" t="inlineStr">
        <is>
          <t>Furniture</t>
        </is>
      </c>
      <c r="F406" s="13" t="inlineStr">
        <is>
          <t>Linen Sofa</t>
        </is>
      </c>
      <c r="G406" s="13" t="inlineStr">
        <is>
          <t>Consumer</t>
        </is>
      </c>
      <c r="H406" s="13" t="n">
        <v>2</v>
      </c>
      <c r="I406" s="14" t="n">
        <v>1256.88</v>
      </c>
      <c r="J406" s="15" t="n">
        <v>0.08</v>
      </c>
      <c r="K406" s="14" t="n">
        <v>829.54</v>
      </c>
      <c r="L406" s="13" t="n">
        <v>9</v>
      </c>
      <c r="M406" s="13" t="inlineStr">
        <is>
          <t>Completed</t>
        </is>
      </c>
      <c r="N406" s="13" t="inlineStr">
        <is>
          <t>R. Ibarra</t>
        </is>
      </c>
      <c r="O406" s="13" t="inlineStr">
        <is>
          <t>No</t>
        </is>
      </c>
      <c r="P406" s="14">
        <f>H406*I406</f>
        <v/>
      </c>
      <c r="Q406" s="14">
        <f>P406*(1-J406)</f>
        <v/>
      </c>
      <c r="R406" s="14">
        <f>H406*K406</f>
        <v/>
      </c>
      <c r="S406" s="15">
        <f>IF(Q406=0,"",(Q406-R406)/Q406)</f>
        <v/>
      </c>
      <c r="T406" s="13">
        <f>YEAR(B406)</f>
        <v/>
      </c>
      <c r="U406" s="13">
        <f>YEAR(B406)&amp;"-Q"&amp;ROUNDUP(MONTH(B406)/3,0)</f>
        <v/>
      </c>
      <c r="V406" s="13">
        <f>TEXT(B406,"YYYY-MM")</f>
        <v/>
      </c>
      <c r="W406" s="13">
        <f>IF(L406="","",IF(L406&gt;pLateDays,1,0))</f>
        <v/>
      </c>
      <c r="X406" s="13">
        <f>IF(Q406&gt;=pHighCutoff,1,0)</f>
        <v/>
      </c>
      <c r="Y406" s="13">
        <f>IF(M406="Returned",1,0)</f>
        <v/>
      </c>
    </row>
    <row r="407">
      <c r="A407" s="13" t="inlineStr">
        <is>
          <t>HC-100405</t>
        </is>
      </c>
      <c r="B407" s="18" t="n">
        <v>45692</v>
      </c>
      <c r="C407" s="13" t="inlineStr">
        <is>
          <t>South</t>
        </is>
      </c>
      <c r="D407" s="13" t="inlineStr">
        <is>
          <t>Store</t>
        </is>
      </c>
      <c r="E407" s="13" t="inlineStr">
        <is>
          <t>Textiles</t>
        </is>
      </c>
      <c r="F407" s="13" t="inlineStr">
        <is>
          <t>Linen Curtain</t>
        </is>
      </c>
      <c r="G407" s="13" t="inlineStr">
        <is>
          <t>Consumer</t>
        </is>
      </c>
      <c r="H407" s="13" t="n">
        <v>1</v>
      </c>
      <c r="I407" s="14" t="n">
        <v>102.42</v>
      </c>
      <c r="J407" s="15" t="n">
        <v>0.04</v>
      </c>
      <c r="K407" s="14" t="n">
        <v>46.09</v>
      </c>
      <c r="L407" s="13" t="n">
        <v>5</v>
      </c>
      <c r="M407" s="13" t="inlineStr">
        <is>
          <t>Completed</t>
        </is>
      </c>
      <c r="N407" s="13" t="inlineStr">
        <is>
          <t>A. Shah</t>
        </is>
      </c>
      <c r="O407" s="13" t="inlineStr">
        <is>
          <t>No</t>
        </is>
      </c>
      <c r="P407" s="14">
        <f>H407*I407</f>
        <v/>
      </c>
      <c r="Q407" s="14">
        <f>P407*(1-J407)</f>
        <v/>
      </c>
      <c r="R407" s="14">
        <f>H407*K407</f>
        <v/>
      </c>
      <c r="S407" s="15">
        <f>IF(Q407=0,"",(Q407-R407)/Q407)</f>
        <v/>
      </c>
      <c r="T407" s="13">
        <f>YEAR(B407)</f>
        <v/>
      </c>
      <c r="U407" s="13">
        <f>YEAR(B407)&amp;"-Q"&amp;ROUNDUP(MONTH(B407)/3,0)</f>
        <v/>
      </c>
      <c r="V407" s="13">
        <f>TEXT(B407,"YYYY-MM")</f>
        <v/>
      </c>
      <c r="W407" s="13">
        <f>IF(L407="","",IF(L407&gt;pLateDays,1,0))</f>
        <v/>
      </c>
      <c r="X407" s="13">
        <f>IF(Q407&gt;=pHighCutoff,1,0)</f>
        <v/>
      </c>
      <c r="Y407" s="13">
        <f>IF(M407="Returned",1,0)</f>
        <v/>
      </c>
    </row>
    <row r="408">
      <c r="A408" s="13" t="inlineStr">
        <is>
          <t>HC-100406</t>
        </is>
      </c>
      <c r="B408" s="18" t="n">
        <v>45752</v>
      </c>
      <c r="C408" s="13" t="inlineStr">
        <is>
          <t>West</t>
        </is>
      </c>
      <c r="D408" s="13" t="inlineStr">
        <is>
          <t>Online</t>
        </is>
      </c>
      <c r="E408" s="13" t="inlineStr">
        <is>
          <t>Furniture</t>
        </is>
      </c>
      <c r="F408" s="13" t="inlineStr">
        <is>
          <t>Walnut Shelf</t>
        </is>
      </c>
      <c r="G408" s="13" t="inlineStr">
        <is>
          <t>Consumer</t>
        </is>
      </c>
      <c r="H408" s="13" t="n">
        <v>3</v>
      </c>
      <c r="I408" s="14" t="n">
        <v>204.13</v>
      </c>
      <c r="J408" s="15" t="n">
        <v>0.07000000000000001</v>
      </c>
      <c r="K408" s="14" t="n">
        <v>112.27</v>
      </c>
      <c r="L408" s="13" t="n">
        <v>5</v>
      </c>
      <c r="M408" s="13" t="inlineStr">
        <is>
          <t>Completed</t>
        </is>
      </c>
      <c r="N408" s="13" t="inlineStr">
        <is>
          <t>K. Mensah</t>
        </is>
      </c>
      <c r="O408" s="13" t="inlineStr">
        <is>
          <t>No</t>
        </is>
      </c>
      <c r="P408" s="14">
        <f>H408*I408</f>
        <v/>
      </c>
      <c r="Q408" s="14">
        <f>P408*(1-J408)</f>
        <v/>
      </c>
      <c r="R408" s="14">
        <f>H408*K408</f>
        <v/>
      </c>
      <c r="S408" s="15">
        <f>IF(Q408=0,"",(Q408-R408)/Q408)</f>
        <v/>
      </c>
      <c r="T408" s="13">
        <f>YEAR(B408)</f>
        <v/>
      </c>
      <c r="U408" s="13">
        <f>YEAR(B408)&amp;"-Q"&amp;ROUNDUP(MONTH(B408)/3,0)</f>
        <v/>
      </c>
      <c r="V408" s="13">
        <f>TEXT(B408,"YYYY-MM")</f>
        <v/>
      </c>
      <c r="W408" s="13">
        <f>IF(L408="","",IF(L408&gt;pLateDays,1,0))</f>
        <v/>
      </c>
      <c r="X408" s="13">
        <f>IF(Q408&gt;=pHighCutoff,1,0)</f>
        <v/>
      </c>
      <c r="Y408" s="13">
        <f>IF(M408="Returned",1,0)</f>
        <v/>
      </c>
    </row>
    <row r="409">
      <c r="A409" s="13" t="inlineStr">
        <is>
          <t>HC-100407</t>
        </is>
      </c>
      <c r="B409" s="18" t="n">
        <v>45489</v>
      </c>
      <c r="C409" s="13" t="inlineStr">
        <is>
          <t>North</t>
        </is>
      </c>
      <c r="D409" s="13" t="inlineStr">
        <is>
          <t>Store</t>
        </is>
      </c>
      <c r="E409" s="13" t="inlineStr">
        <is>
          <t>Furniture</t>
        </is>
      </c>
      <c r="F409" s="13" t="inlineStr">
        <is>
          <t>Lounge Chair</t>
        </is>
      </c>
      <c r="G409" s="13" t="inlineStr">
        <is>
          <t>Consumer</t>
        </is>
      </c>
      <c r="H409" s="13" t="n">
        <v>4</v>
      </c>
      <c r="I409" s="14" t="n">
        <v>460.63</v>
      </c>
      <c r="J409" s="15" t="n">
        <v>0.08</v>
      </c>
      <c r="K409" s="14" t="n">
        <v>276.38</v>
      </c>
      <c r="L409" s="13" t="n">
        <v>6</v>
      </c>
      <c r="M409" s="13" t="inlineStr">
        <is>
          <t>Completed</t>
        </is>
      </c>
      <c r="N409" s="13" t="inlineStr">
        <is>
          <t>R. Ibarra</t>
        </is>
      </c>
      <c r="O409" s="13" t="inlineStr">
        <is>
          <t>No</t>
        </is>
      </c>
      <c r="P409" s="14">
        <f>H409*I409</f>
        <v/>
      </c>
      <c r="Q409" s="14">
        <f>P409*(1-J409)</f>
        <v/>
      </c>
      <c r="R409" s="14">
        <f>H409*K409</f>
        <v/>
      </c>
      <c r="S409" s="15">
        <f>IF(Q409=0,"",(Q409-R409)/Q409)</f>
        <v/>
      </c>
      <c r="T409" s="13">
        <f>YEAR(B409)</f>
        <v/>
      </c>
      <c r="U409" s="13">
        <f>YEAR(B409)&amp;"-Q"&amp;ROUNDUP(MONTH(B409)/3,0)</f>
        <v/>
      </c>
      <c r="V409" s="13">
        <f>TEXT(B409,"YYYY-MM")</f>
        <v/>
      </c>
      <c r="W409" s="13">
        <f>IF(L409="","",IF(L409&gt;pLateDays,1,0))</f>
        <v/>
      </c>
      <c r="X409" s="13">
        <f>IF(Q409&gt;=pHighCutoff,1,0)</f>
        <v/>
      </c>
      <c r="Y409" s="13">
        <f>IF(M409="Returned",1,0)</f>
        <v/>
      </c>
    </row>
    <row r="410">
      <c r="A410" s="13" t="inlineStr">
        <is>
          <t>HC-100408</t>
        </is>
      </c>
      <c r="B410" s="18" t="n">
        <v>45911</v>
      </c>
      <c r="C410" s="13" t="inlineStr">
        <is>
          <t>West</t>
        </is>
      </c>
      <c r="D410" s="13" t="inlineStr">
        <is>
          <t>Store</t>
        </is>
      </c>
      <c r="E410" s="13" t="inlineStr">
        <is>
          <t>Textiles</t>
        </is>
      </c>
      <c r="F410" s="13" t="inlineStr">
        <is>
          <t>Cotton Duvet</t>
        </is>
      </c>
      <c r="G410" s="13" t="inlineStr">
        <is>
          <t>Consumer</t>
        </is>
      </c>
      <c r="H410" s="13" t="n">
        <v>2</v>
      </c>
      <c r="I410" s="14" t="n">
        <v>121.86</v>
      </c>
      <c r="J410" s="15" t="n">
        <v>0.08</v>
      </c>
      <c r="K410" s="14" t="n">
        <v>53.62</v>
      </c>
      <c r="L410" s="13" t="n">
        <v>7</v>
      </c>
      <c r="M410" s="13" t="inlineStr">
        <is>
          <t>Returned</t>
        </is>
      </c>
      <c r="N410" s="13" t="inlineStr">
        <is>
          <t>S. Nguyen</t>
        </is>
      </c>
      <c r="O410" s="13" t="inlineStr">
        <is>
          <t>No</t>
        </is>
      </c>
      <c r="P410" s="14">
        <f>H410*I410</f>
        <v/>
      </c>
      <c r="Q410" s="14">
        <f>P410*(1-J410)</f>
        <v/>
      </c>
      <c r="R410" s="14">
        <f>H410*K410</f>
        <v/>
      </c>
      <c r="S410" s="15">
        <f>IF(Q410=0,"",(Q410-R410)/Q410)</f>
        <v/>
      </c>
      <c r="T410" s="13">
        <f>YEAR(B410)</f>
        <v/>
      </c>
      <c r="U410" s="13">
        <f>YEAR(B410)&amp;"-Q"&amp;ROUNDUP(MONTH(B410)/3,0)</f>
        <v/>
      </c>
      <c r="V410" s="13">
        <f>TEXT(B410,"YYYY-MM")</f>
        <v/>
      </c>
      <c r="W410" s="13">
        <f>IF(L410="","",IF(L410&gt;pLateDays,1,0))</f>
        <v/>
      </c>
      <c r="X410" s="13">
        <f>IF(Q410&gt;=pHighCutoff,1,0)</f>
        <v/>
      </c>
      <c r="Y410" s="13">
        <f>IF(M410="Returned",1,0)</f>
        <v/>
      </c>
    </row>
    <row r="411">
      <c r="A411" s="13" t="inlineStr">
        <is>
          <t>HC-100409</t>
        </is>
      </c>
      <c r="B411" s="18" t="n">
        <v>45465</v>
      </c>
      <c r="C411" s="13" t="inlineStr">
        <is>
          <t>North</t>
        </is>
      </c>
      <c r="D411" s="13" t="inlineStr">
        <is>
          <t>Online</t>
        </is>
      </c>
      <c r="E411" s="13" t="inlineStr">
        <is>
          <t>Furniture</t>
        </is>
      </c>
      <c r="F411" s="13" t="inlineStr">
        <is>
          <t>Oak Desk</t>
        </is>
      </c>
      <c r="G411" s="13" t="inlineStr">
        <is>
          <t>Consumer</t>
        </is>
      </c>
      <c r="H411" s="13" t="n">
        <v>1</v>
      </c>
      <c r="I411" s="14" t="n">
        <v>840.8099999999999</v>
      </c>
      <c r="J411" s="15" t="n">
        <v>0.15</v>
      </c>
      <c r="K411" s="14" t="n">
        <v>521.3</v>
      </c>
      <c r="L411" s="13" t="n">
        <v>5</v>
      </c>
      <c r="M411" s="13" t="inlineStr">
        <is>
          <t>Completed</t>
        </is>
      </c>
      <c r="N411" s="13" t="inlineStr">
        <is>
          <t>A. Shah</t>
        </is>
      </c>
      <c r="O411" s="13" t="inlineStr">
        <is>
          <t>No</t>
        </is>
      </c>
      <c r="P411" s="14">
        <f>H411*I411</f>
        <v/>
      </c>
      <c r="Q411" s="14">
        <f>P411*(1-J411)</f>
        <v/>
      </c>
      <c r="R411" s="14">
        <f>H411*K411</f>
        <v/>
      </c>
      <c r="S411" s="15">
        <f>IF(Q411=0,"",(Q411-R411)/Q411)</f>
        <v/>
      </c>
      <c r="T411" s="13">
        <f>YEAR(B411)</f>
        <v/>
      </c>
      <c r="U411" s="13">
        <f>YEAR(B411)&amp;"-Q"&amp;ROUNDUP(MONTH(B411)/3,0)</f>
        <v/>
      </c>
      <c r="V411" s="13">
        <f>TEXT(B411,"YYYY-MM")</f>
        <v/>
      </c>
      <c r="W411" s="13">
        <f>IF(L411="","",IF(L411&gt;pLateDays,1,0))</f>
        <v/>
      </c>
      <c r="X411" s="13">
        <f>IF(Q411&gt;=pHighCutoff,1,0)</f>
        <v/>
      </c>
      <c r="Y411" s="13">
        <f>IF(M411="Returned",1,0)</f>
        <v/>
      </c>
    </row>
    <row r="412">
      <c r="A412" s="13" t="inlineStr">
        <is>
          <t>HC-100410</t>
        </is>
      </c>
      <c r="B412" s="18" t="n">
        <v>45584</v>
      </c>
      <c r="C412" s="13" t="inlineStr">
        <is>
          <t>North</t>
        </is>
      </c>
      <c r="D412" s="13" t="inlineStr">
        <is>
          <t>Store</t>
        </is>
      </c>
      <c r="E412" s="13" t="inlineStr">
        <is>
          <t>Lighting</t>
        </is>
      </c>
      <c r="F412" s="13" t="inlineStr">
        <is>
          <t>Arc Lamp</t>
        </is>
      </c>
      <c r="G412" s="13" t="inlineStr">
        <is>
          <t>Consumer</t>
        </is>
      </c>
      <c r="H412" s="13" t="n">
        <v>3</v>
      </c>
      <c r="I412" s="14" t="n">
        <v>324.23</v>
      </c>
      <c r="J412" s="15" t="n">
        <v>0.02</v>
      </c>
      <c r="K412" s="14" t="n">
        <v>155.63</v>
      </c>
      <c r="L412" s="13" t="n">
        <v>5</v>
      </c>
      <c r="M412" s="13" t="inlineStr">
        <is>
          <t>Completed</t>
        </is>
      </c>
      <c r="N412" s="13" t="inlineStr">
        <is>
          <t>P. Rossi</t>
        </is>
      </c>
      <c r="O412" s="13" t="inlineStr">
        <is>
          <t>No</t>
        </is>
      </c>
      <c r="P412" s="14">
        <f>H412*I412</f>
        <v/>
      </c>
      <c r="Q412" s="14">
        <f>P412*(1-J412)</f>
        <v/>
      </c>
      <c r="R412" s="14">
        <f>H412*K412</f>
        <v/>
      </c>
      <c r="S412" s="15">
        <f>IF(Q412=0,"",(Q412-R412)/Q412)</f>
        <v/>
      </c>
      <c r="T412" s="13">
        <f>YEAR(B412)</f>
        <v/>
      </c>
      <c r="U412" s="13">
        <f>YEAR(B412)&amp;"-Q"&amp;ROUNDUP(MONTH(B412)/3,0)</f>
        <v/>
      </c>
      <c r="V412" s="13">
        <f>TEXT(B412,"YYYY-MM")</f>
        <v/>
      </c>
      <c r="W412" s="13">
        <f>IF(L412="","",IF(L412&gt;pLateDays,1,0))</f>
        <v/>
      </c>
      <c r="X412" s="13">
        <f>IF(Q412&gt;=pHighCutoff,1,0)</f>
        <v/>
      </c>
      <c r="Y412" s="13">
        <f>IF(M412="Returned",1,0)</f>
        <v/>
      </c>
    </row>
    <row r="413">
      <c r="A413" s="13" t="inlineStr">
        <is>
          <t>HC-100411</t>
        </is>
      </c>
      <c r="B413" s="18" t="n">
        <v>45539</v>
      </c>
      <c r="C413" s="13" t="inlineStr">
        <is>
          <t>South</t>
        </is>
      </c>
      <c r="D413" s="13" t="inlineStr">
        <is>
          <t>Store</t>
        </is>
      </c>
      <c r="E413" s="13" t="inlineStr">
        <is>
          <t>Textiles</t>
        </is>
      </c>
      <c r="F413" s="13" t="inlineStr">
        <is>
          <t>Wool Throw</t>
        </is>
      </c>
      <c r="G413" s="13" t="inlineStr">
        <is>
          <t>Consumer</t>
        </is>
      </c>
      <c r="H413" s="13" t="n">
        <v>3</v>
      </c>
      <c r="I413" s="14" t="n">
        <v>78.16</v>
      </c>
      <c r="J413" s="15" t="n">
        <v>0.06</v>
      </c>
      <c r="K413" s="14" t="n">
        <v>32.83</v>
      </c>
      <c r="L413" s="13" t="n">
        <v>7</v>
      </c>
      <c r="M413" s="13" t="inlineStr">
        <is>
          <t>Completed</t>
        </is>
      </c>
      <c r="N413" s="13" t="inlineStr">
        <is>
          <t>R. Ibarra</t>
        </is>
      </c>
      <c r="O413" s="13" t="inlineStr">
        <is>
          <t>No</t>
        </is>
      </c>
      <c r="P413" s="14">
        <f>H413*I413</f>
        <v/>
      </c>
      <c r="Q413" s="14">
        <f>P413*(1-J413)</f>
        <v/>
      </c>
      <c r="R413" s="14">
        <f>H413*K413</f>
        <v/>
      </c>
      <c r="S413" s="15">
        <f>IF(Q413=0,"",(Q413-R413)/Q413)</f>
        <v/>
      </c>
      <c r="T413" s="13">
        <f>YEAR(B413)</f>
        <v/>
      </c>
      <c r="U413" s="13">
        <f>YEAR(B413)&amp;"-Q"&amp;ROUNDUP(MONTH(B413)/3,0)</f>
        <v/>
      </c>
      <c r="V413" s="13">
        <f>TEXT(B413,"YYYY-MM")</f>
        <v/>
      </c>
      <c r="W413" s="13">
        <f>IF(L413="","",IF(L413&gt;pLateDays,1,0))</f>
        <v/>
      </c>
      <c r="X413" s="13">
        <f>IF(Q413&gt;=pHighCutoff,1,0)</f>
        <v/>
      </c>
      <c r="Y413" s="13">
        <f>IF(M413="Returned",1,0)</f>
        <v/>
      </c>
    </row>
    <row r="414">
      <c r="A414" s="13" t="inlineStr">
        <is>
          <t>HC-100412</t>
        </is>
      </c>
      <c r="B414" s="18" t="n">
        <v>45647</v>
      </c>
      <c r="C414" s="13" t="inlineStr">
        <is>
          <t>West</t>
        </is>
      </c>
      <c r="D414" s="13" t="inlineStr">
        <is>
          <t>Store</t>
        </is>
      </c>
      <c r="E414" s="13" t="inlineStr">
        <is>
          <t>Textiles</t>
        </is>
      </c>
      <c r="F414" s="13" t="inlineStr">
        <is>
          <t>Wool Throw</t>
        </is>
      </c>
      <c r="G414" s="13" t="inlineStr">
        <is>
          <t>Consumer</t>
        </is>
      </c>
      <c r="H414" s="13" t="n">
        <v>5</v>
      </c>
      <c r="I414" s="14" t="n">
        <v>71.86</v>
      </c>
      <c r="J414" s="15" t="n">
        <v>0.02</v>
      </c>
      <c r="K414" s="14" t="n">
        <v>30.18</v>
      </c>
      <c r="L414" s="13" t="n">
        <v>6</v>
      </c>
      <c r="M414" s="13" t="inlineStr">
        <is>
          <t>Completed</t>
        </is>
      </c>
      <c r="N414" s="13" t="inlineStr">
        <is>
          <t>M. Okonkwo</t>
        </is>
      </c>
      <c r="O414" s="13" t="inlineStr">
        <is>
          <t>No</t>
        </is>
      </c>
      <c r="P414" s="14">
        <f>H414*I414</f>
        <v/>
      </c>
      <c r="Q414" s="14">
        <f>P414*(1-J414)</f>
        <v/>
      </c>
      <c r="R414" s="14">
        <f>H414*K414</f>
        <v/>
      </c>
      <c r="S414" s="15">
        <f>IF(Q414=0,"",(Q414-R414)/Q414)</f>
        <v/>
      </c>
      <c r="T414" s="13">
        <f>YEAR(B414)</f>
        <v/>
      </c>
      <c r="U414" s="13">
        <f>YEAR(B414)&amp;"-Q"&amp;ROUNDUP(MONTH(B414)/3,0)</f>
        <v/>
      </c>
      <c r="V414" s="13">
        <f>TEXT(B414,"YYYY-MM")</f>
        <v/>
      </c>
      <c r="W414" s="13">
        <f>IF(L414="","",IF(L414&gt;pLateDays,1,0))</f>
        <v/>
      </c>
      <c r="X414" s="13">
        <f>IF(Q414&gt;=pHighCutoff,1,0)</f>
        <v/>
      </c>
      <c r="Y414" s="13">
        <f>IF(M414="Returned",1,0)</f>
        <v/>
      </c>
    </row>
    <row r="415">
      <c r="A415" s="13" t="inlineStr">
        <is>
          <t>HC-100413</t>
        </is>
      </c>
      <c r="B415" s="18" t="n">
        <v>45360</v>
      </c>
      <c r="C415" s="13" t="inlineStr">
        <is>
          <t>East</t>
        </is>
      </c>
      <c r="D415" s="13" t="inlineStr">
        <is>
          <t>Online</t>
        </is>
      </c>
      <c r="E415" s="13" t="inlineStr">
        <is>
          <t>Textiles</t>
        </is>
      </c>
      <c r="F415" s="13" t="inlineStr">
        <is>
          <t>Linen Curtain</t>
        </is>
      </c>
      <c r="G415" s="13" t="inlineStr">
        <is>
          <t>Consumer</t>
        </is>
      </c>
      <c r="H415" s="13" t="n">
        <v>1</v>
      </c>
      <c r="I415" s="14" t="n">
        <v>89.58</v>
      </c>
      <c r="J415" s="15" t="n">
        <v>0.09</v>
      </c>
      <c r="K415" s="14" t="n">
        <v>40.31</v>
      </c>
      <c r="L415" s="13" t="n">
        <v>6</v>
      </c>
      <c r="M415" s="13" t="inlineStr">
        <is>
          <t>Returned</t>
        </is>
      </c>
      <c r="N415" s="13" t="inlineStr">
        <is>
          <t>M. Okonkwo</t>
        </is>
      </c>
      <c r="O415" s="13" t="inlineStr">
        <is>
          <t>No</t>
        </is>
      </c>
      <c r="P415" s="14">
        <f>H415*I415</f>
        <v/>
      </c>
      <c r="Q415" s="14">
        <f>P415*(1-J415)</f>
        <v/>
      </c>
      <c r="R415" s="14">
        <f>H415*K415</f>
        <v/>
      </c>
      <c r="S415" s="15">
        <f>IF(Q415=0,"",(Q415-R415)/Q415)</f>
        <v/>
      </c>
      <c r="T415" s="13">
        <f>YEAR(B415)</f>
        <v/>
      </c>
      <c r="U415" s="13">
        <f>YEAR(B415)&amp;"-Q"&amp;ROUNDUP(MONTH(B415)/3,0)</f>
        <v/>
      </c>
      <c r="V415" s="13">
        <f>TEXT(B415,"YYYY-MM")</f>
        <v/>
      </c>
      <c r="W415" s="13">
        <f>IF(L415="","",IF(L415&gt;pLateDays,1,0))</f>
        <v/>
      </c>
      <c r="X415" s="13">
        <f>IF(Q415&gt;=pHighCutoff,1,0)</f>
        <v/>
      </c>
      <c r="Y415" s="13">
        <f>IF(M415="Returned",1,0)</f>
        <v/>
      </c>
    </row>
    <row r="416">
      <c r="A416" s="13" t="inlineStr">
        <is>
          <t>HC-100414</t>
        </is>
      </c>
      <c r="B416" s="18" t="n">
        <v>45534</v>
      </c>
      <c r="C416" s="13" t="inlineStr">
        <is>
          <t>West</t>
        </is>
      </c>
      <c r="D416" s="13" t="inlineStr">
        <is>
          <t>Online</t>
        </is>
      </c>
      <c r="E416" s="13" t="inlineStr">
        <is>
          <t>Textiles</t>
        </is>
      </c>
      <c r="F416" s="13" t="inlineStr">
        <is>
          <t>Cotton Duvet</t>
        </is>
      </c>
      <c r="G416" s="13" t="inlineStr">
        <is>
          <t>Unknown</t>
        </is>
      </c>
      <c r="H416" s="13" t="n">
        <v>2</v>
      </c>
      <c r="I416" s="14" t="n">
        <v>113</v>
      </c>
      <c r="J416" s="15" t="n">
        <v>0.12</v>
      </c>
      <c r="K416" s="14" t="n">
        <v>49.72</v>
      </c>
      <c r="L416" s="13" t="n">
        <v>5</v>
      </c>
      <c r="M416" s="13" t="inlineStr">
        <is>
          <t>Completed</t>
        </is>
      </c>
      <c r="N416" s="13" t="inlineStr">
        <is>
          <t>P. Rossi</t>
        </is>
      </c>
      <c r="O416" s="13" t="inlineStr">
        <is>
          <t>No</t>
        </is>
      </c>
      <c r="P416" s="14">
        <f>H416*I416</f>
        <v/>
      </c>
      <c r="Q416" s="14">
        <f>P416*(1-J416)</f>
        <v/>
      </c>
      <c r="R416" s="14">
        <f>H416*K416</f>
        <v/>
      </c>
      <c r="S416" s="15">
        <f>IF(Q416=0,"",(Q416-R416)/Q416)</f>
        <v/>
      </c>
      <c r="T416" s="13">
        <f>YEAR(B416)</f>
        <v/>
      </c>
      <c r="U416" s="13">
        <f>YEAR(B416)&amp;"-Q"&amp;ROUNDUP(MONTH(B416)/3,0)</f>
        <v/>
      </c>
      <c r="V416" s="13">
        <f>TEXT(B416,"YYYY-MM")</f>
        <v/>
      </c>
      <c r="W416" s="13">
        <f>IF(L416="","",IF(L416&gt;pLateDays,1,0))</f>
        <v/>
      </c>
      <c r="X416" s="13">
        <f>IF(Q416&gt;=pHighCutoff,1,0)</f>
        <v/>
      </c>
      <c r="Y416" s="13">
        <f>IF(M416="Returned",1,0)</f>
        <v/>
      </c>
    </row>
    <row r="417">
      <c r="A417" s="13" t="inlineStr">
        <is>
          <t>HC-100415</t>
        </is>
      </c>
      <c r="B417" s="18" t="n">
        <v>45627</v>
      </c>
      <c r="C417" s="13" t="inlineStr">
        <is>
          <t>West</t>
        </is>
      </c>
      <c r="D417" s="13" t="inlineStr">
        <is>
          <t>Store</t>
        </is>
      </c>
      <c r="E417" s="13" t="inlineStr">
        <is>
          <t>Kitchen</t>
        </is>
      </c>
      <c r="F417" s="13" t="inlineStr">
        <is>
          <t>Cast Skillet</t>
        </is>
      </c>
      <c r="G417" s="13" t="inlineStr">
        <is>
          <t>Corporate</t>
        </is>
      </c>
      <c r="H417" s="13" t="n">
        <v>4</v>
      </c>
      <c r="I417" s="14" t="n">
        <v>57.42</v>
      </c>
      <c r="J417" s="15" t="n">
        <v>0.09</v>
      </c>
      <c r="K417" s="14" t="n">
        <v>22.97</v>
      </c>
      <c r="L417" s="13" t="n">
        <v>5</v>
      </c>
      <c r="M417" s="13" t="inlineStr">
        <is>
          <t>Completed</t>
        </is>
      </c>
      <c r="N417" s="13" t="inlineStr">
        <is>
          <t>K. Mensah</t>
        </is>
      </c>
      <c r="O417" s="13" t="inlineStr">
        <is>
          <t>No</t>
        </is>
      </c>
      <c r="P417" s="14">
        <f>H417*I417</f>
        <v/>
      </c>
      <c r="Q417" s="14">
        <f>P417*(1-J417)</f>
        <v/>
      </c>
      <c r="R417" s="14">
        <f>H417*K417</f>
        <v/>
      </c>
      <c r="S417" s="15">
        <f>IF(Q417=0,"",(Q417-R417)/Q417)</f>
        <v/>
      </c>
      <c r="T417" s="13">
        <f>YEAR(B417)</f>
        <v/>
      </c>
      <c r="U417" s="13">
        <f>YEAR(B417)&amp;"-Q"&amp;ROUNDUP(MONTH(B417)/3,0)</f>
        <v/>
      </c>
      <c r="V417" s="13">
        <f>TEXT(B417,"YYYY-MM")</f>
        <v/>
      </c>
      <c r="W417" s="13">
        <f>IF(L417="","",IF(L417&gt;pLateDays,1,0))</f>
        <v/>
      </c>
      <c r="X417" s="13">
        <f>IF(Q417&gt;=pHighCutoff,1,0)</f>
        <v/>
      </c>
      <c r="Y417" s="13">
        <f>IF(M417="Returned",1,0)</f>
        <v/>
      </c>
    </row>
    <row r="418">
      <c r="A418" s="13" t="inlineStr">
        <is>
          <t>HC-100416</t>
        </is>
      </c>
      <c r="B418" s="18" t="n">
        <v>45653</v>
      </c>
      <c r="C418" s="13" t="inlineStr">
        <is>
          <t>North</t>
        </is>
      </c>
      <c r="D418" s="13" t="inlineStr">
        <is>
          <t>Online</t>
        </is>
      </c>
      <c r="E418" s="13" t="inlineStr">
        <is>
          <t>Textiles</t>
        </is>
      </c>
      <c r="F418" s="13" t="inlineStr">
        <is>
          <t>Cotton Duvet</t>
        </is>
      </c>
      <c r="G418" s="13" t="inlineStr">
        <is>
          <t>Consumer</t>
        </is>
      </c>
      <c r="H418" s="13" t="n">
        <v>4</v>
      </c>
      <c r="I418" s="14" t="n">
        <v>113.84</v>
      </c>
      <c r="J418" s="15" t="n">
        <v>0.13</v>
      </c>
      <c r="K418" s="14" t="n">
        <v>50.09</v>
      </c>
      <c r="L418" s="13" t="n">
        <v>6</v>
      </c>
      <c r="M418" s="13" t="inlineStr">
        <is>
          <t>Completed</t>
        </is>
      </c>
      <c r="N418" s="13" t="inlineStr">
        <is>
          <t>M. Okonkwo</t>
        </is>
      </c>
      <c r="O418" s="13" t="inlineStr">
        <is>
          <t>No</t>
        </is>
      </c>
      <c r="P418" s="14">
        <f>H418*I418</f>
        <v/>
      </c>
      <c r="Q418" s="14">
        <f>P418*(1-J418)</f>
        <v/>
      </c>
      <c r="R418" s="14">
        <f>H418*K418</f>
        <v/>
      </c>
      <c r="S418" s="15">
        <f>IF(Q418=0,"",(Q418-R418)/Q418)</f>
        <v/>
      </c>
      <c r="T418" s="13">
        <f>YEAR(B418)</f>
        <v/>
      </c>
      <c r="U418" s="13">
        <f>YEAR(B418)&amp;"-Q"&amp;ROUNDUP(MONTH(B418)/3,0)</f>
        <v/>
      </c>
      <c r="V418" s="13">
        <f>TEXT(B418,"YYYY-MM")</f>
        <v/>
      </c>
      <c r="W418" s="13">
        <f>IF(L418="","",IF(L418&gt;pLateDays,1,0))</f>
        <v/>
      </c>
      <c r="X418" s="13">
        <f>IF(Q418&gt;=pHighCutoff,1,0)</f>
        <v/>
      </c>
      <c r="Y418" s="13">
        <f>IF(M418="Returned",1,0)</f>
        <v/>
      </c>
    </row>
    <row r="419">
      <c r="A419" s="13" t="inlineStr">
        <is>
          <t>HC-100417</t>
        </is>
      </c>
      <c r="B419" s="18" t="n">
        <v>45645</v>
      </c>
      <c r="C419" s="13" t="inlineStr">
        <is>
          <t>West</t>
        </is>
      </c>
      <c r="D419" s="13" t="inlineStr">
        <is>
          <t>Wholesale</t>
        </is>
      </c>
      <c r="E419" s="13" t="inlineStr">
        <is>
          <t>Furniture</t>
        </is>
      </c>
      <c r="F419" s="13" t="inlineStr">
        <is>
          <t>Oak Desk</t>
        </is>
      </c>
      <c r="G419" s="13" t="inlineStr">
        <is>
          <t>Consumer</t>
        </is>
      </c>
      <c r="H419" s="13" t="n">
        <v>20</v>
      </c>
      <c r="I419" s="14" t="n">
        <v>824.87</v>
      </c>
      <c r="J419" s="15" t="n">
        <v>0.16</v>
      </c>
      <c r="K419" s="14" t="n">
        <v>511.42</v>
      </c>
      <c r="L419" s="13" t="n">
        <v>2</v>
      </c>
      <c r="M419" s="13" t="inlineStr">
        <is>
          <t>Completed</t>
        </is>
      </c>
      <c r="N419" s="13" t="inlineStr">
        <is>
          <t>M. Okonkwo</t>
        </is>
      </c>
      <c r="O419" s="13" t="inlineStr">
        <is>
          <t>No</t>
        </is>
      </c>
      <c r="P419" s="14">
        <f>H419*I419</f>
        <v/>
      </c>
      <c r="Q419" s="14">
        <f>P419*(1-J419)</f>
        <v/>
      </c>
      <c r="R419" s="14">
        <f>H419*K419</f>
        <v/>
      </c>
      <c r="S419" s="15">
        <f>IF(Q419=0,"",(Q419-R419)/Q419)</f>
        <v/>
      </c>
      <c r="T419" s="13">
        <f>YEAR(B419)</f>
        <v/>
      </c>
      <c r="U419" s="13">
        <f>YEAR(B419)&amp;"-Q"&amp;ROUNDUP(MONTH(B419)/3,0)</f>
        <v/>
      </c>
      <c r="V419" s="13">
        <f>TEXT(B419,"YYYY-MM")</f>
        <v/>
      </c>
      <c r="W419" s="13">
        <f>IF(L419="","",IF(L419&gt;pLateDays,1,0))</f>
        <v/>
      </c>
      <c r="X419" s="13">
        <f>IF(Q419&gt;=pHighCutoff,1,0)</f>
        <v/>
      </c>
      <c r="Y419" s="13">
        <f>IF(M419="Returned",1,0)</f>
        <v/>
      </c>
    </row>
    <row r="420">
      <c r="A420" s="13" t="inlineStr">
        <is>
          <t>HC-100418</t>
        </is>
      </c>
      <c r="B420" s="18" t="n">
        <v>45486</v>
      </c>
      <c r="C420" s="13" t="inlineStr">
        <is>
          <t>West</t>
        </is>
      </c>
      <c r="D420" s="13" t="inlineStr">
        <is>
          <t>Online</t>
        </is>
      </c>
      <c r="E420" s="13" t="inlineStr">
        <is>
          <t>Furniture</t>
        </is>
      </c>
      <c r="F420" s="13" t="inlineStr">
        <is>
          <t>Linen Sofa</t>
        </is>
      </c>
      <c r="G420" s="13" t="inlineStr">
        <is>
          <t>Unknown</t>
        </is>
      </c>
      <c r="H420" s="13" t="n">
        <v>2</v>
      </c>
      <c r="I420" s="14" t="n">
        <v>1337.47</v>
      </c>
      <c r="J420" s="15" t="n">
        <v>0.14</v>
      </c>
      <c r="K420" s="14" t="n">
        <v>882.73</v>
      </c>
      <c r="L420" s="13" t="n">
        <v>5</v>
      </c>
      <c r="M420" s="13" t="inlineStr">
        <is>
          <t>Completed</t>
        </is>
      </c>
      <c r="N420" s="13" t="inlineStr">
        <is>
          <t>K. Mensah</t>
        </is>
      </c>
      <c r="O420" s="13" t="inlineStr">
        <is>
          <t>No</t>
        </is>
      </c>
      <c r="P420" s="14">
        <f>H420*I420</f>
        <v/>
      </c>
      <c r="Q420" s="14">
        <f>P420*(1-J420)</f>
        <v/>
      </c>
      <c r="R420" s="14">
        <f>H420*K420</f>
        <v/>
      </c>
      <c r="S420" s="15">
        <f>IF(Q420=0,"",(Q420-R420)/Q420)</f>
        <v/>
      </c>
      <c r="T420" s="13">
        <f>YEAR(B420)</f>
        <v/>
      </c>
      <c r="U420" s="13">
        <f>YEAR(B420)&amp;"-Q"&amp;ROUNDUP(MONTH(B420)/3,0)</f>
        <v/>
      </c>
      <c r="V420" s="13">
        <f>TEXT(B420,"YYYY-MM")</f>
        <v/>
      </c>
      <c r="W420" s="13">
        <f>IF(L420="","",IF(L420&gt;pLateDays,1,0))</f>
        <v/>
      </c>
      <c r="X420" s="13">
        <f>IF(Q420&gt;=pHighCutoff,1,0)</f>
        <v/>
      </c>
      <c r="Y420" s="13">
        <f>IF(M420="Returned",1,0)</f>
        <v/>
      </c>
    </row>
    <row r="421">
      <c r="A421" s="13" t="inlineStr">
        <is>
          <t>HC-100419</t>
        </is>
      </c>
      <c r="B421" s="18" t="n">
        <v>45400</v>
      </c>
      <c r="C421" s="13" t="inlineStr">
        <is>
          <t>South</t>
        </is>
      </c>
      <c r="D421" s="13" t="inlineStr">
        <is>
          <t>Store</t>
        </is>
      </c>
      <c r="E421" s="13" t="inlineStr">
        <is>
          <t>Furniture</t>
        </is>
      </c>
      <c r="F421" s="13" t="inlineStr">
        <is>
          <t>Oak Desk</t>
        </is>
      </c>
      <c r="G421" s="13" t="inlineStr">
        <is>
          <t>Consumer</t>
        </is>
      </c>
      <c r="H421" s="13" t="n">
        <v>1</v>
      </c>
      <c r="I421" s="14" t="n">
        <v>878.16</v>
      </c>
      <c r="J421" s="15" t="n">
        <v>0.11</v>
      </c>
      <c r="K421" s="14" t="n">
        <v>544.46</v>
      </c>
      <c r="L421" s="13" t="n">
        <v>7</v>
      </c>
      <c r="M421" s="13" t="inlineStr">
        <is>
          <t>Completed</t>
        </is>
      </c>
      <c r="N421" s="13" t="inlineStr">
        <is>
          <t>M. Okonkwo</t>
        </is>
      </c>
      <c r="O421" s="13" t="inlineStr">
        <is>
          <t>No</t>
        </is>
      </c>
      <c r="P421" s="14">
        <f>H421*I421</f>
        <v/>
      </c>
      <c r="Q421" s="14">
        <f>P421*(1-J421)</f>
        <v/>
      </c>
      <c r="R421" s="14">
        <f>H421*K421</f>
        <v/>
      </c>
      <c r="S421" s="15">
        <f>IF(Q421=0,"",(Q421-R421)/Q421)</f>
        <v/>
      </c>
      <c r="T421" s="13">
        <f>YEAR(B421)</f>
        <v/>
      </c>
      <c r="U421" s="13">
        <f>YEAR(B421)&amp;"-Q"&amp;ROUNDUP(MONTH(B421)/3,0)</f>
        <v/>
      </c>
      <c r="V421" s="13">
        <f>TEXT(B421,"YYYY-MM")</f>
        <v/>
      </c>
      <c r="W421" s="13">
        <f>IF(L421="","",IF(L421&gt;pLateDays,1,0))</f>
        <v/>
      </c>
      <c r="X421" s="13">
        <f>IF(Q421&gt;=pHighCutoff,1,0)</f>
        <v/>
      </c>
      <c r="Y421" s="13">
        <f>IF(M421="Returned",1,0)</f>
        <v/>
      </c>
    </row>
    <row r="422">
      <c r="A422" s="13" t="inlineStr">
        <is>
          <t>HC-100420</t>
        </is>
      </c>
      <c r="B422" s="18" t="n">
        <v>45656</v>
      </c>
      <c r="C422" s="13" t="inlineStr">
        <is>
          <t>West</t>
        </is>
      </c>
      <c r="D422" s="13" t="inlineStr">
        <is>
          <t>Online</t>
        </is>
      </c>
      <c r="E422" s="13" t="inlineStr">
        <is>
          <t>Lighting</t>
        </is>
      </c>
      <c r="F422" s="13" t="inlineStr">
        <is>
          <t>Arc Lamp</t>
        </is>
      </c>
      <c r="G422" s="13" t="inlineStr">
        <is>
          <t>Corporate</t>
        </is>
      </c>
      <c r="H422" s="13" t="n">
        <v>3</v>
      </c>
      <c r="I422" s="14" t="n">
        <v>302.29</v>
      </c>
      <c r="J422" s="15" t="n">
        <v>0.02</v>
      </c>
      <c r="K422" s="14" t="n">
        <v>145.1</v>
      </c>
      <c r="L422" s="13" t="n">
        <v>4</v>
      </c>
      <c r="M422" s="13" t="inlineStr">
        <is>
          <t>Completed</t>
        </is>
      </c>
      <c r="N422" s="13" t="inlineStr">
        <is>
          <t>P. Rossi</t>
        </is>
      </c>
      <c r="O422" s="13" t="inlineStr">
        <is>
          <t>No</t>
        </is>
      </c>
      <c r="P422" s="14">
        <f>H422*I422</f>
        <v/>
      </c>
      <c r="Q422" s="14">
        <f>P422*(1-J422)</f>
        <v/>
      </c>
      <c r="R422" s="14">
        <f>H422*K422</f>
        <v/>
      </c>
      <c r="S422" s="15">
        <f>IF(Q422=0,"",(Q422-R422)/Q422)</f>
        <v/>
      </c>
      <c r="T422" s="13">
        <f>YEAR(B422)</f>
        <v/>
      </c>
      <c r="U422" s="13">
        <f>YEAR(B422)&amp;"-Q"&amp;ROUNDUP(MONTH(B422)/3,0)</f>
        <v/>
      </c>
      <c r="V422" s="13">
        <f>TEXT(B422,"YYYY-MM")</f>
        <v/>
      </c>
      <c r="W422" s="13">
        <f>IF(L422="","",IF(L422&gt;pLateDays,1,0))</f>
        <v/>
      </c>
      <c r="X422" s="13">
        <f>IF(Q422&gt;=pHighCutoff,1,0)</f>
        <v/>
      </c>
      <c r="Y422" s="13">
        <f>IF(M422="Returned",1,0)</f>
        <v/>
      </c>
    </row>
    <row r="423">
      <c r="A423" s="13" t="inlineStr">
        <is>
          <t>HC-100421</t>
        </is>
      </c>
      <c r="B423" s="18" t="n">
        <v>45310</v>
      </c>
      <c r="C423" s="13" t="inlineStr">
        <is>
          <t>West</t>
        </is>
      </c>
      <c r="D423" s="13" t="inlineStr">
        <is>
          <t>Store</t>
        </is>
      </c>
      <c r="E423" s="13" t="inlineStr">
        <is>
          <t>Furniture</t>
        </is>
      </c>
      <c r="F423" s="13" t="inlineStr">
        <is>
          <t>Linen Sofa</t>
        </is>
      </c>
      <c r="G423" s="13" t="inlineStr">
        <is>
          <t>Corporate</t>
        </is>
      </c>
      <c r="H423" s="13" t="n">
        <v>2</v>
      </c>
      <c r="I423" s="14" t="n">
        <v>1307.19</v>
      </c>
      <c r="J423" s="15" t="n">
        <v>0.09</v>
      </c>
      <c r="K423" s="14" t="n">
        <v>862.74</v>
      </c>
      <c r="L423" s="13" t="n">
        <v>7</v>
      </c>
      <c r="M423" s="13" t="inlineStr">
        <is>
          <t>Completed</t>
        </is>
      </c>
      <c r="N423" s="13" t="inlineStr">
        <is>
          <t>A. Shah</t>
        </is>
      </c>
      <c r="O423" s="13" t="inlineStr">
        <is>
          <t>No</t>
        </is>
      </c>
      <c r="P423" s="14">
        <f>H423*I423</f>
        <v/>
      </c>
      <c r="Q423" s="14">
        <f>P423*(1-J423)</f>
        <v/>
      </c>
      <c r="R423" s="14">
        <f>H423*K423</f>
        <v/>
      </c>
      <c r="S423" s="15">
        <f>IF(Q423=0,"",(Q423-R423)/Q423)</f>
        <v/>
      </c>
      <c r="T423" s="13">
        <f>YEAR(B423)</f>
        <v/>
      </c>
      <c r="U423" s="13">
        <f>YEAR(B423)&amp;"-Q"&amp;ROUNDUP(MONTH(B423)/3,0)</f>
        <v/>
      </c>
      <c r="V423" s="13">
        <f>TEXT(B423,"YYYY-MM")</f>
        <v/>
      </c>
      <c r="W423" s="13">
        <f>IF(L423="","",IF(L423&gt;pLateDays,1,0))</f>
        <v/>
      </c>
      <c r="X423" s="13">
        <f>IF(Q423&gt;=pHighCutoff,1,0)</f>
        <v/>
      </c>
      <c r="Y423" s="13">
        <f>IF(M423="Returned",1,0)</f>
        <v/>
      </c>
    </row>
    <row r="424">
      <c r="A424" s="13" t="inlineStr">
        <is>
          <t>HC-100422</t>
        </is>
      </c>
      <c r="B424" s="18" t="n">
        <v>45667</v>
      </c>
      <c r="C424" s="13" t="inlineStr">
        <is>
          <t>North</t>
        </is>
      </c>
      <c r="D424" s="13" t="inlineStr">
        <is>
          <t>Store</t>
        </is>
      </c>
      <c r="E424" s="13" t="inlineStr">
        <is>
          <t>Textiles</t>
        </is>
      </c>
      <c r="F424" s="13" t="inlineStr">
        <is>
          <t>Cotton Duvet</t>
        </is>
      </c>
      <c r="G424" s="13" t="inlineStr">
        <is>
          <t>Home Office</t>
        </is>
      </c>
      <c r="H424" s="13" t="n">
        <v>3</v>
      </c>
      <c r="I424" s="14" t="n">
        <v>113.61</v>
      </c>
      <c r="J424" s="15" t="n">
        <v>0.04</v>
      </c>
      <c r="K424" s="14" t="n">
        <v>49.99</v>
      </c>
      <c r="L424" s="13" t="n">
        <v>8</v>
      </c>
      <c r="M424" s="13" t="inlineStr">
        <is>
          <t>Completed</t>
        </is>
      </c>
      <c r="N424" s="13" t="inlineStr">
        <is>
          <t>K. Mensah</t>
        </is>
      </c>
      <c r="O424" s="13" t="inlineStr">
        <is>
          <t>No</t>
        </is>
      </c>
      <c r="P424" s="14">
        <f>H424*I424</f>
        <v/>
      </c>
      <c r="Q424" s="14">
        <f>P424*(1-J424)</f>
        <v/>
      </c>
      <c r="R424" s="14">
        <f>H424*K424</f>
        <v/>
      </c>
      <c r="S424" s="15">
        <f>IF(Q424=0,"",(Q424-R424)/Q424)</f>
        <v/>
      </c>
      <c r="T424" s="13">
        <f>YEAR(B424)</f>
        <v/>
      </c>
      <c r="U424" s="13">
        <f>YEAR(B424)&amp;"-Q"&amp;ROUNDUP(MONTH(B424)/3,0)</f>
        <v/>
      </c>
      <c r="V424" s="13">
        <f>TEXT(B424,"YYYY-MM")</f>
        <v/>
      </c>
      <c r="W424" s="13">
        <f>IF(L424="","",IF(L424&gt;pLateDays,1,0))</f>
        <v/>
      </c>
      <c r="X424" s="13">
        <f>IF(Q424&gt;=pHighCutoff,1,0)</f>
        <v/>
      </c>
      <c r="Y424" s="13">
        <f>IF(M424="Returned",1,0)</f>
        <v/>
      </c>
    </row>
    <row r="425">
      <c r="A425" s="13" t="inlineStr">
        <is>
          <t>HC-100423</t>
        </is>
      </c>
      <c r="B425" s="18" t="n">
        <v>45643</v>
      </c>
      <c r="C425" s="13" t="inlineStr">
        <is>
          <t>East</t>
        </is>
      </c>
      <c r="D425" s="13" t="inlineStr">
        <is>
          <t>Online</t>
        </is>
      </c>
      <c r="E425" s="13" t="inlineStr">
        <is>
          <t>Kitchen</t>
        </is>
      </c>
      <c r="F425" s="13" t="inlineStr">
        <is>
          <t>Chef Knife</t>
        </is>
      </c>
      <c r="G425" s="13" t="inlineStr">
        <is>
          <t>Consumer</t>
        </is>
      </c>
      <c r="H425" s="13" t="n">
        <v>3</v>
      </c>
      <c r="I425" s="14" t="n">
        <v>55.58</v>
      </c>
      <c r="J425" s="15" t="n">
        <v>0.14</v>
      </c>
      <c r="K425" s="14" t="n">
        <v>20.01</v>
      </c>
      <c r="L425" s="13" t="n">
        <v>9</v>
      </c>
      <c r="M425" s="13" t="inlineStr">
        <is>
          <t>Cancelled</t>
        </is>
      </c>
      <c r="N425" s="13" t="inlineStr">
        <is>
          <t>M. Okonkwo</t>
        </is>
      </c>
      <c r="O425" s="13" t="inlineStr">
        <is>
          <t>No</t>
        </is>
      </c>
      <c r="P425" s="14">
        <f>H425*I425</f>
        <v/>
      </c>
      <c r="Q425" s="14">
        <f>P425*(1-J425)</f>
        <v/>
      </c>
      <c r="R425" s="14">
        <f>H425*K425</f>
        <v/>
      </c>
      <c r="S425" s="15">
        <f>IF(Q425=0,"",(Q425-R425)/Q425)</f>
        <v/>
      </c>
      <c r="T425" s="13">
        <f>YEAR(B425)</f>
        <v/>
      </c>
      <c r="U425" s="13">
        <f>YEAR(B425)&amp;"-Q"&amp;ROUNDUP(MONTH(B425)/3,0)</f>
        <v/>
      </c>
      <c r="V425" s="13">
        <f>TEXT(B425,"YYYY-MM")</f>
        <v/>
      </c>
      <c r="W425" s="13">
        <f>IF(L425="","",IF(L425&gt;pLateDays,1,0))</f>
        <v/>
      </c>
      <c r="X425" s="13">
        <f>IF(Q425&gt;=pHighCutoff,1,0)</f>
        <v/>
      </c>
      <c r="Y425" s="13">
        <f>IF(M425="Returned",1,0)</f>
        <v/>
      </c>
    </row>
    <row r="426">
      <c r="A426" s="13" t="inlineStr">
        <is>
          <t>HC-100424</t>
        </is>
      </c>
      <c r="B426" s="18" t="n">
        <v>45607</v>
      </c>
      <c r="C426" s="13" t="inlineStr">
        <is>
          <t>North</t>
        </is>
      </c>
      <c r="D426" s="13" t="inlineStr">
        <is>
          <t>Store</t>
        </is>
      </c>
      <c r="E426" s="13" t="inlineStr">
        <is>
          <t>Textiles</t>
        </is>
      </c>
      <c r="F426" s="13" t="inlineStr">
        <is>
          <t>Linen Curtain</t>
        </is>
      </c>
      <c r="G426" s="13" t="inlineStr">
        <is>
          <t>Corporate</t>
        </is>
      </c>
      <c r="H426" s="13" t="n">
        <v>2</v>
      </c>
      <c r="I426" s="14" t="n">
        <v>97.98</v>
      </c>
      <c r="J426" s="15" t="n">
        <v>0.07000000000000001</v>
      </c>
      <c r="K426" s="14" t="n">
        <v>44.09</v>
      </c>
      <c r="L426" s="13" t="n">
        <v>7</v>
      </c>
      <c r="M426" s="13" t="inlineStr">
        <is>
          <t>Completed</t>
        </is>
      </c>
      <c r="N426" s="13" t="inlineStr">
        <is>
          <t>A. Shah</t>
        </is>
      </c>
      <c r="O426" s="13" t="inlineStr">
        <is>
          <t>No</t>
        </is>
      </c>
      <c r="P426" s="14">
        <f>H426*I426</f>
        <v/>
      </c>
      <c r="Q426" s="14">
        <f>P426*(1-J426)</f>
        <v/>
      </c>
      <c r="R426" s="14">
        <f>H426*K426</f>
        <v/>
      </c>
      <c r="S426" s="15">
        <f>IF(Q426=0,"",(Q426-R426)/Q426)</f>
        <v/>
      </c>
      <c r="T426" s="13">
        <f>YEAR(B426)</f>
        <v/>
      </c>
      <c r="U426" s="13">
        <f>YEAR(B426)&amp;"-Q"&amp;ROUNDUP(MONTH(B426)/3,0)</f>
        <v/>
      </c>
      <c r="V426" s="13">
        <f>TEXT(B426,"YYYY-MM")</f>
        <v/>
      </c>
      <c r="W426" s="13">
        <f>IF(L426="","",IF(L426&gt;pLateDays,1,0))</f>
        <v/>
      </c>
      <c r="X426" s="13">
        <f>IF(Q426&gt;=pHighCutoff,1,0)</f>
        <v/>
      </c>
      <c r="Y426" s="13">
        <f>IF(M426="Returned",1,0)</f>
        <v/>
      </c>
    </row>
    <row r="427">
      <c r="A427" s="13" t="inlineStr">
        <is>
          <t>HC-100425</t>
        </is>
      </c>
      <c r="B427" s="18" t="n">
        <v>45621</v>
      </c>
      <c r="C427" s="13" t="inlineStr">
        <is>
          <t>South</t>
        </is>
      </c>
      <c r="D427" s="13" t="inlineStr">
        <is>
          <t>Online</t>
        </is>
      </c>
      <c r="E427" s="13" t="inlineStr">
        <is>
          <t>Kitchen</t>
        </is>
      </c>
      <c r="F427" s="13" t="inlineStr">
        <is>
          <t>Cast Skillet</t>
        </is>
      </c>
      <c r="G427" s="13" t="inlineStr">
        <is>
          <t>Home Office</t>
        </is>
      </c>
      <c r="H427" s="13" t="n">
        <v>4</v>
      </c>
      <c r="I427" s="14" t="n">
        <v>52.59</v>
      </c>
      <c r="J427" s="15" t="n">
        <v>0.03</v>
      </c>
      <c r="K427" s="14" t="n">
        <v>21.03</v>
      </c>
      <c r="L427" s="13" t="n">
        <v>5</v>
      </c>
      <c r="M427" s="13" t="inlineStr">
        <is>
          <t>Completed</t>
        </is>
      </c>
      <c r="N427" s="13" t="inlineStr">
        <is>
          <t>A. Shah</t>
        </is>
      </c>
      <c r="O427" s="13" t="inlineStr">
        <is>
          <t>No</t>
        </is>
      </c>
      <c r="P427" s="14">
        <f>H427*I427</f>
        <v/>
      </c>
      <c r="Q427" s="14">
        <f>P427*(1-J427)</f>
        <v/>
      </c>
      <c r="R427" s="14">
        <f>H427*K427</f>
        <v/>
      </c>
      <c r="S427" s="15">
        <f>IF(Q427=0,"",(Q427-R427)/Q427)</f>
        <v/>
      </c>
      <c r="T427" s="13">
        <f>YEAR(B427)</f>
        <v/>
      </c>
      <c r="U427" s="13">
        <f>YEAR(B427)&amp;"-Q"&amp;ROUNDUP(MONTH(B427)/3,0)</f>
        <v/>
      </c>
      <c r="V427" s="13">
        <f>TEXT(B427,"YYYY-MM")</f>
        <v/>
      </c>
      <c r="W427" s="13">
        <f>IF(L427="","",IF(L427&gt;pLateDays,1,0))</f>
        <v/>
      </c>
      <c r="X427" s="13">
        <f>IF(Q427&gt;=pHighCutoff,1,0)</f>
        <v/>
      </c>
      <c r="Y427" s="13">
        <f>IF(M427="Returned",1,0)</f>
        <v/>
      </c>
    </row>
    <row r="428">
      <c r="A428" s="13" t="inlineStr">
        <is>
          <t>HC-100426</t>
        </is>
      </c>
      <c r="B428" s="18" t="n">
        <v>45505</v>
      </c>
      <c r="C428" s="13" t="inlineStr">
        <is>
          <t>North</t>
        </is>
      </c>
      <c r="D428" s="13" t="inlineStr">
        <is>
          <t>Store</t>
        </is>
      </c>
      <c r="E428" s="13" t="inlineStr">
        <is>
          <t>Kitchen</t>
        </is>
      </c>
      <c r="F428" s="13" t="inlineStr">
        <is>
          <t>Ceramic Set</t>
        </is>
      </c>
      <c r="G428" s="13" t="inlineStr">
        <is>
          <t>Unknown</t>
        </is>
      </c>
      <c r="H428" s="13" t="n">
        <v>3</v>
      </c>
      <c r="I428" s="14" t="n">
        <v>87.12</v>
      </c>
      <c r="J428" s="15" t="n">
        <v>0.01</v>
      </c>
      <c r="K428" s="14" t="n">
        <v>33.1</v>
      </c>
      <c r="L428" s="13" t="n">
        <v>7</v>
      </c>
      <c r="M428" s="13" t="inlineStr">
        <is>
          <t>Completed</t>
        </is>
      </c>
      <c r="N428" s="13" t="inlineStr">
        <is>
          <t>R. Ibarra</t>
        </is>
      </c>
      <c r="O428" s="13" t="inlineStr">
        <is>
          <t>No</t>
        </is>
      </c>
      <c r="P428" s="14">
        <f>H428*I428</f>
        <v/>
      </c>
      <c r="Q428" s="14">
        <f>P428*(1-J428)</f>
        <v/>
      </c>
      <c r="R428" s="14">
        <f>H428*K428</f>
        <v/>
      </c>
      <c r="S428" s="15">
        <f>IF(Q428=0,"",(Q428-R428)/Q428)</f>
        <v/>
      </c>
      <c r="T428" s="13">
        <f>YEAR(B428)</f>
        <v/>
      </c>
      <c r="U428" s="13">
        <f>YEAR(B428)&amp;"-Q"&amp;ROUNDUP(MONTH(B428)/3,0)</f>
        <v/>
      </c>
      <c r="V428" s="13">
        <f>TEXT(B428,"YYYY-MM")</f>
        <v/>
      </c>
      <c r="W428" s="13">
        <f>IF(L428="","",IF(L428&gt;pLateDays,1,0))</f>
        <v/>
      </c>
      <c r="X428" s="13">
        <f>IF(Q428&gt;=pHighCutoff,1,0)</f>
        <v/>
      </c>
      <c r="Y428" s="13">
        <f>IF(M428="Returned",1,0)</f>
        <v/>
      </c>
    </row>
    <row r="429">
      <c r="A429" s="13" t="inlineStr">
        <is>
          <t>HC-100427</t>
        </is>
      </c>
      <c r="B429" s="18" t="n">
        <v>45424</v>
      </c>
      <c r="C429" s="13" t="inlineStr">
        <is>
          <t>South</t>
        </is>
      </c>
      <c r="D429" s="13" t="inlineStr">
        <is>
          <t>Online</t>
        </is>
      </c>
      <c r="E429" s="13" t="inlineStr">
        <is>
          <t>Textiles</t>
        </is>
      </c>
      <c r="F429" s="13" t="inlineStr">
        <is>
          <t>Cotton Duvet</t>
        </is>
      </c>
      <c r="G429" s="13" t="inlineStr">
        <is>
          <t>Corporate</t>
        </is>
      </c>
      <c r="H429" s="13" t="n">
        <v>1</v>
      </c>
      <c r="I429" s="14" t="n">
        <v>116.58</v>
      </c>
      <c r="J429" s="15" t="n">
        <v>0.05</v>
      </c>
      <c r="K429" s="14" t="n">
        <v>51.29</v>
      </c>
      <c r="L429" s="13" t="n"/>
      <c r="M429" s="13" t="inlineStr">
        <is>
          <t>Completed</t>
        </is>
      </c>
      <c r="N429" s="13" t="inlineStr">
        <is>
          <t>L. Berger</t>
        </is>
      </c>
      <c r="O429" s="13" t="inlineStr">
        <is>
          <t>No</t>
        </is>
      </c>
      <c r="P429" s="14">
        <f>H429*I429</f>
        <v/>
      </c>
      <c r="Q429" s="14">
        <f>P429*(1-J429)</f>
        <v/>
      </c>
      <c r="R429" s="14">
        <f>H429*K429</f>
        <v/>
      </c>
      <c r="S429" s="15">
        <f>IF(Q429=0,"",(Q429-R429)/Q429)</f>
        <v/>
      </c>
      <c r="T429" s="13">
        <f>YEAR(B429)</f>
        <v/>
      </c>
      <c r="U429" s="13">
        <f>YEAR(B429)&amp;"-Q"&amp;ROUNDUP(MONTH(B429)/3,0)</f>
        <v/>
      </c>
      <c r="V429" s="13">
        <f>TEXT(B429,"YYYY-MM")</f>
        <v/>
      </c>
      <c r="W429" s="13">
        <f>IF(L429="","",IF(L429&gt;pLateDays,1,0))</f>
        <v/>
      </c>
      <c r="X429" s="13">
        <f>IF(Q429&gt;=pHighCutoff,1,0)</f>
        <v/>
      </c>
      <c r="Y429" s="13">
        <f>IF(M429="Returned",1,0)</f>
        <v/>
      </c>
    </row>
    <row r="430">
      <c r="A430" s="13" t="inlineStr">
        <is>
          <t>HC-100428</t>
        </is>
      </c>
      <c r="B430" s="18" t="n">
        <v>45492</v>
      </c>
      <c r="C430" s="13" t="inlineStr">
        <is>
          <t>South</t>
        </is>
      </c>
      <c r="D430" s="13" t="inlineStr">
        <is>
          <t>Store</t>
        </is>
      </c>
      <c r="E430" s="13" t="inlineStr">
        <is>
          <t>Textiles</t>
        </is>
      </c>
      <c r="F430" s="13" t="inlineStr">
        <is>
          <t>Linen Curtain</t>
        </is>
      </c>
      <c r="G430" s="13" t="inlineStr">
        <is>
          <t>Consumer</t>
        </is>
      </c>
      <c r="H430" s="13" t="n">
        <v>1</v>
      </c>
      <c r="I430" s="14" t="n">
        <v>90.78</v>
      </c>
      <c r="J430" s="15" t="n">
        <v>0.02</v>
      </c>
      <c r="K430" s="14" t="n">
        <v>40.85</v>
      </c>
      <c r="L430" s="13" t="n">
        <v>6</v>
      </c>
      <c r="M430" s="13" t="inlineStr">
        <is>
          <t>Completed</t>
        </is>
      </c>
      <c r="N430" s="13" t="inlineStr">
        <is>
          <t>S. Nguyen</t>
        </is>
      </c>
      <c r="O430" s="13" t="inlineStr">
        <is>
          <t>No</t>
        </is>
      </c>
      <c r="P430" s="14">
        <f>H430*I430</f>
        <v/>
      </c>
      <c r="Q430" s="14">
        <f>P430*(1-J430)</f>
        <v/>
      </c>
      <c r="R430" s="14">
        <f>H430*K430</f>
        <v/>
      </c>
      <c r="S430" s="15">
        <f>IF(Q430=0,"",(Q430-R430)/Q430)</f>
        <v/>
      </c>
      <c r="T430" s="13">
        <f>YEAR(B430)</f>
        <v/>
      </c>
      <c r="U430" s="13">
        <f>YEAR(B430)&amp;"-Q"&amp;ROUNDUP(MONTH(B430)/3,0)</f>
        <v/>
      </c>
      <c r="V430" s="13">
        <f>TEXT(B430,"YYYY-MM")</f>
        <v/>
      </c>
      <c r="W430" s="13">
        <f>IF(L430="","",IF(L430&gt;pLateDays,1,0))</f>
        <v/>
      </c>
      <c r="X430" s="13">
        <f>IF(Q430&gt;=pHighCutoff,1,0)</f>
        <v/>
      </c>
      <c r="Y430" s="13">
        <f>IF(M430="Returned",1,0)</f>
        <v/>
      </c>
    </row>
    <row r="431">
      <c r="A431" s="13" t="inlineStr">
        <is>
          <t>HC-100429</t>
        </is>
      </c>
      <c r="B431" s="18" t="n">
        <v>45606</v>
      </c>
      <c r="C431" s="13" t="inlineStr">
        <is>
          <t>South</t>
        </is>
      </c>
      <c r="D431" s="13" t="inlineStr">
        <is>
          <t>Wholesale</t>
        </is>
      </c>
      <c r="E431" s="13" t="inlineStr">
        <is>
          <t>Lighting</t>
        </is>
      </c>
      <c r="F431" s="13" t="inlineStr">
        <is>
          <t>Brass Sconce</t>
        </is>
      </c>
      <c r="G431" s="13" t="inlineStr">
        <is>
          <t>Consumer</t>
        </is>
      </c>
      <c r="H431" s="13" t="n">
        <v>32</v>
      </c>
      <c r="I431" s="14" t="n">
        <v>138.51</v>
      </c>
      <c r="J431" s="15" t="n">
        <v>0.21</v>
      </c>
      <c r="K431" s="14" t="n">
        <v>63.72</v>
      </c>
      <c r="L431" s="13" t="n">
        <v>6</v>
      </c>
      <c r="M431" s="13" t="inlineStr">
        <is>
          <t>Completed</t>
        </is>
      </c>
      <c r="N431" s="13" t="inlineStr">
        <is>
          <t>R. Ibarra</t>
        </is>
      </c>
      <c r="O431" s="13" t="inlineStr">
        <is>
          <t>No</t>
        </is>
      </c>
      <c r="P431" s="14">
        <f>H431*I431</f>
        <v/>
      </c>
      <c r="Q431" s="14">
        <f>P431*(1-J431)</f>
        <v/>
      </c>
      <c r="R431" s="14">
        <f>H431*K431</f>
        <v/>
      </c>
      <c r="S431" s="15">
        <f>IF(Q431=0,"",(Q431-R431)/Q431)</f>
        <v/>
      </c>
      <c r="T431" s="13">
        <f>YEAR(B431)</f>
        <v/>
      </c>
      <c r="U431" s="13">
        <f>YEAR(B431)&amp;"-Q"&amp;ROUNDUP(MONTH(B431)/3,0)</f>
        <v/>
      </c>
      <c r="V431" s="13">
        <f>TEXT(B431,"YYYY-MM")</f>
        <v/>
      </c>
      <c r="W431" s="13">
        <f>IF(L431="","",IF(L431&gt;pLateDays,1,0))</f>
        <v/>
      </c>
      <c r="X431" s="13">
        <f>IF(Q431&gt;=pHighCutoff,1,0)</f>
        <v/>
      </c>
      <c r="Y431" s="13">
        <f>IF(M431="Returned",1,0)</f>
        <v/>
      </c>
    </row>
    <row r="432">
      <c r="A432" s="13" t="inlineStr">
        <is>
          <t>HC-100430</t>
        </is>
      </c>
      <c r="B432" s="18" t="n">
        <v>45670</v>
      </c>
      <c r="C432" s="13" t="inlineStr">
        <is>
          <t>East</t>
        </is>
      </c>
      <c r="D432" s="13" t="inlineStr">
        <is>
          <t>Store</t>
        </is>
      </c>
      <c r="E432" s="13" t="inlineStr">
        <is>
          <t>Textiles</t>
        </is>
      </c>
      <c r="F432" s="13" t="inlineStr">
        <is>
          <t>Wool Throw</t>
        </is>
      </c>
      <c r="G432" s="13" t="inlineStr">
        <is>
          <t>Corporate</t>
        </is>
      </c>
      <c r="H432" s="13" t="n">
        <v>1</v>
      </c>
      <c r="I432" s="14" t="n">
        <v>62.38</v>
      </c>
      <c r="J432" s="15" t="n">
        <v>0.07000000000000001</v>
      </c>
      <c r="K432" s="14" t="n">
        <v>26.2</v>
      </c>
      <c r="L432" s="13" t="n">
        <v>10</v>
      </c>
      <c r="M432" s="13" t="inlineStr">
        <is>
          <t>Completed</t>
        </is>
      </c>
      <c r="N432" s="13" t="inlineStr">
        <is>
          <t>R. Ibarra</t>
        </is>
      </c>
      <c r="O432" s="13" t="inlineStr">
        <is>
          <t>No</t>
        </is>
      </c>
      <c r="P432" s="14">
        <f>H432*I432</f>
        <v/>
      </c>
      <c r="Q432" s="14">
        <f>P432*(1-J432)</f>
        <v/>
      </c>
      <c r="R432" s="14">
        <f>H432*K432</f>
        <v/>
      </c>
      <c r="S432" s="15">
        <f>IF(Q432=0,"",(Q432-R432)/Q432)</f>
        <v/>
      </c>
      <c r="T432" s="13">
        <f>YEAR(B432)</f>
        <v/>
      </c>
      <c r="U432" s="13">
        <f>YEAR(B432)&amp;"-Q"&amp;ROUNDUP(MONTH(B432)/3,0)</f>
        <v/>
      </c>
      <c r="V432" s="13">
        <f>TEXT(B432,"YYYY-MM")</f>
        <v/>
      </c>
      <c r="W432" s="13">
        <f>IF(L432="","",IF(L432&gt;pLateDays,1,0))</f>
        <v/>
      </c>
      <c r="X432" s="13">
        <f>IF(Q432&gt;=pHighCutoff,1,0)</f>
        <v/>
      </c>
      <c r="Y432" s="13">
        <f>IF(M432="Returned",1,0)</f>
        <v/>
      </c>
    </row>
    <row r="433">
      <c r="A433" s="13" t="inlineStr">
        <is>
          <t>HC-100431</t>
        </is>
      </c>
      <c r="B433" s="18" t="n">
        <v>45396</v>
      </c>
      <c r="C433" s="13" t="inlineStr">
        <is>
          <t>South</t>
        </is>
      </c>
      <c r="D433" s="13" t="inlineStr">
        <is>
          <t>Store</t>
        </is>
      </c>
      <c r="E433" s="13" t="inlineStr">
        <is>
          <t>Textiles</t>
        </is>
      </c>
      <c r="F433" s="13" t="inlineStr">
        <is>
          <t>Wool Throw</t>
        </is>
      </c>
      <c r="G433" s="13" t="inlineStr">
        <is>
          <t>Consumer</t>
        </is>
      </c>
      <c r="H433" s="13" t="n">
        <v>4</v>
      </c>
      <c r="I433" s="14" t="n">
        <v>79.97</v>
      </c>
      <c r="J433" s="15" t="n">
        <v>0.06</v>
      </c>
      <c r="K433" s="14" t="n">
        <v>33.59</v>
      </c>
      <c r="L433" s="13" t="n">
        <v>1</v>
      </c>
      <c r="M433" s="13" t="inlineStr">
        <is>
          <t>Completed</t>
        </is>
      </c>
      <c r="N433" s="13" t="inlineStr">
        <is>
          <t>M. Okonkwo</t>
        </is>
      </c>
      <c r="O433" s="13" t="inlineStr">
        <is>
          <t>No</t>
        </is>
      </c>
      <c r="P433" s="14">
        <f>H433*I433</f>
        <v/>
      </c>
      <c r="Q433" s="14">
        <f>P433*(1-J433)</f>
        <v/>
      </c>
      <c r="R433" s="14">
        <f>H433*K433</f>
        <v/>
      </c>
      <c r="S433" s="15">
        <f>IF(Q433=0,"",(Q433-R433)/Q433)</f>
        <v/>
      </c>
      <c r="T433" s="13">
        <f>YEAR(B433)</f>
        <v/>
      </c>
      <c r="U433" s="13">
        <f>YEAR(B433)&amp;"-Q"&amp;ROUNDUP(MONTH(B433)/3,0)</f>
        <v/>
      </c>
      <c r="V433" s="13">
        <f>TEXT(B433,"YYYY-MM")</f>
        <v/>
      </c>
      <c r="W433" s="13">
        <f>IF(L433="","",IF(L433&gt;pLateDays,1,0))</f>
        <v/>
      </c>
      <c r="X433" s="13">
        <f>IF(Q433&gt;=pHighCutoff,1,0)</f>
        <v/>
      </c>
      <c r="Y433" s="13">
        <f>IF(M433="Returned",1,0)</f>
        <v/>
      </c>
    </row>
    <row r="434">
      <c r="A434" s="13" t="inlineStr">
        <is>
          <t>HC-100432</t>
        </is>
      </c>
      <c r="B434" s="18" t="n">
        <v>45425</v>
      </c>
      <c r="C434" s="13" t="inlineStr">
        <is>
          <t>East</t>
        </is>
      </c>
      <c r="D434" s="13" t="inlineStr">
        <is>
          <t>Store</t>
        </is>
      </c>
      <c r="E434" s="13" t="inlineStr">
        <is>
          <t>Furniture</t>
        </is>
      </c>
      <c r="F434" s="13" t="inlineStr">
        <is>
          <t>Linen Sofa</t>
        </is>
      </c>
      <c r="G434" s="13" t="inlineStr">
        <is>
          <t>Consumer</t>
        </is>
      </c>
      <c r="H434" s="13" t="n">
        <v>4</v>
      </c>
      <c r="I434" s="14" t="n">
        <v>1122.77</v>
      </c>
      <c r="J434" s="15" t="n">
        <v>0.12</v>
      </c>
      <c r="K434" s="14" t="n">
        <v>741.03</v>
      </c>
      <c r="L434" s="13" t="n">
        <v>8</v>
      </c>
      <c r="M434" s="13" t="inlineStr">
        <is>
          <t>Completed</t>
        </is>
      </c>
      <c r="N434" s="13" t="inlineStr">
        <is>
          <t>R. Ibarra</t>
        </is>
      </c>
      <c r="O434" s="13" t="inlineStr">
        <is>
          <t>No</t>
        </is>
      </c>
      <c r="P434" s="14">
        <f>H434*I434</f>
        <v/>
      </c>
      <c r="Q434" s="14">
        <f>P434*(1-J434)</f>
        <v/>
      </c>
      <c r="R434" s="14">
        <f>H434*K434</f>
        <v/>
      </c>
      <c r="S434" s="15">
        <f>IF(Q434=0,"",(Q434-R434)/Q434)</f>
        <v/>
      </c>
      <c r="T434" s="13">
        <f>YEAR(B434)</f>
        <v/>
      </c>
      <c r="U434" s="13">
        <f>YEAR(B434)&amp;"-Q"&amp;ROUNDUP(MONTH(B434)/3,0)</f>
        <v/>
      </c>
      <c r="V434" s="13">
        <f>TEXT(B434,"YYYY-MM")</f>
        <v/>
      </c>
      <c r="W434" s="13">
        <f>IF(L434="","",IF(L434&gt;pLateDays,1,0))</f>
        <v/>
      </c>
      <c r="X434" s="13">
        <f>IF(Q434&gt;=pHighCutoff,1,0)</f>
        <v/>
      </c>
      <c r="Y434" s="13">
        <f>IF(M434="Returned",1,0)</f>
        <v/>
      </c>
    </row>
    <row r="435">
      <c r="A435" s="13" t="inlineStr">
        <is>
          <t>HC-100433</t>
        </is>
      </c>
      <c r="B435" s="18" t="n">
        <v>45503</v>
      </c>
      <c r="C435" s="13" t="inlineStr">
        <is>
          <t>North</t>
        </is>
      </c>
      <c r="D435" s="13" t="inlineStr">
        <is>
          <t>Online</t>
        </is>
      </c>
      <c r="E435" s="13" t="inlineStr">
        <is>
          <t>Furniture</t>
        </is>
      </c>
      <c r="F435" s="13" t="inlineStr">
        <is>
          <t>Walnut Shelf</t>
        </is>
      </c>
      <c r="G435" s="13" t="inlineStr">
        <is>
          <t>Home Office</t>
        </is>
      </c>
      <c r="H435" s="13" t="n">
        <v>2</v>
      </c>
      <c r="I435" s="14" t="n">
        <v>212.74</v>
      </c>
      <c r="J435" s="15" t="n">
        <v>0.06</v>
      </c>
      <c r="K435" s="14" t="n">
        <v>117</v>
      </c>
      <c r="L435" s="13" t="n">
        <v>4</v>
      </c>
      <c r="M435" s="13" t="inlineStr">
        <is>
          <t>Completed</t>
        </is>
      </c>
      <c r="N435" s="13" t="inlineStr">
        <is>
          <t>S. Nguyen</t>
        </is>
      </c>
      <c r="O435" s="13" t="inlineStr">
        <is>
          <t>No</t>
        </is>
      </c>
      <c r="P435" s="14">
        <f>H435*I435</f>
        <v/>
      </c>
      <c r="Q435" s="14">
        <f>P435*(1-J435)</f>
        <v/>
      </c>
      <c r="R435" s="14">
        <f>H435*K435</f>
        <v/>
      </c>
      <c r="S435" s="15">
        <f>IF(Q435=0,"",(Q435-R435)/Q435)</f>
        <v/>
      </c>
      <c r="T435" s="13">
        <f>YEAR(B435)</f>
        <v/>
      </c>
      <c r="U435" s="13">
        <f>YEAR(B435)&amp;"-Q"&amp;ROUNDUP(MONTH(B435)/3,0)</f>
        <v/>
      </c>
      <c r="V435" s="13">
        <f>TEXT(B435,"YYYY-MM")</f>
        <v/>
      </c>
      <c r="W435" s="13">
        <f>IF(L435="","",IF(L435&gt;pLateDays,1,0))</f>
        <v/>
      </c>
      <c r="X435" s="13">
        <f>IF(Q435&gt;=pHighCutoff,1,0)</f>
        <v/>
      </c>
      <c r="Y435" s="13">
        <f>IF(M435="Returned",1,0)</f>
        <v/>
      </c>
    </row>
    <row r="436">
      <c r="A436" s="13" t="inlineStr">
        <is>
          <t>HC-100434</t>
        </is>
      </c>
      <c r="B436" s="18" t="n">
        <v>45378</v>
      </c>
      <c r="C436" s="13" t="inlineStr">
        <is>
          <t>North</t>
        </is>
      </c>
      <c r="D436" s="13" t="inlineStr">
        <is>
          <t>Online</t>
        </is>
      </c>
      <c r="E436" s="13" t="inlineStr">
        <is>
          <t>Kitchen</t>
        </is>
      </c>
      <c r="F436" s="13" t="inlineStr">
        <is>
          <t>Cast Skillet</t>
        </is>
      </c>
      <c r="G436" s="13" t="inlineStr">
        <is>
          <t>Consumer</t>
        </is>
      </c>
      <c r="H436" s="13" t="n">
        <v>3</v>
      </c>
      <c r="I436" s="14" t="n">
        <v>51.08</v>
      </c>
      <c r="J436" s="15" t="n">
        <v>0.15</v>
      </c>
      <c r="K436" s="14" t="n">
        <v>20.43</v>
      </c>
      <c r="L436" s="13" t="n">
        <v>2</v>
      </c>
      <c r="M436" s="13" t="inlineStr">
        <is>
          <t>Cancelled</t>
        </is>
      </c>
      <c r="N436" s="13" t="inlineStr">
        <is>
          <t>A. Shah</t>
        </is>
      </c>
      <c r="O436" s="13" t="inlineStr">
        <is>
          <t>No</t>
        </is>
      </c>
      <c r="P436" s="14">
        <f>H436*I436</f>
        <v/>
      </c>
      <c r="Q436" s="14">
        <f>P436*(1-J436)</f>
        <v/>
      </c>
      <c r="R436" s="14">
        <f>H436*K436</f>
        <v/>
      </c>
      <c r="S436" s="15">
        <f>IF(Q436=0,"",(Q436-R436)/Q436)</f>
        <v/>
      </c>
      <c r="T436" s="13">
        <f>YEAR(B436)</f>
        <v/>
      </c>
      <c r="U436" s="13">
        <f>YEAR(B436)&amp;"-Q"&amp;ROUNDUP(MONTH(B436)/3,0)</f>
        <v/>
      </c>
      <c r="V436" s="13">
        <f>TEXT(B436,"YYYY-MM")</f>
        <v/>
      </c>
      <c r="W436" s="13">
        <f>IF(L436="","",IF(L436&gt;pLateDays,1,0))</f>
        <v/>
      </c>
      <c r="X436" s="13">
        <f>IF(Q436&gt;=pHighCutoff,1,0)</f>
        <v/>
      </c>
      <c r="Y436" s="13">
        <f>IF(M436="Returned",1,0)</f>
        <v/>
      </c>
    </row>
    <row r="437">
      <c r="A437" s="13" t="inlineStr">
        <is>
          <t>HC-100435</t>
        </is>
      </c>
      <c r="B437" s="18" t="n">
        <v>45390</v>
      </c>
      <c r="C437" s="13" t="inlineStr">
        <is>
          <t>South</t>
        </is>
      </c>
      <c r="D437" s="13" t="inlineStr">
        <is>
          <t>Online</t>
        </is>
      </c>
      <c r="E437" s="13" t="inlineStr">
        <is>
          <t>Textiles</t>
        </is>
      </c>
      <c r="F437" s="13" t="inlineStr">
        <is>
          <t>Wool Throw</t>
        </is>
      </c>
      <c r="G437" s="13" t="inlineStr">
        <is>
          <t>Consumer</t>
        </is>
      </c>
      <c r="H437" s="13" t="n">
        <v>2</v>
      </c>
      <c r="I437" s="14" t="n">
        <v>74.92</v>
      </c>
      <c r="J437" s="15" t="n">
        <v>0.07000000000000001</v>
      </c>
      <c r="K437" s="14" t="n">
        <v>31.47</v>
      </c>
      <c r="L437" s="13" t="n">
        <v>6</v>
      </c>
      <c r="M437" s="13" t="inlineStr">
        <is>
          <t>Completed</t>
        </is>
      </c>
      <c r="N437" s="13" t="inlineStr">
        <is>
          <t>J. Patel</t>
        </is>
      </c>
      <c r="O437" s="13" t="inlineStr">
        <is>
          <t>No</t>
        </is>
      </c>
      <c r="P437" s="14">
        <f>H437*I437</f>
        <v/>
      </c>
      <c r="Q437" s="14">
        <f>P437*(1-J437)</f>
        <v/>
      </c>
      <c r="R437" s="14">
        <f>H437*K437</f>
        <v/>
      </c>
      <c r="S437" s="15">
        <f>IF(Q437=0,"",(Q437-R437)/Q437)</f>
        <v/>
      </c>
      <c r="T437" s="13">
        <f>YEAR(B437)</f>
        <v/>
      </c>
      <c r="U437" s="13">
        <f>YEAR(B437)&amp;"-Q"&amp;ROUNDUP(MONTH(B437)/3,0)</f>
        <v/>
      </c>
      <c r="V437" s="13">
        <f>TEXT(B437,"YYYY-MM")</f>
        <v/>
      </c>
      <c r="W437" s="13">
        <f>IF(L437="","",IF(L437&gt;pLateDays,1,0))</f>
        <v/>
      </c>
      <c r="X437" s="13">
        <f>IF(Q437&gt;=pHighCutoff,1,0)</f>
        <v/>
      </c>
      <c r="Y437" s="13">
        <f>IF(M437="Returned",1,0)</f>
        <v/>
      </c>
    </row>
    <row r="438">
      <c r="A438" s="13" t="inlineStr">
        <is>
          <t>HC-100436</t>
        </is>
      </c>
      <c r="B438" s="18" t="n">
        <v>45454</v>
      </c>
      <c r="C438" s="13" t="inlineStr">
        <is>
          <t>West</t>
        </is>
      </c>
      <c r="D438" s="13" t="inlineStr">
        <is>
          <t>Store</t>
        </is>
      </c>
      <c r="E438" s="13" t="inlineStr">
        <is>
          <t>Lighting</t>
        </is>
      </c>
      <c r="F438" s="13" t="inlineStr">
        <is>
          <t>Pendant Light</t>
        </is>
      </c>
      <c r="G438" s="13" t="inlineStr">
        <is>
          <t>Corporate</t>
        </is>
      </c>
      <c r="H438" s="13" t="n">
        <v>2</v>
      </c>
      <c r="I438" s="14" t="n">
        <v>185.92</v>
      </c>
      <c r="J438" s="15" t="n">
        <v>0.01</v>
      </c>
      <c r="K438" s="14" t="n">
        <v>92.95999999999999</v>
      </c>
      <c r="L438" s="13" t="n">
        <v>5</v>
      </c>
      <c r="M438" s="13" t="inlineStr">
        <is>
          <t>Completed</t>
        </is>
      </c>
      <c r="N438" s="13" t="inlineStr">
        <is>
          <t>J. Patel</t>
        </is>
      </c>
      <c r="O438" s="13" t="inlineStr">
        <is>
          <t>No</t>
        </is>
      </c>
      <c r="P438" s="14">
        <f>H438*I438</f>
        <v/>
      </c>
      <c r="Q438" s="14">
        <f>P438*(1-J438)</f>
        <v/>
      </c>
      <c r="R438" s="14">
        <f>H438*K438</f>
        <v/>
      </c>
      <c r="S438" s="15">
        <f>IF(Q438=0,"",(Q438-R438)/Q438)</f>
        <v/>
      </c>
      <c r="T438" s="13">
        <f>YEAR(B438)</f>
        <v/>
      </c>
      <c r="U438" s="13">
        <f>YEAR(B438)&amp;"-Q"&amp;ROUNDUP(MONTH(B438)/3,0)</f>
        <v/>
      </c>
      <c r="V438" s="13">
        <f>TEXT(B438,"YYYY-MM")</f>
        <v/>
      </c>
      <c r="W438" s="13">
        <f>IF(L438="","",IF(L438&gt;pLateDays,1,0))</f>
        <v/>
      </c>
      <c r="X438" s="13">
        <f>IF(Q438&gt;=pHighCutoff,1,0)</f>
        <v/>
      </c>
      <c r="Y438" s="13">
        <f>IF(M438="Returned",1,0)</f>
        <v/>
      </c>
    </row>
    <row r="439">
      <c r="A439" s="13" t="inlineStr">
        <is>
          <t>HC-100437</t>
        </is>
      </c>
      <c r="B439" s="18" t="n">
        <v>45814</v>
      </c>
      <c r="C439" s="13" t="inlineStr">
        <is>
          <t>South</t>
        </is>
      </c>
      <c r="D439" s="13" t="inlineStr">
        <is>
          <t>Wholesale</t>
        </is>
      </c>
      <c r="E439" s="13" t="inlineStr">
        <is>
          <t>Kitchen</t>
        </is>
      </c>
      <c r="F439" s="13" t="inlineStr">
        <is>
          <t>Ceramic Set</t>
        </is>
      </c>
      <c r="G439" s="13" t="inlineStr">
        <is>
          <t>Home Office</t>
        </is>
      </c>
      <c r="H439" s="13" t="n">
        <v>14</v>
      </c>
      <c r="I439" s="14" t="n">
        <v>81.56</v>
      </c>
      <c r="J439" s="15" t="n">
        <v>0.22</v>
      </c>
      <c r="K439" s="14" t="n">
        <v>30.99</v>
      </c>
      <c r="L439" s="13" t="n">
        <v>6</v>
      </c>
      <c r="M439" s="13" t="inlineStr">
        <is>
          <t>Completed</t>
        </is>
      </c>
      <c r="N439" s="13" t="inlineStr">
        <is>
          <t>J. Patel</t>
        </is>
      </c>
      <c r="O439" s="13" t="inlineStr">
        <is>
          <t>No</t>
        </is>
      </c>
      <c r="P439" s="14">
        <f>H439*I439</f>
        <v/>
      </c>
      <c r="Q439" s="14">
        <f>P439*(1-J439)</f>
        <v/>
      </c>
      <c r="R439" s="14">
        <f>H439*K439</f>
        <v/>
      </c>
      <c r="S439" s="15">
        <f>IF(Q439=0,"",(Q439-R439)/Q439)</f>
        <v/>
      </c>
      <c r="T439" s="13">
        <f>YEAR(B439)</f>
        <v/>
      </c>
      <c r="U439" s="13">
        <f>YEAR(B439)&amp;"-Q"&amp;ROUNDUP(MONTH(B439)/3,0)</f>
        <v/>
      </c>
      <c r="V439" s="13">
        <f>TEXT(B439,"YYYY-MM")</f>
        <v/>
      </c>
      <c r="W439" s="13">
        <f>IF(L439="","",IF(L439&gt;pLateDays,1,0))</f>
        <v/>
      </c>
      <c r="X439" s="13">
        <f>IF(Q439&gt;=pHighCutoff,1,0)</f>
        <v/>
      </c>
      <c r="Y439" s="13">
        <f>IF(M439="Returned",1,0)</f>
        <v/>
      </c>
    </row>
    <row r="440">
      <c r="A440" s="13" t="inlineStr">
        <is>
          <t>HC-100438</t>
        </is>
      </c>
      <c r="B440" s="18" t="n">
        <v>45882</v>
      </c>
      <c r="C440" s="13" t="inlineStr">
        <is>
          <t>East</t>
        </is>
      </c>
      <c r="D440" s="13" t="inlineStr">
        <is>
          <t>Store</t>
        </is>
      </c>
      <c r="E440" s="13" t="inlineStr">
        <is>
          <t>Textiles</t>
        </is>
      </c>
      <c r="F440" s="13" t="inlineStr">
        <is>
          <t>Linen Curtain</t>
        </is>
      </c>
      <c r="G440" s="13" t="inlineStr">
        <is>
          <t>Corporate</t>
        </is>
      </c>
      <c r="H440" s="13" t="n">
        <v>2</v>
      </c>
      <c r="I440" s="14" t="n">
        <v>86.45999999999999</v>
      </c>
      <c r="J440" s="15" t="n">
        <v>0.03</v>
      </c>
      <c r="K440" s="14" t="n">
        <v>38.91</v>
      </c>
      <c r="L440" s="13" t="n">
        <v>11</v>
      </c>
      <c r="M440" s="13" t="inlineStr">
        <is>
          <t>Completed</t>
        </is>
      </c>
      <c r="N440" s="13" t="inlineStr">
        <is>
          <t>S. Nguyen</t>
        </is>
      </c>
      <c r="O440" s="13" t="inlineStr">
        <is>
          <t>No</t>
        </is>
      </c>
      <c r="P440" s="14">
        <f>H440*I440</f>
        <v/>
      </c>
      <c r="Q440" s="14">
        <f>P440*(1-J440)</f>
        <v/>
      </c>
      <c r="R440" s="14">
        <f>H440*K440</f>
        <v/>
      </c>
      <c r="S440" s="15">
        <f>IF(Q440=0,"",(Q440-R440)/Q440)</f>
        <v/>
      </c>
      <c r="T440" s="13">
        <f>YEAR(B440)</f>
        <v/>
      </c>
      <c r="U440" s="13">
        <f>YEAR(B440)&amp;"-Q"&amp;ROUNDUP(MONTH(B440)/3,0)</f>
        <v/>
      </c>
      <c r="V440" s="13">
        <f>TEXT(B440,"YYYY-MM")</f>
        <v/>
      </c>
      <c r="W440" s="13">
        <f>IF(L440="","",IF(L440&gt;pLateDays,1,0))</f>
        <v/>
      </c>
      <c r="X440" s="13">
        <f>IF(Q440&gt;=pHighCutoff,1,0)</f>
        <v/>
      </c>
      <c r="Y440" s="13">
        <f>IF(M440="Returned",1,0)</f>
        <v/>
      </c>
    </row>
    <row r="441">
      <c r="A441" s="13" t="inlineStr">
        <is>
          <t>HC-100439</t>
        </is>
      </c>
      <c r="B441" s="18" t="n">
        <v>45806</v>
      </c>
      <c r="C441" s="13" t="inlineStr">
        <is>
          <t>North</t>
        </is>
      </c>
      <c r="D441" s="13" t="inlineStr">
        <is>
          <t>Online</t>
        </is>
      </c>
      <c r="E441" s="13" t="inlineStr">
        <is>
          <t>Furniture</t>
        </is>
      </c>
      <c r="F441" s="13" t="inlineStr">
        <is>
          <t>Linen Sofa</t>
        </is>
      </c>
      <c r="G441" s="13" t="inlineStr">
        <is>
          <t>Consumer</t>
        </is>
      </c>
      <c r="H441" s="13" t="n">
        <v>1</v>
      </c>
      <c r="I441" s="14" t="n">
        <v>1243.96</v>
      </c>
      <c r="J441" s="15" t="n">
        <v>0.13</v>
      </c>
      <c r="K441" s="14" t="n">
        <v>821.01</v>
      </c>
      <c r="L441" s="13" t="n">
        <v>5</v>
      </c>
      <c r="M441" s="13" t="inlineStr">
        <is>
          <t>Completed</t>
        </is>
      </c>
      <c r="N441" s="13" t="inlineStr">
        <is>
          <t>S. Nguyen</t>
        </is>
      </c>
      <c r="O441" s="13" t="inlineStr">
        <is>
          <t>No</t>
        </is>
      </c>
      <c r="P441" s="14">
        <f>H441*I441</f>
        <v/>
      </c>
      <c r="Q441" s="14">
        <f>P441*(1-J441)</f>
        <v/>
      </c>
      <c r="R441" s="14">
        <f>H441*K441</f>
        <v/>
      </c>
      <c r="S441" s="15">
        <f>IF(Q441=0,"",(Q441-R441)/Q441)</f>
        <v/>
      </c>
      <c r="T441" s="13">
        <f>YEAR(B441)</f>
        <v/>
      </c>
      <c r="U441" s="13">
        <f>YEAR(B441)&amp;"-Q"&amp;ROUNDUP(MONTH(B441)/3,0)</f>
        <v/>
      </c>
      <c r="V441" s="13">
        <f>TEXT(B441,"YYYY-MM")</f>
        <v/>
      </c>
      <c r="W441" s="13">
        <f>IF(L441="","",IF(L441&gt;pLateDays,1,0))</f>
        <v/>
      </c>
      <c r="X441" s="13">
        <f>IF(Q441&gt;=pHighCutoff,1,0)</f>
        <v/>
      </c>
      <c r="Y441" s="13">
        <f>IF(M441="Returned",1,0)</f>
        <v/>
      </c>
    </row>
    <row r="442">
      <c r="A442" s="13" t="inlineStr">
        <is>
          <t>HC-100440</t>
        </is>
      </c>
      <c r="B442" s="18" t="n">
        <v>45510</v>
      </c>
      <c r="C442" s="13" t="inlineStr">
        <is>
          <t>North</t>
        </is>
      </c>
      <c r="D442" s="13" t="inlineStr">
        <is>
          <t>Online</t>
        </is>
      </c>
      <c r="E442" s="13" t="inlineStr">
        <is>
          <t>Furniture</t>
        </is>
      </c>
      <c r="F442" s="13" t="inlineStr">
        <is>
          <t>Oak Desk</t>
        </is>
      </c>
      <c r="G442" s="13" t="inlineStr">
        <is>
          <t>Consumer</t>
        </is>
      </c>
      <c r="H442" s="13" t="n">
        <v>3</v>
      </c>
      <c r="I442" s="14" t="n">
        <v>826.51</v>
      </c>
      <c r="J442" s="15" t="n">
        <v>0.11</v>
      </c>
      <c r="K442" s="14" t="n">
        <v>512.4400000000001</v>
      </c>
      <c r="L442" s="13" t="n">
        <v>3</v>
      </c>
      <c r="M442" s="13" t="inlineStr">
        <is>
          <t>Completed</t>
        </is>
      </c>
      <c r="N442" s="13" t="inlineStr">
        <is>
          <t>P. Rossi</t>
        </is>
      </c>
      <c r="O442" s="13" t="inlineStr">
        <is>
          <t>No</t>
        </is>
      </c>
      <c r="P442" s="14">
        <f>H442*I442</f>
        <v/>
      </c>
      <c r="Q442" s="14">
        <f>P442*(1-J442)</f>
        <v/>
      </c>
      <c r="R442" s="14">
        <f>H442*K442</f>
        <v/>
      </c>
      <c r="S442" s="15">
        <f>IF(Q442=0,"",(Q442-R442)/Q442)</f>
        <v/>
      </c>
      <c r="T442" s="13">
        <f>YEAR(B442)</f>
        <v/>
      </c>
      <c r="U442" s="13">
        <f>YEAR(B442)&amp;"-Q"&amp;ROUNDUP(MONTH(B442)/3,0)</f>
        <v/>
      </c>
      <c r="V442" s="13">
        <f>TEXT(B442,"YYYY-MM")</f>
        <v/>
      </c>
      <c r="W442" s="13">
        <f>IF(L442="","",IF(L442&gt;pLateDays,1,0))</f>
        <v/>
      </c>
      <c r="X442" s="13">
        <f>IF(Q442&gt;=pHighCutoff,1,0)</f>
        <v/>
      </c>
      <c r="Y442" s="13">
        <f>IF(M442="Returned",1,0)</f>
        <v/>
      </c>
    </row>
    <row r="443">
      <c r="A443" s="13" t="inlineStr">
        <is>
          <t>HC-100441</t>
        </is>
      </c>
      <c r="B443" s="18" t="n">
        <v>45478</v>
      </c>
      <c r="C443" s="13" t="inlineStr">
        <is>
          <t>East</t>
        </is>
      </c>
      <c r="D443" s="13" t="inlineStr">
        <is>
          <t>Online</t>
        </is>
      </c>
      <c r="E443" s="13" t="inlineStr">
        <is>
          <t>Textiles</t>
        </is>
      </c>
      <c r="F443" s="13" t="inlineStr">
        <is>
          <t>Cotton Duvet</t>
        </is>
      </c>
      <c r="G443" s="13" t="inlineStr">
        <is>
          <t>Home Office</t>
        </is>
      </c>
      <c r="H443" s="13" t="n">
        <v>1</v>
      </c>
      <c r="I443" s="14" t="n">
        <v>113.47</v>
      </c>
      <c r="J443" s="15" t="n">
        <v>0.13</v>
      </c>
      <c r="K443" s="14" t="n">
        <v>49.93</v>
      </c>
      <c r="L443" s="13" t="n">
        <v>9</v>
      </c>
      <c r="M443" s="13" t="inlineStr">
        <is>
          <t>Completed</t>
        </is>
      </c>
      <c r="N443" s="13" t="inlineStr">
        <is>
          <t>L. Berger</t>
        </is>
      </c>
      <c r="O443" s="13" t="inlineStr">
        <is>
          <t>No</t>
        </is>
      </c>
      <c r="P443" s="14">
        <f>H443*I443</f>
        <v/>
      </c>
      <c r="Q443" s="14">
        <f>P443*(1-J443)</f>
        <v/>
      </c>
      <c r="R443" s="14">
        <f>H443*K443</f>
        <v/>
      </c>
      <c r="S443" s="15">
        <f>IF(Q443=0,"",(Q443-R443)/Q443)</f>
        <v/>
      </c>
      <c r="T443" s="13">
        <f>YEAR(B443)</f>
        <v/>
      </c>
      <c r="U443" s="13">
        <f>YEAR(B443)&amp;"-Q"&amp;ROUNDUP(MONTH(B443)/3,0)</f>
        <v/>
      </c>
      <c r="V443" s="13">
        <f>TEXT(B443,"YYYY-MM")</f>
        <v/>
      </c>
      <c r="W443" s="13">
        <f>IF(L443="","",IF(L443&gt;pLateDays,1,0))</f>
        <v/>
      </c>
      <c r="X443" s="13">
        <f>IF(Q443&gt;=pHighCutoff,1,0)</f>
        <v/>
      </c>
      <c r="Y443" s="13">
        <f>IF(M443="Returned",1,0)</f>
        <v/>
      </c>
    </row>
    <row r="444">
      <c r="A444" s="13" t="inlineStr">
        <is>
          <t>HC-100442</t>
        </is>
      </c>
      <c r="B444" s="18" t="n">
        <v>45617</v>
      </c>
      <c r="C444" s="13" t="inlineStr">
        <is>
          <t>West</t>
        </is>
      </c>
      <c r="D444" s="13" t="inlineStr">
        <is>
          <t>Online</t>
        </is>
      </c>
      <c r="E444" s="13" t="inlineStr">
        <is>
          <t>Lighting</t>
        </is>
      </c>
      <c r="F444" s="13" t="inlineStr">
        <is>
          <t>Brass Sconce</t>
        </is>
      </c>
      <c r="G444" s="13" t="inlineStr">
        <is>
          <t>Corporate</t>
        </is>
      </c>
      <c r="H444" s="13" t="n">
        <v>4</v>
      </c>
      <c r="I444" s="14" t="n">
        <v>134.17</v>
      </c>
      <c r="J444" s="15" t="n">
        <v>0.15</v>
      </c>
      <c r="K444" s="14" t="n">
        <v>61.72</v>
      </c>
      <c r="L444" s="13" t="n">
        <v>5</v>
      </c>
      <c r="M444" s="13" t="inlineStr">
        <is>
          <t>Completed</t>
        </is>
      </c>
      <c r="N444" s="13" t="inlineStr">
        <is>
          <t>L. Berger</t>
        </is>
      </c>
      <c r="O444" s="13" t="inlineStr">
        <is>
          <t>No</t>
        </is>
      </c>
      <c r="P444" s="14">
        <f>H444*I444</f>
        <v/>
      </c>
      <c r="Q444" s="14">
        <f>P444*(1-J444)</f>
        <v/>
      </c>
      <c r="R444" s="14">
        <f>H444*K444</f>
        <v/>
      </c>
      <c r="S444" s="15">
        <f>IF(Q444=0,"",(Q444-R444)/Q444)</f>
        <v/>
      </c>
      <c r="T444" s="13">
        <f>YEAR(B444)</f>
        <v/>
      </c>
      <c r="U444" s="13">
        <f>YEAR(B444)&amp;"-Q"&amp;ROUNDUP(MONTH(B444)/3,0)</f>
        <v/>
      </c>
      <c r="V444" s="13">
        <f>TEXT(B444,"YYYY-MM")</f>
        <v/>
      </c>
      <c r="W444" s="13">
        <f>IF(L444="","",IF(L444&gt;pLateDays,1,0))</f>
        <v/>
      </c>
      <c r="X444" s="13">
        <f>IF(Q444&gt;=pHighCutoff,1,0)</f>
        <v/>
      </c>
      <c r="Y444" s="13">
        <f>IF(M444="Returned",1,0)</f>
        <v/>
      </c>
    </row>
    <row r="445">
      <c r="A445" s="13" t="inlineStr">
        <is>
          <t>HC-100443</t>
        </is>
      </c>
      <c r="B445" s="18" t="n">
        <v>45620</v>
      </c>
      <c r="C445" s="13" t="inlineStr">
        <is>
          <t>East</t>
        </is>
      </c>
      <c r="D445" s="13" t="inlineStr">
        <is>
          <t>Online</t>
        </is>
      </c>
      <c r="E445" s="13" t="inlineStr">
        <is>
          <t>Furniture</t>
        </is>
      </c>
      <c r="F445" s="13" t="inlineStr">
        <is>
          <t>Walnut Shelf</t>
        </is>
      </c>
      <c r="G445" s="13" t="inlineStr">
        <is>
          <t>Home Office</t>
        </is>
      </c>
      <c r="H445" s="13" t="n">
        <v>3</v>
      </c>
      <c r="I445" s="14" t="n">
        <v>193</v>
      </c>
      <c r="J445" s="15" t="n">
        <v>0.12</v>
      </c>
      <c r="K445" s="14" t="n">
        <v>106.15</v>
      </c>
      <c r="L445" s="13" t="n">
        <v>13</v>
      </c>
      <c r="M445" s="13" t="inlineStr">
        <is>
          <t>Completed</t>
        </is>
      </c>
      <c r="N445" s="13" t="inlineStr">
        <is>
          <t>P. Rossi</t>
        </is>
      </c>
      <c r="O445" s="13" t="inlineStr">
        <is>
          <t>No</t>
        </is>
      </c>
      <c r="P445" s="14">
        <f>H445*I445</f>
        <v/>
      </c>
      <c r="Q445" s="14">
        <f>P445*(1-J445)</f>
        <v/>
      </c>
      <c r="R445" s="14">
        <f>H445*K445</f>
        <v/>
      </c>
      <c r="S445" s="15">
        <f>IF(Q445=0,"",(Q445-R445)/Q445)</f>
        <v/>
      </c>
      <c r="T445" s="13">
        <f>YEAR(B445)</f>
        <v/>
      </c>
      <c r="U445" s="13">
        <f>YEAR(B445)&amp;"-Q"&amp;ROUNDUP(MONTH(B445)/3,0)</f>
        <v/>
      </c>
      <c r="V445" s="13">
        <f>TEXT(B445,"YYYY-MM")</f>
        <v/>
      </c>
      <c r="W445" s="13">
        <f>IF(L445="","",IF(L445&gt;pLateDays,1,0))</f>
        <v/>
      </c>
      <c r="X445" s="13">
        <f>IF(Q445&gt;=pHighCutoff,1,0)</f>
        <v/>
      </c>
      <c r="Y445" s="13">
        <f>IF(M445="Returned",1,0)</f>
        <v/>
      </c>
    </row>
    <row r="446">
      <c r="A446" s="13" t="inlineStr">
        <is>
          <t>HC-100444</t>
        </is>
      </c>
      <c r="B446" s="18" t="n">
        <v>45656</v>
      </c>
      <c r="C446" s="13" t="inlineStr">
        <is>
          <t>North</t>
        </is>
      </c>
      <c r="D446" s="13" t="inlineStr">
        <is>
          <t>Store</t>
        </is>
      </c>
      <c r="E446" s="13" t="inlineStr">
        <is>
          <t>Textiles</t>
        </is>
      </c>
      <c r="F446" s="13" t="inlineStr">
        <is>
          <t>Linen Curtain</t>
        </is>
      </c>
      <c r="G446" s="13" t="inlineStr">
        <is>
          <t>Corporate</t>
        </is>
      </c>
      <c r="H446" s="13" t="n">
        <v>3</v>
      </c>
      <c r="I446" s="14" t="n">
        <v>90.53</v>
      </c>
      <c r="J446" s="15" t="n">
        <v>0.06</v>
      </c>
      <c r="K446" s="14" t="n">
        <v>40.74</v>
      </c>
      <c r="L446" s="13" t="n">
        <v>8</v>
      </c>
      <c r="M446" s="13" t="inlineStr">
        <is>
          <t>Completed</t>
        </is>
      </c>
      <c r="N446" s="13" t="inlineStr">
        <is>
          <t>K. Mensah</t>
        </is>
      </c>
      <c r="O446" s="13" t="inlineStr">
        <is>
          <t>No</t>
        </is>
      </c>
      <c r="P446" s="14">
        <f>H446*I446</f>
        <v/>
      </c>
      <c r="Q446" s="14">
        <f>P446*(1-J446)</f>
        <v/>
      </c>
      <c r="R446" s="14">
        <f>H446*K446</f>
        <v/>
      </c>
      <c r="S446" s="15">
        <f>IF(Q446=0,"",(Q446-R446)/Q446)</f>
        <v/>
      </c>
      <c r="T446" s="13">
        <f>YEAR(B446)</f>
        <v/>
      </c>
      <c r="U446" s="13">
        <f>YEAR(B446)&amp;"-Q"&amp;ROUNDUP(MONTH(B446)/3,0)</f>
        <v/>
      </c>
      <c r="V446" s="13">
        <f>TEXT(B446,"YYYY-MM")</f>
        <v/>
      </c>
      <c r="W446" s="13">
        <f>IF(L446="","",IF(L446&gt;pLateDays,1,0))</f>
        <v/>
      </c>
      <c r="X446" s="13">
        <f>IF(Q446&gt;=pHighCutoff,1,0)</f>
        <v/>
      </c>
      <c r="Y446" s="13">
        <f>IF(M446="Returned",1,0)</f>
        <v/>
      </c>
    </row>
    <row r="447">
      <c r="A447" s="13" t="inlineStr">
        <is>
          <t>HC-100445</t>
        </is>
      </c>
      <c r="B447" s="18" t="n">
        <v>45478</v>
      </c>
      <c r="C447" s="13" t="inlineStr">
        <is>
          <t>South</t>
        </is>
      </c>
      <c r="D447" s="13" t="inlineStr">
        <is>
          <t>Store</t>
        </is>
      </c>
      <c r="E447" s="13" t="inlineStr">
        <is>
          <t>Lighting</t>
        </is>
      </c>
      <c r="F447" s="13" t="inlineStr">
        <is>
          <t>Pendant Light</t>
        </is>
      </c>
      <c r="G447" s="13" t="inlineStr">
        <is>
          <t>Consumer</t>
        </is>
      </c>
      <c r="H447" s="13" t="n">
        <v>1</v>
      </c>
      <c r="I447" s="14" t="n">
        <v>188.67</v>
      </c>
      <c r="J447" s="15" t="n">
        <v>0.03</v>
      </c>
      <c r="K447" s="14" t="n">
        <v>94.33</v>
      </c>
      <c r="L447" s="13" t="n">
        <v>5</v>
      </c>
      <c r="M447" s="13" t="inlineStr">
        <is>
          <t>Completed</t>
        </is>
      </c>
      <c r="N447" s="13" t="inlineStr">
        <is>
          <t>J. Patel</t>
        </is>
      </c>
      <c r="O447" s="13" t="inlineStr">
        <is>
          <t>No</t>
        </is>
      </c>
      <c r="P447" s="14">
        <f>H447*I447</f>
        <v/>
      </c>
      <c r="Q447" s="14">
        <f>P447*(1-J447)</f>
        <v/>
      </c>
      <c r="R447" s="14">
        <f>H447*K447</f>
        <v/>
      </c>
      <c r="S447" s="15">
        <f>IF(Q447=0,"",(Q447-R447)/Q447)</f>
        <v/>
      </c>
      <c r="T447" s="13">
        <f>YEAR(B447)</f>
        <v/>
      </c>
      <c r="U447" s="13">
        <f>YEAR(B447)&amp;"-Q"&amp;ROUNDUP(MONTH(B447)/3,0)</f>
        <v/>
      </c>
      <c r="V447" s="13">
        <f>TEXT(B447,"YYYY-MM")</f>
        <v/>
      </c>
      <c r="W447" s="13">
        <f>IF(L447="","",IF(L447&gt;pLateDays,1,0))</f>
        <v/>
      </c>
      <c r="X447" s="13">
        <f>IF(Q447&gt;=pHighCutoff,1,0)</f>
        <v/>
      </c>
      <c r="Y447" s="13">
        <f>IF(M447="Returned",1,0)</f>
        <v/>
      </c>
    </row>
    <row r="448">
      <c r="A448" s="13" t="inlineStr">
        <is>
          <t>HC-100446</t>
        </is>
      </c>
      <c r="B448" s="18" t="n">
        <v>45663</v>
      </c>
      <c r="C448" s="13" t="inlineStr">
        <is>
          <t>East</t>
        </is>
      </c>
      <c r="D448" s="13" t="inlineStr">
        <is>
          <t>Store</t>
        </is>
      </c>
      <c r="E448" s="13" t="inlineStr">
        <is>
          <t>Textiles</t>
        </is>
      </c>
      <c r="F448" s="13" t="inlineStr">
        <is>
          <t>Linen Curtain</t>
        </is>
      </c>
      <c r="G448" s="13" t="inlineStr">
        <is>
          <t>Consumer</t>
        </is>
      </c>
      <c r="H448" s="13" t="n">
        <v>1</v>
      </c>
      <c r="I448" s="14" t="n">
        <v>79.79000000000001</v>
      </c>
      <c r="J448" s="15" t="n">
        <v>0</v>
      </c>
      <c r="K448" s="14" t="n">
        <v>35.9</v>
      </c>
      <c r="L448" s="13" t="n">
        <v>7</v>
      </c>
      <c r="M448" s="13" t="inlineStr">
        <is>
          <t>Completed</t>
        </is>
      </c>
      <c r="N448" s="13" t="inlineStr">
        <is>
          <t>J. Patel</t>
        </is>
      </c>
      <c r="O448" s="13" t="inlineStr">
        <is>
          <t>No</t>
        </is>
      </c>
      <c r="P448" s="14">
        <f>H448*I448</f>
        <v/>
      </c>
      <c r="Q448" s="14">
        <f>P448*(1-J448)</f>
        <v/>
      </c>
      <c r="R448" s="14">
        <f>H448*K448</f>
        <v/>
      </c>
      <c r="S448" s="15">
        <f>IF(Q448=0,"",(Q448-R448)/Q448)</f>
        <v/>
      </c>
      <c r="T448" s="13">
        <f>YEAR(B448)</f>
        <v/>
      </c>
      <c r="U448" s="13">
        <f>YEAR(B448)&amp;"-Q"&amp;ROUNDUP(MONTH(B448)/3,0)</f>
        <v/>
      </c>
      <c r="V448" s="13">
        <f>TEXT(B448,"YYYY-MM")</f>
        <v/>
      </c>
      <c r="W448" s="13">
        <f>IF(L448="","",IF(L448&gt;pLateDays,1,0))</f>
        <v/>
      </c>
      <c r="X448" s="13">
        <f>IF(Q448&gt;=pHighCutoff,1,0)</f>
        <v/>
      </c>
      <c r="Y448" s="13">
        <f>IF(M448="Returned",1,0)</f>
        <v/>
      </c>
    </row>
    <row r="449">
      <c r="A449" s="13" t="inlineStr">
        <is>
          <t>HC-100447</t>
        </is>
      </c>
      <c r="B449" s="18" t="n">
        <v>45923</v>
      </c>
      <c r="C449" s="13" t="inlineStr">
        <is>
          <t>West</t>
        </is>
      </c>
      <c r="D449" s="13" t="inlineStr">
        <is>
          <t>Store</t>
        </is>
      </c>
      <c r="E449" s="13" t="inlineStr">
        <is>
          <t>Kitchen</t>
        </is>
      </c>
      <c r="F449" s="13" t="inlineStr">
        <is>
          <t>Ceramic Set</t>
        </is>
      </c>
      <c r="G449" s="13" t="inlineStr">
        <is>
          <t>Consumer</t>
        </is>
      </c>
      <c r="H449" s="13" t="n">
        <v>4</v>
      </c>
      <c r="I449" s="14" t="n">
        <v>80.25</v>
      </c>
      <c r="J449" s="15" t="n">
        <v>0.07000000000000001</v>
      </c>
      <c r="K449" s="14" t="n">
        <v>30.49</v>
      </c>
      <c r="L449" s="13" t="n">
        <v>3</v>
      </c>
      <c r="M449" s="13" t="inlineStr">
        <is>
          <t>Completed</t>
        </is>
      </c>
      <c r="N449" s="13" t="inlineStr">
        <is>
          <t>K. Mensah</t>
        </is>
      </c>
      <c r="O449" s="13" t="inlineStr">
        <is>
          <t>No</t>
        </is>
      </c>
      <c r="P449" s="14">
        <f>H449*I449</f>
        <v/>
      </c>
      <c r="Q449" s="14">
        <f>P449*(1-J449)</f>
        <v/>
      </c>
      <c r="R449" s="14">
        <f>H449*K449</f>
        <v/>
      </c>
      <c r="S449" s="15">
        <f>IF(Q449=0,"",(Q449-R449)/Q449)</f>
        <v/>
      </c>
      <c r="T449" s="13">
        <f>YEAR(B449)</f>
        <v/>
      </c>
      <c r="U449" s="13">
        <f>YEAR(B449)&amp;"-Q"&amp;ROUNDUP(MONTH(B449)/3,0)</f>
        <v/>
      </c>
      <c r="V449" s="13">
        <f>TEXT(B449,"YYYY-MM")</f>
        <v/>
      </c>
      <c r="W449" s="13">
        <f>IF(L449="","",IF(L449&gt;pLateDays,1,0))</f>
        <v/>
      </c>
      <c r="X449" s="13">
        <f>IF(Q449&gt;=pHighCutoff,1,0)</f>
        <v/>
      </c>
      <c r="Y449" s="13">
        <f>IF(M449="Returned",1,0)</f>
        <v/>
      </c>
    </row>
    <row r="450">
      <c r="A450" s="13" t="inlineStr">
        <is>
          <t>HC-100448</t>
        </is>
      </c>
      <c r="B450" s="18" t="n">
        <v>45356</v>
      </c>
      <c r="C450" s="13" t="inlineStr">
        <is>
          <t>South</t>
        </is>
      </c>
      <c r="D450" s="13" t="inlineStr">
        <is>
          <t>Store</t>
        </is>
      </c>
      <c r="E450" s="13" t="inlineStr">
        <is>
          <t>Kitchen</t>
        </is>
      </c>
      <c r="F450" s="13" t="inlineStr">
        <is>
          <t>Chef Knife</t>
        </is>
      </c>
      <c r="G450" s="13" t="inlineStr">
        <is>
          <t>Consumer</t>
        </is>
      </c>
      <c r="H450" s="13" t="n">
        <v>2</v>
      </c>
      <c r="I450" s="14" t="n">
        <v>67.94</v>
      </c>
      <c r="J450" s="15" t="n">
        <v>0.11</v>
      </c>
      <c r="K450" s="14" t="n">
        <v>24.46</v>
      </c>
      <c r="L450" s="13" t="n">
        <v>6</v>
      </c>
      <c r="M450" s="13" t="inlineStr">
        <is>
          <t>Completed</t>
        </is>
      </c>
      <c r="N450" s="13" t="inlineStr">
        <is>
          <t>M. Okonkwo</t>
        </is>
      </c>
      <c r="O450" s="13" t="inlineStr">
        <is>
          <t>No</t>
        </is>
      </c>
      <c r="P450" s="14">
        <f>H450*I450</f>
        <v/>
      </c>
      <c r="Q450" s="14">
        <f>P450*(1-J450)</f>
        <v/>
      </c>
      <c r="R450" s="14">
        <f>H450*K450</f>
        <v/>
      </c>
      <c r="S450" s="15">
        <f>IF(Q450=0,"",(Q450-R450)/Q450)</f>
        <v/>
      </c>
      <c r="T450" s="13">
        <f>YEAR(B450)</f>
        <v/>
      </c>
      <c r="U450" s="13">
        <f>YEAR(B450)&amp;"-Q"&amp;ROUNDUP(MONTH(B450)/3,0)</f>
        <v/>
      </c>
      <c r="V450" s="13">
        <f>TEXT(B450,"YYYY-MM")</f>
        <v/>
      </c>
      <c r="W450" s="13">
        <f>IF(L450="","",IF(L450&gt;pLateDays,1,0))</f>
        <v/>
      </c>
      <c r="X450" s="13">
        <f>IF(Q450&gt;=pHighCutoff,1,0)</f>
        <v/>
      </c>
      <c r="Y450" s="13">
        <f>IF(M450="Returned",1,0)</f>
        <v/>
      </c>
    </row>
    <row r="451">
      <c r="A451" s="13" t="inlineStr">
        <is>
          <t>HC-100449</t>
        </is>
      </c>
      <c r="B451" s="18" t="n">
        <v>45703</v>
      </c>
      <c r="C451" s="13" t="inlineStr">
        <is>
          <t>West</t>
        </is>
      </c>
      <c r="D451" s="13" t="inlineStr">
        <is>
          <t>Online</t>
        </is>
      </c>
      <c r="E451" s="13" t="inlineStr">
        <is>
          <t>Kitchen</t>
        </is>
      </c>
      <c r="F451" s="13" t="inlineStr">
        <is>
          <t>Cast Skillet</t>
        </is>
      </c>
      <c r="G451" s="13" t="inlineStr">
        <is>
          <t>Home Office</t>
        </is>
      </c>
      <c r="H451" s="13" t="n">
        <v>2</v>
      </c>
      <c r="I451" s="14" t="n">
        <v>51.72</v>
      </c>
      <c r="J451" s="15" t="n">
        <v>0.16</v>
      </c>
      <c r="K451" s="14" t="n">
        <v>20.69</v>
      </c>
      <c r="L451" s="13" t="n">
        <v>4</v>
      </c>
      <c r="M451" s="13" t="inlineStr">
        <is>
          <t>Completed</t>
        </is>
      </c>
      <c r="N451" s="13" t="inlineStr">
        <is>
          <t>K. Mensah</t>
        </is>
      </c>
      <c r="O451" s="13" t="inlineStr">
        <is>
          <t>No</t>
        </is>
      </c>
      <c r="P451" s="14">
        <f>H451*I451</f>
        <v/>
      </c>
      <c r="Q451" s="14">
        <f>P451*(1-J451)</f>
        <v/>
      </c>
      <c r="R451" s="14">
        <f>H451*K451</f>
        <v/>
      </c>
      <c r="S451" s="15">
        <f>IF(Q451=0,"",(Q451-R451)/Q451)</f>
        <v/>
      </c>
      <c r="T451" s="13">
        <f>YEAR(B451)</f>
        <v/>
      </c>
      <c r="U451" s="13">
        <f>YEAR(B451)&amp;"-Q"&amp;ROUNDUP(MONTH(B451)/3,0)</f>
        <v/>
      </c>
      <c r="V451" s="13">
        <f>TEXT(B451,"YYYY-MM")</f>
        <v/>
      </c>
      <c r="W451" s="13">
        <f>IF(L451="","",IF(L451&gt;pLateDays,1,0))</f>
        <v/>
      </c>
      <c r="X451" s="13">
        <f>IF(Q451&gt;=pHighCutoff,1,0)</f>
        <v/>
      </c>
      <c r="Y451" s="13">
        <f>IF(M451="Returned",1,0)</f>
        <v/>
      </c>
    </row>
    <row r="452">
      <c r="A452" s="13" t="inlineStr">
        <is>
          <t>HC-100450</t>
        </is>
      </c>
      <c r="B452" s="18" t="n">
        <v>45687</v>
      </c>
      <c r="C452" s="13" t="inlineStr">
        <is>
          <t>North</t>
        </is>
      </c>
      <c r="D452" s="13" t="inlineStr">
        <is>
          <t>Store</t>
        </is>
      </c>
      <c r="E452" s="13" t="inlineStr">
        <is>
          <t>Furniture</t>
        </is>
      </c>
      <c r="F452" s="13" t="inlineStr">
        <is>
          <t>Walnut Shelf</t>
        </is>
      </c>
      <c r="G452" s="13" t="inlineStr">
        <is>
          <t>Consumer</t>
        </is>
      </c>
      <c r="H452" s="13" t="n">
        <v>2</v>
      </c>
      <c r="I452" s="14" t="n">
        <v>220.76</v>
      </c>
      <c r="J452" s="15" t="n">
        <v>0.08</v>
      </c>
      <c r="K452" s="14" t="n">
        <v>121.42</v>
      </c>
      <c r="L452" s="13" t="n">
        <v>5</v>
      </c>
      <c r="M452" s="13" t="inlineStr">
        <is>
          <t>Completed</t>
        </is>
      </c>
      <c r="N452" s="13" t="inlineStr">
        <is>
          <t>S. Nguyen</t>
        </is>
      </c>
      <c r="O452" s="13" t="inlineStr">
        <is>
          <t>No</t>
        </is>
      </c>
      <c r="P452" s="14">
        <f>H452*I452</f>
        <v/>
      </c>
      <c r="Q452" s="14">
        <f>P452*(1-J452)</f>
        <v/>
      </c>
      <c r="R452" s="14">
        <f>H452*K452</f>
        <v/>
      </c>
      <c r="S452" s="15">
        <f>IF(Q452=0,"",(Q452-R452)/Q452)</f>
        <v/>
      </c>
      <c r="T452" s="13">
        <f>YEAR(B452)</f>
        <v/>
      </c>
      <c r="U452" s="13">
        <f>YEAR(B452)&amp;"-Q"&amp;ROUNDUP(MONTH(B452)/3,0)</f>
        <v/>
      </c>
      <c r="V452" s="13">
        <f>TEXT(B452,"YYYY-MM")</f>
        <v/>
      </c>
      <c r="W452" s="13">
        <f>IF(L452="","",IF(L452&gt;pLateDays,1,0))</f>
        <v/>
      </c>
      <c r="X452" s="13">
        <f>IF(Q452&gt;=pHighCutoff,1,0)</f>
        <v/>
      </c>
      <c r="Y452" s="13">
        <f>IF(M452="Returned",1,0)</f>
        <v/>
      </c>
    </row>
    <row r="453">
      <c r="A453" s="13" t="inlineStr">
        <is>
          <t>HC-100451</t>
        </is>
      </c>
      <c r="B453" s="18" t="n">
        <v>45749</v>
      </c>
      <c r="C453" s="13" t="inlineStr">
        <is>
          <t>North</t>
        </is>
      </c>
      <c r="D453" s="13" t="inlineStr">
        <is>
          <t>Online</t>
        </is>
      </c>
      <c r="E453" s="13" t="inlineStr">
        <is>
          <t>Furniture</t>
        </is>
      </c>
      <c r="F453" s="13" t="inlineStr">
        <is>
          <t>Oak Desk</t>
        </is>
      </c>
      <c r="G453" s="13" t="inlineStr">
        <is>
          <t>Consumer</t>
        </is>
      </c>
      <c r="H453" s="13" t="n">
        <v>3</v>
      </c>
      <c r="I453" s="14" t="n">
        <v>782.6900000000001</v>
      </c>
      <c r="J453" s="15" t="n">
        <v>0.04</v>
      </c>
      <c r="K453" s="14" t="n">
        <v>485.27</v>
      </c>
      <c r="L453" s="13" t="n">
        <v>2</v>
      </c>
      <c r="M453" s="13" t="inlineStr">
        <is>
          <t>Completed</t>
        </is>
      </c>
      <c r="N453" s="13" t="inlineStr">
        <is>
          <t>S. Nguyen</t>
        </is>
      </c>
      <c r="O453" s="13" t="inlineStr">
        <is>
          <t>No</t>
        </is>
      </c>
      <c r="P453" s="14">
        <f>H453*I453</f>
        <v/>
      </c>
      <c r="Q453" s="14">
        <f>P453*(1-J453)</f>
        <v/>
      </c>
      <c r="R453" s="14">
        <f>H453*K453</f>
        <v/>
      </c>
      <c r="S453" s="15">
        <f>IF(Q453=0,"",(Q453-R453)/Q453)</f>
        <v/>
      </c>
      <c r="T453" s="13">
        <f>YEAR(B453)</f>
        <v/>
      </c>
      <c r="U453" s="13">
        <f>YEAR(B453)&amp;"-Q"&amp;ROUNDUP(MONTH(B453)/3,0)</f>
        <v/>
      </c>
      <c r="V453" s="13">
        <f>TEXT(B453,"YYYY-MM")</f>
        <v/>
      </c>
      <c r="W453" s="13">
        <f>IF(L453="","",IF(L453&gt;pLateDays,1,0))</f>
        <v/>
      </c>
      <c r="X453" s="13">
        <f>IF(Q453&gt;=pHighCutoff,1,0)</f>
        <v/>
      </c>
      <c r="Y453" s="13">
        <f>IF(M453="Returned",1,0)</f>
        <v/>
      </c>
    </row>
    <row r="454">
      <c r="A454" s="13" t="inlineStr">
        <is>
          <t>HC-100452</t>
        </is>
      </c>
      <c r="B454" s="18" t="n">
        <v>45621</v>
      </c>
      <c r="C454" s="13" t="inlineStr">
        <is>
          <t>South</t>
        </is>
      </c>
      <c r="D454" s="13" t="inlineStr">
        <is>
          <t>Store</t>
        </is>
      </c>
      <c r="E454" s="13" t="inlineStr">
        <is>
          <t>Lighting</t>
        </is>
      </c>
      <c r="F454" s="13" t="inlineStr">
        <is>
          <t>Brass Sconce</t>
        </is>
      </c>
      <c r="G454" s="13" t="inlineStr">
        <is>
          <t>Consumer</t>
        </is>
      </c>
      <c r="H454" s="13" t="n">
        <v>4</v>
      </c>
      <c r="I454" s="14" t="n">
        <v>140.66</v>
      </c>
      <c r="J454" s="15" t="n">
        <v>0.06</v>
      </c>
      <c r="K454" s="14" t="n">
        <v>64.7</v>
      </c>
      <c r="L454" s="13" t="n">
        <v>7</v>
      </c>
      <c r="M454" s="13" t="inlineStr">
        <is>
          <t>Completed</t>
        </is>
      </c>
      <c r="N454" s="13" t="inlineStr">
        <is>
          <t>K. Mensah</t>
        </is>
      </c>
      <c r="O454" s="13" t="inlineStr">
        <is>
          <t>No</t>
        </is>
      </c>
      <c r="P454" s="14">
        <f>H454*I454</f>
        <v/>
      </c>
      <c r="Q454" s="14">
        <f>P454*(1-J454)</f>
        <v/>
      </c>
      <c r="R454" s="14">
        <f>H454*K454</f>
        <v/>
      </c>
      <c r="S454" s="15">
        <f>IF(Q454=0,"",(Q454-R454)/Q454)</f>
        <v/>
      </c>
      <c r="T454" s="13">
        <f>YEAR(B454)</f>
        <v/>
      </c>
      <c r="U454" s="13">
        <f>YEAR(B454)&amp;"-Q"&amp;ROUNDUP(MONTH(B454)/3,0)</f>
        <v/>
      </c>
      <c r="V454" s="13">
        <f>TEXT(B454,"YYYY-MM")</f>
        <v/>
      </c>
      <c r="W454" s="13">
        <f>IF(L454="","",IF(L454&gt;pLateDays,1,0))</f>
        <v/>
      </c>
      <c r="X454" s="13">
        <f>IF(Q454&gt;=pHighCutoff,1,0)</f>
        <v/>
      </c>
      <c r="Y454" s="13">
        <f>IF(M454="Returned",1,0)</f>
        <v/>
      </c>
    </row>
    <row r="455">
      <c r="A455" s="13" t="inlineStr">
        <is>
          <t>HC-100453</t>
        </is>
      </c>
      <c r="B455" s="18" t="n">
        <v>45571</v>
      </c>
      <c r="C455" s="13" t="inlineStr">
        <is>
          <t>North</t>
        </is>
      </c>
      <c r="D455" s="13" t="inlineStr">
        <is>
          <t>Store</t>
        </is>
      </c>
      <c r="E455" s="13" t="inlineStr">
        <is>
          <t>Textiles</t>
        </is>
      </c>
      <c r="F455" s="13" t="inlineStr">
        <is>
          <t>Linen Curtain</t>
        </is>
      </c>
      <c r="G455" s="13" t="inlineStr">
        <is>
          <t>Corporate</t>
        </is>
      </c>
      <c r="H455" s="13" t="n">
        <v>3</v>
      </c>
      <c r="I455" s="14" t="n">
        <v>98.53</v>
      </c>
      <c r="J455" s="15" t="n">
        <v>0.02</v>
      </c>
      <c r="K455" s="14" t="n">
        <v>44.34</v>
      </c>
      <c r="L455" s="13" t="n">
        <v>2</v>
      </c>
      <c r="M455" s="13" t="inlineStr">
        <is>
          <t>Returned</t>
        </is>
      </c>
      <c r="N455" s="13" t="inlineStr">
        <is>
          <t>M. Okonkwo</t>
        </is>
      </c>
      <c r="O455" s="13" t="inlineStr">
        <is>
          <t>No</t>
        </is>
      </c>
      <c r="P455" s="14">
        <f>H455*I455</f>
        <v/>
      </c>
      <c r="Q455" s="14">
        <f>P455*(1-J455)</f>
        <v/>
      </c>
      <c r="R455" s="14">
        <f>H455*K455</f>
        <v/>
      </c>
      <c r="S455" s="15">
        <f>IF(Q455=0,"",(Q455-R455)/Q455)</f>
        <v/>
      </c>
      <c r="T455" s="13">
        <f>YEAR(B455)</f>
        <v/>
      </c>
      <c r="U455" s="13">
        <f>YEAR(B455)&amp;"-Q"&amp;ROUNDUP(MONTH(B455)/3,0)</f>
        <v/>
      </c>
      <c r="V455" s="13">
        <f>TEXT(B455,"YYYY-MM")</f>
        <v/>
      </c>
      <c r="W455" s="13">
        <f>IF(L455="","",IF(L455&gt;pLateDays,1,0))</f>
        <v/>
      </c>
      <c r="X455" s="13">
        <f>IF(Q455&gt;=pHighCutoff,1,0)</f>
        <v/>
      </c>
      <c r="Y455" s="13">
        <f>IF(M455="Returned",1,0)</f>
        <v/>
      </c>
    </row>
    <row r="456">
      <c r="A456" s="13" t="inlineStr">
        <is>
          <t>HC-100454</t>
        </is>
      </c>
      <c r="B456" s="18" t="n">
        <v>45647</v>
      </c>
      <c r="C456" s="13" t="inlineStr">
        <is>
          <t>East</t>
        </is>
      </c>
      <c r="D456" s="13" t="inlineStr">
        <is>
          <t>Store</t>
        </is>
      </c>
      <c r="E456" s="13" t="inlineStr">
        <is>
          <t>Textiles</t>
        </is>
      </c>
      <c r="F456" s="13" t="inlineStr">
        <is>
          <t>Linen Curtain</t>
        </is>
      </c>
      <c r="G456" s="13" t="inlineStr">
        <is>
          <t>Consumer</t>
        </is>
      </c>
      <c r="H456" s="13" t="n">
        <v>2</v>
      </c>
      <c r="I456" s="14" t="n">
        <v>80.04000000000001</v>
      </c>
      <c r="J456" s="15" t="n">
        <v>0.11</v>
      </c>
      <c r="K456" s="14" t="n">
        <v>36.02</v>
      </c>
      <c r="L456" s="13" t="n">
        <v>13</v>
      </c>
      <c r="M456" s="13" t="inlineStr">
        <is>
          <t>Returned</t>
        </is>
      </c>
      <c r="N456" s="13" t="inlineStr">
        <is>
          <t>M. Okonkwo</t>
        </is>
      </c>
      <c r="O456" s="13" t="inlineStr">
        <is>
          <t>No</t>
        </is>
      </c>
      <c r="P456" s="14">
        <f>H456*I456</f>
        <v/>
      </c>
      <c r="Q456" s="14">
        <f>P456*(1-J456)</f>
        <v/>
      </c>
      <c r="R456" s="14">
        <f>H456*K456</f>
        <v/>
      </c>
      <c r="S456" s="15">
        <f>IF(Q456=0,"",(Q456-R456)/Q456)</f>
        <v/>
      </c>
      <c r="T456" s="13">
        <f>YEAR(B456)</f>
        <v/>
      </c>
      <c r="U456" s="13">
        <f>YEAR(B456)&amp;"-Q"&amp;ROUNDUP(MONTH(B456)/3,0)</f>
        <v/>
      </c>
      <c r="V456" s="13">
        <f>TEXT(B456,"YYYY-MM")</f>
        <v/>
      </c>
      <c r="W456" s="13">
        <f>IF(L456="","",IF(L456&gt;pLateDays,1,0))</f>
        <v/>
      </c>
      <c r="X456" s="13">
        <f>IF(Q456&gt;=pHighCutoff,1,0)</f>
        <v/>
      </c>
      <c r="Y456" s="13">
        <f>IF(M456="Returned",1,0)</f>
        <v/>
      </c>
    </row>
    <row r="457">
      <c r="A457" s="13" t="inlineStr">
        <is>
          <t>HC-100455</t>
        </is>
      </c>
      <c r="B457" s="18" t="n">
        <v>45884</v>
      </c>
      <c r="C457" s="13" t="inlineStr">
        <is>
          <t>South</t>
        </is>
      </c>
      <c r="D457" s="13" t="inlineStr">
        <is>
          <t>Store</t>
        </is>
      </c>
      <c r="E457" s="13" t="inlineStr">
        <is>
          <t>Textiles</t>
        </is>
      </c>
      <c r="F457" s="13" t="inlineStr">
        <is>
          <t>Cotton Duvet</t>
        </is>
      </c>
      <c r="G457" s="13" t="inlineStr">
        <is>
          <t>Home Office</t>
        </is>
      </c>
      <c r="H457" s="13" t="n">
        <v>2</v>
      </c>
      <c r="I457" s="14" t="n">
        <v>111.86</v>
      </c>
      <c r="J457" s="15" t="n">
        <v>0.1</v>
      </c>
      <c r="K457" s="14" t="n">
        <v>49.22</v>
      </c>
      <c r="L457" s="13" t="n">
        <v>8</v>
      </c>
      <c r="M457" s="13" t="inlineStr">
        <is>
          <t>Completed</t>
        </is>
      </c>
      <c r="N457" s="13" t="inlineStr">
        <is>
          <t>R. Ibarra</t>
        </is>
      </c>
      <c r="O457" s="13" t="inlineStr">
        <is>
          <t>No</t>
        </is>
      </c>
      <c r="P457" s="14">
        <f>H457*I457</f>
        <v/>
      </c>
      <c r="Q457" s="14">
        <f>P457*(1-J457)</f>
        <v/>
      </c>
      <c r="R457" s="14">
        <f>H457*K457</f>
        <v/>
      </c>
      <c r="S457" s="15">
        <f>IF(Q457=0,"",(Q457-R457)/Q457)</f>
        <v/>
      </c>
      <c r="T457" s="13">
        <f>YEAR(B457)</f>
        <v/>
      </c>
      <c r="U457" s="13">
        <f>YEAR(B457)&amp;"-Q"&amp;ROUNDUP(MONTH(B457)/3,0)</f>
        <v/>
      </c>
      <c r="V457" s="13">
        <f>TEXT(B457,"YYYY-MM")</f>
        <v/>
      </c>
      <c r="W457" s="13">
        <f>IF(L457="","",IF(L457&gt;pLateDays,1,0))</f>
        <v/>
      </c>
      <c r="X457" s="13">
        <f>IF(Q457&gt;=pHighCutoff,1,0)</f>
        <v/>
      </c>
      <c r="Y457" s="13">
        <f>IF(M457="Returned",1,0)</f>
        <v/>
      </c>
    </row>
    <row r="458">
      <c r="A458" s="13" t="inlineStr">
        <is>
          <t>HC-100456</t>
        </is>
      </c>
      <c r="B458" s="18" t="n">
        <v>45594</v>
      </c>
      <c r="C458" s="13" t="inlineStr">
        <is>
          <t>East</t>
        </is>
      </c>
      <c r="D458" s="13" t="inlineStr">
        <is>
          <t>Store</t>
        </is>
      </c>
      <c r="E458" s="13" t="inlineStr">
        <is>
          <t>Kitchen</t>
        </is>
      </c>
      <c r="F458" s="13" t="inlineStr">
        <is>
          <t>Cast Skillet</t>
        </is>
      </c>
      <c r="G458" s="13" t="inlineStr">
        <is>
          <t>Consumer</t>
        </is>
      </c>
      <c r="H458" s="13" t="n">
        <v>2</v>
      </c>
      <c r="I458" s="14" t="n">
        <v>44.75</v>
      </c>
      <c r="J458" s="15" t="n">
        <v>0.02</v>
      </c>
      <c r="K458" s="14" t="n">
        <v>17.9</v>
      </c>
      <c r="L458" s="13" t="n">
        <v>6</v>
      </c>
      <c r="M458" s="13" t="inlineStr">
        <is>
          <t>Completed</t>
        </is>
      </c>
      <c r="N458" s="13" t="inlineStr">
        <is>
          <t>A. Shah</t>
        </is>
      </c>
      <c r="O458" s="13" t="inlineStr">
        <is>
          <t>No</t>
        </is>
      </c>
      <c r="P458" s="14">
        <f>H458*I458</f>
        <v/>
      </c>
      <c r="Q458" s="14">
        <f>P458*(1-J458)</f>
        <v/>
      </c>
      <c r="R458" s="14">
        <f>H458*K458</f>
        <v/>
      </c>
      <c r="S458" s="15">
        <f>IF(Q458=0,"",(Q458-R458)/Q458)</f>
        <v/>
      </c>
      <c r="T458" s="13">
        <f>YEAR(B458)</f>
        <v/>
      </c>
      <c r="U458" s="13">
        <f>YEAR(B458)&amp;"-Q"&amp;ROUNDUP(MONTH(B458)/3,0)</f>
        <v/>
      </c>
      <c r="V458" s="13">
        <f>TEXT(B458,"YYYY-MM")</f>
        <v/>
      </c>
      <c r="W458" s="13">
        <f>IF(L458="","",IF(L458&gt;pLateDays,1,0))</f>
        <v/>
      </c>
      <c r="X458" s="13">
        <f>IF(Q458&gt;=pHighCutoff,1,0)</f>
        <v/>
      </c>
      <c r="Y458" s="13">
        <f>IF(M458="Returned",1,0)</f>
        <v/>
      </c>
    </row>
    <row r="459">
      <c r="A459" s="13" t="inlineStr">
        <is>
          <t>HC-100457</t>
        </is>
      </c>
      <c r="B459" s="18" t="n">
        <v>45370</v>
      </c>
      <c r="C459" s="13" t="inlineStr">
        <is>
          <t>West</t>
        </is>
      </c>
      <c r="D459" s="13" t="inlineStr">
        <is>
          <t>Store</t>
        </is>
      </c>
      <c r="E459" s="13" t="inlineStr">
        <is>
          <t>Furniture</t>
        </is>
      </c>
      <c r="F459" s="13" t="inlineStr">
        <is>
          <t>Oak Desk</t>
        </is>
      </c>
      <c r="G459" s="13" t="inlineStr">
        <is>
          <t>Unknown</t>
        </is>
      </c>
      <c r="H459" s="13" t="n">
        <v>2</v>
      </c>
      <c r="I459" s="14" t="n">
        <v>897</v>
      </c>
      <c r="J459" s="15" t="n">
        <v>0.09</v>
      </c>
      <c r="K459" s="14" t="n">
        <v>556.14</v>
      </c>
      <c r="L459" s="13" t="n">
        <v>4</v>
      </c>
      <c r="M459" s="13" t="inlineStr">
        <is>
          <t>Completed</t>
        </is>
      </c>
      <c r="N459" s="13" t="inlineStr">
        <is>
          <t>M. Okonkwo</t>
        </is>
      </c>
      <c r="O459" s="13" t="inlineStr">
        <is>
          <t>No</t>
        </is>
      </c>
      <c r="P459" s="14">
        <f>H459*I459</f>
        <v/>
      </c>
      <c r="Q459" s="14">
        <f>P459*(1-J459)</f>
        <v/>
      </c>
      <c r="R459" s="14">
        <f>H459*K459</f>
        <v/>
      </c>
      <c r="S459" s="15">
        <f>IF(Q459=0,"",(Q459-R459)/Q459)</f>
        <v/>
      </c>
      <c r="T459" s="13">
        <f>YEAR(B459)</f>
        <v/>
      </c>
      <c r="U459" s="13">
        <f>YEAR(B459)&amp;"-Q"&amp;ROUNDUP(MONTH(B459)/3,0)</f>
        <v/>
      </c>
      <c r="V459" s="13">
        <f>TEXT(B459,"YYYY-MM")</f>
        <v/>
      </c>
      <c r="W459" s="13">
        <f>IF(L459="","",IF(L459&gt;pLateDays,1,0))</f>
        <v/>
      </c>
      <c r="X459" s="13">
        <f>IF(Q459&gt;=pHighCutoff,1,0)</f>
        <v/>
      </c>
      <c r="Y459" s="13">
        <f>IF(M459="Returned",1,0)</f>
        <v/>
      </c>
    </row>
    <row r="460">
      <c r="A460" s="13" t="inlineStr">
        <is>
          <t>HC-100458</t>
        </is>
      </c>
      <c r="B460" s="18" t="n">
        <v>45773</v>
      </c>
      <c r="C460" s="13" t="inlineStr">
        <is>
          <t>South</t>
        </is>
      </c>
      <c r="D460" s="13" t="inlineStr">
        <is>
          <t>Store</t>
        </is>
      </c>
      <c r="E460" s="13" t="inlineStr">
        <is>
          <t>Textiles</t>
        </is>
      </c>
      <c r="F460" s="13" t="inlineStr">
        <is>
          <t>Linen Curtain</t>
        </is>
      </c>
      <c r="G460" s="13" t="inlineStr">
        <is>
          <t>Consumer</t>
        </is>
      </c>
      <c r="H460" s="13" t="n">
        <v>4</v>
      </c>
      <c r="I460" s="14" t="n">
        <v>91.20999999999999</v>
      </c>
      <c r="J460" s="15" t="n">
        <v>0.03</v>
      </c>
      <c r="K460" s="14" t="n">
        <v>41.04</v>
      </c>
      <c r="L460" s="13" t="n">
        <v>5</v>
      </c>
      <c r="M460" s="13" t="inlineStr">
        <is>
          <t>Completed</t>
        </is>
      </c>
      <c r="N460" s="13" t="inlineStr">
        <is>
          <t>K. Mensah</t>
        </is>
      </c>
      <c r="O460" s="13" t="inlineStr">
        <is>
          <t>No</t>
        </is>
      </c>
      <c r="P460" s="14">
        <f>H460*I460</f>
        <v/>
      </c>
      <c r="Q460" s="14">
        <f>P460*(1-J460)</f>
        <v/>
      </c>
      <c r="R460" s="14">
        <f>H460*K460</f>
        <v/>
      </c>
      <c r="S460" s="15">
        <f>IF(Q460=0,"",(Q460-R460)/Q460)</f>
        <v/>
      </c>
      <c r="T460" s="13">
        <f>YEAR(B460)</f>
        <v/>
      </c>
      <c r="U460" s="13">
        <f>YEAR(B460)&amp;"-Q"&amp;ROUNDUP(MONTH(B460)/3,0)</f>
        <v/>
      </c>
      <c r="V460" s="13">
        <f>TEXT(B460,"YYYY-MM")</f>
        <v/>
      </c>
      <c r="W460" s="13">
        <f>IF(L460="","",IF(L460&gt;pLateDays,1,0))</f>
        <v/>
      </c>
      <c r="X460" s="13">
        <f>IF(Q460&gt;=pHighCutoff,1,0)</f>
        <v/>
      </c>
      <c r="Y460" s="13">
        <f>IF(M460="Returned",1,0)</f>
        <v/>
      </c>
    </row>
    <row r="461">
      <c r="A461" s="13" t="inlineStr">
        <is>
          <t>HC-100459</t>
        </is>
      </c>
      <c r="B461" s="18" t="n">
        <v>45629</v>
      </c>
      <c r="C461" s="13" t="inlineStr">
        <is>
          <t>East</t>
        </is>
      </c>
      <c r="D461" s="13" t="inlineStr">
        <is>
          <t>Online</t>
        </is>
      </c>
      <c r="E461" s="13" t="inlineStr">
        <is>
          <t>Kitchen</t>
        </is>
      </c>
      <c r="F461" s="13" t="inlineStr">
        <is>
          <t>Ceramic Set</t>
        </is>
      </c>
      <c r="G461" s="13" t="inlineStr">
        <is>
          <t>Home Office</t>
        </is>
      </c>
      <c r="H461" s="13" t="n">
        <v>3</v>
      </c>
      <c r="I461" s="14" t="n">
        <v>81.59</v>
      </c>
      <c r="J461" s="15" t="n">
        <v>0.16</v>
      </c>
      <c r="K461" s="14" t="n">
        <v>31</v>
      </c>
      <c r="L461" s="13" t="n">
        <v>7</v>
      </c>
      <c r="M461" s="13" t="inlineStr">
        <is>
          <t>Completed</t>
        </is>
      </c>
      <c r="N461" s="13" t="inlineStr">
        <is>
          <t>R. Ibarra</t>
        </is>
      </c>
      <c r="O461" s="13" t="inlineStr">
        <is>
          <t>No</t>
        </is>
      </c>
      <c r="P461" s="14">
        <f>H461*I461</f>
        <v/>
      </c>
      <c r="Q461" s="14">
        <f>P461*(1-J461)</f>
        <v/>
      </c>
      <c r="R461" s="14">
        <f>H461*K461</f>
        <v/>
      </c>
      <c r="S461" s="15">
        <f>IF(Q461=0,"",(Q461-R461)/Q461)</f>
        <v/>
      </c>
      <c r="T461" s="13">
        <f>YEAR(B461)</f>
        <v/>
      </c>
      <c r="U461" s="13">
        <f>YEAR(B461)&amp;"-Q"&amp;ROUNDUP(MONTH(B461)/3,0)</f>
        <v/>
      </c>
      <c r="V461" s="13">
        <f>TEXT(B461,"YYYY-MM")</f>
        <v/>
      </c>
      <c r="W461" s="13">
        <f>IF(L461="","",IF(L461&gt;pLateDays,1,0))</f>
        <v/>
      </c>
      <c r="X461" s="13">
        <f>IF(Q461&gt;=pHighCutoff,1,0)</f>
        <v/>
      </c>
      <c r="Y461" s="13">
        <f>IF(M461="Returned",1,0)</f>
        <v/>
      </c>
    </row>
    <row r="462">
      <c r="A462" s="13" t="inlineStr">
        <is>
          <t>HC-100460</t>
        </is>
      </c>
      <c r="B462" s="18" t="n">
        <v>45502</v>
      </c>
      <c r="C462" s="13" t="inlineStr">
        <is>
          <t>South</t>
        </is>
      </c>
      <c r="D462" s="13" t="inlineStr">
        <is>
          <t>Store</t>
        </is>
      </c>
      <c r="E462" s="13" t="inlineStr">
        <is>
          <t>Textiles</t>
        </is>
      </c>
      <c r="F462" s="13" t="inlineStr">
        <is>
          <t>Cotton Duvet</t>
        </is>
      </c>
      <c r="G462" s="13" t="inlineStr">
        <is>
          <t>Consumer</t>
        </is>
      </c>
      <c r="H462" s="13" t="n">
        <v>2</v>
      </c>
      <c r="I462" s="14" t="n">
        <v>117.58</v>
      </c>
      <c r="J462" s="15" t="n">
        <v>0.01</v>
      </c>
      <c r="K462" s="14" t="n">
        <v>51.73</v>
      </c>
      <c r="L462" s="13" t="n">
        <v>4</v>
      </c>
      <c r="M462" s="13" t="inlineStr">
        <is>
          <t>Completed</t>
        </is>
      </c>
      <c r="N462" s="13" t="inlineStr">
        <is>
          <t>P. Rossi</t>
        </is>
      </c>
      <c r="O462" s="13" t="inlineStr">
        <is>
          <t>No</t>
        </is>
      </c>
      <c r="P462" s="14">
        <f>H462*I462</f>
        <v/>
      </c>
      <c r="Q462" s="14">
        <f>P462*(1-J462)</f>
        <v/>
      </c>
      <c r="R462" s="14">
        <f>H462*K462</f>
        <v/>
      </c>
      <c r="S462" s="15">
        <f>IF(Q462=0,"",(Q462-R462)/Q462)</f>
        <v/>
      </c>
      <c r="T462" s="13">
        <f>YEAR(B462)</f>
        <v/>
      </c>
      <c r="U462" s="13">
        <f>YEAR(B462)&amp;"-Q"&amp;ROUNDUP(MONTH(B462)/3,0)</f>
        <v/>
      </c>
      <c r="V462" s="13">
        <f>TEXT(B462,"YYYY-MM")</f>
        <v/>
      </c>
      <c r="W462" s="13">
        <f>IF(L462="","",IF(L462&gt;pLateDays,1,0))</f>
        <v/>
      </c>
      <c r="X462" s="13">
        <f>IF(Q462&gt;=pHighCutoff,1,0)</f>
        <v/>
      </c>
      <c r="Y462" s="13">
        <f>IF(M462="Returned",1,0)</f>
        <v/>
      </c>
    </row>
    <row r="463">
      <c r="A463" s="13" t="inlineStr">
        <is>
          <t>HC-100461</t>
        </is>
      </c>
      <c r="B463" s="18" t="n">
        <v>45692</v>
      </c>
      <c r="C463" s="13" t="inlineStr">
        <is>
          <t>North</t>
        </is>
      </c>
      <c r="D463" s="13" t="inlineStr">
        <is>
          <t>Store</t>
        </is>
      </c>
      <c r="E463" s="13" t="inlineStr">
        <is>
          <t>Furniture</t>
        </is>
      </c>
      <c r="F463" s="13" t="inlineStr">
        <is>
          <t>Walnut Shelf</t>
        </is>
      </c>
      <c r="G463" s="13" t="inlineStr">
        <is>
          <t>Consumer</t>
        </is>
      </c>
      <c r="H463" s="13" t="n">
        <v>4</v>
      </c>
      <c r="I463" s="14" t="n">
        <v>206.65</v>
      </c>
      <c r="J463" s="15" t="n">
        <v>0.03</v>
      </c>
      <c r="K463" s="14" t="n">
        <v>113.66</v>
      </c>
      <c r="L463" s="13" t="n">
        <v>5</v>
      </c>
      <c r="M463" s="13" t="inlineStr">
        <is>
          <t>Completed</t>
        </is>
      </c>
      <c r="N463" s="13" t="inlineStr">
        <is>
          <t>M. Okonkwo</t>
        </is>
      </c>
      <c r="O463" s="13" t="inlineStr">
        <is>
          <t>No</t>
        </is>
      </c>
      <c r="P463" s="14">
        <f>H463*I463</f>
        <v/>
      </c>
      <c r="Q463" s="14">
        <f>P463*(1-J463)</f>
        <v/>
      </c>
      <c r="R463" s="14">
        <f>H463*K463</f>
        <v/>
      </c>
      <c r="S463" s="15">
        <f>IF(Q463=0,"",(Q463-R463)/Q463)</f>
        <v/>
      </c>
      <c r="T463" s="13">
        <f>YEAR(B463)</f>
        <v/>
      </c>
      <c r="U463" s="13">
        <f>YEAR(B463)&amp;"-Q"&amp;ROUNDUP(MONTH(B463)/3,0)</f>
        <v/>
      </c>
      <c r="V463" s="13">
        <f>TEXT(B463,"YYYY-MM")</f>
        <v/>
      </c>
      <c r="W463" s="13">
        <f>IF(L463="","",IF(L463&gt;pLateDays,1,0))</f>
        <v/>
      </c>
      <c r="X463" s="13">
        <f>IF(Q463&gt;=pHighCutoff,1,0)</f>
        <v/>
      </c>
      <c r="Y463" s="13">
        <f>IF(M463="Returned",1,0)</f>
        <v/>
      </c>
    </row>
    <row r="464">
      <c r="A464" s="13" t="inlineStr">
        <is>
          <t>HC-100462</t>
        </is>
      </c>
      <c r="B464" s="18" t="n">
        <v>45334</v>
      </c>
      <c r="C464" s="13" t="inlineStr">
        <is>
          <t>South</t>
        </is>
      </c>
      <c r="D464" s="13" t="inlineStr">
        <is>
          <t>Online</t>
        </is>
      </c>
      <c r="E464" s="13" t="inlineStr">
        <is>
          <t>Furniture</t>
        </is>
      </c>
      <c r="F464" s="13" t="inlineStr">
        <is>
          <t>Linen Sofa</t>
        </is>
      </c>
      <c r="G464" s="13" t="inlineStr">
        <is>
          <t>Consumer</t>
        </is>
      </c>
      <c r="H464" s="13" t="n">
        <v>2</v>
      </c>
      <c r="I464" s="14" t="n">
        <v>1161.1</v>
      </c>
      <c r="J464" s="15" t="n">
        <v>0.12</v>
      </c>
      <c r="K464" s="14" t="n">
        <v>766.3200000000001</v>
      </c>
      <c r="L464" s="13" t="n">
        <v>4</v>
      </c>
      <c r="M464" s="13" t="inlineStr">
        <is>
          <t>Returned</t>
        </is>
      </c>
      <c r="N464" s="13" t="inlineStr">
        <is>
          <t>K. Mensah</t>
        </is>
      </c>
      <c r="O464" s="13" t="inlineStr">
        <is>
          <t>No</t>
        </is>
      </c>
      <c r="P464" s="14">
        <f>H464*I464</f>
        <v/>
      </c>
      <c r="Q464" s="14">
        <f>P464*(1-J464)</f>
        <v/>
      </c>
      <c r="R464" s="14">
        <f>H464*K464</f>
        <v/>
      </c>
      <c r="S464" s="15">
        <f>IF(Q464=0,"",(Q464-R464)/Q464)</f>
        <v/>
      </c>
      <c r="T464" s="13">
        <f>YEAR(B464)</f>
        <v/>
      </c>
      <c r="U464" s="13">
        <f>YEAR(B464)&amp;"-Q"&amp;ROUNDUP(MONTH(B464)/3,0)</f>
        <v/>
      </c>
      <c r="V464" s="13">
        <f>TEXT(B464,"YYYY-MM")</f>
        <v/>
      </c>
      <c r="W464" s="13">
        <f>IF(L464="","",IF(L464&gt;pLateDays,1,0))</f>
        <v/>
      </c>
      <c r="X464" s="13">
        <f>IF(Q464&gt;=pHighCutoff,1,0)</f>
        <v/>
      </c>
      <c r="Y464" s="13">
        <f>IF(M464="Returned",1,0)</f>
        <v/>
      </c>
    </row>
    <row r="465">
      <c r="A465" s="13" t="inlineStr">
        <is>
          <t>HC-100463</t>
        </is>
      </c>
      <c r="B465" s="18" t="n">
        <v>45597</v>
      </c>
      <c r="C465" s="13" t="inlineStr">
        <is>
          <t>South</t>
        </is>
      </c>
      <c r="D465" s="13" t="inlineStr">
        <is>
          <t>Online</t>
        </is>
      </c>
      <c r="E465" s="13" t="inlineStr">
        <is>
          <t>Furniture</t>
        </is>
      </c>
      <c r="F465" s="13" t="inlineStr">
        <is>
          <t>Walnut Shelf</t>
        </is>
      </c>
      <c r="G465" s="13" t="inlineStr">
        <is>
          <t>Consumer</t>
        </is>
      </c>
      <c r="H465" s="13" t="n">
        <v>4</v>
      </c>
      <c r="I465" s="14" t="n">
        <v>232.3</v>
      </c>
      <c r="J465" s="15" t="n">
        <v>0.13</v>
      </c>
      <c r="K465" s="14" t="n">
        <v>127.77</v>
      </c>
      <c r="L465" s="13" t="n">
        <v>3</v>
      </c>
      <c r="M465" s="13" t="inlineStr">
        <is>
          <t>Completed</t>
        </is>
      </c>
      <c r="N465" s="13" t="inlineStr">
        <is>
          <t>A. Shah</t>
        </is>
      </c>
      <c r="O465" s="13" t="inlineStr">
        <is>
          <t>No</t>
        </is>
      </c>
      <c r="P465" s="14">
        <f>H465*I465</f>
        <v/>
      </c>
      <c r="Q465" s="14">
        <f>P465*(1-J465)</f>
        <v/>
      </c>
      <c r="R465" s="14">
        <f>H465*K465</f>
        <v/>
      </c>
      <c r="S465" s="15">
        <f>IF(Q465=0,"",(Q465-R465)/Q465)</f>
        <v/>
      </c>
      <c r="T465" s="13">
        <f>YEAR(B465)</f>
        <v/>
      </c>
      <c r="U465" s="13">
        <f>YEAR(B465)&amp;"-Q"&amp;ROUNDUP(MONTH(B465)/3,0)</f>
        <v/>
      </c>
      <c r="V465" s="13">
        <f>TEXT(B465,"YYYY-MM")</f>
        <v/>
      </c>
      <c r="W465" s="13">
        <f>IF(L465="","",IF(L465&gt;pLateDays,1,0))</f>
        <v/>
      </c>
      <c r="X465" s="13">
        <f>IF(Q465&gt;=pHighCutoff,1,0)</f>
        <v/>
      </c>
      <c r="Y465" s="13">
        <f>IF(M465="Returned",1,0)</f>
        <v/>
      </c>
    </row>
    <row r="466">
      <c r="A466" s="13" t="inlineStr">
        <is>
          <t>HC-100464</t>
        </is>
      </c>
      <c r="B466" s="18" t="n">
        <v>45347</v>
      </c>
      <c r="C466" s="13" t="inlineStr">
        <is>
          <t>North</t>
        </is>
      </c>
      <c r="D466" s="13" t="inlineStr">
        <is>
          <t>Online</t>
        </is>
      </c>
      <c r="E466" s="13" t="inlineStr">
        <is>
          <t>Lighting</t>
        </is>
      </c>
      <c r="F466" s="13" t="inlineStr">
        <is>
          <t>Brass Sconce</t>
        </is>
      </c>
      <c r="G466" s="13" t="inlineStr">
        <is>
          <t>Consumer</t>
        </is>
      </c>
      <c r="H466" s="13" t="n">
        <v>1</v>
      </c>
      <c r="I466" s="14" t="n">
        <v>130.93</v>
      </c>
      <c r="J466" s="15" t="n">
        <v>0.04</v>
      </c>
      <c r="K466" s="14" t="n">
        <v>60.23</v>
      </c>
      <c r="L466" s="13" t="n">
        <v>9</v>
      </c>
      <c r="M466" s="13" t="inlineStr">
        <is>
          <t>Completed</t>
        </is>
      </c>
      <c r="N466" s="13" t="inlineStr">
        <is>
          <t>M. Okonkwo</t>
        </is>
      </c>
      <c r="O466" s="13" t="inlineStr">
        <is>
          <t>No</t>
        </is>
      </c>
      <c r="P466" s="14">
        <f>H466*I466</f>
        <v/>
      </c>
      <c r="Q466" s="14">
        <f>P466*(1-J466)</f>
        <v/>
      </c>
      <c r="R466" s="14">
        <f>H466*K466</f>
        <v/>
      </c>
      <c r="S466" s="15">
        <f>IF(Q466=0,"",(Q466-R466)/Q466)</f>
        <v/>
      </c>
      <c r="T466" s="13">
        <f>YEAR(B466)</f>
        <v/>
      </c>
      <c r="U466" s="13">
        <f>YEAR(B466)&amp;"-Q"&amp;ROUNDUP(MONTH(B466)/3,0)</f>
        <v/>
      </c>
      <c r="V466" s="13">
        <f>TEXT(B466,"YYYY-MM")</f>
        <v/>
      </c>
      <c r="W466" s="13">
        <f>IF(L466="","",IF(L466&gt;pLateDays,1,0))</f>
        <v/>
      </c>
      <c r="X466" s="13">
        <f>IF(Q466&gt;=pHighCutoff,1,0)</f>
        <v/>
      </c>
      <c r="Y466" s="13">
        <f>IF(M466="Returned",1,0)</f>
        <v/>
      </c>
    </row>
    <row r="467">
      <c r="A467" s="13" t="inlineStr">
        <is>
          <t>HC-100465</t>
        </is>
      </c>
      <c r="B467" s="18" t="n">
        <v>45714</v>
      </c>
      <c r="C467" s="13" t="inlineStr">
        <is>
          <t>North</t>
        </is>
      </c>
      <c r="D467" s="13" t="inlineStr">
        <is>
          <t>Store</t>
        </is>
      </c>
      <c r="E467" s="13" t="inlineStr">
        <is>
          <t>Lighting</t>
        </is>
      </c>
      <c r="F467" s="13" t="inlineStr">
        <is>
          <t>Arc Lamp</t>
        </is>
      </c>
      <c r="G467" s="13" t="inlineStr">
        <is>
          <t>Consumer</t>
        </is>
      </c>
      <c r="H467" s="13" t="n">
        <v>4</v>
      </c>
      <c r="I467" s="14" t="n">
        <v>293.89</v>
      </c>
      <c r="J467" s="15" t="n">
        <v>0.1</v>
      </c>
      <c r="K467" s="14" t="n">
        <v>141.07</v>
      </c>
      <c r="L467" s="13" t="n">
        <v>9</v>
      </c>
      <c r="M467" s="13" t="inlineStr">
        <is>
          <t>Completed</t>
        </is>
      </c>
      <c r="N467" s="13" t="inlineStr">
        <is>
          <t>J. Patel</t>
        </is>
      </c>
      <c r="O467" s="13" t="inlineStr">
        <is>
          <t>No</t>
        </is>
      </c>
      <c r="P467" s="14">
        <f>H467*I467</f>
        <v/>
      </c>
      <c r="Q467" s="14">
        <f>P467*(1-J467)</f>
        <v/>
      </c>
      <c r="R467" s="14">
        <f>H467*K467</f>
        <v/>
      </c>
      <c r="S467" s="15">
        <f>IF(Q467=0,"",(Q467-R467)/Q467)</f>
        <v/>
      </c>
      <c r="T467" s="13">
        <f>YEAR(B467)</f>
        <v/>
      </c>
      <c r="U467" s="13">
        <f>YEAR(B467)&amp;"-Q"&amp;ROUNDUP(MONTH(B467)/3,0)</f>
        <v/>
      </c>
      <c r="V467" s="13">
        <f>TEXT(B467,"YYYY-MM")</f>
        <v/>
      </c>
      <c r="W467" s="13">
        <f>IF(L467="","",IF(L467&gt;pLateDays,1,0))</f>
        <v/>
      </c>
      <c r="X467" s="13">
        <f>IF(Q467&gt;=pHighCutoff,1,0)</f>
        <v/>
      </c>
      <c r="Y467" s="13">
        <f>IF(M467="Returned",1,0)</f>
        <v/>
      </c>
    </row>
    <row r="468">
      <c r="A468" s="13" t="inlineStr">
        <is>
          <t>HC-100466</t>
        </is>
      </c>
      <c r="B468" s="18" t="n">
        <v>45859</v>
      </c>
      <c r="C468" s="13" t="inlineStr">
        <is>
          <t>East</t>
        </is>
      </c>
      <c r="D468" s="13" t="inlineStr">
        <is>
          <t>Online</t>
        </is>
      </c>
      <c r="E468" s="13" t="inlineStr">
        <is>
          <t>Textiles</t>
        </is>
      </c>
      <c r="F468" s="13" t="inlineStr">
        <is>
          <t>Linen Curtain</t>
        </is>
      </c>
      <c r="G468" s="13" t="inlineStr">
        <is>
          <t>Corporate</t>
        </is>
      </c>
      <c r="H468" s="13" t="n">
        <v>3</v>
      </c>
      <c r="I468" s="14" t="n">
        <v>91.26000000000001</v>
      </c>
      <c r="J468" s="15" t="n">
        <v>0.13</v>
      </c>
      <c r="K468" s="14" t="n">
        <v>41.07</v>
      </c>
      <c r="L468" s="13" t="n">
        <v>6</v>
      </c>
      <c r="M468" s="13" t="inlineStr">
        <is>
          <t>Completed</t>
        </is>
      </c>
      <c r="N468" s="13" t="inlineStr">
        <is>
          <t>J. Patel</t>
        </is>
      </c>
      <c r="O468" s="13" t="inlineStr">
        <is>
          <t>No</t>
        </is>
      </c>
      <c r="P468" s="14">
        <f>H468*I468</f>
        <v/>
      </c>
      <c r="Q468" s="14">
        <f>P468*(1-J468)</f>
        <v/>
      </c>
      <c r="R468" s="14">
        <f>H468*K468</f>
        <v/>
      </c>
      <c r="S468" s="15">
        <f>IF(Q468=0,"",(Q468-R468)/Q468)</f>
        <v/>
      </c>
      <c r="T468" s="13">
        <f>YEAR(B468)</f>
        <v/>
      </c>
      <c r="U468" s="13">
        <f>YEAR(B468)&amp;"-Q"&amp;ROUNDUP(MONTH(B468)/3,0)</f>
        <v/>
      </c>
      <c r="V468" s="13">
        <f>TEXT(B468,"YYYY-MM")</f>
        <v/>
      </c>
      <c r="W468" s="13">
        <f>IF(L468="","",IF(L468&gt;pLateDays,1,0))</f>
        <v/>
      </c>
      <c r="X468" s="13">
        <f>IF(Q468&gt;=pHighCutoff,1,0)</f>
        <v/>
      </c>
      <c r="Y468" s="13">
        <f>IF(M468="Returned",1,0)</f>
        <v/>
      </c>
    </row>
    <row r="469">
      <c r="A469" s="13" t="inlineStr">
        <is>
          <t>HC-100467</t>
        </is>
      </c>
      <c r="B469" s="18" t="n">
        <v>45520</v>
      </c>
      <c r="C469" s="13" t="inlineStr">
        <is>
          <t>South</t>
        </is>
      </c>
      <c r="D469" s="13" t="inlineStr">
        <is>
          <t>Online</t>
        </is>
      </c>
      <c r="E469" s="13" t="inlineStr">
        <is>
          <t>Lighting</t>
        </is>
      </c>
      <c r="F469" s="13" t="inlineStr">
        <is>
          <t>Pendant Light</t>
        </is>
      </c>
      <c r="G469" s="13" t="inlineStr">
        <is>
          <t>Consumer</t>
        </is>
      </c>
      <c r="H469" s="13" t="n">
        <v>1</v>
      </c>
      <c r="I469" s="14" t="n">
        <v>171.49</v>
      </c>
      <c r="J469" s="15" t="n">
        <v>0.16</v>
      </c>
      <c r="K469" s="14" t="n">
        <v>85.75</v>
      </c>
      <c r="L469" s="13" t="n">
        <v>8</v>
      </c>
      <c r="M469" s="13" t="inlineStr">
        <is>
          <t>Completed</t>
        </is>
      </c>
      <c r="N469" s="13" t="inlineStr">
        <is>
          <t>A. Shah</t>
        </is>
      </c>
      <c r="O469" s="13" t="inlineStr">
        <is>
          <t>No</t>
        </is>
      </c>
      <c r="P469" s="14">
        <f>H469*I469</f>
        <v/>
      </c>
      <c r="Q469" s="14">
        <f>P469*(1-J469)</f>
        <v/>
      </c>
      <c r="R469" s="14">
        <f>H469*K469</f>
        <v/>
      </c>
      <c r="S469" s="15">
        <f>IF(Q469=0,"",(Q469-R469)/Q469)</f>
        <v/>
      </c>
      <c r="T469" s="13">
        <f>YEAR(B469)</f>
        <v/>
      </c>
      <c r="U469" s="13">
        <f>YEAR(B469)&amp;"-Q"&amp;ROUNDUP(MONTH(B469)/3,0)</f>
        <v/>
      </c>
      <c r="V469" s="13">
        <f>TEXT(B469,"YYYY-MM")</f>
        <v/>
      </c>
      <c r="W469" s="13">
        <f>IF(L469="","",IF(L469&gt;pLateDays,1,0))</f>
        <v/>
      </c>
      <c r="X469" s="13">
        <f>IF(Q469&gt;=pHighCutoff,1,0)</f>
        <v/>
      </c>
      <c r="Y469" s="13">
        <f>IF(M469="Returned",1,0)</f>
        <v/>
      </c>
    </row>
    <row r="470">
      <c r="A470" s="13" t="inlineStr">
        <is>
          <t>HC-100468</t>
        </is>
      </c>
      <c r="B470" s="18" t="n">
        <v>45478</v>
      </c>
      <c r="C470" s="13" t="inlineStr">
        <is>
          <t>North</t>
        </is>
      </c>
      <c r="D470" s="13" t="inlineStr">
        <is>
          <t>Online</t>
        </is>
      </c>
      <c r="E470" s="13" t="inlineStr">
        <is>
          <t>Textiles</t>
        </is>
      </c>
      <c r="F470" s="13" t="inlineStr">
        <is>
          <t>Wool Throw</t>
        </is>
      </c>
      <c r="G470" s="13" t="inlineStr">
        <is>
          <t>Consumer</t>
        </is>
      </c>
      <c r="H470" s="13" t="n">
        <v>2</v>
      </c>
      <c r="I470" s="14" t="n">
        <v>78.44</v>
      </c>
      <c r="J470" s="15" t="n">
        <v>0.06</v>
      </c>
      <c r="K470" s="14" t="n">
        <v>32.94</v>
      </c>
      <c r="L470" s="13" t="n">
        <v>5</v>
      </c>
      <c r="M470" s="13" t="inlineStr">
        <is>
          <t>Completed</t>
        </is>
      </c>
      <c r="N470" s="13" t="inlineStr">
        <is>
          <t>J. Patel</t>
        </is>
      </c>
      <c r="O470" s="13" t="inlineStr">
        <is>
          <t>No</t>
        </is>
      </c>
      <c r="P470" s="14">
        <f>H470*I470</f>
        <v/>
      </c>
      <c r="Q470" s="14">
        <f>P470*(1-J470)</f>
        <v/>
      </c>
      <c r="R470" s="14">
        <f>H470*K470</f>
        <v/>
      </c>
      <c r="S470" s="15">
        <f>IF(Q470=0,"",(Q470-R470)/Q470)</f>
        <v/>
      </c>
      <c r="T470" s="13">
        <f>YEAR(B470)</f>
        <v/>
      </c>
      <c r="U470" s="13">
        <f>YEAR(B470)&amp;"-Q"&amp;ROUNDUP(MONTH(B470)/3,0)</f>
        <v/>
      </c>
      <c r="V470" s="13">
        <f>TEXT(B470,"YYYY-MM")</f>
        <v/>
      </c>
      <c r="W470" s="13">
        <f>IF(L470="","",IF(L470&gt;pLateDays,1,0))</f>
        <v/>
      </c>
      <c r="X470" s="13">
        <f>IF(Q470&gt;=pHighCutoff,1,0)</f>
        <v/>
      </c>
      <c r="Y470" s="13">
        <f>IF(M470="Returned",1,0)</f>
        <v/>
      </c>
    </row>
    <row r="471">
      <c r="A471" s="13" t="inlineStr">
        <is>
          <t>HC-100469</t>
        </is>
      </c>
      <c r="B471" s="18" t="n">
        <v>45754</v>
      </c>
      <c r="C471" s="13" t="inlineStr">
        <is>
          <t>South</t>
        </is>
      </c>
      <c r="D471" s="13" t="inlineStr">
        <is>
          <t>Store</t>
        </is>
      </c>
      <c r="E471" s="13" t="inlineStr">
        <is>
          <t>Lighting</t>
        </is>
      </c>
      <c r="F471" s="13" t="inlineStr">
        <is>
          <t>Arc Lamp</t>
        </is>
      </c>
      <c r="G471" s="13" t="inlineStr">
        <is>
          <t>Consumer</t>
        </is>
      </c>
      <c r="H471" s="13" t="n">
        <v>4</v>
      </c>
      <c r="I471" s="14" t="n">
        <v>333.63</v>
      </c>
      <c r="J471" s="15" t="n">
        <v>0.02</v>
      </c>
      <c r="K471" s="14" t="n">
        <v>160.14</v>
      </c>
      <c r="L471" s="13" t="n">
        <v>5</v>
      </c>
      <c r="M471" s="13" t="inlineStr">
        <is>
          <t>Completed</t>
        </is>
      </c>
      <c r="N471" s="13" t="inlineStr">
        <is>
          <t>R. Ibarra</t>
        </is>
      </c>
      <c r="O471" s="13" t="inlineStr">
        <is>
          <t>No</t>
        </is>
      </c>
      <c r="P471" s="14">
        <f>H471*I471</f>
        <v/>
      </c>
      <c r="Q471" s="14">
        <f>P471*(1-J471)</f>
        <v/>
      </c>
      <c r="R471" s="14">
        <f>H471*K471</f>
        <v/>
      </c>
      <c r="S471" s="15">
        <f>IF(Q471=0,"",(Q471-R471)/Q471)</f>
        <v/>
      </c>
      <c r="T471" s="13">
        <f>YEAR(B471)</f>
        <v/>
      </c>
      <c r="U471" s="13">
        <f>YEAR(B471)&amp;"-Q"&amp;ROUNDUP(MONTH(B471)/3,0)</f>
        <v/>
      </c>
      <c r="V471" s="13">
        <f>TEXT(B471,"YYYY-MM")</f>
        <v/>
      </c>
      <c r="W471" s="13">
        <f>IF(L471="","",IF(L471&gt;pLateDays,1,0))</f>
        <v/>
      </c>
      <c r="X471" s="13">
        <f>IF(Q471&gt;=pHighCutoff,1,0)</f>
        <v/>
      </c>
      <c r="Y471" s="13">
        <f>IF(M471="Returned",1,0)</f>
        <v/>
      </c>
    </row>
    <row r="472">
      <c r="A472" s="13" t="inlineStr">
        <is>
          <t>HC-100470</t>
        </is>
      </c>
      <c r="B472" s="18" t="n">
        <v>45368</v>
      </c>
      <c r="C472" s="13" t="inlineStr">
        <is>
          <t>North</t>
        </is>
      </c>
      <c r="D472" s="13" t="inlineStr">
        <is>
          <t>Store</t>
        </is>
      </c>
      <c r="E472" s="13" t="inlineStr">
        <is>
          <t>Furniture</t>
        </is>
      </c>
      <c r="F472" s="13" t="inlineStr">
        <is>
          <t>Linen Sofa</t>
        </is>
      </c>
      <c r="G472" s="13" t="inlineStr">
        <is>
          <t>Corporate</t>
        </is>
      </c>
      <c r="H472" s="13" t="n">
        <v>4</v>
      </c>
      <c r="I472" s="14" t="n">
        <v>1271.52</v>
      </c>
      <c r="J472" s="15" t="n">
        <v>0.07000000000000001</v>
      </c>
      <c r="K472" s="14" t="n">
        <v>839.2</v>
      </c>
      <c r="L472" s="13" t="n">
        <v>9</v>
      </c>
      <c r="M472" s="13" t="inlineStr">
        <is>
          <t>Returned</t>
        </is>
      </c>
      <c r="N472" s="13" t="inlineStr">
        <is>
          <t>P. Rossi</t>
        </is>
      </c>
      <c r="O472" s="13" t="inlineStr">
        <is>
          <t>No</t>
        </is>
      </c>
      <c r="P472" s="14">
        <f>H472*I472</f>
        <v/>
      </c>
      <c r="Q472" s="14">
        <f>P472*(1-J472)</f>
        <v/>
      </c>
      <c r="R472" s="14">
        <f>H472*K472</f>
        <v/>
      </c>
      <c r="S472" s="15">
        <f>IF(Q472=0,"",(Q472-R472)/Q472)</f>
        <v/>
      </c>
      <c r="T472" s="13">
        <f>YEAR(B472)</f>
        <v/>
      </c>
      <c r="U472" s="13">
        <f>YEAR(B472)&amp;"-Q"&amp;ROUNDUP(MONTH(B472)/3,0)</f>
        <v/>
      </c>
      <c r="V472" s="13">
        <f>TEXT(B472,"YYYY-MM")</f>
        <v/>
      </c>
      <c r="W472" s="13">
        <f>IF(L472="","",IF(L472&gt;pLateDays,1,0))</f>
        <v/>
      </c>
      <c r="X472" s="13">
        <f>IF(Q472&gt;=pHighCutoff,1,0)</f>
        <v/>
      </c>
      <c r="Y472" s="13">
        <f>IF(M472="Returned",1,0)</f>
        <v/>
      </c>
    </row>
    <row r="473">
      <c r="A473" s="13" t="inlineStr">
        <is>
          <t>HC-100471</t>
        </is>
      </c>
      <c r="B473" s="18" t="n">
        <v>45607</v>
      </c>
      <c r="C473" s="13" t="inlineStr">
        <is>
          <t>West</t>
        </is>
      </c>
      <c r="D473" s="13" t="inlineStr">
        <is>
          <t>Online</t>
        </is>
      </c>
      <c r="E473" s="13" t="inlineStr">
        <is>
          <t>Furniture</t>
        </is>
      </c>
      <c r="F473" s="13" t="inlineStr">
        <is>
          <t>Linen Sofa</t>
        </is>
      </c>
      <c r="G473" s="13" t="inlineStr">
        <is>
          <t>Consumer</t>
        </is>
      </c>
      <c r="H473" s="13" t="n">
        <v>2</v>
      </c>
      <c r="I473" s="14" t="n">
        <v>1181.43</v>
      </c>
      <c r="J473" s="15" t="n">
        <v>0.07000000000000001</v>
      </c>
      <c r="K473" s="14" t="n">
        <v>779.74</v>
      </c>
      <c r="L473" s="13" t="n">
        <v>3</v>
      </c>
      <c r="M473" s="13" t="inlineStr">
        <is>
          <t>Completed</t>
        </is>
      </c>
      <c r="N473" s="13" t="inlineStr">
        <is>
          <t>S. Nguyen</t>
        </is>
      </c>
      <c r="O473" s="13" t="inlineStr">
        <is>
          <t>No</t>
        </is>
      </c>
      <c r="P473" s="14">
        <f>H473*I473</f>
        <v/>
      </c>
      <c r="Q473" s="14">
        <f>P473*(1-J473)</f>
        <v/>
      </c>
      <c r="R473" s="14">
        <f>H473*K473</f>
        <v/>
      </c>
      <c r="S473" s="15">
        <f>IF(Q473=0,"",(Q473-R473)/Q473)</f>
        <v/>
      </c>
      <c r="T473" s="13">
        <f>YEAR(B473)</f>
        <v/>
      </c>
      <c r="U473" s="13">
        <f>YEAR(B473)&amp;"-Q"&amp;ROUNDUP(MONTH(B473)/3,0)</f>
        <v/>
      </c>
      <c r="V473" s="13">
        <f>TEXT(B473,"YYYY-MM")</f>
        <v/>
      </c>
      <c r="W473" s="13">
        <f>IF(L473="","",IF(L473&gt;pLateDays,1,0))</f>
        <v/>
      </c>
      <c r="X473" s="13">
        <f>IF(Q473&gt;=pHighCutoff,1,0)</f>
        <v/>
      </c>
      <c r="Y473" s="13">
        <f>IF(M473="Returned",1,0)</f>
        <v/>
      </c>
    </row>
    <row r="474">
      <c r="A474" s="13" t="inlineStr">
        <is>
          <t>HC-100472</t>
        </is>
      </c>
      <c r="B474" s="18" t="n">
        <v>45442</v>
      </c>
      <c r="C474" s="13" t="inlineStr">
        <is>
          <t>South</t>
        </is>
      </c>
      <c r="D474" s="13" t="inlineStr">
        <is>
          <t>Wholesale</t>
        </is>
      </c>
      <c r="E474" s="13" t="inlineStr">
        <is>
          <t>Furniture</t>
        </is>
      </c>
      <c r="F474" s="13" t="inlineStr">
        <is>
          <t>Linen Sofa</t>
        </is>
      </c>
      <c r="G474" s="13" t="inlineStr">
        <is>
          <t>Consumer</t>
        </is>
      </c>
      <c r="H474" s="13" t="n">
        <v>8</v>
      </c>
      <c r="I474" s="14" t="n">
        <v>1182.39</v>
      </c>
      <c r="J474" s="15" t="n">
        <v>0.31</v>
      </c>
      <c r="K474" s="14" t="n">
        <v>780.37</v>
      </c>
      <c r="L474" s="13" t="n"/>
      <c r="M474" s="13" t="inlineStr">
        <is>
          <t>Completed</t>
        </is>
      </c>
      <c r="N474" s="13" t="inlineStr">
        <is>
          <t>M. Okonkwo</t>
        </is>
      </c>
      <c r="O474" s="13" t="inlineStr">
        <is>
          <t>No</t>
        </is>
      </c>
      <c r="P474" s="14">
        <f>H474*I474</f>
        <v/>
      </c>
      <c r="Q474" s="14">
        <f>P474*(1-J474)</f>
        <v/>
      </c>
      <c r="R474" s="14">
        <f>H474*K474</f>
        <v/>
      </c>
      <c r="S474" s="15">
        <f>IF(Q474=0,"",(Q474-R474)/Q474)</f>
        <v/>
      </c>
      <c r="T474" s="13">
        <f>YEAR(B474)</f>
        <v/>
      </c>
      <c r="U474" s="13">
        <f>YEAR(B474)&amp;"-Q"&amp;ROUNDUP(MONTH(B474)/3,0)</f>
        <v/>
      </c>
      <c r="V474" s="13">
        <f>TEXT(B474,"YYYY-MM")</f>
        <v/>
      </c>
      <c r="W474" s="13">
        <f>IF(L474="","",IF(L474&gt;pLateDays,1,0))</f>
        <v/>
      </c>
      <c r="X474" s="13">
        <f>IF(Q474&gt;=pHighCutoff,1,0)</f>
        <v/>
      </c>
      <c r="Y474" s="13">
        <f>IF(M474="Returned",1,0)</f>
        <v/>
      </c>
    </row>
    <row r="475">
      <c r="A475" s="13" t="inlineStr">
        <is>
          <t>HC-100473</t>
        </is>
      </c>
      <c r="B475" s="18" t="n">
        <v>45688</v>
      </c>
      <c r="C475" s="13" t="inlineStr">
        <is>
          <t>East</t>
        </is>
      </c>
      <c r="D475" s="13" t="inlineStr">
        <is>
          <t>Store</t>
        </is>
      </c>
      <c r="E475" s="13" t="inlineStr">
        <is>
          <t>Lighting</t>
        </is>
      </c>
      <c r="F475" s="13" t="inlineStr">
        <is>
          <t>Brass Sconce</t>
        </is>
      </c>
      <c r="G475" s="13" t="inlineStr">
        <is>
          <t>Unknown</t>
        </is>
      </c>
      <c r="H475" s="13" t="n">
        <v>3</v>
      </c>
      <c r="I475" s="14" t="n">
        <v>135.32</v>
      </c>
      <c r="J475" s="15" t="n">
        <v>0.05</v>
      </c>
      <c r="K475" s="14" t="n">
        <v>62.25</v>
      </c>
      <c r="L475" s="13" t="n">
        <v>8</v>
      </c>
      <c r="M475" s="13" t="inlineStr">
        <is>
          <t>Completed</t>
        </is>
      </c>
      <c r="N475" s="13" t="inlineStr">
        <is>
          <t>L. Berger</t>
        </is>
      </c>
      <c r="O475" s="13" t="inlineStr">
        <is>
          <t>No</t>
        </is>
      </c>
      <c r="P475" s="14">
        <f>H475*I475</f>
        <v/>
      </c>
      <c r="Q475" s="14">
        <f>P475*(1-J475)</f>
        <v/>
      </c>
      <c r="R475" s="14">
        <f>H475*K475</f>
        <v/>
      </c>
      <c r="S475" s="15">
        <f>IF(Q475=0,"",(Q475-R475)/Q475)</f>
        <v/>
      </c>
      <c r="T475" s="13">
        <f>YEAR(B475)</f>
        <v/>
      </c>
      <c r="U475" s="13">
        <f>YEAR(B475)&amp;"-Q"&amp;ROUNDUP(MONTH(B475)/3,0)</f>
        <v/>
      </c>
      <c r="V475" s="13">
        <f>TEXT(B475,"YYYY-MM")</f>
        <v/>
      </c>
      <c r="W475" s="13">
        <f>IF(L475="","",IF(L475&gt;pLateDays,1,0))</f>
        <v/>
      </c>
      <c r="X475" s="13">
        <f>IF(Q475&gt;=pHighCutoff,1,0)</f>
        <v/>
      </c>
      <c r="Y475" s="13">
        <f>IF(M475="Returned",1,0)</f>
        <v/>
      </c>
    </row>
    <row r="476">
      <c r="A476" s="13" t="inlineStr">
        <is>
          <t>HC-100474</t>
        </is>
      </c>
      <c r="B476" s="18" t="n">
        <v>45822</v>
      </c>
      <c r="C476" s="13" t="inlineStr">
        <is>
          <t>East</t>
        </is>
      </c>
      <c r="D476" s="13" t="inlineStr">
        <is>
          <t>Wholesale</t>
        </is>
      </c>
      <c r="E476" s="13" t="inlineStr">
        <is>
          <t>Lighting</t>
        </is>
      </c>
      <c r="F476" s="13" t="inlineStr">
        <is>
          <t>Arc Lamp</t>
        </is>
      </c>
      <c r="G476" s="13" t="inlineStr">
        <is>
          <t>Consumer</t>
        </is>
      </c>
      <c r="H476" s="13" t="n">
        <v>15</v>
      </c>
      <c r="I476" s="14" t="n">
        <v>261.4</v>
      </c>
      <c r="J476" s="15" t="n">
        <v>0.16</v>
      </c>
      <c r="K476" s="14" t="n">
        <v>125.47</v>
      </c>
      <c r="L476" s="13" t="n">
        <v>9</v>
      </c>
      <c r="M476" s="13" t="inlineStr">
        <is>
          <t>Completed</t>
        </is>
      </c>
      <c r="N476" s="13" t="inlineStr">
        <is>
          <t>J. Patel</t>
        </is>
      </c>
      <c r="O476" s="13" t="inlineStr">
        <is>
          <t>No</t>
        </is>
      </c>
      <c r="P476" s="14">
        <f>H476*I476</f>
        <v/>
      </c>
      <c r="Q476" s="14">
        <f>P476*(1-J476)</f>
        <v/>
      </c>
      <c r="R476" s="14">
        <f>H476*K476</f>
        <v/>
      </c>
      <c r="S476" s="15">
        <f>IF(Q476=0,"",(Q476-R476)/Q476)</f>
        <v/>
      </c>
      <c r="T476" s="13">
        <f>YEAR(B476)</f>
        <v/>
      </c>
      <c r="U476" s="13">
        <f>YEAR(B476)&amp;"-Q"&amp;ROUNDUP(MONTH(B476)/3,0)</f>
        <v/>
      </c>
      <c r="V476" s="13">
        <f>TEXT(B476,"YYYY-MM")</f>
        <v/>
      </c>
      <c r="W476" s="13">
        <f>IF(L476="","",IF(L476&gt;pLateDays,1,0))</f>
        <v/>
      </c>
      <c r="X476" s="13">
        <f>IF(Q476&gt;=pHighCutoff,1,0)</f>
        <v/>
      </c>
      <c r="Y476" s="13">
        <f>IF(M476="Returned",1,0)</f>
        <v/>
      </c>
    </row>
    <row r="477">
      <c r="A477" s="13" t="inlineStr">
        <is>
          <t>HC-100475</t>
        </is>
      </c>
      <c r="B477" s="18" t="n">
        <v>45923</v>
      </c>
      <c r="C477" s="13" t="inlineStr">
        <is>
          <t>East</t>
        </is>
      </c>
      <c r="D477" s="13" t="inlineStr">
        <is>
          <t>Online</t>
        </is>
      </c>
      <c r="E477" s="13" t="inlineStr">
        <is>
          <t>Textiles</t>
        </is>
      </c>
      <c r="F477" s="13" t="inlineStr">
        <is>
          <t>Linen Curtain</t>
        </is>
      </c>
      <c r="G477" s="13" t="inlineStr">
        <is>
          <t>Consumer</t>
        </is>
      </c>
      <c r="H477" s="13" t="n">
        <v>3</v>
      </c>
      <c r="I477" s="14" t="n">
        <v>85.45999999999999</v>
      </c>
      <c r="J477" s="15" t="n">
        <v>0.05</v>
      </c>
      <c r="K477" s="14" t="n">
        <v>38.46</v>
      </c>
      <c r="L477" s="13" t="n">
        <v>7</v>
      </c>
      <c r="M477" s="13" t="inlineStr">
        <is>
          <t>Completed</t>
        </is>
      </c>
      <c r="N477" s="13" t="inlineStr">
        <is>
          <t>S. Nguyen</t>
        </is>
      </c>
      <c r="O477" s="13" t="inlineStr">
        <is>
          <t>No</t>
        </is>
      </c>
      <c r="P477" s="14">
        <f>H477*I477</f>
        <v/>
      </c>
      <c r="Q477" s="14">
        <f>P477*(1-J477)</f>
        <v/>
      </c>
      <c r="R477" s="14">
        <f>H477*K477</f>
        <v/>
      </c>
      <c r="S477" s="15">
        <f>IF(Q477=0,"",(Q477-R477)/Q477)</f>
        <v/>
      </c>
      <c r="T477" s="13">
        <f>YEAR(B477)</f>
        <v/>
      </c>
      <c r="U477" s="13">
        <f>YEAR(B477)&amp;"-Q"&amp;ROUNDUP(MONTH(B477)/3,0)</f>
        <v/>
      </c>
      <c r="V477" s="13">
        <f>TEXT(B477,"YYYY-MM")</f>
        <v/>
      </c>
      <c r="W477" s="13">
        <f>IF(L477="","",IF(L477&gt;pLateDays,1,0))</f>
        <v/>
      </c>
      <c r="X477" s="13">
        <f>IF(Q477&gt;=pHighCutoff,1,0)</f>
        <v/>
      </c>
      <c r="Y477" s="13">
        <f>IF(M477="Returned",1,0)</f>
        <v/>
      </c>
    </row>
    <row r="478">
      <c r="A478" s="13" t="inlineStr">
        <is>
          <t>HC-100476</t>
        </is>
      </c>
      <c r="B478" s="18" t="n">
        <v>45691</v>
      </c>
      <c r="C478" s="13" t="inlineStr">
        <is>
          <t>South</t>
        </is>
      </c>
      <c r="D478" s="13" t="inlineStr">
        <is>
          <t>Wholesale</t>
        </is>
      </c>
      <c r="E478" s="13" t="inlineStr">
        <is>
          <t>Kitchen</t>
        </is>
      </c>
      <c r="F478" s="13" t="inlineStr">
        <is>
          <t>Ceramic Set</t>
        </is>
      </c>
      <c r="G478" s="13" t="inlineStr">
        <is>
          <t>Consumer</t>
        </is>
      </c>
      <c r="H478" s="13" t="n">
        <v>15</v>
      </c>
      <c r="I478" s="14" t="n">
        <v>83.22</v>
      </c>
      <c r="J478" s="15" t="n">
        <v>0.19</v>
      </c>
      <c r="K478" s="14" t="n">
        <v>31.62</v>
      </c>
      <c r="L478" s="13" t="n">
        <v>10</v>
      </c>
      <c r="M478" s="13" t="inlineStr">
        <is>
          <t>Completed</t>
        </is>
      </c>
      <c r="N478" s="13" t="inlineStr">
        <is>
          <t>L. Berger</t>
        </is>
      </c>
      <c r="O478" s="13" t="inlineStr">
        <is>
          <t>No</t>
        </is>
      </c>
      <c r="P478" s="14">
        <f>H478*I478</f>
        <v/>
      </c>
      <c r="Q478" s="14">
        <f>P478*(1-J478)</f>
        <v/>
      </c>
      <c r="R478" s="14">
        <f>H478*K478</f>
        <v/>
      </c>
      <c r="S478" s="15">
        <f>IF(Q478=0,"",(Q478-R478)/Q478)</f>
        <v/>
      </c>
      <c r="T478" s="13">
        <f>YEAR(B478)</f>
        <v/>
      </c>
      <c r="U478" s="13">
        <f>YEAR(B478)&amp;"-Q"&amp;ROUNDUP(MONTH(B478)/3,0)</f>
        <v/>
      </c>
      <c r="V478" s="13">
        <f>TEXT(B478,"YYYY-MM")</f>
        <v/>
      </c>
      <c r="W478" s="13">
        <f>IF(L478="","",IF(L478&gt;pLateDays,1,0))</f>
        <v/>
      </c>
      <c r="X478" s="13">
        <f>IF(Q478&gt;=pHighCutoff,1,0)</f>
        <v/>
      </c>
      <c r="Y478" s="13">
        <f>IF(M478="Returned",1,0)</f>
        <v/>
      </c>
    </row>
    <row r="479">
      <c r="A479" s="13" t="inlineStr">
        <is>
          <t>HC-100477</t>
        </is>
      </c>
      <c r="B479" s="18" t="n">
        <v>45420</v>
      </c>
      <c r="C479" s="13" t="inlineStr">
        <is>
          <t>North</t>
        </is>
      </c>
      <c r="D479" s="13" t="inlineStr">
        <is>
          <t>Wholesale</t>
        </is>
      </c>
      <c r="E479" s="13" t="inlineStr">
        <is>
          <t>Furniture</t>
        </is>
      </c>
      <c r="F479" s="13" t="inlineStr">
        <is>
          <t>Linen Sofa</t>
        </is>
      </c>
      <c r="G479" s="13" t="inlineStr">
        <is>
          <t>Consumer</t>
        </is>
      </c>
      <c r="H479" s="13" t="n">
        <v>15</v>
      </c>
      <c r="I479" s="14" t="n">
        <v>1171.31</v>
      </c>
      <c r="J479" s="15" t="n">
        <v>0.3</v>
      </c>
      <c r="K479" s="14" t="n">
        <v>773.0700000000001</v>
      </c>
      <c r="L479" s="13" t="n">
        <v>3</v>
      </c>
      <c r="M479" s="13" t="inlineStr">
        <is>
          <t>Completed</t>
        </is>
      </c>
      <c r="N479" s="13" t="inlineStr">
        <is>
          <t>R. Ibarra</t>
        </is>
      </c>
      <c r="O479" s="13" t="inlineStr">
        <is>
          <t>No</t>
        </is>
      </c>
      <c r="P479" s="14">
        <f>H479*I479</f>
        <v/>
      </c>
      <c r="Q479" s="14">
        <f>P479*(1-J479)</f>
        <v/>
      </c>
      <c r="R479" s="14">
        <f>H479*K479</f>
        <v/>
      </c>
      <c r="S479" s="15">
        <f>IF(Q479=0,"",(Q479-R479)/Q479)</f>
        <v/>
      </c>
      <c r="T479" s="13">
        <f>YEAR(B479)</f>
        <v/>
      </c>
      <c r="U479" s="13">
        <f>YEAR(B479)&amp;"-Q"&amp;ROUNDUP(MONTH(B479)/3,0)</f>
        <v/>
      </c>
      <c r="V479" s="13">
        <f>TEXT(B479,"YYYY-MM")</f>
        <v/>
      </c>
      <c r="W479" s="13">
        <f>IF(L479="","",IF(L479&gt;pLateDays,1,0))</f>
        <v/>
      </c>
      <c r="X479" s="13">
        <f>IF(Q479&gt;=pHighCutoff,1,0)</f>
        <v/>
      </c>
      <c r="Y479" s="13">
        <f>IF(M479="Returned",1,0)</f>
        <v/>
      </c>
    </row>
    <row r="480">
      <c r="A480" s="13" t="inlineStr">
        <is>
          <t>HC-100478</t>
        </is>
      </c>
      <c r="B480" s="18" t="n">
        <v>45892</v>
      </c>
      <c r="C480" s="13" t="inlineStr">
        <is>
          <t>North</t>
        </is>
      </c>
      <c r="D480" s="13" t="inlineStr">
        <is>
          <t>Store</t>
        </is>
      </c>
      <c r="E480" s="13" t="inlineStr">
        <is>
          <t>Lighting</t>
        </is>
      </c>
      <c r="F480" s="13" t="inlineStr">
        <is>
          <t>Brass Sconce</t>
        </is>
      </c>
      <c r="G480" s="13" t="inlineStr">
        <is>
          <t>Consumer</t>
        </is>
      </c>
      <c r="H480" s="13" t="n">
        <v>3</v>
      </c>
      <c r="I480" s="14" t="n">
        <v>148.91</v>
      </c>
      <c r="J480" s="15" t="n">
        <v>0.06</v>
      </c>
      <c r="K480" s="14" t="n">
        <v>68.5</v>
      </c>
      <c r="L480" s="13" t="n">
        <v>9</v>
      </c>
      <c r="M480" s="13" t="inlineStr">
        <is>
          <t>Completed</t>
        </is>
      </c>
      <c r="N480" s="13" t="inlineStr">
        <is>
          <t>A. Shah</t>
        </is>
      </c>
      <c r="O480" s="13" t="inlineStr">
        <is>
          <t>No</t>
        </is>
      </c>
      <c r="P480" s="14">
        <f>H480*I480</f>
        <v/>
      </c>
      <c r="Q480" s="14">
        <f>P480*(1-J480)</f>
        <v/>
      </c>
      <c r="R480" s="14">
        <f>H480*K480</f>
        <v/>
      </c>
      <c r="S480" s="15">
        <f>IF(Q480=0,"",(Q480-R480)/Q480)</f>
        <v/>
      </c>
      <c r="T480" s="13">
        <f>YEAR(B480)</f>
        <v/>
      </c>
      <c r="U480" s="13">
        <f>YEAR(B480)&amp;"-Q"&amp;ROUNDUP(MONTH(B480)/3,0)</f>
        <v/>
      </c>
      <c r="V480" s="13">
        <f>TEXT(B480,"YYYY-MM")</f>
        <v/>
      </c>
      <c r="W480" s="13">
        <f>IF(L480="","",IF(L480&gt;pLateDays,1,0))</f>
        <v/>
      </c>
      <c r="X480" s="13">
        <f>IF(Q480&gt;=pHighCutoff,1,0)</f>
        <v/>
      </c>
      <c r="Y480" s="13">
        <f>IF(M480="Returned",1,0)</f>
        <v/>
      </c>
    </row>
    <row r="481">
      <c r="A481" s="13" t="inlineStr">
        <is>
          <t>HC-100479</t>
        </is>
      </c>
      <c r="B481" s="18" t="n">
        <v>45849</v>
      </c>
      <c r="C481" s="13" t="inlineStr">
        <is>
          <t>West</t>
        </is>
      </c>
      <c r="D481" s="13" t="inlineStr">
        <is>
          <t>Wholesale</t>
        </is>
      </c>
      <c r="E481" s="13" t="inlineStr">
        <is>
          <t>Furniture</t>
        </is>
      </c>
      <c r="F481" s="13" t="inlineStr">
        <is>
          <t>Linen Sofa</t>
        </is>
      </c>
      <c r="G481" s="13" t="inlineStr">
        <is>
          <t>Corporate</t>
        </is>
      </c>
      <c r="H481" s="13" t="n">
        <v>22</v>
      </c>
      <c r="I481" s="14" t="n">
        <v>1327.48</v>
      </c>
      <c r="J481" s="15" t="n">
        <v>0.18</v>
      </c>
      <c r="K481" s="14" t="n">
        <v>876.13</v>
      </c>
      <c r="L481" s="13" t="n">
        <v>7</v>
      </c>
      <c r="M481" s="13" t="inlineStr">
        <is>
          <t>Completed</t>
        </is>
      </c>
      <c r="N481" s="13" t="inlineStr">
        <is>
          <t>R. Ibarra</t>
        </is>
      </c>
      <c r="O481" s="13" t="inlineStr">
        <is>
          <t>No</t>
        </is>
      </c>
      <c r="P481" s="14">
        <f>H481*I481</f>
        <v/>
      </c>
      <c r="Q481" s="14">
        <f>P481*(1-J481)</f>
        <v/>
      </c>
      <c r="R481" s="14">
        <f>H481*K481</f>
        <v/>
      </c>
      <c r="S481" s="15">
        <f>IF(Q481=0,"",(Q481-R481)/Q481)</f>
        <v/>
      </c>
      <c r="T481" s="13">
        <f>YEAR(B481)</f>
        <v/>
      </c>
      <c r="U481" s="13">
        <f>YEAR(B481)&amp;"-Q"&amp;ROUNDUP(MONTH(B481)/3,0)</f>
        <v/>
      </c>
      <c r="V481" s="13">
        <f>TEXT(B481,"YYYY-MM")</f>
        <v/>
      </c>
      <c r="W481" s="13">
        <f>IF(L481="","",IF(L481&gt;pLateDays,1,0))</f>
        <v/>
      </c>
      <c r="X481" s="13">
        <f>IF(Q481&gt;=pHighCutoff,1,0)</f>
        <v/>
      </c>
      <c r="Y481" s="13">
        <f>IF(M481="Returned",1,0)</f>
        <v/>
      </c>
    </row>
    <row r="482">
      <c r="A482" s="13" t="inlineStr">
        <is>
          <t>HC-100480</t>
        </is>
      </c>
      <c r="B482" s="18" t="n">
        <v>45629</v>
      </c>
      <c r="C482" s="13" t="inlineStr">
        <is>
          <t>South</t>
        </is>
      </c>
      <c r="D482" s="13" t="inlineStr">
        <is>
          <t>Store</t>
        </is>
      </c>
      <c r="E482" s="13" t="inlineStr">
        <is>
          <t>Furniture</t>
        </is>
      </c>
      <c r="F482" s="13" t="inlineStr">
        <is>
          <t>Oak Desk</t>
        </is>
      </c>
      <c r="G482" s="13" t="inlineStr">
        <is>
          <t>Home Office</t>
        </is>
      </c>
      <c r="H482" s="13" t="n">
        <v>5</v>
      </c>
      <c r="I482" s="14" t="n">
        <v>813.77</v>
      </c>
      <c r="J482" s="15" t="n">
        <v>0.01</v>
      </c>
      <c r="K482" s="14" t="n">
        <v>504.54</v>
      </c>
      <c r="L482" s="13" t="n">
        <v>6</v>
      </c>
      <c r="M482" s="13" t="inlineStr">
        <is>
          <t>Completed</t>
        </is>
      </c>
      <c r="N482" s="13" t="inlineStr">
        <is>
          <t>R. Ibarra</t>
        </is>
      </c>
      <c r="O482" s="13" t="inlineStr">
        <is>
          <t>No</t>
        </is>
      </c>
      <c r="P482" s="14">
        <f>H482*I482</f>
        <v/>
      </c>
      <c r="Q482" s="14">
        <f>P482*(1-J482)</f>
        <v/>
      </c>
      <c r="R482" s="14">
        <f>H482*K482</f>
        <v/>
      </c>
      <c r="S482" s="15">
        <f>IF(Q482=0,"",(Q482-R482)/Q482)</f>
        <v/>
      </c>
      <c r="T482" s="13">
        <f>YEAR(B482)</f>
        <v/>
      </c>
      <c r="U482" s="13">
        <f>YEAR(B482)&amp;"-Q"&amp;ROUNDUP(MONTH(B482)/3,0)</f>
        <v/>
      </c>
      <c r="V482" s="13">
        <f>TEXT(B482,"YYYY-MM")</f>
        <v/>
      </c>
      <c r="W482" s="13">
        <f>IF(L482="","",IF(L482&gt;pLateDays,1,0))</f>
        <v/>
      </c>
      <c r="X482" s="13">
        <f>IF(Q482&gt;=pHighCutoff,1,0)</f>
        <v/>
      </c>
      <c r="Y482" s="13">
        <f>IF(M482="Returned",1,0)</f>
        <v/>
      </c>
    </row>
    <row r="483">
      <c r="A483" s="13" t="inlineStr">
        <is>
          <t>HC-100481</t>
        </is>
      </c>
      <c r="B483" s="18" t="n">
        <v>45446</v>
      </c>
      <c r="C483" s="13" t="inlineStr">
        <is>
          <t>North</t>
        </is>
      </c>
      <c r="D483" s="13" t="inlineStr">
        <is>
          <t>Store</t>
        </is>
      </c>
      <c r="E483" s="13" t="inlineStr">
        <is>
          <t>Furniture</t>
        </is>
      </c>
      <c r="F483" s="13" t="inlineStr">
        <is>
          <t>Linen Sofa</t>
        </is>
      </c>
      <c r="G483" s="13" t="inlineStr">
        <is>
          <t>Corporate</t>
        </is>
      </c>
      <c r="H483" s="13" t="n">
        <v>2</v>
      </c>
      <c r="I483" s="14" t="n">
        <v>1263</v>
      </c>
      <c r="J483" s="15" t="n">
        <v>0</v>
      </c>
      <c r="K483" s="14" t="n">
        <v>833.58</v>
      </c>
      <c r="L483" s="13" t="n">
        <v>8</v>
      </c>
      <c r="M483" s="13" t="inlineStr">
        <is>
          <t>Completed</t>
        </is>
      </c>
      <c r="N483" s="13" t="inlineStr">
        <is>
          <t>S. Nguyen</t>
        </is>
      </c>
      <c r="O483" s="13" t="inlineStr">
        <is>
          <t>No</t>
        </is>
      </c>
      <c r="P483" s="14">
        <f>H483*I483</f>
        <v/>
      </c>
      <c r="Q483" s="14">
        <f>P483*(1-J483)</f>
        <v/>
      </c>
      <c r="R483" s="14">
        <f>H483*K483</f>
        <v/>
      </c>
      <c r="S483" s="15">
        <f>IF(Q483=0,"",(Q483-R483)/Q483)</f>
        <v/>
      </c>
      <c r="T483" s="13">
        <f>YEAR(B483)</f>
        <v/>
      </c>
      <c r="U483" s="13">
        <f>YEAR(B483)&amp;"-Q"&amp;ROUNDUP(MONTH(B483)/3,0)</f>
        <v/>
      </c>
      <c r="V483" s="13">
        <f>TEXT(B483,"YYYY-MM")</f>
        <v/>
      </c>
      <c r="W483" s="13">
        <f>IF(L483="","",IF(L483&gt;pLateDays,1,0))</f>
        <v/>
      </c>
      <c r="X483" s="13">
        <f>IF(Q483&gt;=pHighCutoff,1,0)</f>
        <v/>
      </c>
      <c r="Y483" s="13">
        <f>IF(M483="Returned",1,0)</f>
        <v/>
      </c>
    </row>
    <row r="484">
      <c r="A484" s="13" t="inlineStr">
        <is>
          <t>HC-100482</t>
        </is>
      </c>
      <c r="B484" s="18" t="n">
        <v>45326</v>
      </c>
      <c r="C484" s="13" t="inlineStr">
        <is>
          <t>South</t>
        </is>
      </c>
      <c r="D484" s="13" t="inlineStr">
        <is>
          <t>Online</t>
        </is>
      </c>
      <c r="E484" s="13" t="inlineStr">
        <is>
          <t>Furniture</t>
        </is>
      </c>
      <c r="F484" s="13" t="inlineStr">
        <is>
          <t>Linen Sofa</t>
        </is>
      </c>
      <c r="G484" s="13" t="inlineStr">
        <is>
          <t>Consumer</t>
        </is>
      </c>
      <c r="H484" s="13" t="n">
        <v>3</v>
      </c>
      <c r="I484" s="14" t="n">
        <v>1199.87</v>
      </c>
      <c r="J484" s="15" t="n">
        <v>0.15</v>
      </c>
      <c r="K484" s="14" t="n">
        <v>791.91</v>
      </c>
      <c r="L484" s="13" t="n">
        <v>7</v>
      </c>
      <c r="M484" s="13" t="inlineStr">
        <is>
          <t>Completed</t>
        </is>
      </c>
      <c r="N484" s="13" t="inlineStr">
        <is>
          <t>L. Berger</t>
        </is>
      </c>
      <c r="O484" s="13" t="inlineStr">
        <is>
          <t>No</t>
        </is>
      </c>
      <c r="P484" s="14">
        <f>H484*I484</f>
        <v/>
      </c>
      <c r="Q484" s="14">
        <f>P484*(1-J484)</f>
        <v/>
      </c>
      <c r="R484" s="14">
        <f>H484*K484</f>
        <v/>
      </c>
      <c r="S484" s="15">
        <f>IF(Q484=0,"",(Q484-R484)/Q484)</f>
        <v/>
      </c>
      <c r="T484" s="13">
        <f>YEAR(B484)</f>
        <v/>
      </c>
      <c r="U484" s="13">
        <f>YEAR(B484)&amp;"-Q"&amp;ROUNDUP(MONTH(B484)/3,0)</f>
        <v/>
      </c>
      <c r="V484" s="13">
        <f>TEXT(B484,"YYYY-MM")</f>
        <v/>
      </c>
      <c r="W484" s="13">
        <f>IF(L484="","",IF(L484&gt;pLateDays,1,0))</f>
        <v/>
      </c>
      <c r="X484" s="13">
        <f>IF(Q484&gt;=pHighCutoff,1,0)</f>
        <v/>
      </c>
      <c r="Y484" s="13">
        <f>IF(M484="Returned",1,0)</f>
        <v/>
      </c>
    </row>
    <row r="485">
      <c r="A485" s="13" t="inlineStr">
        <is>
          <t>HC-100483</t>
        </is>
      </c>
      <c r="B485" s="18" t="n">
        <v>45785</v>
      </c>
      <c r="C485" s="13" t="inlineStr">
        <is>
          <t>West</t>
        </is>
      </c>
      <c r="D485" s="13" t="inlineStr">
        <is>
          <t>Wholesale</t>
        </is>
      </c>
      <c r="E485" s="13" t="inlineStr">
        <is>
          <t>Furniture</t>
        </is>
      </c>
      <c r="F485" s="13" t="inlineStr">
        <is>
          <t>Linen Sofa</t>
        </is>
      </c>
      <c r="G485" s="13" t="inlineStr">
        <is>
          <t>Home Office</t>
        </is>
      </c>
      <c r="H485" s="13" t="n">
        <v>27</v>
      </c>
      <c r="I485" s="14" t="n">
        <v>1327.64</v>
      </c>
      <c r="J485" s="15" t="n">
        <v>0.18</v>
      </c>
      <c r="K485" s="14" t="n">
        <v>876.24</v>
      </c>
      <c r="L485" s="13" t="n">
        <v>5</v>
      </c>
      <c r="M485" s="13" t="inlineStr">
        <is>
          <t>Completed</t>
        </is>
      </c>
      <c r="N485" s="13" t="inlineStr">
        <is>
          <t>S. Nguyen</t>
        </is>
      </c>
      <c r="O485" s="13" t="inlineStr">
        <is>
          <t>No</t>
        </is>
      </c>
      <c r="P485" s="14">
        <f>H485*I485</f>
        <v/>
      </c>
      <c r="Q485" s="14">
        <f>P485*(1-J485)</f>
        <v/>
      </c>
      <c r="R485" s="14">
        <f>H485*K485</f>
        <v/>
      </c>
      <c r="S485" s="15">
        <f>IF(Q485=0,"",(Q485-R485)/Q485)</f>
        <v/>
      </c>
      <c r="T485" s="13">
        <f>YEAR(B485)</f>
        <v/>
      </c>
      <c r="U485" s="13">
        <f>YEAR(B485)&amp;"-Q"&amp;ROUNDUP(MONTH(B485)/3,0)</f>
        <v/>
      </c>
      <c r="V485" s="13">
        <f>TEXT(B485,"YYYY-MM")</f>
        <v/>
      </c>
      <c r="W485" s="13">
        <f>IF(L485="","",IF(L485&gt;pLateDays,1,0))</f>
        <v/>
      </c>
      <c r="X485" s="13">
        <f>IF(Q485&gt;=pHighCutoff,1,0)</f>
        <v/>
      </c>
      <c r="Y485" s="13">
        <f>IF(M485="Returned",1,0)</f>
        <v/>
      </c>
    </row>
    <row r="486">
      <c r="A486" s="13" t="inlineStr">
        <is>
          <t>HC-100484</t>
        </is>
      </c>
      <c r="B486" s="18" t="n">
        <v>45724</v>
      </c>
      <c r="C486" s="13" t="inlineStr">
        <is>
          <t>East</t>
        </is>
      </c>
      <c r="D486" s="13" t="inlineStr">
        <is>
          <t>Store</t>
        </is>
      </c>
      <c r="E486" s="13" t="inlineStr">
        <is>
          <t>Furniture</t>
        </is>
      </c>
      <c r="F486" s="13" t="inlineStr">
        <is>
          <t>Lounge Chair</t>
        </is>
      </c>
      <c r="G486" s="13" t="inlineStr">
        <is>
          <t>Corporate</t>
        </is>
      </c>
      <c r="H486" s="13" t="n">
        <v>2</v>
      </c>
      <c r="I486" s="14" t="n">
        <v>429.87</v>
      </c>
      <c r="J486" s="15" t="n">
        <v>0.09</v>
      </c>
      <c r="K486" s="14" t="n">
        <v>257.92</v>
      </c>
      <c r="L486" s="13" t="n">
        <v>13</v>
      </c>
      <c r="M486" s="13" t="inlineStr">
        <is>
          <t>Completed</t>
        </is>
      </c>
      <c r="N486" s="13" t="inlineStr">
        <is>
          <t>M. Okonkwo</t>
        </is>
      </c>
      <c r="O486" s="13" t="inlineStr">
        <is>
          <t>No</t>
        </is>
      </c>
      <c r="P486" s="14">
        <f>H486*I486</f>
        <v/>
      </c>
      <c r="Q486" s="14">
        <f>P486*(1-J486)</f>
        <v/>
      </c>
      <c r="R486" s="14">
        <f>H486*K486</f>
        <v/>
      </c>
      <c r="S486" s="15">
        <f>IF(Q486=0,"",(Q486-R486)/Q486)</f>
        <v/>
      </c>
      <c r="T486" s="13">
        <f>YEAR(B486)</f>
        <v/>
      </c>
      <c r="U486" s="13">
        <f>YEAR(B486)&amp;"-Q"&amp;ROUNDUP(MONTH(B486)/3,0)</f>
        <v/>
      </c>
      <c r="V486" s="13">
        <f>TEXT(B486,"YYYY-MM")</f>
        <v/>
      </c>
      <c r="W486" s="13">
        <f>IF(L486="","",IF(L486&gt;pLateDays,1,0))</f>
        <v/>
      </c>
      <c r="X486" s="13">
        <f>IF(Q486&gt;=pHighCutoff,1,0)</f>
        <v/>
      </c>
      <c r="Y486" s="13">
        <f>IF(M486="Returned",1,0)</f>
        <v/>
      </c>
    </row>
    <row r="487">
      <c r="A487" s="13" t="inlineStr">
        <is>
          <t>HC-100485</t>
        </is>
      </c>
      <c r="B487" s="18" t="n">
        <v>45764</v>
      </c>
      <c r="C487" s="13" t="inlineStr">
        <is>
          <t>South</t>
        </is>
      </c>
      <c r="D487" s="13" t="inlineStr">
        <is>
          <t>Store</t>
        </is>
      </c>
      <c r="E487" s="13" t="inlineStr">
        <is>
          <t>Textiles</t>
        </is>
      </c>
      <c r="F487" s="13" t="inlineStr">
        <is>
          <t>Linen Curtain</t>
        </is>
      </c>
      <c r="G487" s="13" t="inlineStr">
        <is>
          <t>Consumer</t>
        </is>
      </c>
      <c r="H487" s="13" t="n">
        <v>2</v>
      </c>
      <c r="I487" s="14" t="n">
        <v>96.26000000000001</v>
      </c>
      <c r="J487" s="15" t="n">
        <v>0.05</v>
      </c>
      <c r="K487" s="14" t="n">
        <v>43.32</v>
      </c>
      <c r="L487" s="13" t="n">
        <v>6</v>
      </c>
      <c r="M487" s="13" t="inlineStr">
        <is>
          <t>Cancelled</t>
        </is>
      </c>
      <c r="N487" s="13" t="inlineStr">
        <is>
          <t>P. Rossi</t>
        </is>
      </c>
      <c r="O487" s="13" t="inlineStr">
        <is>
          <t>No</t>
        </is>
      </c>
      <c r="P487" s="14">
        <f>H487*I487</f>
        <v/>
      </c>
      <c r="Q487" s="14">
        <f>P487*(1-J487)</f>
        <v/>
      </c>
      <c r="R487" s="14">
        <f>H487*K487</f>
        <v/>
      </c>
      <c r="S487" s="15">
        <f>IF(Q487=0,"",(Q487-R487)/Q487)</f>
        <v/>
      </c>
      <c r="T487" s="13">
        <f>YEAR(B487)</f>
        <v/>
      </c>
      <c r="U487" s="13">
        <f>YEAR(B487)&amp;"-Q"&amp;ROUNDUP(MONTH(B487)/3,0)</f>
        <v/>
      </c>
      <c r="V487" s="13">
        <f>TEXT(B487,"YYYY-MM")</f>
        <v/>
      </c>
      <c r="W487" s="13">
        <f>IF(L487="","",IF(L487&gt;pLateDays,1,0))</f>
        <v/>
      </c>
      <c r="X487" s="13">
        <f>IF(Q487&gt;=pHighCutoff,1,0)</f>
        <v/>
      </c>
      <c r="Y487" s="13">
        <f>IF(M487="Returned",1,0)</f>
        <v/>
      </c>
    </row>
    <row r="488">
      <c r="A488" s="13" t="inlineStr">
        <is>
          <t>HC-100486</t>
        </is>
      </c>
      <c r="B488" s="18" t="n">
        <v>45908</v>
      </c>
      <c r="C488" s="13" t="inlineStr">
        <is>
          <t>West</t>
        </is>
      </c>
      <c r="D488" s="13" t="inlineStr">
        <is>
          <t>Store</t>
        </is>
      </c>
      <c r="E488" s="13" t="inlineStr">
        <is>
          <t>Lighting</t>
        </is>
      </c>
      <c r="F488" s="13" t="inlineStr">
        <is>
          <t>Brass Sconce</t>
        </is>
      </c>
      <c r="G488" s="13" t="inlineStr">
        <is>
          <t>Consumer</t>
        </is>
      </c>
      <c r="H488" s="13" t="n">
        <v>2</v>
      </c>
      <c r="I488" s="14" t="n">
        <v>146.88</v>
      </c>
      <c r="J488" s="15" t="n">
        <v>0.05</v>
      </c>
      <c r="K488" s="14" t="n">
        <v>67.56999999999999</v>
      </c>
      <c r="L488" s="13" t="n"/>
      <c r="M488" s="13" t="inlineStr">
        <is>
          <t>Completed</t>
        </is>
      </c>
      <c r="N488" s="13" t="inlineStr">
        <is>
          <t>J. Patel</t>
        </is>
      </c>
      <c r="O488" s="13" t="inlineStr">
        <is>
          <t>No</t>
        </is>
      </c>
      <c r="P488" s="14">
        <f>H488*I488</f>
        <v/>
      </c>
      <c r="Q488" s="14">
        <f>P488*(1-J488)</f>
        <v/>
      </c>
      <c r="R488" s="14">
        <f>H488*K488</f>
        <v/>
      </c>
      <c r="S488" s="15">
        <f>IF(Q488=0,"",(Q488-R488)/Q488)</f>
        <v/>
      </c>
      <c r="T488" s="13">
        <f>YEAR(B488)</f>
        <v/>
      </c>
      <c r="U488" s="13">
        <f>YEAR(B488)&amp;"-Q"&amp;ROUNDUP(MONTH(B488)/3,0)</f>
        <v/>
      </c>
      <c r="V488" s="13">
        <f>TEXT(B488,"YYYY-MM")</f>
        <v/>
      </c>
      <c r="W488" s="13">
        <f>IF(L488="","",IF(L488&gt;pLateDays,1,0))</f>
        <v/>
      </c>
      <c r="X488" s="13">
        <f>IF(Q488&gt;=pHighCutoff,1,0)</f>
        <v/>
      </c>
      <c r="Y488" s="13">
        <f>IF(M488="Returned",1,0)</f>
        <v/>
      </c>
    </row>
    <row r="489">
      <c r="A489" s="13" t="inlineStr">
        <is>
          <t>HC-100487</t>
        </is>
      </c>
      <c r="B489" s="18" t="n">
        <v>45886</v>
      </c>
      <c r="C489" s="13" t="inlineStr">
        <is>
          <t>West</t>
        </is>
      </c>
      <c r="D489" s="13" t="inlineStr">
        <is>
          <t>Store</t>
        </is>
      </c>
      <c r="E489" s="13" t="inlineStr">
        <is>
          <t>Textiles</t>
        </is>
      </c>
      <c r="F489" s="13" t="inlineStr">
        <is>
          <t>Cotton Duvet</t>
        </is>
      </c>
      <c r="G489" s="13" t="inlineStr">
        <is>
          <t>Corporate</t>
        </is>
      </c>
      <c r="H489" s="13" t="n">
        <v>2</v>
      </c>
      <c r="I489" s="14" t="n">
        <v>110.75</v>
      </c>
      <c r="J489" s="15" t="n">
        <v>0.12</v>
      </c>
      <c r="K489" s="14" t="n">
        <v>48.73</v>
      </c>
      <c r="L489" s="13" t="n">
        <v>6</v>
      </c>
      <c r="M489" s="13" t="inlineStr">
        <is>
          <t>Returned</t>
        </is>
      </c>
      <c r="N489" s="13" t="inlineStr">
        <is>
          <t>K. Mensah</t>
        </is>
      </c>
      <c r="O489" s="13" t="inlineStr">
        <is>
          <t>No</t>
        </is>
      </c>
      <c r="P489" s="14">
        <f>H489*I489</f>
        <v/>
      </c>
      <c r="Q489" s="14">
        <f>P489*(1-J489)</f>
        <v/>
      </c>
      <c r="R489" s="14">
        <f>H489*K489</f>
        <v/>
      </c>
      <c r="S489" s="15">
        <f>IF(Q489=0,"",(Q489-R489)/Q489)</f>
        <v/>
      </c>
      <c r="T489" s="13">
        <f>YEAR(B489)</f>
        <v/>
      </c>
      <c r="U489" s="13">
        <f>YEAR(B489)&amp;"-Q"&amp;ROUNDUP(MONTH(B489)/3,0)</f>
        <v/>
      </c>
      <c r="V489" s="13">
        <f>TEXT(B489,"YYYY-MM")</f>
        <v/>
      </c>
      <c r="W489" s="13">
        <f>IF(L489="","",IF(L489&gt;pLateDays,1,0))</f>
        <v/>
      </c>
      <c r="X489" s="13">
        <f>IF(Q489&gt;=pHighCutoff,1,0)</f>
        <v/>
      </c>
      <c r="Y489" s="13">
        <f>IF(M489="Returned",1,0)</f>
        <v/>
      </c>
    </row>
    <row r="490">
      <c r="A490" s="13" t="inlineStr">
        <is>
          <t>HC-100488</t>
        </is>
      </c>
      <c r="B490" s="18" t="n">
        <v>45606</v>
      </c>
      <c r="C490" s="13" t="inlineStr">
        <is>
          <t>East</t>
        </is>
      </c>
      <c r="D490" s="13" t="inlineStr">
        <is>
          <t>Online</t>
        </is>
      </c>
      <c r="E490" s="13" t="inlineStr">
        <is>
          <t>Kitchen</t>
        </is>
      </c>
      <c r="F490" s="13" t="inlineStr">
        <is>
          <t>Chef Knife</t>
        </is>
      </c>
      <c r="G490" s="13" t="inlineStr">
        <is>
          <t>Corporate</t>
        </is>
      </c>
      <c r="H490" s="13" t="n">
        <v>3</v>
      </c>
      <c r="I490" s="14" t="n">
        <v>59.26</v>
      </c>
      <c r="J490" s="15" t="n">
        <v>0.05</v>
      </c>
      <c r="K490" s="14" t="n">
        <v>21.33</v>
      </c>
      <c r="L490" s="13" t="n">
        <v>6</v>
      </c>
      <c r="M490" s="13" t="inlineStr">
        <is>
          <t>Completed</t>
        </is>
      </c>
      <c r="N490" s="13" t="inlineStr">
        <is>
          <t>S. Nguyen</t>
        </is>
      </c>
      <c r="O490" s="13" t="inlineStr">
        <is>
          <t>No</t>
        </is>
      </c>
      <c r="P490" s="14">
        <f>H490*I490</f>
        <v/>
      </c>
      <c r="Q490" s="14">
        <f>P490*(1-J490)</f>
        <v/>
      </c>
      <c r="R490" s="14">
        <f>H490*K490</f>
        <v/>
      </c>
      <c r="S490" s="15">
        <f>IF(Q490=0,"",(Q490-R490)/Q490)</f>
        <v/>
      </c>
      <c r="T490" s="13">
        <f>YEAR(B490)</f>
        <v/>
      </c>
      <c r="U490" s="13">
        <f>YEAR(B490)&amp;"-Q"&amp;ROUNDUP(MONTH(B490)/3,0)</f>
        <v/>
      </c>
      <c r="V490" s="13">
        <f>TEXT(B490,"YYYY-MM")</f>
        <v/>
      </c>
      <c r="W490" s="13">
        <f>IF(L490="","",IF(L490&gt;pLateDays,1,0))</f>
        <v/>
      </c>
      <c r="X490" s="13">
        <f>IF(Q490&gt;=pHighCutoff,1,0)</f>
        <v/>
      </c>
      <c r="Y490" s="13">
        <f>IF(M490="Returned",1,0)</f>
        <v/>
      </c>
    </row>
    <row r="491">
      <c r="A491" s="13" t="inlineStr">
        <is>
          <t>HC-100489</t>
        </is>
      </c>
      <c r="B491" s="18" t="n">
        <v>45503</v>
      </c>
      <c r="C491" s="13" t="inlineStr">
        <is>
          <t>North</t>
        </is>
      </c>
      <c r="D491" s="13" t="inlineStr">
        <is>
          <t>Online</t>
        </is>
      </c>
      <c r="E491" s="13" t="inlineStr">
        <is>
          <t>Textiles</t>
        </is>
      </c>
      <c r="F491" s="13" t="inlineStr">
        <is>
          <t>Cotton Duvet</t>
        </is>
      </c>
      <c r="G491" s="13" t="inlineStr">
        <is>
          <t>Consumer</t>
        </is>
      </c>
      <c r="H491" s="13" t="n">
        <v>3</v>
      </c>
      <c r="I491" s="14" t="n">
        <v>125.06</v>
      </c>
      <c r="J491" s="15" t="n">
        <v>0.15</v>
      </c>
      <c r="K491" s="14" t="n">
        <v>55.03</v>
      </c>
      <c r="L491" s="13" t="n">
        <v>5</v>
      </c>
      <c r="M491" s="13" t="inlineStr">
        <is>
          <t>Completed</t>
        </is>
      </c>
      <c r="N491" s="13" t="inlineStr">
        <is>
          <t>A. Shah</t>
        </is>
      </c>
      <c r="O491" s="13" t="inlineStr">
        <is>
          <t>No</t>
        </is>
      </c>
      <c r="P491" s="14">
        <f>H491*I491</f>
        <v/>
      </c>
      <c r="Q491" s="14">
        <f>P491*(1-J491)</f>
        <v/>
      </c>
      <c r="R491" s="14">
        <f>H491*K491</f>
        <v/>
      </c>
      <c r="S491" s="15">
        <f>IF(Q491=0,"",(Q491-R491)/Q491)</f>
        <v/>
      </c>
      <c r="T491" s="13">
        <f>YEAR(B491)</f>
        <v/>
      </c>
      <c r="U491" s="13">
        <f>YEAR(B491)&amp;"-Q"&amp;ROUNDUP(MONTH(B491)/3,0)</f>
        <v/>
      </c>
      <c r="V491" s="13">
        <f>TEXT(B491,"YYYY-MM")</f>
        <v/>
      </c>
      <c r="W491" s="13">
        <f>IF(L491="","",IF(L491&gt;pLateDays,1,0))</f>
        <v/>
      </c>
      <c r="X491" s="13">
        <f>IF(Q491&gt;=pHighCutoff,1,0)</f>
        <v/>
      </c>
      <c r="Y491" s="13">
        <f>IF(M491="Returned",1,0)</f>
        <v/>
      </c>
    </row>
    <row r="492">
      <c r="A492" s="13" t="inlineStr">
        <is>
          <t>HC-100490</t>
        </is>
      </c>
      <c r="B492" s="18" t="n">
        <v>45814</v>
      </c>
      <c r="C492" s="13" t="inlineStr">
        <is>
          <t>West</t>
        </is>
      </c>
      <c r="D492" s="13" t="inlineStr">
        <is>
          <t>Store</t>
        </is>
      </c>
      <c r="E492" s="13" t="inlineStr">
        <is>
          <t>Lighting</t>
        </is>
      </c>
      <c r="F492" s="13" t="inlineStr">
        <is>
          <t>Brass Sconce</t>
        </is>
      </c>
      <c r="G492" s="13" t="inlineStr">
        <is>
          <t>Corporate</t>
        </is>
      </c>
      <c r="H492" s="13" t="n">
        <v>3</v>
      </c>
      <c r="I492" s="14" t="n">
        <v>133.3</v>
      </c>
      <c r="J492" s="15" t="n">
        <v>0.03</v>
      </c>
      <c r="K492" s="14" t="n">
        <v>61.32</v>
      </c>
      <c r="L492" s="13" t="n">
        <v>4</v>
      </c>
      <c r="M492" s="13" t="inlineStr">
        <is>
          <t>Completed</t>
        </is>
      </c>
      <c r="N492" s="13" t="inlineStr">
        <is>
          <t>R. Ibarra</t>
        </is>
      </c>
      <c r="O492" s="13" t="inlineStr">
        <is>
          <t>No</t>
        </is>
      </c>
      <c r="P492" s="14">
        <f>H492*I492</f>
        <v/>
      </c>
      <c r="Q492" s="14">
        <f>P492*(1-J492)</f>
        <v/>
      </c>
      <c r="R492" s="14">
        <f>H492*K492</f>
        <v/>
      </c>
      <c r="S492" s="15">
        <f>IF(Q492=0,"",(Q492-R492)/Q492)</f>
        <v/>
      </c>
      <c r="T492" s="13">
        <f>YEAR(B492)</f>
        <v/>
      </c>
      <c r="U492" s="13">
        <f>YEAR(B492)&amp;"-Q"&amp;ROUNDUP(MONTH(B492)/3,0)</f>
        <v/>
      </c>
      <c r="V492" s="13">
        <f>TEXT(B492,"YYYY-MM")</f>
        <v/>
      </c>
      <c r="W492" s="13">
        <f>IF(L492="","",IF(L492&gt;pLateDays,1,0))</f>
        <v/>
      </c>
      <c r="X492" s="13">
        <f>IF(Q492&gt;=pHighCutoff,1,0)</f>
        <v/>
      </c>
      <c r="Y492" s="13">
        <f>IF(M492="Returned",1,0)</f>
        <v/>
      </c>
    </row>
    <row r="493">
      <c r="A493" s="13" t="inlineStr">
        <is>
          <t>HC-100491</t>
        </is>
      </c>
      <c r="B493" s="18" t="n">
        <v>45429</v>
      </c>
      <c r="C493" s="13" t="inlineStr">
        <is>
          <t>South</t>
        </is>
      </c>
      <c r="D493" s="13" t="inlineStr">
        <is>
          <t>Store</t>
        </is>
      </c>
      <c r="E493" s="13" t="inlineStr">
        <is>
          <t>Textiles</t>
        </is>
      </c>
      <c r="F493" s="13" t="inlineStr">
        <is>
          <t>Cotton Duvet</t>
        </is>
      </c>
      <c r="G493" s="13" t="inlineStr">
        <is>
          <t>Consumer</t>
        </is>
      </c>
      <c r="H493" s="13" t="n">
        <v>2</v>
      </c>
      <c r="I493" s="14" t="n">
        <v>125.47</v>
      </c>
      <c r="J493" s="15" t="n">
        <v>0.01</v>
      </c>
      <c r="K493" s="14" t="n">
        <v>55.21</v>
      </c>
      <c r="L493" s="13" t="n">
        <v>3</v>
      </c>
      <c r="M493" s="13" t="inlineStr">
        <is>
          <t>Completed</t>
        </is>
      </c>
      <c r="N493" s="13" t="inlineStr">
        <is>
          <t>K. Mensah</t>
        </is>
      </c>
      <c r="O493" s="13" t="inlineStr">
        <is>
          <t>No</t>
        </is>
      </c>
      <c r="P493" s="14">
        <f>H493*I493</f>
        <v/>
      </c>
      <c r="Q493" s="14">
        <f>P493*(1-J493)</f>
        <v/>
      </c>
      <c r="R493" s="14">
        <f>H493*K493</f>
        <v/>
      </c>
      <c r="S493" s="15">
        <f>IF(Q493=0,"",(Q493-R493)/Q493)</f>
        <v/>
      </c>
      <c r="T493" s="13">
        <f>YEAR(B493)</f>
        <v/>
      </c>
      <c r="U493" s="13">
        <f>YEAR(B493)&amp;"-Q"&amp;ROUNDUP(MONTH(B493)/3,0)</f>
        <v/>
      </c>
      <c r="V493" s="13">
        <f>TEXT(B493,"YYYY-MM")</f>
        <v/>
      </c>
      <c r="W493" s="13">
        <f>IF(L493="","",IF(L493&gt;pLateDays,1,0))</f>
        <v/>
      </c>
      <c r="X493" s="13">
        <f>IF(Q493&gt;=pHighCutoff,1,0)</f>
        <v/>
      </c>
      <c r="Y493" s="13">
        <f>IF(M493="Returned",1,0)</f>
        <v/>
      </c>
    </row>
    <row r="494">
      <c r="A494" s="13" t="inlineStr">
        <is>
          <t>HC-100492</t>
        </is>
      </c>
      <c r="B494" s="18" t="n">
        <v>45910</v>
      </c>
      <c r="C494" s="13" t="inlineStr">
        <is>
          <t>East</t>
        </is>
      </c>
      <c r="D494" s="13" t="inlineStr">
        <is>
          <t>Store</t>
        </is>
      </c>
      <c r="E494" s="13" t="inlineStr">
        <is>
          <t>Kitchen</t>
        </is>
      </c>
      <c r="F494" s="13" t="inlineStr">
        <is>
          <t>Chef Knife</t>
        </is>
      </c>
      <c r="G494" s="13" t="inlineStr">
        <is>
          <t>Corporate</t>
        </is>
      </c>
      <c r="H494" s="13" t="n">
        <v>4</v>
      </c>
      <c r="I494" s="14" t="n">
        <v>55.53</v>
      </c>
      <c r="J494" s="15" t="n">
        <v>0.01</v>
      </c>
      <c r="K494" s="14" t="n">
        <v>19.99</v>
      </c>
      <c r="L494" s="13" t="n"/>
      <c r="M494" s="13" t="inlineStr">
        <is>
          <t>Completed</t>
        </is>
      </c>
      <c r="N494" s="13" t="inlineStr">
        <is>
          <t>A. Shah</t>
        </is>
      </c>
      <c r="O494" s="13" t="inlineStr">
        <is>
          <t>No</t>
        </is>
      </c>
      <c r="P494" s="14">
        <f>H494*I494</f>
        <v/>
      </c>
      <c r="Q494" s="14">
        <f>P494*(1-J494)</f>
        <v/>
      </c>
      <c r="R494" s="14">
        <f>H494*K494</f>
        <v/>
      </c>
      <c r="S494" s="15">
        <f>IF(Q494=0,"",(Q494-R494)/Q494)</f>
        <v/>
      </c>
      <c r="T494" s="13">
        <f>YEAR(B494)</f>
        <v/>
      </c>
      <c r="U494" s="13">
        <f>YEAR(B494)&amp;"-Q"&amp;ROUNDUP(MONTH(B494)/3,0)</f>
        <v/>
      </c>
      <c r="V494" s="13">
        <f>TEXT(B494,"YYYY-MM")</f>
        <v/>
      </c>
      <c r="W494" s="13">
        <f>IF(L494="","",IF(L494&gt;pLateDays,1,0))</f>
        <v/>
      </c>
      <c r="X494" s="13">
        <f>IF(Q494&gt;=pHighCutoff,1,0)</f>
        <v/>
      </c>
      <c r="Y494" s="13">
        <f>IF(M494="Returned",1,0)</f>
        <v/>
      </c>
    </row>
    <row r="495">
      <c r="A495" s="13" t="inlineStr">
        <is>
          <t>HC-100493</t>
        </is>
      </c>
      <c r="B495" s="18" t="n">
        <v>45455</v>
      </c>
      <c r="C495" s="13" t="inlineStr">
        <is>
          <t>West</t>
        </is>
      </c>
      <c r="D495" s="13" t="inlineStr">
        <is>
          <t>Store</t>
        </is>
      </c>
      <c r="E495" s="13" t="inlineStr">
        <is>
          <t>Furniture</t>
        </is>
      </c>
      <c r="F495" s="13" t="inlineStr">
        <is>
          <t>Linen Sofa</t>
        </is>
      </c>
      <c r="G495" s="13" t="inlineStr">
        <is>
          <t>Corporate</t>
        </is>
      </c>
      <c r="H495" s="13" t="n">
        <v>2</v>
      </c>
      <c r="I495" s="14" t="n">
        <v>1197.16</v>
      </c>
      <c r="J495" s="15" t="n">
        <v>0.03</v>
      </c>
      <c r="K495" s="14" t="n">
        <v>790.13</v>
      </c>
      <c r="L495" s="13" t="n">
        <v>6</v>
      </c>
      <c r="M495" s="13" t="inlineStr">
        <is>
          <t>Completed</t>
        </is>
      </c>
      <c r="N495" s="13" t="inlineStr">
        <is>
          <t>L. Berger</t>
        </is>
      </c>
      <c r="O495" s="13" t="inlineStr">
        <is>
          <t>No</t>
        </is>
      </c>
      <c r="P495" s="14">
        <f>H495*I495</f>
        <v/>
      </c>
      <c r="Q495" s="14">
        <f>P495*(1-J495)</f>
        <v/>
      </c>
      <c r="R495" s="14">
        <f>H495*K495</f>
        <v/>
      </c>
      <c r="S495" s="15">
        <f>IF(Q495=0,"",(Q495-R495)/Q495)</f>
        <v/>
      </c>
      <c r="T495" s="13">
        <f>YEAR(B495)</f>
        <v/>
      </c>
      <c r="U495" s="13">
        <f>YEAR(B495)&amp;"-Q"&amp;ROUNDUP(MONTH(B495)/3,0)</f>
        <v/>
      </c>
      <c r="V495" s="13">
        <f>TEXT(B495,"YYYY-MM")</f>
        <v/>
      </c>
      <c r="W495" s="13">
        <f>IF(L495="","",IF(L495&gt;pLateDays,1,0))</f>
        <v/>
      </c>
      <c r="X495" s="13">
        <f>IF(Q495&gt;=pHighCutoff,1,0)</f>
        <v/>
      </c>
      <c r="Y495" s="13">
        <f>IF(M495="Returned",1,0)</f>
        <v/>
      </c>
    </row>
    <row r="496">
      <c r="A496" s="13" t="inlineStr">
        <is>
          <t>HC-100494</t>
        </is>
      </c>
      <c r="B496" s="18" t="n">
        <v>45662</v>
      </c>
      <c r="C496" s="13" t="inlineStr">
        <is>
          <t>North</t>
        </is>
      </c>
      <c r="D496" s="13" t="inlineStr">
        <is>
          <t>Wholesale</t>
        </is>
      </c>
      <c r="E496" s="13" t="inlineStr">
        <is>
          <t>Textiles</t>
        </is>
      </c>
      <c r="F496" s="13" t="inlineStr">
        <is>
          <t>Wool Throw</t>
        </is>
      </c>
      <c r="G496" s="13" t="inlineStr">
        <is>
          <t>Home Office</t>
        </is>
      </c>
      <c r="H496" s="13" t="n">
        <v>35</v>
      </c>
      <c r="I496" s="14" t="n">
        <v>80.40000000000001</v>
      </c>
      <c r="J496" s="15" t="n">
        <v>0.21</v>
      </c>
      <c r="K496" s="14" t="n">
        <v>33.77</v>
      </c>
      <c r="L496" s="13" t="n">
        <v>5</v>
      </c>
      <c r="M496" s="13" t="inlineStr">
        <is>
          <t>Completed</t>
        </is>
      </c>
      <c r="N496" s="13" t="inlineStr">
        <is>
          <t>L. Berger</t>
        </is>
      </c>
      <c r="O496" s="13" t="inlineStr">
        <is>
          <t>No</t>
        </is>
      </c>
      <c r="P496" s="14">
        <f>H496*I496</f>
        <v/>
      </c>
      <c r="Q496" s="14">
        <f>P496*(1-J496)</f>
        <v/>
      </c>
      <c r="R496" s="14">
        <f>H496*K496</f>
        <v/>
      </c>
      <c r="S496" s="15">
        <f>IF(Q496=0,"",(Q496-R496)/Q496)</f>
        <v/>
      </c>
      <c r="T496" s="13">
        <f>YEAR(B496)</f>
        <v/>
      </c>
      <c r="U496" s="13">
        <f>YEAR(B496)&amp;"-Q"&amp;ROUNDUP(MONTH(B496)/3,0)</f>
        <v/>
      </c>
      <c r="V496" s="13">
        <f>TEXT(B496,"YYYY-MM")</f>
        <v/>
      </c>
      <c r="W496" s="13">
        <f>IF(L496="","",IF(L496&gt;pLateDays,1,0))</f>
        <v/>
      </c>
      <c r="X496" s="13">
        <f>IF(Q496&gt;=pHighCutoff,1,0)</f>
        <v/>
      </c>
      <c r="Y496" s="13">
        <f>IF(M496="Returned",1,0)</f>
        <v/>
      </c>
    </row>
    <row r="497">
      <c r="A497" s="13" t="inlineStr">
        <is>
          <t>HC-100495</t>
        </is>
      </c>
      <c r="B497" s="18" t="n">
        <v>45758</v>
      </c>
      <c r="C497" s="13" t="inlineStr">
        <is>
          <t>North</t>
        </is>
      </c>
      <c r="D497" s="13" t="inlineStr">
        <is>
          <t>Store</t>
        </is>
      </c>
      <c r="E497" s="13" t="inlineStr">
        <is>
          <t>Textiles</t>
        </is>
      </c>
      <c r="F497" s="13" t="inlineStr">
        <is>
          <t>Cotton Duvet</t>
        </is>
      </c>
      <c r="G497" s="13" t="inlineStr">
        <is>
          <t>Consumer</t>
        </is>
      </c>
      <c r="H497" s="13" t="n">
        <v>1</v>
      </c>
      <c r="I497" s="14" t="n">
        <v>113.53</v>
      </c>
      <c r="J497" s="15" t="n">
        <v>0.09</v>
      </c>
      <c r="K497" s="14" t="n">
        <v>49.95</v>
      </c>
      <c r="L497" s="13" t="n">
        <v>5</v>
      </c>
      <c r="M497" s="13" t="inlineStr">
        <is>
          <t>Completed</t>
        </is>
      </c>
      <c r="N497" s="13" t="inlineStr">
        <is>
          <t>S. Nguyen</t>
        </is>
      </c>
      <c r="O497" s="13" t="inlineStr">
        <is>
          <t>No</t>
        </is>
      </c>
      <c r="P497" s="14">
        <f>H497*I497</f>
        <v/>
      </c>
      <c r="Q497" s="14">
        <f>P497*(1-J497)</f>
        <v/>
      </c>
      <c r="R497" s="14">
        <f>H497*K497</f>
        <v/>
      </c>
      <c r="S497" s="15">
        <f>IF(Q497=0,"",(Q497-R497)/Q497)</f>
        <v/>
      </c>
      <c r="T497" s="13">
        <f>YEAR(B497)</f>
        <v/>
      </c>
      <c r="U497" s="13">
        <f>YEAR(B497)&amp;"-Q"&amp;ROUNDUP(MONTH(B497)/3,0)</f>
        <v/>
      </c>
      <c r="V497" s="13">
        <f>TEXT(B497,"YYYY-MM")</f>
        <v/>
      </c>
      <c r="W497" s="13">
        <f>IF(L497="","",IF(L497&gt;pLateDays,1,0))</f>
        <v/>
      </c>
      <c r="X497" s="13">
        <f>IF(Q497&gt;=pHighCutoff,1,0)</f>
        <v/>
      </c>
      <c r="Y497" s="13">
        <f>IF(M497="Returned",1,0)</f>
        <v/>
      </c>
    </row>
    <row r="498">
      <c r="A498" s="13" t="inlineStr">
        <is>
          <t>HC-100496</t>
        </is>
      </c>
      <c r="B498" s="18" t="n">
        <v>45402</v>
      </c>
      <c r="C498" s="13" t="inlineStr">
        <is>
          <t>South</t>
        </is>
      </c>
      <c r="D498" s="13" t="inlineStr">
        <is>
          <t>Online</t>
        </is>
      </c>
      <c r="E498" s="13" t="inlineStr">
        <is>
          <t>Furniture</t>
        </is>
      </c>
      <c r="F498" s="13" t="inlineStr">
        <is>
          <t>Lounge Chair</t>
        </is>
      </c>
      <c r="G498" s="13" t="inlineStr">
        <is>
          <t>Corporate</t>
        </is>
      </c>
      <c r="H498" s="13" t="n">
        <v>2</v>
      </c>
      <c r="I498" s="14" t="n">
        <v>453.66</v>
      </c>
      <c r="J498" s="15" t="n">
        <v>0.13</v>
      </c>
      <c r="K498" s="14" t="n">
        <v>272.2</v>
      </c>
      <c r="L498" s="13" t="n">
        <v>7</v>
      </c>
      <c r="M498" s="13" t="inlineStr">
        <is>
          <t>Completed</t>
        </is>
      </c>
      <c r="N498" s="13" t="inlineStr">
        <is>
          <t>A. Shah</t>
        </is>
      </c>
      <c r="O498" s="13" t="inlineStr">
        <is>
          <t>No</t>
        </is>
      </c>
      <c r="P498" s="14">
        <f>H498*I498</f>
        <v/>
      </c>
      <c r="Q498" s="14">
        <f>P498*(1-J498)</f>
        <v/>
      </c>
      <c r="R498" s="14">
        <f>H498*K498</f>
        <v/>
      </c>
      <c r="S498" s="15">
        <f>IF(Q498=0,"",(Q498-R498)/Q498)</f>
        <v/>
      </c>
      <c r="T498" s="13">
        <f>YEAR(B498)</f>
        <v/>
      </c>
      <c r="U498" s="13">
        <f>YEAR(B498)&amp;"-Q"&amp;ROUNDUP(MONTH(B498)/3,0)</f>
        <v/>
      </c>
      <c r="V498" s="13">
        <f>TEXT(B498,"YYYY-MM")</f>
        <v/>
      </c>
      <c r="W498" s="13">
        <f>IF(L498="","",IF(L498&gt;pLateDays,1,0))</f>
        <v/>
      </c>
      <c r="X498" s="13">
        <f>IF(Q498&gt;=pHighCutoff,1,0)</f>
        <v/>
      </c>
      <c r="Y498" s="13">
        <f>IF(M498="Returned",1,0)</f>
        <v/>
      </c>
    </row>
    <row r="499">
      <c r="A499" s="13" t="inlineStr">
        <is>
          <t>HC-100497</t>
        </is>
      </c>
      <c r="B499" s="18" t="n">
        <v>45643</v>
      </c>
      <c r="C499" s="13" t="inlineStr">
        <is>
          <t>West</t>
        </is>
      </c>
      <c r="D499" s="13" t="inlineStr">
        <is>
          <t>Store</t>
        </is>
      </c>
      <c r="E499" s="13" t="inlineStr">
        <is>
          <t>Kitchen</t>
        </is>
      </c>
      <c r="F499" s="13" t="inlineStr">
        <is>
          <t>Ceramic Set</t>
        </is>
      </c>
      <c r="G499" s="13" t="inlineStr">
        <is>
          <t>Corporate</t>
        </is>
      </c>
      <c r="H499" s="13" t="n">
        <v>2</v>
      </c>
      <c r="I499" s="14" t="n">
        <v>91.77</v>
      </c>
      <c r="J499" s="15" t="n">
        <v>0.09</v>
      </c>
      <c r="K499" s="14" t="n">
        <v>34.87</v>
      </c>
      <c r="L499" s="13" t="n">
        <v>8</v>
      </c>
      <c r="M499" s="13" t="inlineStr">
        <is>
          <t>Completed</t>
        </is>
      </c>
      <c r="N499" s="13" t="inlineStr">
        <is>
          <t>M. Okonkwo</t>
        </is>
      </c>
      <c r="O499" s="13" t="inlineStr">
        <is>
          <t>No</t>
        </is>
      </c>
      <c r="P499" s="14">
        <f>H499*I499</f>
        <v/>
      </c>
      <c r="Q499" s="14">
        <f>P499*(1-J499)</f>
        <v/>
      </c>
      <c r="R499" s="14">
        <f>H499*K499</f>
        <v/>
      </c>
      <c r="S499" s="15">
        <f>IF(Q499=0,"",(Q499-R499)/Q499)</f>
        <v/>
      </c>
      <c r="T499" s="13">
        <f>YEAR(B499)</f>
        <v/>
      </c>
      <c r="U499" s="13">
        <f>YEAR(B499)&amp;"-Q"&amp;ROUNDUP(MONTH(B499)/3,0)</f>
        <v/>
      </c>
      <c r="V499" s="13">
        <f>TEXT(B499,"YYYY-MM")</f>
        <v/>
      </c>
      <c r="W499" s="13">
        <f>IF(L499="","",IF(L499&gt;pLateDays,1,0))</f>
        <v/>
      </c>
      <c r="X499" s="13">
        <f>IF(Q499&gt;=pHighCutoff,1,0)</f>
        <v/>
      </c>
      <c r="Y499" s="13">
        <f>IF(M499="Returned",1,0)</f>
        <v/>
      </c>
    </row>
    <row r="500">
      <c r="A500" s="13" t="inlineStr">
        <is>
          <t>HC-100498</t>
        </is>
      </c>
      <c r="B500" s="18" t="n">
        <v>45653</v>
      </c>
      <c r="C500" s="13" t="inlineStr">
        <is>
          <t>South</t>
        </is>
      </c>
      <c r="D500" s="13" t="inlineStr">
        <is>
          <t>Store</t>
        </is>
      </c>
      <c r="E500" s="13" t="inlineStr">
        <is>
          <t>Lighting</t>
        </is>
      </c>
      <c r="F500" s="13" t="inlineStr">
        <is>
          <t>Pendant Light</t>
        </is>
      </c>
      <c r="G500" s="13" t="inlineStr">
        <is>
          <t>Consumer</t>
        </is>
      </c>
      <c r="H500" s="13" t="n">
        <v>5</v>
      </c>
      <c r="I500" s="14" t="n">
        <v>187.88</v>
      </c>
      <c r="J500" s="15" t="n">
        <v>0.08</v>
      </c>
      <c r="K500" s="14" t="n">
        <v>93.94</v>
      </c>
      <c r="L500" s="13" t="n">
        <v>6</v>
      </c>
      <c r="M500" s="13" t="inlineStr">
        <is>
          <t>Completed</t>
        </is>
      </c>
      <c r="N500" s="13" t="inlineStr">
        <is>
          <t>M. Okonkwo</t>
        </is>
      </c>
      <c r="O500" s="13" t="inlineStr">
        <is>
          <t>No</t>
        </is>
      </c>
      <c r="P500" s="14">
        <f>H500*I500</f>
        <v/>
      </c>
      <c r="Q500" s="14">
        <f>P500*(1-J500)</f>
        <v/>
      </c>
      <c r="R500" s="14">
        <f>H500*K500</f>
        <v/>
      </c>
      <c r="S500" s="15">
        <f>IF(Q500=0,"",(Q500-R500)/Q500)</f>
        <v/>
      </c>
      <c r="T500" s="13">
        <f>YEAR(B500)</f>
        <v/>
      </c>
      <c r="U500" s="13">
        <f>YEAR(B500)&amp;"-Q"&amp;ROUNDUP(MONTH(B500)/3,0)</f>
        <v/>
      </c>
      <c r="V500" s="13">
        <f>TEXT(B500,"YYYY-MM")</f>
        <v/>
      </c>
      <c r="W500" s="13">
        <f>IF(L500="","",IF(L500&gt;pLateDays,1,0))</f>
        <v/>
      </c>
      <c r="X500" s="13">
        <f>IF(Q500&gt;=pHighCutoff,1,0)</f>
        <v/>
      </c>
      <c r="Y500" s="13">
        <f>IF(M500="Returned",1,0)</f>
        <v/>
      </c>
    </row>
    <row r="501">
      <c r="A501" s="13" t="inlineStr">
        <is>
          <t>HC-100499</t>
        </is>
      </c>
      <c r="B501" s="18" t="n">
        <v>45832</v>
      </c>
      <c r="C501" s="13" t="inlineStr">
        <is>
          <t>East</t>
        </is>
      </c>
      <c r="D501" s="13" t="inlineStr">
        <is>
          <t>Store</t>
        </is>
      </c>
      <c r="E501" s="13" t="inlineStr">
        <is>
          <t>Kitchen</t>
        </is>
      </c>
      <c r="F501" s="13" t="inlineStr">
        <is>
          <t>Ceramic Set</t>
        </is>
      </c>
      <c r="G501" s="13" t="inlineStr">
        <is>
          <t>Corporate</t>
        </is>
      </c>
      <c r="H501" s="13" t="n">
        <v>2</v>
      </c>
      <c r="I501" s="14" t="n">
        <v>77.06</v>
      </c>
      <c r="J501" s="15" t="n">
        <v>0.03</v>
      </c>
      <c r="K501" s="14" t="n">
        <v>29.28</v>
      </c>
      <c r="L501" s="13" t="n">
        <v>8</v>
      </c>
      <c r="M501" s="13" t="inlineStr">
        <is>
          <t>Completed</t>
        </is>
      </c>
      <c r="N501" s="13" t="inlineStr">
        <is>
          <t>R. Ibarra</t>
        </is>
      </c>
      <c r="O501" s="13" t="inlineStr">
        <is>
          <t>No</t>
        </is>
      </c>
      <c r="P501" s="14">
        <f>H501*I501</f>
        <v/>
      </c>
      <c r="Q501" s="14">
        <f>P501*(1-J501)</f>
        <v/>
      </c>
      <c r="R501" s="14">
        <f>H501*K501</f>
        <v/>
      </c>
      <c r="S501" s="15">
        <f>IF(Q501=0,"",(Q501-R501)/Q501)</f>
        <v/>
      </c>
      <c r="T501" s="13">
        <f>YEAR(B501)</f>
        <v/>
      </c>
      <c r="U501" s="13">
        <f>YEAR(B501)&amp;"-Q"&amp;ROUNDUP(MONTH(B501)/3,0)</f>
        <v/>
      </c>
      <c r="V501" s="13">
        <f>TEXT(B501,"YYYY-MM")</f>
        <v/>
      </c>
      <c r="W501" s="13">
        <f>IF(L501="","",IF(L501&gt;pLateDays,1,0))</f>
        <v/>
      </c>
      <c r="X501" s="13">
        <f>IF(Q501&gt;=pHighCutoff,1,0)</f>
        <v/>
      </c>
      <c r="Y501" s="13">
        <f>IF(M501="Returned",1,0)</f>
        <v/>
      </c>
    </row>
    <row r="502">
      <c r="A502" s="13" t="inlineStr">
        <is>
          <t>HC-100500</t>
        </is>
      </c>
      <c r="B502" s="18" t="n">
        <v>45862</v>
      </c>
      <c r="C502" s="13" t="inlineStr">
        <is>
          <t>North</t>
        </is>
      </c>
      <c r="D502" s="13" t="inlineStr">
        <is>
          <t>Online</t>
        </is>
      </c>
      <c r="E502" s="13" t="inlineStr">
        <is>
          <t>Lighting</t>
        </is>
      </c>
      <c r="F502" s="13" t="inlineStr">
        <is>
          <t>Arc Lamp</t>
        </is>
      </c>
      <c r="G502" s="13" t="inlineStr">
        <is>
          <t>Consumer</t>
        </is>
      </c>
      <c r="H502" s="13" t="n">
        <v>1</v>
      </c>
      <c r="I502" s="14" t="n">
        <v>332.79</v>
      </c>
      <c r="J502" s="15" t="n">
        <v>0.13</v>
      </c>
      <c r="K502" s="14" t="n">
        <v>159.74</v>
      </c>
      <c r="L502" s="13" t="n">
        <v>10</v>
      </c>
      <c r="M502" s="13" t="inlineStr">
        <is>
          <t>Completed</t>
        </is>
      </c>
      <c r="N502" s="13" t="inlineStr">
        <is>
          <t>S. Nguyen</t>
        </is>
      </c>
      <c r="O502" s="13" t="inlineStr">
        <is>
          <t>No</t>
        </is>
      </c>
      <c r="P502" s="14">
        <f>H502*I502</f>
        <v/>
      </c>
      <c r="Q502" s="14">
        <f>P502*(1-J502)</f>
        <v/>
      </c>
      <c r="R502" s="14">
        <f>H502*K502</f>
        <v/>
      </c>
      <c r="S502" s="15">
        <f>IF(Q502=0,"",(Q502-R502)/Q502)</f>
        <v/>
      </c>
      <c r="T502" s="13">
        <f>YEAR(B502)</f>
        <v/>
      </c>
      <c r="U502" s="13">
        <f>YEAR(B502)&amp;"-Q"&amp;ROUNDUP(MONTH(B502)/3,0)</f>
        <v/>
      </c>
      <c r="V502" s="13">
        <f>TEXT(B502,"YYYY-MM")</f>
        <v/>
      </c>
      <c r="W502" s="13">
        <f>IF(L502="","",IF(L502&gt;pLateDays,1,0))</f>
        <v/>
      </c>
      <c r="X502" s="13">
        <f>IF(Q502&gt;=pHighCutoff,1,0)</f>
        <v/>
      </c>
      <c r="Y502" s="13">
        <f>IF(M502="Returned",1,0)</f>
        <v/>
      </c>
    </row>
    <row r="503">
      <c r="A503" s="13" t="inlineStr">
        <is>
          <t>HC-100501</t>
        </is>
      </c>
      <c r="B503" s="18" t="n">
        <v>45686</v>
      </c>
      <c r="C503" s="13" t="inlineStr">
        <is>
          <t>East</t>
        </is>
      </c>
      <c r="D503" s="13" t="inlineStr">
        <is>
          <t>Store</t>
        </is>
      </c>
      <c r="E503" s="13" t="inlineStr">
        <is>
          <t>Kitchen</t>
        </is>
      </c>
      <c r="F503" s="13" t="inlineStr">
        <is>
          <t>Ceramic Set</t>
        </is>
      </c>
      <c r="G503" s="13" t="inlineStr">
        <is>
          <t>Corporate</t>
        </is>
      </c>
      <c r="H503" s="13" t="n">
        <v>4</v>
      </c>
      <c r="I503" s="14" t="n">
        <v>75.04000000000001</v>
      </c>
      <c r="J503" s="15" t="n">
        <v>0.07000000000000001</v>
      </c>
      <c r="K503" s="14" t="n">
        <v>28.51</v>
      </c>
      <c r="L503" s="13" t="n">
        <v>7</v>
      </c>
      <c r="M503" s="13" t="inlineStr">
        <is>
          <t>Completed</t>
        </is>
      </c>
      <c r="N503" s="13" t="inlineStr">
        <is>
          <t>S. Nguyen</t>
        </is>
      </c>
      <c r="O503" s="13" t="inlineStr">
        <is>
          <t>No</t>
        </is>
      </c>
      <c r="P503" s="14">
        <f>H503*I503</f>
        <v/>
      </c>
      <c r="Q503" s="14">
        <f>P503*(1-J503)</f>
        <v/>
      </c>
      <c r="R503" s="14">
        <f>H503*K503</f>
        <v/>
      </c>
      <c r="S503" s="15">
        <f>IF(Q503=0,"",(Q503-R503)/Q503)</f>
        <v/>
      </c>
      <c r="T503" s="13">
        <f>YEAR(B503)</f>
        <v/>
      </c>
      <c r="U503" s="13">
        <f>YEAR(B503)&amp;"-Q"&amp;ROUNDUP(MONTH(B503)/3,0)</f>
        <v/>
      </c>
      <c r="V503" s="13">
        <f>TEXT(B503,"YYYY-MM")</f>
        <v/>
      </c>
      <c r="W503" s="13">
        <f>IF(L503="","",IF(L503&gt;pLateDays,1,0))</f>
        <v/>
      </c>
      <c r="X503" s="13">
        <f>IF(Q503&gt;=pHighCutoff,1,0)</f>
        <v/>
      </c>
      <c r="Y503" s="13">
        <f>IF(M503="Returned",1,0)</f>
        <v/>
      </c>
    </row>
    <row r="504">
      <c r="A504" s="13" t="inlineStr">
        <is>
          <t>HC-100502</t>
        </is>
      </c>
      <c r="B504" s="18" t="n">
        <v>45535</v>
      </c>
      <c r="C504" s="13" t="inlineStr">
        <is>
          <t>North</t>
        </is>
      </c>
      <c r="D504" s="13" t="inlineStr">
        <is>
          <t>Online</t>
        </is>
      </c>
      <c r="E504" s="13" t="inlineStr">
        <is>
          <t>Textiles</t>
        </is>
      </c>
      <c r="F504" s="13" t="inlineStr">
        <is>
          <t>Linen Curtain</t>
        </is>
      </c>
      <c r="G504" s="13" t="inlineStr">
        <is>
          <t>Corporate</t>
        </is>
      </c>
      <c r="H504" s="13" t="n">
        <v>2</v>
      </c>
      <c r="I504" s="14" t="n">
        <v>89.41</v>
      </c>
      <c r="J504" s="15" t="n">
        <v>0.1</v>
      </c>
      <c r="K504" s="14" t="n">
        <v>40.23</v>
      </c>
      <c r="L504" s="13" t="n">
        <v>2</v>
      </c>
      <c r="M504" s="13" t="inlineStr">
        <is>
          <t>Completed</t>
        </is>
      </c>
      <c r="N504" s="13" t="inlineStr">
        <is>
          <t>R. Ibarra</t>
        </is>
      </c>
      <c r="O504" s="13" t="inlineStr">
        <is>
          <t>No</t>
        </is>
      </c>
      <c r="P504" s="14">
        <f>H504*I504</f>
        <v/>
      </c>
      <c r="Q504" s="14">
        <f>P504*(1-J504)</f>
        <v/>
      </c>
      <c r="R504" s="14">
        <f>H504*K504</f>
        <v/>
      </c>
      <c r="S504" s="15">
        <f>IF(Q504=0,"",(Q504-R504)/Q504)</f>
        <v/>
      </c>
      <c r="T504" s="13">
        <f>YEAR(B504)</f>
        <v/>
      </c>
      <c r="U504" s="13">
        <f>YEAR(B504)&amp;"-Q"&amp;ROUNDUP(MONTH(B504)/3,0)</f>
        <v/>
      </c>
      <c r="V504" s="13">
        <f>TEXT(B504,"YYYY-MM")</f>
        <v/>
      </c>
      <c r="W504" s="13">
        <f>IF(L504="","",IF(L504&gt;pLateDays,1,0))</f>
        <v/>
      </c>
      <c r="X504" s="13">
        <f>IF(Q504&gt;=pHighCutoff,1,0)</f>
        <v/>
      </c>
      <c r="Y504" s="13">
        <f>IF(M504="Returned",1,0)</f>
        <v/>
      </c>
    </row>
    <row r="505">
      <c r="A505" s="13" t="inlineStr">
        <is>
          <t>HC-100503</t>
        </is>
      </c>
      <c r="B505" s="18" t="n">
        <v>45630</v>
      </c>
      <c r="C505" s="13" t="inlineStr">
        <is>
          <t>West</t>
        </is>
      </c>
      <c r="D505" s="13" t="inlineStr">
        <is>
          <t>Store</t>
        </is>
      </c>
      <c r="E505" s="13" t="inlineStr">
        <is>
          <t>Lighting</t>
        </is>
      </c>
      <c r="F505" s="13" t="inlineStr">
        <is>
          <t>Pendant Light</t>
        </is>
      </c>
      <c r="G505" s="13" t="inlineStr">
        <is>
          <t>Consumer</t>
        </is>
      </c>
      <c r="H505" s="13" t="n">
        <v>4</v>
      </c>
      <c r="I505" s="14" t="n">
        <v>189.05</v>
      </c>
      <c r="J505" s="15" t="n">
        <v>0.1</v>
      </c>
      <c r="K505" s="14" t="n">
        <v>94.52</v>
      </c>
      <c r="L505" s="13" t="n">
        <v>4</v>
      </c>
      <c r="M505" s="13" t="inlineStr">
        <is>
          <t>Completed</t>
        </is>
      </c>
      <c r="N505" s="13" t="inlineStr">
        <is>
          <t>R. Ibarra</t>
        </is>
      </c>
      <c r="O505" s="13" t="inlineStr">
        <is>
          <t>No</t>
        </is>
      </c>
      <c r="P505" s="14">
        <f>H505*I505</f>
        <v/>
      </c>
      <c r="Q505" s="14">
        <f>P505*(1-J505)</f>
        <v/>
      </c>
      <c r="R505" s="14">
        <f>H505*K505</f>
        <v/>
      </c>
      <c r="S505" s="15">
        <f>IF(Q505=0,"",(Q505-R505)/Q505)</f>
        <v/>
      </c>
      <c r="T505" s="13">
        <f>YEAR(B505)</f>
        <v/>
      </c>
      <c r="U505" s="13">
        <f>YEAR(B505)&amp;"-Q"&amp;ROUNDUP(MONTH(B505)/3,0)</f>
        <v/>
      </c>
      <c r="V505" s="13">
        <f>TEXT(B505,"YYYY-MM")</f>
        <v/>
      </c>
      <c r="W505" s="13">
        <f>IF(L505="","",IF(L505&gt;pLateDays,1,0))</f>
        <v/>
      </c>
      <c r="X505" s="13">
        <f>IF(Q505&gt;=pHighCutoff,1,0)</f>
        <v/>
      </c>
      <c r="Y505" s="13">
        <f>IF(M505="Returned",1,0)</f>
        <v/>
      </c>
    </row>
    <row r="506">
      <c r="A506" s="13" t="inlineStr">
        <is>
          <t>HC-100504</t>
        </is>
      </c>
      <c r="B506" s="18" t="n">
        <v>45597</v>
      </c>
      <c r="C506" s="13" t="inlineStr">
        <is>
          <t>West</t>
        </is>
      </c>
      <c r="D506" s="13" t="inlineStr">
        <is>
          <t>Online</t>
        </is>
      </c>
      <c r="E506" s="13" t="inlineStr">
        <is>
          <t>Textiles</t>
        </is>
      </c>
      <c r="F506" s="13" t="inlineStr">
        <is>
          <t>Cotton Duvet</t>
        </is>
      </c>
      <c r="G506" s="13" t="inlineStr">
        <is>
          <t>Home Office</t>
        </is>
      </c>
      <c r="H506" s="13" t="n">
        <v>4</v>
      </c>
      <c r="I506" s="14" t="n">
        <v>123.26</v>
      </c>
      <c r="J506" s="15" t="n">
        <v>0.04</v>
      </c>
      <c r="K506" s="14" t="n">
        <v>54.23</v>
      </c>
      <c r="L506" s="13" t="n">
        <v>6</v>
      </c>
      <c r="M506" s="13" t="inlineStr">
        <is>
          <t>Completed</t>
        </is>
      </c>
      <c r="N506" s="13" t="inlineStr">
        <is>
          <t>R. Ibarra</t>
        </is>
      </c>
      <c r="O506" s="13" t="inlineStr">
        <is>
          <t>No</t>
        </is>
      </c>
      <c r="P506" s="14">
        <f>H506*I506</f>
        <v/>
      </c>
      <c r="Q506" s="14">
        <f>P506*(1-J506)</f>
        <v/>
      </c>
      <c r="R506" s="14">
        <f>H506*K506</f>
        <v/>
      </c>
      <c r="S506" s="15">
        <f>IF(Q506=0,"",(Q506-R506)/Q506)</f>
        <v/>
      </c>
      <c r="T506" s="13">
        <f>YEAR(B506)</f>
        <v/>
      </c>
      <c r="U506" s="13">
        <f>YEAR(B506)&amp;"-Q"&amp;ROUNDUP(MONTH(B506)/3,0)</f>
        <v/>
      </c>
      <c r="V506" s="13">
        <f>TEXT(B506,"YYYY-MM")</f>
        <v/>
      </c>
      <c r="W506" s="13">
        <f>IF(L506="","",IF(L506&gt;pLateDays,1,0))</f>
        <v/>
      </c>
      <c r="X506" s="13">
        <f>IF(Q506&gt;=pHighCutoff,1,0)</f>
        <v/>
      </c>
      <c r="Y506" s="13">
        <f>IF(M506="Returned",1,0)</f>
        <v/>
      </c>
    </row>
    <row r="507">
      <c r="A507" s="13" t="inlineStr">
        <is>
          <t>HC-100505</t>
        </is>
      </c>
      <c r="B507" s="18" t="n">
        <v>45778</v>
      </c>
      <c r="C507" s="13" t="inlineStr">
        <is>
          <t>East</t>
        </is>
      </c>
      <c r="D507" s="13" t="inlineStr">
        <is>
          <t>Store</t>
        </is>
      </c>
      <c r="E507" s="13" t="inlineStr">
        <is>
          <t>Furniture</t>
        </is>
      </c>
      <c r="F507" s="13" t="inlineStr">
        <is>
          <t>Oak Desk</t>
        </is>
      </c>
      <c r="G507" s="13" t="inlineStr">
        <is>
          <t>Unknown</t>
        </is>
      </c>
      <c r="H507" s="13" t="n">
        <v>3</v>
      </c>
      <c r="I507" s="14" t="n">
        <v>814.86</v>
      </c>
      <c r="J507" s="15" t="n">
        <v>0.02</v>
      </c>
      <c r="K507" s="14" t="n">
        <v>505.21</v>
      </c>
      <c r="L507" s="13" t="n">
        <v>7</v>
      </c>
      <c r="M507" s="13" t="inlineStr">
        <is>
          <t>Cancelled</t>
        </is>
      </c>
      <c r="N507" s="13" t="inlineStr">
        <is>
          <t>A. Shah</t>
        </is>
      </c>
      <c r="O507" s="13" t="inlineStr">
        <is>
          <t>No</t>
        </is>
      </c>
      <c r="P507" s="14">
        <f>H507*I507</f>
        <v/>
      </c>
      <c r="Q507" s="14">
        <f>P507*(1-J507)</f>
        <v/>
      </c>
      <c r="R507" s="14">
        <f>H507*K507</f>
        <v/>
      </c>
      <c r="S507" s="15">
        <f>IF(Q507=0,"",(Q507-R507)/Q507)</f>
        <v/>
      </c>
      <c r="T507" s="13">
        <f>YEAR(B507)</f>
        <v/>
      </c>
      <c r="U507" s="13">
        <f>YEAR(B507)&amp;"-Q"&amp;ROUNDUP(MONTH(B507)/3,0)</f>
        <v/>
      </c>
      <c r="V507" s="13">
        <f>TEXT(B507,"YYYY-MM")</f>
        <v/>
      </c>
      <c r="W507" s="13">
        <f>IF(L507="","",IF(L507&gt;pLateDays,1,0))</f>
        <v/>
      </c>
      <c r="X507" s="13">
        <f>IF(Q507&gt;=pHighCutoff,1,0)</f>
        <v/>
      </c>
      <c r="Y507" s="13">
        <f>IF(M507="Returned",1,0)</f>
        <v/>
      </c>
    </row>
    <row r="508">
      <c r="A508" s="13" t="inlineStr">
        <is>
          <t>HC-100506</t>
        </is>
      </c>
      <c r="B508" s="18" t="n">
        <v>45536</v>
      </c>
      <c r="C508" s="13" t="inlineStr">
        <is>
          <t>South</t>
        </is>
      </c>
      <c r="D508" s="13" t="inlineStr">
        <is>
          <t>Wholesale</t>
        </is>
      </c>
      <c r="E508" s="13" t="inlineStr">
        <is>
          <t>Textiles</t>
        </is>
      </c>
      <c r="F508" s="13" t="inlineStr">
        <is>
          <t>Linen Curtain</t>
        </is>
      </c>
      <c r="G508" s="13" t="inlineStr">
        <is>
          <t>Corporate</t>
        </is>
      </c>
      <c r="H508" s="13" t="n">
        <v>24</v>
      </c>
      <c r="I508" s="14" t="n">
        <v>99.15000000000001</v>
      </c>
      <c r="J508" s="15" t="n">
        <v>0.28</v>
      </c>
      <c r="K508" s="14" t="n">
        <v>44.62</v>
      </c>
      <c r="L508" s="13" t="n">
        <v>10</v>
      </c>
      <c r="M508" s="13" t="inlineStr">
        <is>
          <t>Completed</t>
        </is>
      </c>
      <c r="N508" s="13" t="inlineStr">
        <is>
          <t>A. Shah</t>
        </is>
      </c>
      <c r="O508" s="13" t="inlineStr">
        <is>
          <t>No</t>
        </is>
      </c>
      <c r="P508" s="14">
        <f>H508*I508</f>
        <v/>
      </c>
      <c r="Q508" s="14">
        <f>P508*(1-J508)</f>
        <v/>
      </c>
      <c r="R508" s="14">
        <f>H508*K508</f>
        <v/>
      </c>
      <c r="S508" s="15">
        <f>IF(Q508=0,"",(Q508-R508)/Q508)</f>
        <v/>
      </c>
      <c r="T508" s="13">
        <f>YEAR(B508)</f>
        <v/>
      </c>
      <c r="U508" s="13">
        <f>YEAR(B508)&amp;"-Q"&amp;ROUNDUP(MONTH(B508)/3,0)</f>
        <v/>
      </c>
      <c r="V508" s="13">
        <f>TEXT(B508,"YYYY-MM")</f>
        <v/>
      </c>
      <c r="W508" s="13">
        <f>IF(L508="","",IF(L508&gt;pLateDays,1,0))</f>
        <v/>
      </c>
      <c r="X508" s="13">
        <f>IF(Q508&gt;=pHighCutoff,1,0)</f>
        <v/>
      </c>
      <c r="Y508" s="13">
        <f>IF(M508="Returned",1,0)</f>
        <v/>
      </c>
    </row>
    <row r="509">
      <c r="A509" s="13" t="inlineStr">
        <is>
          <t>HC-100507</t>
        </is>
      </c>
      <c r="B509" s="18" t="n">
        <v>45879</v>
      </c>
      <c r="C509" s="13" t="inlineStr">
        <is>
          <t>West</t>
        </is>
      </c>
      <c r="D509" s="13" t="inlineStr">
        <is>
          <t>Store</t>
        </is>
      </c>
      <c r="E509" s="13" t="inlineStr">
        <is>
          <t>Textiles</t>
        </is>
      </c>
      <c r="F509" s="13" t="inlineStr">
        <is>
          <t>Cotton Duvet</t>
        </is>
      </c>
      <c r="G509" s="13" t="inlineStr">
        <is>
          <t>Consumer</t>
        </is>
      </c>
      <c r="H509" s="13" t="n">
        <v>1</v>
      </c>
      <c r="I509" s="14" t="n">
        <v>122.61</v>
      </c>
      <c r="J509" s="15" t="n">
        <v>0.1</v>
      </c>
      <c r="K509" s="14" t="n">
        <v>53.95</v>
      </c>
      <c r="L509" s="13" t="n">
        <v>3</v>
      </c>
      <c r="M509" s="13" t="inlineStr">
        <is>
          <t>Completed</t>
        </is>
      </c>
      <c r="N509" s="13" t="inlineStr">
        <is>
          <t>S. Nguyen</t>
        </is>
      </c>
      <c r="O509" s="13" t="inlineStr">
        <is>
          <t>No</t>
        </is>
      </c>
      <c r="P509" s="14">
        <f>H509*I509</f>
        <v/>
      </c>
      <c r="Q509" s="14">
        <f>P509*(1-J509)</f>
        <v/>
      </c>
      <c r="R509" s="14">
        <f>H509*K509</f>
        <v/>
      </c>
      <c r="S509" s="15">
        <f>IF(Q509=0,"",(Q509-R509)/Q509)</f>
        <v/>
      </c>
      <c r="T509" s="13">
        <f>YEAR(B509)</f>
        <v/>
      </c>
      <c r="U509" s="13">
        <f>YEAR(B509)&amp;"-Q"&amp;ROUNDUP(MONTH(B509)/3,0)</f>
        <v/>
      </c>
      <c r="V509" s="13">
        <f>TEXT(B509,"YYYY-MM")</f>
        <v/>
      </c>
      <c r="W509" s="13">
        <f>IF(L509="","",IF(L509&gt;pLateDays,1,0))</f>
        <v/>
      </c>
      <c r="X509" s="13">
        <f>IF(Q509&gt;=pHighCutoff,1,0)</f>
        <v/>
      </c>
      <c r="Y509" s="13">
        <f>IF(M509="Returned",1,0)</f>
        <v/>
      </c>
    </row>
    <row r="510">
      <c r="A510" s="13" t="inlineStr">
        <is>
          <t>HC-100508</t>
        </is>
      </c>
      <c r="B510" s="18" t="n">
        <v>45622</v>
      </c>
      <c r="C510" s="13" t="inlineStr">
        <is>
          <t>East</t>
        </is>
      </c>
      <c r="D510" s="13" t="inlineStr">
        <is>
          <t>Store</t>
        </is>
      </c>
      <c r="E510" s="13" t="inlineStr">
        <is>
          <t>Furniture</t>
        </is>
      </c>
      <c r="F510" s="13" t="inlineStr">
        <is>
          <t>Linen Sofa</t>
        </is>
      </c>
      <c r="G510" s="13" t="inlineStr">
        <is>
          <t>Consumer</t>
        </is>
      </c>
      <c r="H510" s="13" t="n">
        <v>5</v>
      </c>
      <c r="I510" s="14" t="n">
        <v>1167.8</v>
      </c>
      <c r="J510" s="15" t="n">
        <v>0.1</v>
      </c>
      <c r="K510" s="14" t="n">
        <v>770.75</v>
      </c>
      <c r="L510" s="13" t="n">
        <v>8</v>
      </c>
      <c r="M510" s="13" t="inlineStr">
        <is>
          <t>Completed</t>
        </is>
      </c>
      <c r="N510" s="13" t="inlineStr">
        <is>
          <t>J. Patel</t>
        </is>
      </c>
      <c r="O510" s="13" t="inlineStr">
        <is>
          <t>No</t>
        </is>
      </c>
      <c r="P510" s="14">
        <f>H510*I510</f>
        <v/>
      </c>
      <c r="Q510" s="14">
        <f>P510*(1-J510)</f>
        <v/>
      </c>
      <c r="R510" s="14">
        <f>H510*K510</f>
        <v/>
      </c>
      <c r="S510" s="15">
        <f>IF(Q510=0,"",(Q510-R510)/Q510)</f>
        <v/>
      </c>
      <c r="T510" s="13">
        <f>YEAR(B510)</f>
        <v/>
      </c>
      <c r="U510" s="13">
        <f>YEAR(B510)&amp;"-Q"&amp;ROUNDUP(MONTH(B510)/3,0)</f>
        <v/>
      </c>
      <c r="V510" s="13">
        <f>TEXT(B510,"YYYY-MM")</f>
        <v/>
      </c>
      <c r="W510" s="13">
        <f>IF(L510="","",IF(L510&gt;pLateDays,1,0))</f>
        <v/>
      </c>
      <c r="X510" s="13">
        <f>IF(Q510&gt;=pHighCutoff,1,0)</f>
        <v/>
      </c>
      <c r="Y510" s="13">
        <f>IF(M510="Returned",1,0)</f>
        <v/>
      </c>
    </row>
    <row r="511">
      <c r="A511" s="13" t="inlineStr">
        <is>
          <t>HC-100509</t>
        </is>
      </c>
      <c r="B511" s="18" t="n">
        <v>45376</v>
      </c>
      <c r="C511" s="13" t="inlineStr">
        <is>
          <t>East</t>
        </is>
      </c>
      <c r="D511" s="13" t="inlineStr">
        <is>
          <t>Store</t>
        </is>
      </c>
      <c r="E511" s="13" t="inlineStr">
        <is>
          <t>Textiles</t>
        </is>
      </c>
      <c r="F511" s="13" t="inlineStr">
        <is>
          <t>Wool Throw</t>
        </is>
      </c>
      <c r="G511" s="13" t="inlineStr">
        <is>
          <t>Consumer</t>
        </is>
      </c>
      <c r="H511" s="13" t="n">
        <v>3</v>
      </c>
      <c r="I511" s="14" t="n">
        <v>65.27</v>
      </c>
      <c r="J511" s="15" t="n">
        <v>0.03</v>
      </c>
      <c r="K511" s="14" t="n">
        <v>27.41</v>
      </c>
      <c r="L511" s="13" t="n">
        <v>7</v>
      </c>
      <c r="M511" s="13" t="inlineStr">
        <is>
          <t>Completed</t>
        </is>
      </c>
      <c r="N511" s="13" t="inlineStr">
        <is>
          <t>S. Nguyen</t>
        </is>
      </c>
      <c r="O511" s="13" t="inlineStr">
        <is>
          <t>No</t>
        </is>
      </c>
      <c r="P511" s="14">
        <f>H511*I511</f>
        <v/>
      </c>
      <c r="Q511" s="14">
        <f>P511*(1-J511)</f>
        <v/>
      </c>
      <c r="R511" s="14">
        <f>H511*K511</f>
        <v/>
      </c>
      <c r="S511" s="15">
        <f>IF(Q511=0,"",(Q511-R511)/Q511)</f>
        <v/>
      </c>
      <c r="T511" s="13">
        <f>YEAR(B511)</f>
        <v/>
      </c>
      <c r="U511" s="13">
        <f>YEAR(B511)&amp;"-Q"&amp;ROUNDUP(MONTH(B511)/3,0)</f>
        <v/>
      </c>
      <c r="V511" s="13">
        <f>TEXT(B511,"YYYY-MM")</f>
        <v/>
      </c>
      <c r="W511" s="13">
        <f>IF(L511="","",IF(L511&gt;pLateDays,1,0))</f>
        <v/>
      </c>
      <c r="X511" s="13">
        <f>IF(Q511&gt;=pHighCutoff,1,0)</f>
        <v/>
      </c>
      <c r="Y511" s="13">
        <f>IF(M511="Returned",1,0)</f>
        <v/>
      </c>
    </row>
    <row r="512">
      <c r="A512" s="13" t="inlineStr">
        <is>
          <t>HC-100510</t>
        </is>
      </c>
      <c r="B512" s="18" t="n">
        <v>45357</v>
      </c>
      <c r="C512" s="13" t="inlineStr">
        <is>
          <t>South</t>
        </is>
      </c>
      <c r="D512" s="13" t="inlineStr">
        <is>
          <t>Store</t>
        </is>
      </c>
      <c r="E512" s="13" t="inlineStr">
        <is>
          <t>Textiles</t>
        </is>
      </c>
      <c r="F512" s="13" t="inlineStr">
        <is>
          <t>Wool Throw</t>
        </is>
      </c>
      <c r="G512" s="13" t="inlineStr">
        <is>
          <t>Consumer</t>
        </is>
      </c>
      <c r="H512" s="13" t="n">
        <v>3</v>
      </c>
      <c r="I512" s="14" t="n">
        <v>76.33</v>
      </c>
      <c r="J512" s="15" t="n">
        <v>0.06</v>
      </c>
      <c r="K512" s="14" t="n">
        <v>32.06</v>
      </c>
      <c r="L512" s="13" t="n">
        <v>5</v>
      </c>
      <c r="M512" s="13" t="inlineStr">
        <is>
          <t>Completed</t>
        </is>
      </c>
      <c r="N512" s="13" t="inlineStr">
        <is>
          <t>P. Rossi</t>
        </is>
      </c>
      <c r="O512" s="13" t="inlineStr">
        <is>
          <t>No</t>
        </is>
      </c>
      <c r="P512" s="14">
        <f>H512*I512</f>
        <v/>
      </c>
      <c r="Q512" s="14">
        <f>P512*(1-J512)</f>
        <v/>
      </c>
      <c r="R512" s="14">
        <f>H512*K512</f>
        <v/>
      </c>
      <c r="S512" s="15">
        <f>IF(Q512=0,"",(Q512-R512)/Q512)</f>
        <v/>
      </c>
      <c r="T512" s="13">
        <f>YEAR(B512)</f>
        <v/>
      </c>
      <c r="U512" s="13">
        <f>YEAR(B512)&amp;"-Q"&amp;ROUNDUP(MONTH(B512)/3,0)</f>
        <v/>
      </c>
      <c r="V512" s="13">
        <f>TEXT(B512,"YYYY-MM")</f>
        <v/>
      </c>
      <c r="W512" s="13">
        <f>IF(L512="","",IF(L512&gt;pLateDays,1,0))</f>
        <v/>
      </c>
      <c r="X512" s="13">
        <f>IF(Q512&gt;=pHighCutoff,1,0)</f>
        <v/>
      </c>
      <c r="Y512" s="13">
        <f>IF(M512="Returned",1,0)</f>
        <v/>
      </c>
    </row>
    <row r="513">
      <c r="A513" s="13" t="inlineStr">
        <is>
          <t>HC-100511</t>
        </is>
      </c>
      <c r="B513" s="18" t="n">
        <v>45467</v>
      </c>
      <c r="C513" s="13" t="inlineStr">
        <is>
          <t>North</t>
        </is>
      </c>
      <c r="D513" s="13" t="inlineStr">
        <is>
          <t>Wholesale</t>
        </is>
      </c>
      <c r="E513" s="13" t="inlineStr">
        <is>
          <t>Textiles</t>
        </is>
      </c>
      <c r="F513" s="13" t="inlineStr">
        <is>
          <t>Linen Curtain</t>
        </is>
      </c>
      <c r="G513" s="13" t="inlineStr">
        <is>
          <t>Consumer</t>
        </is>
      </c>
      <c r="H513" s="13" t="n">
        <v>18</v>
      </c>
      <c r="I513" s="14" t="n">
        <v>95.09999999999999</v>
      </c>
      <c r="J513" s="15" t="n">
        <v>0.28</v>
      </c>
      <c r="K513" s="14" t="n">
        <v>42.79</v>
      </c>
      <c r="L513" s="13" t="n">
        <v>7</v>
      </c>
      <c r="M513" s="13" t="inlineStr">
        <is>
          <t>Completed</t>
        </is>
      </c>
      <c r="N513" s="13" t="inlineStr">
        <is>
          <t>A. Shah</t>
        </is>
      </c>
      <c r="O513" s="13" t="inlineStr">
        <is>
          <t>No</t>
        </is>
      </c>
      <c r="P513" s="14">
        <f>H513*I513</f>
        <v/>
      </c>
      <c r="Q513" s="14">
        <f>P513*(1-J513)</f>
        <v/>
      </c>
      <c r="R513" s="14">
        <f>H513*K513</f>
        <v/>
      </c>
      <c r="S513" s="15">
        <f>IF(Q513=0,"",(Q513-R513)/Q513)</f>
        <v/>
      </c>
      <c r="T513" s="13">
        <f>YEAR(B513)</f>
        <v/>
      </c>
      <c r="U513" s="13">
        <f>YEAR(B513)&amp;"-Q"&amp;ROUNDUP(MONTH(B513)/3,0)</f>
        <v/>
      </c>
      <c r="V513" s="13">
        <f>TEXT(B513,"YYYY-MM")</f>
        <v/>
      </c>
      <c r="W513" s="13">
        <f>IF(L513="","",IF(L513&gt;pLateDays,1,0))</f>
        <v/>
      </c>
      <c r="X513" s="13">
        <f>IF(Q513&gt;=pHighCutoff,1,0)</f>
        <v/>
      </c>
      <c r="Y513" s="13">
        <f>IF(M513="Returned",1,0)</f>
        <v/>
      </c>
    </row>
    <row r="514">
      <c r="A514" s="13" t="inlineStr">
        <is>
          <t>HC-100512</t>
        </is>
      </c>
      <c r="B514" s="18" t="n">
        <v>45484</v>
      </c>
      <c r="C514" s="13" t="inlineStr">
        <is>
          <t>East</t>
        </is>
      </c>
      <c r="D514" s="13" t="inlineStr">
        <is>
          <t>Store</t>
        </is>
      </c>
      <c r="E514" s="13" t="inlineStr">
        <is>
          <t>Furniture</t>
        </is>
      </c>
      <c r="F514" s="13" t="inlineStr">
        <is>
          <t>Oak Desk</t>
        </is>
      </c>
      <c r="G514" s="13" t="inlineStr">
        <is>
          <t>Corporate</t>
        </is>
      </c>
      <c r="H514" s="13" t="n">
        <v>1</v>
      </c>
      <c r="I514" s="14" t="n">
        <v>813.23</v>
      </c>
      <c r="J514" s="15" t="n">
        <v>0.08</v>
      </c>
      <c r="K514" s="14" t="n">
        <v>504.2</v>
      </c>
      <c r="L514" s="13" t="n">
        <v>9</v>
      </c>
      <c r="M514" s="13" t="inlineStr">
        <is>
          <t>Completed</t>
        </is>
      </c>
      <c r="N514" s="13" t="inlineStr">
        <is>
          <t>A. Shah</t>
        </is>
      </c>
      <c r="O514" s="13" t="inlineStr">
        <is>
          <t>No</t>
        </is>
      </c>
      <c r="P514" s="14">
        <f>H514*I514</f>
        <v/>
      </c>
      <c r="Q514" s="14">
        <f>P514*(1-J514)</f>
        <v/>
      </c>
      <c r="R514" s="14">
        <f>H514*K514</f>
        <v/>
      </c>
      <c r="S514" s="15">
        <f>IF(Q514=0,"",(Q514-R514)/Q514)</f>
        <v/>
      </c>
      <c r="T514" s="13">
        <f>YEAR(B514)</f>
        <v/>
      </c>
      <c r="U514" s="13">
        <f>YEAR(B514)&amp;"-Q"&amp;ROUNDUP(MONTH(B514)/3,0)</f>
        <v/>
      </c>
      <c r="V514" s="13">
        <f>TEXT(B514,"YYYY-MM")</f>
        <v/>
      </c>
      <c r="W514" s="13">
        <f>IF(L514="","",IF(L514&gt;pLateDays,1,0))</f>
        <v/>
      </c>
      <c r="X514" s="13">
        <f>IF(Q514&gt;=pHighCutoff,1,0)</f>
        <v/>
      </c>
      <c r="Y514" s="13">
        <f>IF(M514="Returned",1,0)</f>
        <v/>
      </c>
    </row>
    <row r="515">
      <c r="A515" s="13" t="inlineStr">
        <is>
          <t>HC-100513</t>
        </is>
      </c>
      <c r="B515" s="18" t="n">
        <v>45869</v>
      </c>
      <c r="C515" s="13" t="inlineStr">
        <is>
          <t>North</t>
        </is>
      </c>
      <c r="D515" s="13" t="inlineStr">
        <is>
          <t>Online</t>
        </is>
      </c>
      <c r="E515" s="13" t="inlineStr">
        <is>
          <t>Kitchen</t>
        </is>
      </c>
      <c r="F515" s="13" t="inlineStr">
        <is>
          <t>Ceramic Set</t>
        </is>
      </c>
      <c r="G515" s="13" t="inlineStr">
        <is>
          <t>Unknown</t>
        </is>
      </c>
      <c r="H515" s="13" t="n">
        <v>2</v>
      </c>
      <c r="I515" s="14" t="n">
        <v>83.13</v>
      </c>
      <c r="J515" s="15" t="n">
        <v>0.03</v>
      </c>
      <c r="K515" s="14" t="n">
        <v>31.59</v>
      </c>
      <c r="L515" s="13" t="n">
        <v>7</v>
      </c>
      <c r="M515" s="13" t="inlineStr">
        <is>
          <t>Completed</t>
        </is>
      </c>
      <c r="N515" s="13" t="inlineStr">
        <is>
          <t>M. Okonkwo</t>
        </is>
      </c>
      <c r="O515" s="13" t="inlineStr">
        <is>
          <t>No</t>
        </is>
      </c>
      <c r="P515" s="14">
        <f>H515*I515</f>
        <v/>
      </c>
      <c r="Q515" s="14">
        <f>P515*(1-J515)</f>
        <v/>
      </c>
      <c r="R515" s="14">
        <f>H515*K515</f>
        <v/>
      </c>
      <c r="S515" s="15">
        <f>IF(Q515=0,"",(Q515-R515)/Q515)</f>
        <v/>
      </c>
      <c r="T515" s="13">
        <f>YEAR(B515)</f>
        <v/>
      </c>
      <c r="U515" s="13">
        <f>YEAR(B515)&amp;"-Q"&amp;ROUNDUP(MONTH(B515)/3,0)</f>
        <v/>
      </c>
      <c r="V515" s="13">
        <f>TEXT(B515,"YYYY-MM")</f>
        <v/>
      </c>
      <c r="W515" s="13">
        <f>IF(L515="","",IF(L515&gt;pLateDays,1,0))</f>
        <v/>
      </c>
      <c r="X515" s="13">
        <f>IF(Q515&gt;=pHighCutoff,1,0)</f>
        <v/>
      </c>
      <c r="Y515" s="13">
        <f>IF(M515="Returned",1,0)</f>
        <v/>
      </c>
    </row>
    <row r="516">
      <c r="A516" s="13" t="inlineStr">
        <is>
          <t>HC-100514</t>
        </is>
      </c>
      <c r="B516" s="18" t="n">
        <v>45464</v>
      </c>
      <c r="C516" s="13" t="inlineStr">
        <is>
          <t>North</t>
        </is>
      </c>
      <c r="D516" s="13" t="inlineStr">
        <is>
          <t>Online</t>
        </is>
      </c>
      <c r="E516" s="13" t="inlineStr">
        <is>
          <t>Furniture</t>
        </is>
      </c>
      <c r="F516" s="13" t="inlineStr">
        <is>
          <t>Lounge Chair</t>
        </is>
      </c>
      <c r="G516" s="13" t="inlineStr">
        <is>
          <t>Corporate</t>
        </is>
      </c>
      <c r="H516" s="13" t="n">
        <v>3</v>
      </c>
      <c r="I516" s="14" t="n">
        <v>496.16</v>
      </c>
      <c r="J516" s="15" t="n">
        <v>0.17</v>
      </c>
      <c r="K516" s="14" t="n">
        <v>297.69</v>
      </c>
      <c r="L516" s="13" t="n">
        <v>7</v>
      </c>
      <c r="M516" s="13" t="inlineStr">
        <is>
          <t>Completed</t>
        </is>
      </c>
      <c r="N516" s="13" t="inlineStr">
        <is>
          <t>J. Patel</t>
        </is>
      </c>
      <c r="O516" s="13" t="inlineStr">
        <is>
          <t>No</t>
        </is>
      </c>
      <c r="P516" s="14">
        <f>H516*I516</f>
        <v/>
      </c>
      <c r="Q516" s="14">
        <f>P516*(1-J516)</f>
        <v/>
      </c>
      <c r="R516" s="14">
        <f>H516*K516</f>
        <v/>
      </c>
      <c r="S516" s="15">
        <f>IF(Q516=0,"",(Q516-R516)/Q516)</f>
        <v/>
      </c>
      <c r="T516" s="13">
        <f>YEAR(B516)</f>
        <v/>
      </c>
      <c r="U516" s="13">
        <f>YEAR(B516)&amp;"-Q"&amp;ROUNDUP(MONTH(B516)/3,0)</f>
        <v/>
      </c>
      <c r="V516" s="13">
        <f>TEXT(B516,"YYYY-MM")</f>
        <v/>
      </c>
      <c r="W516" s="13">
        <f>IF(L516="","",IF(L516&gt;pLateDays,1,0))</f>
        <v/>
      </c>
      <c r="X516" s="13">
        <f>IF(Q516&gt;=pHighCutoff,1,0)</f>
        <v/>
      </c>
      <c r="Y516" s="13">
        <f>IF(M516="Returned",1,0)</f>
        <v/>
      </c>
    </row>
    <row r="517">
      <c r="A517" s="13" t="inlineStr">
        <is>
          <t>HC-100515</t>
        </is>
      </c>
      <c r="B517" s="18" t="n">
        <v>45441</v>
      </c>
      <c r="C517" s="13" t="inlineStr">
        <is>
          <t>East</t>
        </is>
      </c>
      <c r="D517" s="13" t="inlineStr">
        <is>
          <t>Wholesale</t>
        </is>
      </c>
      <c r="E517" s="13" t="inlineStr">
        <is>
          <t>Kitchen</t>
        </is>
      </c>
      <c r="F517" s="13" t="inlineStr">
        <is>
          <t>Cast Skillet</t>
        </is>
      </c>
      <c r="G517" s="13" t="inlineStr">
        <is>
          <t>Consumer</t>
        </is>
      </c>
      <c r="H517" s="13" t="n">
        <v>18</v>
      </c>
      <c r="I517" s="14" t="n">
        <v>50.85</v>
      </c>
      <c r="J517" s="15" t="n">
        <v>0.17</v>
      </c>
      <c r="K517" s="14" t="n">
        <v>20.34</v>
      </c>
      <c r="L517" s="13" t="n">
        <v>8</v>
      </c>
      <c r="M517" s="13" t="inlineStr">
        <is>
          <t>Completed</t>
        </is>
      </c>
      <c r="N517" s="13" t="inlineStr">
        <is>
          <t>J. Patel</t>
        </is>
      </c>
      <c r="O517" s="13" t="inlineStr">
        <is>
          <t>No</t>
        </is>
      </c>
      <c r="P517" s="14">
        <f>H517*I517</f>
        <v/>
      </c>
      <c r="Q517" s="14">
        <f>P517*(1-J517)</f>
        <v/>
      </c>
      <c r="R517" s="14">
        <f>H517*K517</f>
        <v/>
      </c>
      <c r="S517" s="15">
        <f>IF(Q517=0,"",(Q517-R517)/Q517)</f>
        <v/>
      </c>
      <c r="T517" s="13">
        <f>YEAR(B517)</f>
        <v/>
      </c>
      <c r="U517" s="13">
        <f>YEAR(B517)&amp;"-Q"&amp;ROUNDUP(MONTH(B517)/3,0)</f>
        <v/>
      </c>
      <c r="V517" s="13">
        <f>TEXT(B517,"YYYY-MM")</f>
        <v/>
      </c>
      <c r="W517" s="13">
        <f>IF(L517="","",IF(L517&gt;pLateDays,1,0))</f>
        <v/>
      </c>
      <c r="X517" s="13">
        <f>IF(Q517&gt;=pHighCutoff,1,0)</f>
        <v/>
      </c>
      <c r="Y517" s="13">
        <f>IF(M517="Returned",1,0)</f>
        <v/>
      </c>
    </row>
    <row r="518">
      <c r="A518" s="13" t="inlineStr">
        <is>
          <t>HC-100516</t>
        </is>
      </c>
      <c r="B518" s="18" t="n">
        <v>45904</v>
      </c>
      <c r="C518" s="13" t="inlineStr">
        <is>
          <t>West</t>
        </is>
      </c>
      <c r="D518" s="13" t="inlineStr">
        <is>
          <t>Online</t>
        </is>
      </c>
      <c r="E518" s="13" t="inlineStr">
        <is>
          <t>Lighting</t>
        </is>
      </c>
      <c r="F518" s="13" t="inlineStr">
        <is>
          <t>Arc Lamp</t>
        </is>
      </c>
      <c r="G518" s="13" t="inlineStr">
        <is>
          <t>Home Office</t>
        </is>
      </c>
      <c r="H518" s="13" t="n">
        <v>1</v>
      </c>
      <c r="I518" s="14" t="n">
        <v>331.74</v>
      </c>
      <c r="J518" s="15" t="n">
        <v>0.08</v>
      </c>
      <c r="K518" s="14" t="n">
        <v>159.23</v>
      </c>
      <c r="L518" s="13" t="n">
        <v>6</v>
      </c>
      <c r="M518" s="13" t="inlineStr">
        <is>
          <t>Completed</t>
        </is>
      </c>
      <c r="N518" s="13" t="inlineStr">
        <is>
          <t>K. Mensah</t>
        </is>
      </c>
      <c r="O518" s="13" t="inlineStr">
        <is>
          <t>No</t>
        </is>
      </c>
      <c r="P518" s="14">
        <f>H518*I518</f>
        <v/>
      </c>
      <c r="Q518" s="14">
        <f>P518*(1-J518)</f>
        <v/>
      </c>
      <c r="R518" s="14">
        <f>H518*K518</f>
        <v/>
      </c>
      <c r="S518" s="15">
        <f>IF(Q518=0,"",(Q518-R518)/Q518)</f>
        <v/>
      </c>
      <c r="T518" s="13">
        <f>YEAR(B518)</f>
        <v/>
      </c>
      <c r="U518" s="13">
        <f>YEAR(B518)&amp;"-Q"&amp;ROUNDUP(MONTH(B518)/3,0)</f>
        <v/>
      </c>
      <c r="V518" s="13">
        <f>TEXT(B518,"YYYY-MM")</f>
        <v/>
      </c>
      <c r="W518" s="13">
        <f>IF(L518="","",IF(L518&gt;pLateDays,1,0))</f>
        <v/>
      </c>
      <c r="X518" s="13">
        <f>IF(Q518&gt;=pHighCutoff,1,0)</f>
        <v/>
      </c>
      <c r="Y518" s="13">
        <f>IF(M518="Returned",1,0)</f>
        <v/>
      </c>
    </row>
    <row r="519">
      <c r="A519" s="13" t="inlineStr">
        <is>
          <t>HC-100517</t>
        </is>
      </c>
      <c r="B519" s="18" t="n">
        <v>45626</v>
      </c>
      <c r="C519" s="13" t="inlineStr">
        <is>
          <t>West</t>
        </is>
      </c>
      <c r="D519" s="13" t="inlineStr">
        <is>
          <t>Online</t>
        </is>
      </c>
      <c r="E519" s="13" t="inlineStr">
        <is>
          <t>Lighting</t>
        </is>
      </c>
      <c r="F519" s="13" t="inlineStr">
        <is>
          <t>Arc Lamp</t>
        </is>
      </c>
      <c r="G519" s="13" t="inlineStr">
        <is>
          <t>Consumer</t>
        </is>
      </c>
      <c r="H519" s="13" t="n">
        <v>3</v>
      </c>
      <c r="I519" s="14" t="n">
        <v>330.48</v>
      </c>
      <c r="J519" s="15" t="n">
        <v>0.16</v>
      </c>
      <c r="K519" s="14" t="n">
        <v>158.63</v>
      </c>
      <c r="L519" s="13" t="n">
        <v>4</v>
      </c>
      <c r="M519" s="13" t="inlineStr">
        <is>
          <t>Completed</t>
        </is>
      </c>
      <c r="N519" s="13" t="inlineStr">
        <is>
          <t>P. Rossi</t>
        </is>
      </c>
      <c r="O519" s="13" t="inlineStr">
        <is>
          <t>No</t>
        </is>
      </c>
      <c r="P519" s="14">
        <f>H519*I519</f>
        <v/>
      </c>
      <c r="Q519" s="14">
        <f>P519*(1-J519)</f>
        <v/>
      </c>
      <c r="R519" s="14">
        <f>H519*K519</f>
        <v/>
      </c>
      <c r="S519" s="15">
        <f>IF(Q519=0,"",(Q519-R519)/Q519)</f>
        <v/>
      </c>
      <c r="T519" s="13">
        <f>YEAR(B519)</f>
        <v/>
      </c>
      <c r="U519" s="13">
        <f>YEAR(B519)&amp;"-Q"&amp;ROUNDUP(MONTH(B519)/3,0)</f>
        <v/>
      </c>
      <c r="V519" s="13">
        <f>TEXT(B519,"YYYY-MM")</f>
        <v/>
      </c>
      <c r="W519" s="13">
        <f>IF(L519="","",IF(L519&gt;pLateDays,1,0))</f>
        <v/>
      </c>
      <c r="X519" s="13">
        <f>IF(Q519&gt;=pHighCutoff,1,0)</f>
        <v/>
      </c>
      <c r="Y519" s="13">
        <f>IF(M519="Returned",1,0)</f>
        <v/>
      </c>
    </row>
    <row r="520">
      <c r="A520" s="13" t="inlineStr">
        <is>
          <t>HC-100518</t>
        </is>
      </c>
      <c r="B520" s="18" t="n">
        <v>45910</v>
      </c>
      <c r="C520" s="13" t="inlineStr">
        <is>
          <t>West</t>
        </is>
      </c>
      <c r="D520" s="13" t="inlineStr">
        <is>
          <t>Online</t>
        </is>
      </c>
      <c r="E520" s="13" t="inlineStr">
        <is>
          <t>Textiles</t>
        </is>
      </c>
      <c r="F520" s="13" t="inlineStr">
        <is>
          <t>Wool Throw</t>
        </is>
      </c>
      <c r="G520" s="13" t="inlineStr">
        <is>
          <t>Corporate</t>
        </is>
      </c>
      <c r="H520" s="13" t="n">
        <v>2</v>
      </c>
      <c r="I520" s="14" t="n">
        <v>79.16</v>
      </c>
      <c r="J520" s="15" t="n">
        <v>0.05</v>
      </c>
      <c r="K520" s="14" t="n">
        <v>33.25</v>
      </c>
      <c r="L520" s="13" t="n">
        <v>3</v>
      </c>
      <c r="M520" s="13" t="inlineStr">
        <is>
          <t>Completed</t>
        </is>
      </c>
      <c r="N520" s="13" t="inlineStr">
        <is>
          <t>S. Nguyen</t>
        </is>
      </c>
      <c r="O520" s="13" t="inlineStr">
        <is>
          <t>No</t>
        </is>
      </c>
      <c r="P520" s="14">
        <f>H520*I520</f>
        <v/>
      </c>
      <c r="Q520" s="14">
        <f>P520*(1-J520)</f>
        <v/>
      </c>
      <c r="R520" s="14">
        <f>H520*K520</f>
        <v/>
      </c>
      <c r="S520" s="15">
        <f>IF(Q520=0,"",(Q520-R520)/Q520)</f>
        <v/>
      </c>
      <c r="T520" s="13">
        <f>YEAR(B520)</f>
        <v/>
      </c>
      <c r="U520" s="13">
        <f>YEAR(B520)&amp;"-Q"&amp;ROUNDUP(MONTH(B520)/3,0)</f>
        <v/>
      </c>
      <c r="V520" s="13">
        <f>TEXT(B520,"YYYY-MM")</f>
        <v/>
      </c>
      <c r="W520" s="13">
        <f>IF(L520="","",IF(L520&gt;pLateDays,1,0))</f>
        <v/>
      </c>
      <c r="X520" s="13">
        <f>IF(Q520&gt;=pHighCutoff,1,0)</f>
        <v/>
      </c>
      <c r="Y520" s="13">
        <f>IF(M520="Returned",1,0)</f>
        <v/>
      </c>
    </row>
    <row r="521">
      <c r="A521" s="13" t="inlineStr">
        <is>
          <t>HC-100519</t>
        </is>
      </c>
      <c r="B521" s="18" t="n">
        <v>45506</v>
      </c>
      <c r="C521" s="13" t="inlineStr">
        <is>
          <t>East</t>
        </is>
      </c>
      <c r="D521" s="13" t="inlineStr">
        <is>
          <t>Wholesale</t>
        </is>
      </c>
      <c r="E521" s="13" t="inlineStr">
        <is>
          <t>Textiles</t>
        </is>
      </c>
      <c r="F521" s="13" t="inlineStr">
        <is>
          <t>Linen Curtain</t>
        </is>
      </c>
      <c r="G521" s="13" t="inlineStr">
        <is>
          <t>Consumer</t>
        </is>
      </c>
      <c r="H521" s="13" t="n">
        <v>29</v>
      </c>
      <c r="I521" s="14" t="n">
        <v>86.47</v>
      </c>
      <c r="J521" s="15" t="n">
        <v>0.32</v>
      </c>
      <c r="K521" s="14" t="n">
        <v>38.91</v>
      </c>
      <c r="L521" s="13" t="n"/>
      <c r="M521" s="13" t="inlineStr">
        <is>
          <t>Completed</t>
        </is>
      </c>
      <c r="N521" s="13" t="inlineStr">
        <is>
          <t>L. Berger</t>
        </is>
      </c>
      <c r="O521" s="13" t="inlineStr">
        <is>
          <t>No</t>
        </is>
      </c>
      <c r="P521" s="14">
        <f>H521*I521</f>
        <v/>
      </c>
      <c r="Q521" s="14">
        <f>P521*(1-J521)</f>
        <v/>
      </c>
      <c r="R521" s="14">
        <f>H521*K521</f>
        <v/>
      </c>
      <c r="S521" s="15">
        <f>IF(Q521=0,"",(Q521-R521)/Q521)</f>
        <v/>
      </c>
      <c r="T521" s="13">
        <f>YEAR(B521)</f>
        <v/>
      </c>
      <c r="U521" s="13">
        <f>YEAR(B521)&amp;"-Q"&amp;ROUNDUP(MONTH(B521)/3,0)</f>
        <v/>
      </c>
      <c r="V521" s="13">
        <f>TEXT(B521,"YYYY-MM")</f>
        <v/>
      </c>
      <c r="W521" s="13">
        <f>IF(L521="","",IF(L521&gt;pLateDays,1,0))</f>
        <v/>
      </c>
      <c r="X521" s="13">
        <f>IF(Q521&gt;=pHighCutoff,1,0)</f>
        <v/>
      </c>
      <c r="Y521" s="13">
        <f>IF(M521="Returned",1,0)</f>
        <v/>
      </c>
    </row>
    <row r="522">
      <c r="A522" s="13" t="inlineStr">
        <is>
          <t>HC-100520</t>
        </is>
      </c>
      <c r="B522" s="18" t="n">
        <v>45600</v>
      </c>
      <c r="C522" s="13" t="inlineStr">
        <is>
          <t>South</t>
        </is>
      </c>
      <c r="D522" s="13" t="inlineStr">
        <is>
          <t>Store</t>
        </is>
      </c>
      <c r="E522" s="13" t="inlineStr">
        <is>
          <t>Kitchen</t>
        </is>
      </c>
      <c r="F522" s="13" t="inlineStr">
        <is>
          <t>Cast Skillet</t>
        </is>
      </c>
      <c r="G522" s="13" t="inlineStr">
        <is>
          <t>Consumer</t>
        </is>
      </c>
      <c r="H522" s="13" t="n">
        <v>5</v>
      </c>
      <c r="I522" s="14" t="n">
        <v>57.55</v>
      </c>
      <c r="J522" s="15" t="n">
        <v>0.1</v>
      </c>
      <c r="K522" s="14" t="n">
        <v>23.02</v>
      </c>
      <c r="L522" s="13" t="n">
        <v>3</v>
      </c>
      <c r="M522" s="13" t="inlineStr">
        <is>
          <t>Completed</t>
        </is>
      </c>
      <c r="N522" s="13" t="inlineStr">
        <is>
          <t>S. Nguyen</t>
        </is>
      </c>
      <c r="O522" s="13" t="inlineStr">
        <is>
          <t>No</t>
        </is>
      </c>
      <c r="P522" s="14">
        <f>H522*I522</f>
        <v/>
      </c>
      <c r="Q522" s="14">
        <f>P522*(1-J522)</f>
        <v/>
      </c>
      <c r="R522" s="14">
        <f>H522*K522</f>
        <v/>
      </c>
      <c r="S522" s="15">
        <f>IF(Q522=0,"",(Q522-R522)/Q522)</f>
        <v/>
      </c>
      <c r="T522" s="13">
        <f>YEAR(B522)</f>
        <v/>
      </c>
      <c r="U522" s="13">
        <f>YEAR(B522)&amp;"-Q"&amp;ROUNDUP(MONTH(B522)/3,0)</f>
        <v/>
      </c>
      <c r="V522" s="13">
        <f>TEXT(B522,"YYYY-MM")</f>
        <v/>
      </c>
      <c r="W522" s="13">
        <f>IF(L522="","",IF(L522&gt;pLateDays,1,0))</f>
        <v/>
      </c>
      <c r="X522" s="13">
        <f>IF(Q522&gt;=pHighCutoff,1,0)</f>
        <v/>
      </c>
      <c r="Y522" s="13">
        <f>IF(M522="Returned",1,0)</f>
        <v/>
      </c>
    </row>
    <row r="523">
      <c r="A523" s="13" t="inlineStr">
        <is>
          <t>HC-100521</t>
        </is>
      </c>
      <c r="B523" s="18" t="n">
        <v>45494</v>
      </c>
      <c r="C523" s="13" t="inlineStr">
        <is>
          <t>South</t>
        </is>
      </c>
      <c r="D523" s="13" t="inlineStr">
        <is>
          <t>Wholesale</t>
        </is>
      </c>
      <c r="E523" s="13" t="inlineStr">
        <is>
          <t>Lighting</t>
        </is>
      </c>
      <c r="F523" s="13" t="inlineStr">
        <is>
          <t>Arc Lamp</t>
        </is>
      </c>
      <c r="G523" s="13" t="inlineStr">
        <is>
          <t>Consumer</t>
        </is>
      </c>
      <c r="H523" s="13" t="n">
        <v>19</v>
      </c>
      <c r="I523" s="14" t="n">
        <v>295.89</v>
      </c>
      <c r="J523" s="15" t="n">
        <v>0.27</v>
      </c>
      <c r="K523" s="14" t="n">
        <v>142.03</v>
      </c>
      <c r="L523" s="13" t="n">
        <v>4</v>
      </c>
      <c r="M523" s="13" t="inlineStr">
        <is>
          <t>Completed</t>
        </is>
      </c>
      <c r="N523" s="13" t="inlineStr">
        <is>
          <t>L. Berger</t>
        </is>
      </c>
      <c r="O523" s="13" t="inlineStr">
        <is>
          <t>No</t>
        </is>
      </c>
      <c r="P523" s="14">
        <f>H523*I523</f>
        <v/>
      </c>
      <c r="Q523" s="14">
        <f>P523*(1-J523)</f>
        <v/>
      </c>
      <c r="R523" s="14">
        <f>H523*K523</f>
        <v/>
      </c>
      <c r="S523" s="15">
        <f>IF(Q523=0,"",(Q523-R523)/Q523)</f>
        <v/>
      </c>
      <c r="T523" s="13">
        <f>YEAR(B523)</f>
        <v/>
      </c>
      <c r="U523" s="13">
        <f>YEAR(B523)&amp;"-Q"&amp;ROUNDUP(MONTH(B523)/3,0)</f>
        <v/>
      </c>
      <c r="V523" s="13">
        <f>TEXT(B523,"YYYY-MM")</f>
        <v/>
      </c>
      <c r="W523" s="13">
        <f>IF(L523="","",IF(L523&gt;pLateDays,1,0))</f>
        <v/>
      </c>
      <c r="X523" s="13">
        <f>IF(Q523&gt;=pHighCutoff,1,0)</f>
        <v/>
      </c>
      <c r="Y523" s="13">
        <f>IF(M523="Returned",1,0)</f>
        <v/>
      </c>
    </row>
    <row r="524">
      <c r="A524" s="13" t="inlineStr">
        <is>
          <t>HC-100522</t>
        </is>
      </c>
      <c r="B524" s="18" t="n">
        <v>45558</v>
      </c>
      <c r="C524" s="13" t="inlineStr">
        <is>
          <t>North</t>
        </is>
      </c>
      <c r="D524" s="13" t="inlineStr">
        <is>
          <t>Wholesale</t>
        </is>
      </c>
      <c r="E524" s="13" t="inlineStr">
        <is>
          <t>Furniture</t>
        </is>
      </c>
      <c r="F524" s="13" t="inlineStr">
        <is>
          <t>Lounge Chair</t>
        </is>
      </c>
      <c r="G524" s="13" t="inlineStr">
        <is>
          <t>Corporate</t>
        </is>
      </c>
      <c r="H524" s="13" t="n">
        <v>25</v>
      </c>
      <c r="I524" s="14" t="n">
        <v>447.96</v>
      </c>
      <c r="J524" s="15" t="n">
        <v>0.18</v>
      </c>
      <c r="K524" s="14" t="n">
        <v>268.78</v>
      </c>
      <c r="L524" s="13" t="n">
        <v>9</v>
      </c>
      <c r="M524" s="13" t="inlineStr">
        <is>
          <t>Completed</t>
        </is>
      </c>
      <c r="N524" s="13" t="inlineStr">
        <is>
          <t>J. Patel</t>
        </is>
      </c>
      <c r="O524" s="13" t="inlineStr">
        <is>
          <t>No</t>
        </is>
      </c>
      <c r="P524" s="14">
        <f>H524*I524</f>
        <v/>
      </c>
      <c r="Q524" s="14">
        <f>P524*(1-J524)</f>
        <v/>
      </c>
      <c r="R524" s="14">
        <f>H524*K524</f>
        <v/>
      </c>
      <c r="S524" s="15">
        <f>IF(Q524=0,"",(Q524-R524)/Q524)</f>
        <v/>
      </c>
      <c r="T524" s="13">
        <f>YEAR(B524)</f>
        <v/>
      </c>
      <c r="U524" s="13">
        <f>YEAR(B524)&amp;"-Q"&amp;ROUNDUP(MONTH(B524)/3,0)</f>
        <v/>
      </c>
      <c r="V524" s="13">
        <f>TEXT(B524,"YYYY-MM")</f>
        <v/>
      </c>
      <c r="W524" s="13">
        <f>IF(L524="","",IF(L524&gt;pLateDays,1,0))</f>
        <v/>
      </c>
      <c r="X524" s="13">
        <f>IF(Q524&gt;=pHighCutoff,1,0)</f>
        <v/>
      </c>
      <c r="Y524" s="13">
        <f>IF(M524="Returned",1,0)</f>
        <v/>
      </c>
    </row>
    <row r="525">
      <c r="A525" s="13" t="inlineStr">
        <is>
          <t>HC-100523</t>
        </is>
      </c>
      <c r="B525" s="18" t="n">
        <v>45648</v>
      </c>
      <c r="C525" s="13" t="inlineStr">
        <is>
          <t>North</t>
        </is>
      </c>
      <c r="D525" s="13" t="inlineStr">
        <is>
          <t>Online</t>
        </is>
      </c>
      <c r="E525" s="13" t="inlineStr">
        <is>
          <t>Lighting</t>
        </is>
      </c>
      <c r="F525" s="13" t="inlineStr">
        <is>
          <t>Pendant Light</t>
        </is>
      </c>
      <c r="G525" s="13" t="inlineStr">
        <is>
          <t>Consumer</t>
        </is>
      </c>
      <c r="H525" s="13" t="n">
        <v>2</v>
      </c>
      <c r="I525" s="14" t="n">
        <v>167.09</v>
      </c>
      <c r="J525" s="15" t="n">
        <v>0.15</v>
      </c>
      <c r="K525" s="14" t="n">
        <v>83.55</v>
      </c>
      <c r="L525" s="13" t="n">
        <v>5</v>
      </c>
      <c r="M525" s="13" t="inlineStr">
        <is>
          <t>Completed</t>
        </is>
      </c>
      <c r="N525" s="13" t="inlineStr">
        <is>
          <t>P. Rossi</t>
        </is>
      </c>
      <c r="O525" s="13" t="inlineStr">
        <is>
          <t>No</t>
        </is>
      </c>
      <c r="P525" s="14">
        <f>H525*I525</f>
        <v/>
      </c>
      <c r="Q525" s="14">
        <f>P525*(1-J525)</f>
        <v/>
      </c>
      <c r="R525" s="14">
        <f>H525*K525</f>
        <v/>
      </c>
      <c r="S525" s="15">
        <f>IF(Q525=0,"",(Q525-R525)/Q525)</f>
        <v/>
      </c>
      <c r="T525" s="13">
        <f>YEAR(B525)</f>
        <v/>
      </c>
      <c r="U525" s="13">
        <f>YEAR(B525)&amp;"-Q"&amp;ROUNDUP(MONTH(B525)/3,0)</f>
        <v/>
      </c>
      <c r="V525" s="13">
        <f>TEXT(B525,"YYYY-MM")</f>
        <v/>
      </c>
      <c r="W525" s="13">
        <f>IF(L525="","",IF(L525&gt;pLateDays,1,0))</f>
        <v/>
      </c>
      <c r="X525" s="13">
        <f>IF(Q525&gt;=pHighCutoff,1,0)</f>
        <v/>
      </c>
      <c r="Y525" s="13">
        <f>IF(M525="Returned",1,0)</f>
        <v/>
      </c>
    </row>
    <row r="526">
      <c r="A526" s="13" t="inlineStr">
        <is>
          <t>HC-100524</t>
        </is>
      </c>
      <c r="B526" s="18" t="n">
        <v>45617</v>
      </c>
      <c r="C526" s="13" t="inlineStr">
        <is>
          <t>South</t>
        </is>
      </c>
      <c r="D526" s="13" t="inlineStr">
        <is>
          <t>Online</t>
        </is>
      </c>
      <c r="E526" s="13" t="inlineStr">
        <is>
          <t>Lighting</t>
        </is>
      </c>
      <c r="F526" s="13" t="inlineStr">
        <is>
          <t>Arc Lamp</t>
        </is>
      </c>
      <c r="G526" s="13" t="inlineStr">
        <is>
          <t>Consumer</t>
        </is>
      </c>
      <c r="H526" s="13" t="n">
        <v>3</v>
      </c>
      <c r="I526" s="14" t="n">
        <v>307.17</v>
      </c>
      <c r="J526" s="15" t="n">
        <v>0.08</v>
      </c>
      <c r="K526" s="14" t="n">
        <v>147.44</v>
      </c>
      <c r="L526" s="13" t="n">
        <v>6</v>
      </c>
      <c r="M526" s="13" t="inlineStr">
        <is>
          <t>Completed</t>
        </is>
      </c>
      <c r="N526" s="13" t="inlineStr">
        <is>
          <t>M. Okonkwo</t>
        </is>
      </c>
      <c r="O526" s="13" t="inlineStr">
        <is>
          <t>No</t>
        </is>
      </c>
      <c r="P526" s="14">
        <f>H526*I526</f>
        <v/>
      </c>
      <c r="Q526" s="14">
        <f>P526*(1-J526)</f>
        <v/>
      </c>
      <c r="R526" s="14">
        <f>H526*K526</f>
        <v/>
      </c>
      <c r="S526" s="15">
        <f>IF(Q526=0,"",(Q526-R526)/Q526)</f>
        <v/>
      </c>
      <c r="T526" s="13">
        <f>YEAR(B526)</f>
        <v/>
      </c>
      <c r="U526" s="13">
        <f>YEAR(B526)&amp;"-Q"&amp;ROUNDUP(MONTH(B526)/3,0)</f>
        <v/>
      </c>
      <c r="V526" s="13">
        <f>TEXT(B526,"YYYY-MM")</f>
        <v/>
      </c>
      <c r="W526" s="13">
        <f>IF(L526="","",IF(L526&gt;pLateDays,1,0))</f>
        <v/>
      </c>
      <c r="X526" s="13">
        <f>IF(Q526&gt;=pHighCutoff,1,0)</f>
        <v/>
      </c>
      <c r="Y526" s="13">
        <f>IF(M526="Returned",1,0)</f>
        <v/>
      </c>
    </row>
    <row r="527">
      <c r="A527" s="13" t="inlineStr">
        <is>
          <t>HC-100525</t>
        </is>
      </c>
      <c r="B527" s="18" t="n">
        <v>45929</v>
      </c>
      <c r="C527" s="13" t="inlineStr">
        <is>
          <t>West</t>
        </is>
      </c>
      <c r="D527" s="13" t="inlineStr">
        <is>
          <t>Wholesale</t>
        </is>
      </c>
      <c r="E527" s="13" t="inlineStr">
        <is>
          <t>Kitchen</t>
        </is>
      </c>
      <c r="F527" s="13" t="inlineStr">
        <is>
          <t>Chef Knife</t>
        </is>
      </c>
      <c r="G527" s="13" t="inlineStr">
        <is>
          <t>Corporate</t>
        </is>
      </c>
      <c r="H527" s="13" t="n">
        <v>33</v>
      </c>
      <c r="I527" s="14" t="n">
        <v>60.63</v>
      </c>
      <c r="J527" s="15" t="n">
        <v>0.22</v>
      </c>
      <c r="K527" s="14" t="n">
        <v>21.83</v>
      </c>
      <c r="L527" s="13" t="n">
        <v>7</v>
      </c>
      <c r="M527" s="13" t="inlineStr">
        <is>
          <t>Completed</t>
        </is>
      </c>
      <c r="N527" s="13" t="inlineStr">
        <is>
          <t>A. Shah</t>
        </is>
      </c>
      <c r="O527" s="13" t="inlineStr">
        <is>
          <t>No</t>
        </is>
      </c>
      <c r="P527" s="14">
        <f>H527*I527</f>
        <v/>
      </c>
      <c r="Q527" s="14">
        <f>P527*(1-J527)</f>
        <v/>
      </c>
      <c r="R527" s="14">
        <f>H527*K527</f>
        <v/>
      </c>
      <c r="S527" s="15">
        <f>IF(Q527=0,"",(Q527-R527)/Q527)</f>
        <v/>
      </c>
      <c r="T527" s="13">
        <f>YEAR(B527)</f>
        <v/>
      </c>
      <c r="U527" s="13">
        <f>YEAR(B527)&amp;"-Q"&amp;ROUNDUP(MONTH(B527)/3,0)</f>
        <v/>
      </c>
      <c r="V527" s="13">
        <f>TEXT(B527,"YYYY-MM")</f>
        <v/>
      </c>
      <c r="W527" s="13">
        <f>IF(L527="","",IF(L527&gt;pLateDays,1,0))</f>
        <v/>
      </c>
      <c r="X527" s="13">
        <f>IF(Q527&gt;=pHighCutoff,1,0)</f>
        <v/>
      </c>
      <c r="Y527" s="13">
        <f>IF(M527="Returned",1,0)</f>
        <v/>
      </c>
    </row>
    <row r="528">
      <c r="A528" s="13" t="inlineStr">
        <is>
          <t>HC-100526</t>
        </is>
      </c>
      <c r="B528" s="18" t="n">
        <v>45445</v>
      </c>
      <c r="C528" s="13" t="inlineStr">
        <is>
          <t>North</t>
        </is>
      </c>
      <c r="D528" s="13" t="inlineStr">
        <is>
          <t>Wholesale</t>
        </is>
      </c>
      <c r="E528" s="13" t="inlineStr">
        <is>
          <t>Kitchen</t>
        </is>
      </c>
      <c r="F528" s="13" t="inlineStr">
        <is>
          <t>Chef Knife</t>
        </is>
      </c>
      <c r="G528" s="13" t="inlineStr">
        <is>
          <t>Home Office</t>
        </is>
      </c>
      <c r="H528" s="13" t="n">
        <v>13</v>
      </c>
      <c r="I528" s="14" t="n">
        <v>60.81</v>
      </c>
      <c r="J528" s="15" t="n">
        <v>0.17</v>
      </c>
      <c r="K528" s="14" t="n">
        <v>21.89</v>
      </c>
      <c r="L528" s="13" t="n">
        <v>6</v>
      </c>
      <c r="M528" s="13" t="inlineStr">
        <is>
          <t>Completed</t>
        </is>
      </c>
      <c r="N528" s="13" t="inlineStr">
        <is>
          <t>S. Nguyen</t>
        </is>
      </c>
      <c r="O528" s="13" t="inlineStr">
        <is>
          <t>No</t>
        </is>
      </c>
      <c r="P528" s="14">
        <f>H528*I528</f>
        <v/>
      </c>
      <c r="Q528" s="14">
        <f>P528*(1-J528)</f>
        <v/>
      </c>
      <c r="R528" s="14">
        <f>H528*K528</f>
        <v/>
      </c>
      <c r="S528" s="15">
        <f>IF(Q528=0,"",(Q528-R528)/Q528)</f>
        <v/>
      </c>
      <c r="T528" s="13">
        <f>YEAR(B528)</f>
        <v/>
      </c>
      <c r="U528" s="13">
        <f>YEAR(B528)&amp;"-Q"&amp;ROUNDUP(MONTH(B528)/3,0)</f>
        <v/>
      </c>
      <c r="V528" s="13">
        <f>TEXT(B528,"YYYY-MM")</f>
        <v/>
      </c>
      <c r="W528" s="13">
        <f>IF(L528="","",IF(L528&gt;pLateDays,1,0))</f>
        <v/>
      </c>
      <c r="X528" s="13">
        <f>IF(Q528&gt;=pHighCutoff,1,0)</f>
        <v/>
      </c>
      <c r="Y528" s="13">
        <f>IF(M528="Returned",1,0)</f>
        <v/>
      </c>
    </row>
    <row r="529">
      <c r="A529" s="13" t="inlineStr">
        <is>
          <t>HC-100527</t>
        </is>
      </c>
      <c r="B529" s="18" t="n">
        <v>45637</v>
      </c>
      <c r="C529" s="13" t="inlineStr">
        <is>
          <t>South</t>
        </is>
      </c>
      <c r="D529" s="13" t="inlineStr">
        <is>
          <t>Online</t>
        </is>
      </c>
      <c r="E529" s="13" t="inlineStr">
        <is>
          <t>Kitchen</t>
        </is>
      </c>
      <c r="F529" s="13" t="inlineStr">
        <is>
          <t>Chef Knife</t>
        </is>
      </c>
      <c r="G529" s="13" t="inlineStr">
        <is>
          <t>Consumer</t>
        </is>
      </c>
      <c r="H529" s="13" t="n">
        <v>4</v>
      </c>
      <c r="I529" s="14" t="n">
        <v>59.06</v>
      </c>
      <c r="J529" s="15" t="n">
        <v>0.06</v>
      </c>
      <c r="K529" s="14" t="n">
        <v>21.26</v>
      </c>
      <c r="L529" s="13" t="n">
        <v>9</v>
      </c>
      <c r="M529" s="13" t="inlineStr">
        <is>
          <t>Completed</t>
        </is>
      </c>
      <c r="N529" s="13" t="inlineStr">
        <is>
          <t>S. Nguyen</t>
        </is>
      </c>
      <c r="O529" s="13" t="inlineStr">
        <is>
          <t>No</t>
        </is>
      </c>
      <c r="P529" s="14">
        <f>H529*I529</f>
        <v/>
      </c>
      <c r="Q529" s="14">
        <f>P529*(1-J529)</f>
        <v/>
      </c>
      <c r="R529" s="14">
        <f>H529*K529</f>
        <v/>
      </c>
      <c r="S529" s="15">
        <f>IF(Q529=0,"",(Q529-R529)/Q529)</f>
        <v/>
      </c>
      <c r="T529" s="13">
        <f>YEAR(B529)</f>
        <v/>
      </c>
      <c r="U529" s="13">
        <f>YEAR(B529)&amp;"-Q"&amp;ROUNDUP(MONTH(B529)/3,0)</f>
        <v/>
      </c>
      <c r="V529" s="13">
        <f>TEXT(B529,"YYYY-MM")</f>
        <v/>
      </c>
      <c r="W529" s="13">
        <f>IF(L529="","",IF(L529&gt;pLateDays,1,0))</f>
        <v/>
      </c>
      <c r="X529" s="13">
        <f>IF(Q529&gt;=pHighCutoff,1,0)</f>
        <v/>
      </c>
      <c r="Y529" s="13">
        <f>IF(M529="Returned",1,0)</f>
        <v/>
      </c>
    </row>
    <row r="530">
      <c r="A530" s="13" t="inlineStr">
        <is>
          <t>HC-100528</t>
        </is>
      </c>
      <c r="B530" s="18" t="n">
        <v>45659</v>
      </c>
      <c r="C530" s="13" t="inlineStr">
        <is>
          <t>North</t>
        </is>
      </c>
      <c r="D530" s="13" t="inlineStr">
        <is>
          <t>Store</t>
        </is>
      </c>
      <c r="E530" s="13" t="inlineStr">
        <is>
          <t>Furniture</t>
        </is>
      </c>
      <c r="F530" s="13" t="inlineStr">
        <is>
          <t>Oak Desk</t>
        </is>
      </c>
      <c r="G530" s="13" t="inlineStr">
        <is>
          <t>Consumer</t>
        </is>
      </c>
      <c r="H530" s="13" t="n">
        <v>4</v>
      </c>
      <c r="I530" s="14" t="n">
        <v>862.61</v>
      </c>
      <c r="J530" s="15" t="n">
        <v>0.01</v>
      </c>
      <c r="K530" s="14" t="n">
        <v>534.8200000000001</v>
      </c>
      <c r="L530" s="13" t="n">
        <v>3</v>
      </c>
      <c r="M530" s="13" t="inlineStr">
        <is>
          <t>Completed</t>
        </is>
      </c>
      <c r="N530" s="13" t="inlineStr">
        <is>
          <t>P. Rossi</t>
        </is>
      </c>
      <c r="O530" s="13" t="inlineStr">
        <is>
          <t>No</t>
        </is>
      </c>
      <c r="P530" s="14">
        <f>H530*I530</f>
        <v/>
      </c>
      <c r="Q530" s="14">
        <f>P530*(1-J530)</f>
        <v/>
      </c>
      <c r="R530" s="14">
        <f>H530*K530</f>
        <v/>
      </c>
      <c r="S530" s="15">
        <f>IF(Q530=0,"",(Q530-R530)/Q530)</f>
        <v/>
      </c>
      <c r="T530" s="13">
        <f>YEAR(B530)</f>
        <v/>
      </c>
      <c r="U530" s="13">
        <f>YEAR(B530)&amp;"-Q"&amp;ROUNDUP(MONTH(B530)/3,0)</f>
        <v/>
      </c>
      <c r="V530" s="13">
        <f>TEXT(B530,"YYYY-MM")</f>
        <v/>
      </c>
      <c r="W530" s="13">
        <f>IF(L530="","",IF(L530&gt;pLateDays,1,0))</f>
        <v/>
      </c>
      <c r="X530" s="13">
        <f>IF(Q530&gt;=pHighCutoff,1,0)</f>
        <v/>
      </c>
      <c r="Y530" s="13">
        <f>IF(M530="Returned",1,0)</f>
        <v/>
      </c>
    </row>
    <row r="531">
      <c r="A531" s="13" t="inlineStr">
        <is>
          <t>HC-100529</t>
        </is>
      </c>
      <c r="B531" s="18" t="n">
        <v>45868</v>
      </c>
      <c r="C531" s="13" t="inlineStr">
        <is>
          <t>South</t>
        </is>
      </c>
      <c r="D531" s="13" t="inlineStr">
        <is>
          <t>Online</t>
        </is>
      </c>
      <c r="E531" s="13" t="inlineStr">
        <is>
          <t>Lighting</t>
        </is>
      </c>
      <c r="F531" s="13" t="inlineStr">
        <is>
          <t>Pendant Light</t>
        </is>
      </c>
      <c r="G531" s="13" t="inlineStr">
        <is>
          <t>Consumer</t>
        </is>
      </c>
      <c r="H531" s="13" t="n">
        <v>2</v>
      </c>
      <c r="I531" s="14" t="n">
        <v>179.45</v>
      </c>
      <c r="J531" s="15" t="n">
        <v>0.03</v>
      </c>
      <c r="K531" s="14" t="n">
        <v>89.73</v>
      </c>
      <c r="L531" s="13" t="n">
        <v>7</v>
      </c>
      <c r="M531" s="13" t="inlineStr">
        <is>
          <t>Completed</t>
        </is>
      </c>
      <c r="N531" s="13" t="inlineStr">
        <is>
          <t>P. Rossi</t>
        </is>
      </c>
      <c r="O531" s="13" t="inlineStr">
        <is>
          <t>No</t>
        </is>
      </c>
      <c r="P531" s="14">
        <f>H531*I531</f>
        <v/>
      </c>
      <c r="Q531" s="14">
        <f>P531*(1-J531)</f>
        <v/>
      </c>
      <c r="R531" s="14">
        <f>H531*K531</f>
        <v/>
      </c>
      <c r="S531" s="15">
        <f>IF(Q531=0,"",(Q531-R531)/Q531)</f>
        <v/>
      </c>
      <c r="T531" s="13">
        <f>YEAR(B531)</f>
        <v/>
      </c>
      <c r="U531" s="13">
        <f>YEAR(B531)&amp;"-Q"&amp;ROUNDUP(MONTH(B531)/3,0)</f>
        <v/>
      </c>
      <c r="V531" s="13">
        <f>TEXT(B531,"YYYY-MM")</f>
        <v/>
      </c>
      <c r="W531" s="13">
        <f>IF(L531="","",IF(L531&gt;pLateDays,1,0))</f>
        <v/>
      </c>
      <c r="X531" s="13">
        <f>IF(Q531&gt;=pHighCutoff,1,0)</f>
        <v/>
      </c>
      <c r="Y531" s="13">
        <f>IF(M531="Returned",1,0)</f>
        <v/>
      </c>
    </row>
    <row r="532">
      <c r="A532" s="13" t="inlineStr">
        <is>
          <t>HC-100530</t>
        </is>
      </c>
      <c r="B532" s="18" t="n">
        <v>45769</v>
      </c>
      <c r="C532" s="13" t="inlineStr">
        <is>
          <t>North</t>
        </is>
      </c>
      <c r="D532" s="13" t="inlineStr">
        <is>
          <t>Online</t>
        </is>
      </c>
      <c r="E532" s="13" t="inlineStr">
        <is>
          <t>Furniture</t>
        </is>
      </c>
      <c r="F532" s="13" t="inlineStr">
        <is>
          <t>Walnut Shelf</t>
        </is>
      </c>
      <c r="G532" s="13" t="inlineStr">
        <is>
          <t>Consumer</t>
        </is>
      </c>
      <c r="H532" s="13" t="n">
        <v>2</v>
      </c>
      <c r="I532" s="14" t="n">
        <v>231.32</v>
      </c>
      <c r="J532" s="15" t="n">
        <v>0.12</v>
      </c>
      <c r="K532" s="14" t="n">
        <v>127.23</v>
      </c>
      <c r="L532" s="13" t="n">
        <v>9</v>
      </c>
      <c r="M532" s="13" t="inlineStr">
        <is>
          <t>Completed</t>
        </is>
      </c>
      <c r="N532" s="13" t="inlineStr">
        <is>
          <t>S. Nguyen</t>
        </is>
      </c>
      <c r="O532" s="13" t="inlineStr">
        <is>
          <t>No</t>
        </is>
      </c>
      <c r="P532" s="14">
        <f>H532*I532</f>
        <v/>
      </c>
      <c r="Q532" s="14">
        <f>P532*(1-J532)</f>
        <v/>
      </c>
      <c r="R532" s="14">
        <f>H532*K532</f>
        <v/>
      </c>
      <c r="S532" s="15">
        <f>IF(Q532=0,"",(Q532-R532)/Q532)</f>
        <v/>
      </c>
      <c r="T532" s="13">
        <f>YEAR(B532)</f>
        <v/>
      </c>
      <c r="U532" s="13">
        <f>YEAR(B532)&amp;"-Q"&amp;ROUNDUP(MONTH(B532)/3,0)</f>
        <v/>
      </c>
      <c r="V532" s="13">
        <f>TEXT(B532,"YYYY-MM")</f>
        <v/>
      </c>
      <c r="W532" s="13">
        <f>IF(L532="","",IF(L532&gt;pLateDays,1,0))</f>
        <v/>
      </c>
      <c r="X532" s="13">
        <f>IF(Q532&gt;=pHighCutoff,1,0)</f>
        <v/>
      </c>
      <c r="Y532" s="13">
        <f>IF(M532="Returned",1,0)</f>
        <v/>
      </c>
    </row>
    <row r="533">
      <c r="A533" s="13" t="inlineStr">
        <is>
          <t>HC-100531</t>
        </is>
      </c>
      <c r="B533" s="18" t="n">
        <v>45490</v>
      </c>
      <c r="C533" s="13" t="inlineStr">
        <is>
          <t>East</t>
        </is>
      </c>
      <c r="D533" s="13" t="inlineStr">
        <is>
          <t>Wholesale</t>
        </is>
      </c>
      <c r="E533" s="13" t="inlineStr">
        <is>
          <t>Textiles</t>
        </is>
      </c>
      <c r="F533" s="13" t="inlineStr">
        <is>
          <t>Wool Throw</t>
        </is>
      </c>
      <c r="G533" s="13" t="inlineStr">
        <is>
          <t>Consumer</t>
        </is>
      </c>
      <c r="H533" s="13" t="n">
        <v>16</v>
      </c>
      <c r="I533" s="14" t="n">
        <v>63.58</v>
      </c>
      <c r="J533" s="15" t="n">
        <v>0.13</v>
      </c>
      <c r="K533" s="14" t="n">
        <v>26.7</v>
      </c>
      <c r="L533" s="13" t="n">
        <v>8</v>
      </c>
      <c r="M533" s="13" t="inlineStr">
        <is>
          <t>Completed</t>
        </is>
      </c>
      <c r="N533" s="13" t="inlineStr">
        <is>
          <t>R. Ibarra</t>
        </is>
      </c>
      <c r="O533" s="13" t="inlineStr">
        <is>
          <t>No</t>
        </is>
      </c>
      <c r="P533" s="14">
        <f>H533*I533</f>
        <v/>
      </c>
      <c r="Q533" s="14">
        <f>P533*(1-J533)</f>
        <v/>
      </c>
      <c r="R533" s="14">
        <f>H533*K533</f>
        <v/>
      </c>
      <c r="S533" s="15">
        <f>IF(Q533=0,"",(Q533-R533)/Q533)</f>
        <v/>
      </c>
      <c r="T533" s="13">
        <f>YEAR(B533)</f>
        <v/>
      </c>
      <c r="U533" s="13">
        <f>YEAR(B533)&amp;"-Q"&amp;ROUNDUP(MONTH(B533)/3,0)</f>
        <v/>
      </c>
      <c r="V533" s="13">
        <f>TEXT(B533,"YYYY-MM")</f>
        <v/>
      </c>
      <c r="W533" s="13">
        <f>IF(L533="","",IF(L533&gt;pLateDays,1,0))</f>
        <v/>
      </c>
      <c r="X533" s="13">
        <f>IF(Q533&gt;=pHighCutoff,1,0)</f>
        <v/>
      </c>
      <c r="Y533" s="13">
        <f>IF(M533="Returned",1,0)</f>
        <v/>
      </c>
    </row>
    <row r="534">
      <c r="A534" s="13" t="inlineStr">
        <is>
          <t>HC-100532</t>
        </is>
      </c>
      <c r="B534" s="18" t="n">
        <v>45510</v>
      </c>
      <c r="C534" s="13" t="inlineStr">
        <is>
          <t>North</t>
        </is>
      </c>
      <c r="D534" s="13" t="inlineStr">
        <is>
          <t>Online</t>
        </is>
      </c>
      <c r="E534" s="13" t="inlineStr">
        <is>
          <t>Lighting</t>
        </is>
      </c>
      <c r="F534" s="13" t="inlineStr">
        <is>
          <t>Brass Sconce</t>
        </is>
      </c>
      <c r="G534" s="13" t="inlineStr">
        <is>
          <t>Consumer</t>
        </is>
      </c>
      <c r="H534" s="13" t="n">
        <v>1</v>
      </c>
      <c r="I534" s="14" t="n">
        <v>135.18</v>
      </c>
      <c r="J534" s="15" t="n">
        <v>0.16</v>
      </c>
      <c r="K534" s="14" t="n">
        <v>62.18</v>
      </c>
      <c r="L534" s="13" t="n">
        <v>8</v>
      </c>
      <c r="M534" s="13" t="inlineStr">
        <is>
          <t>Returned</t>
        </is>
      </c>
      <c r="N534" s="13" t="inlineStr">
        <is>
          <t>M. Okonkwo</t>
        </is>
      </c>
      <c r="O534" s="13" t="inlineStr">
        <is>
          <t>No</t>
        </is>
      </c>
      <c r="P534" s="14">
        <f>H534*I534</f>
        <v/>
      </c>
      <c r="Q534" s="14">
        <f>P534*(1-J534)</f>
        <v/>
      </c>
      <c r="R534" s="14">
        <f>H534*K534</f>
        <v/>
      </c>
      <c r="S534" s="15">
        <f>IF(Q534=0,"",(Q534-R534)/Q534)</f>
        <v/>
      </c>
      <c r="T534" s="13">
        <f>YEAR(B534)</f>
        <v/>
      </c>
      <c r="U534" s="13">
        <f>YEAR(B534)&amp;"-Q"&amp;ROUNDUP(MONTH(B534)/3,0)</f>
        <v/>
      </c>
      <c r="V534" s="13">
        <f>TEXT(B534,"YYYY-MM")</f>
        <v/>
      </c>
      <c r="W534" s="13">
        <f>IF(L534="","",IF(L534&gt;pLateDays,1,0))</f>
        <v/>
      </c>
      <c r="X534" s="13">
        <f>IF(Q534&gt;=pHighCutoff,1,0)</f>
        <v/>
      </c>
      <c r="Y534" s="13">
        <f>IF(M534="Returned",1,0)</f>
        <v/>
      </c>
    </row>
    <row r="535">
      <c r="A535" s="13" t="inlineStr">
        <is>
          <t>HC-100533</t>
        </is>
      </c>
      <c r="B535" s="18" t="n">
        <v>45610</v>
      </c>
      <c r="C535" s="13" t="inlineStr">
        <is>
          <t>West</t>
        </is>
      </c>
      <c r="D535" s="13" t="inlineStr">
        <is>
          <t>Online</t>
        </is>
      </c>
      <c r="E535" s="13" t="inlineStr">
        <is>
          <t>Textiles</t>
        </is>
      </c>
      <c r="F535" s="13" t="inlineStr">
        <is>
          <t>Linen Curtain</t>
        </is>
      </c>
      <c r="G535" s="13" t="inlineStr">
        <is>
          <t>Consumer</t>
        </is>
      </c>
      <c r="H535" s="13" t="n">
        <v>2</v>
      </c>
      <c r="I535" s="14" t="n">
        <v>100.71</v>
      </c>
      <c r="J535" s="15" t="n">
        <v>0.06</v>
      </c>
      <c r="K535" s="14" t="n">
        <v>45.32</v>
      </c>
      <c r="L535" s="13" t="n">
        <v>8</v>
      </c>
      <c r="M535" s="13" t="inlineStr">
        <is>
          <t>Completed</t>
        </is>
      </c>
      <c r="N535" s="13" t="inlineStr">
        <is>
          <t>S. Nguyen</t>
        </is>
      </c>
      <c r="O535" s="13" t="inlineStr">
        <is>
          <t>No</t>
        </is>
      </c>
      <c r="P535" s="14">
        <f>H535*I535</f>
        <v/>
      </c>
      <c r="Q535" s="14">
        <f>P535*(1-J535)</f>
        <v/>
      </c>
      <c r="R535" s="14">
        <f>H535*K535</f>
        <v/>
      </c>
      <c r="S535" s="15">
        <f>IF(Q535=0,"",(Q535-R535)/Q535)</f>
        <v/>
      </c>
      <c r="T535" s="13">
        <f>YEAR(B535)</f>
        <v/>
      </c>
      <c r="U535" s="13">
        <f>YEAR(B535)&amp;"-Q"&amp;ROUNDUP(MONTH(B535)/3,0)</f>
        <v/>
      </c>
      <c r="V535" s="13">
        <f>TEXT(B535,"YYYY-MM")</f>
        <v/>
      </c>
      <c r="W535" s="13">
        <f>IF(L535="","",IF(L535&gt;pLateDays,1,0))</f>
        <v/>
      </c>
      <c r="X535" s="13">
        <f>IF(Q535&gt;=pHighCutoff,1,0)</f>
        <v/>
      </c>
      <c r="Y535" s="13">
        <f>IF(M535="Returned",1,0)</f>
        <v/>
      </c>
    </row>
    <row r="536">
      <c r="A536" s="13" t="inlineStr">
        <is>
          <t>HC-100534</t>
        </is>
      </c>
      <c r="B536" s="18" t="n">
        <v>45842</v>
      </c>
      <c r="C536" s="13" t="inlineStr">
        <is>
          <t>North</t>
        </is>
      </c>
      <c r="D536" s="13" t="inlineStr">
        <is>
          <t>Store</t>
        </is>
      </c>
      <c r="E536" s="13" t="inlineStr">
        <is>
          <t>Textiles</t>
        </is>
      </c>
      <c r="F536" s="13" t="inlineStr">
        <is>
          <t>Cotton Duvet</t>
        </is>
      </c>
      <c r="G536" s="13" t="inlineStr">
        <is>
          <t>Consumer</t>
        </is>
      </c>
      <c r="H536" s="13" t="n">
        <v>1</v>
      </c>
      <c r="I536" s="14" t="n">
        <v>128.87</v>
      </c>
      <c r="J536" s="15" t="n">
        <v>0.1</v>
      </c>
      <c r="K536" s="14" t="n">
        <v>56.7</v>
      </c>
      <c r="L536" s="13" t="n">
        <v>6</v>
      </c>
      <c r="M536" s="13" t="inlineStr">
        <is>
          <t>Completed</t>
        </is>
      </c>
      <c r="N536" s="13" t="inlineStr">
        <is>
          <t>J. Patel</t>
        </is>
      </c>
      <c r="O536" s="13" t="inlineStr">
        <is>
          <t>No</t>
        </is>
      </c>
      <c r="P536" s="14">
        <f>H536*I536</f>
        <v/>
      </c>
      <c r="Q536" s="14">
        <f>P536*(1-J536)</f>
        <v/>
      </c>
      <c r="R536" s="14">
        <f>H536*K536</f>
        <v/>
      </c>
      <c r="S536" s="15">
        <f>IF(Q536=0,"",(Q536-R536)/Q536)</f>
        <v/>
      </c>
      <c r="T536" s="13">
        <f>YEAR(B536)</f>
        <v/>
      </c>
      <c r="U536" s="13">
        <f>YEAR(B536)&amp;"-Q"&amp;ROUNDUP(MONTH(B536)/3,0)</f>
        <v/>
      </c>
      <c r="V536" s="13">
        <f>TEXT(B536,"YYYY-MM")</f>
        <v/>
      </c>
      <c r="W536" s="13">
        <f>IF(L536="","",IF(L536&gt;pLateDays,1,0))</f>
        <v/>
      </c>
      <c r="X536" s="13">
        <f>IF(Q536&gt;=pHighCutoff,1,0)</f>
        <v/>
      </c>
      <c r="Y536" s="13">
        <f>IF(M536="Returned",1,0)</f>
        <v/>
      </c>
    </row>
    <row r="537">
      <c r="A537" s="13" t="inlineStr">
        <is>
          <t>HC-100535</t>
        </is>
      </c>
      <c r="B537" s="18" t="n">
        <v>45604</v>
      </c>
      <c r="C537" s="13" t="inlineStr">
        <is>
          <t>West</t>
        </is>
      </c>
      <c r="D537" s="13" t="inlineStr">
        <is>
          <t>Store</t>
        </is>
      </c>
      <c r="E537" s="13" t="inlineStr">
        <is>
          <t>Lighting</t>
        </is>
      </c>
      <c r="F537" s="13" t="inlineStr">
        <is>
          <t>Arc Lamp</t>
        </is>
      </c>
      <c r="G537" s="13" t="inlineStr">
        <is>
          <t>Consumer</t>
        </is>
      </c>
      <c r="H537" s="13" t="n">
        <v>5</v>
      </c>
      <c r="I537" s="14" t="n">
        <v>305.95</v>
      </c>
      <c r="J537" s="15" t="n">
        <v>0.01</v>
      </c>
      <c r="K537" s="14" t="n">
        <v>146.86</v>
      </c>
      <c r="L537" s="13" t="n">
        <v>5</v>
      </c>
      <c r="M537" s="13" t="inlineStr">
        <is>
          <t>Completed</t>
        </is>
      </c>
      <c r="N537" s="13" t="inlineStr">
        <is>
          <t>P. Rossi</t>
        </is>
      </c>
      <c r="O537" s="13" t="inlineStr">
        <is>
          <t>No</t>
        </is>
      </c>
      <c r="P537" s="14">
        <f>H537*I537</f>
        <v/>
      </c>
      <c r="Q537" s="14">
        <f>P537*(1-J537)</f>
        <v/>
      </c>
      <c r="R537" s="14">
        <f>H537*K537</f>
        <v/>
      </c>
      <c r="S537" s="15">
        <f>IF(Q537=0,"",(Q537-R537)/Q537)</f>
        <v/>
      </c>
      <c r="T537" s="13">
        <f>YEAR(B537)</f>
        <v/>
      </c>
      <c r="U537" s="13">
        <f>YEAR(B537)&amp;"-Q"&amp;ROUNDUP(MONTH(B537)/3,0)</f>
        <v/>
      </c>
      <c r="V537" s="13">
        <f>TEXT(B537,"YYYY-MM")</f>
        <v/>
      </c>
      <c r="W537" s="13">
        <f>IF(L537="","",IF(L537&gt;pLateDays,1,0))</f>
        <v/>
      </c>
      <c r="X537" s="13">
        <f>IF(Q537&gt;=pHighCutoff,1,0)</f>
        <v/>
      </c>
      <c r="Y537" s="13">
        <f>IF(M537="Returned",1,0)</f>
        <v/>
      </c>
    </row>
    <row r="538">
      <c r="A538" s="13" t="inlineStr">
        <is>
          <t>HC-100536</t>
        </is>
      </c>
      <c r="B538" s="18" t="n">
        <v>45417</v>
      </c>
      <c r="C538" s="13" t="inlineStr">
        <is>
          <t>West</t>
        </is>
      </c>
      <c r="D538" s="13" t="inlineStr">
        <is>
          <t>Online</t>
        </is>
      </c>
      <c r="E538" s="13" t="inlineStr">
        <is>
          <t>Kitchen</t>
        </is>
      </c>
      <c r="F538" s="13" t="inlineStr">
        <is>
          <t>Ceramic Set</t>
        </is>
      </c>
      <c r="G538" s="13" t="inlineStr">
        <is>
          <t>Consumer</t>
        </is>
      </c>
      <c r="H538" s="13" t="n">
        <v>1</v>
      </c>
      <c r="I538" s="14" t="n">
        <v>80.89</v>
      </c>
      <c r="J538" s="15" t="n">
        <v>0.09</v>
      </c>
      <c r="K538" s="14" t="n">
        <v>30.74</v>
      </c>
      <c r="L538" s="13" t="n">
        <v>4</v>
      </c>
      <c r="M538" s="13" t="inlineStr">
        <is>
          <t>Returned</t>
        </is>
      </c>
      <c r="N538" s="13" t="inlineStr">
        <is>
          <t>A. Shah</t>
        </is>
      </c>
      <c r="O538" s="13" t="inlineStr">
        <is>
          <t>No</t>
        </is>
      </c>
      <c r="P538" s="14">
        <f>H538*I538</f>
        <v/>
      </c>
      <c r="Q538" s="14">
        <f>P538*(1-J538)</f>
        <v/>
      </c>
      <c r="R538" s="14">
        <f>H538*K538</f>
        <v/>
      </c>
      <c r="S538" s="15">
        <f>IF(Q538=0,"",(Q538-R538)/Q538)</f>
        <v/>
      </c>
      <c r="T538" s="13">
        <f>YEAR(B538)</f>
        <v/>
      </c>
      <c r="U538" s="13">
        <f>YEAR(B538)&amp;"-Q"&amp;ROUNDUP(MONTH(B538)/3,0)</f>
        <v/>
      </c>
      <c r="V538" s="13">
        <f>TEXT(B538,"YYYY-MM")</f>
        <v/>
      </c>
      <c r="W538" s="13">
        <f>IF(L538="","",IF(L538&gt;pLateDays,1,0))</f>
        <v/>
      </c>
      <c r="X538" s="13">
        <f>IF(Q538&gt;=pHighCutoff,1,0)</f>
        <v/>
      </c>
      <c r="Y538" s="13">
        <f>IF(M538="Returned",1,0)</f>
        <v/>
      </c>
    </row>
    <row r="539">
      <c r="A539" s="13" t="inlineStr">
        <is>
          <t>HC-100537</t>
        </is>
      </c>
      <c r="B539" s="18" t="n">
        <v>45744</v>
      </c>
      <c r="C539" s="13" t="inlineStr">
        <is>
          <t>North</t>
        </is>
      </c>
      <c r="D539" s="13" t="inlineStr">
        <is>
          <t>Store</t>
        </is>
      </c>
      <c r="E539" s="13" t="inlineStr">
        <is>
          <t>Furniture</t>
        </is>
      </c>
      <c r="F539" s="13" t="inlineStr">
        <is>
          <t>Linen Sofa</t>
        </is>
      </c>
      <c r="G539" s="13" t="inlineStr">
        <is>
          <t>Corporate</t>
        </is>
      </c>
      <c r="H539" s="13" t="n">
        <v>2</v>
      </c>
      <c r="I539" s="14" t="n">
        <v>1235.59</v>
      </c>
      <c r="J539" s="15" t="n">
        <v>0.08</v>
      </c>
      <c r="K539" s="14" t="n">
        <v>815.49</v>
      </c>
      <c r="L539" s="13" t="n">
        <v>5</v>
      </c>
      <c r="M539" s="13" t="inlineStr">
        <is>
          <t>Completed</t>
        </is>
      </c>
      <c r="N539" s="13" t="inlineStr">
        <is>
          <t>L. Berger</t>
        </is>
      </c>
      <c r="O539" s="13" t="inlineStr">
        <is>
          <t>No</t>
        </is>
      </c>
      <c r="P539" s="14">
        <f>H539*I539</f>
        <v/>
      </c>
      <c r="Q539" s="14">
        <f>P539*(1-J539)</f>
        <v/>
      </c>
      <c r="R539" s="14">
        <f>H539*K539</f>
        <v/>
      </c>
      <c r="S539" s="15">
        <f>IF(Q539=0,"",(Q539-R539)/Q539)</f>
        <v/>
      </c>
      <c r="T539" s="13">
        <f>YEAR(B539)</f>
        <v/>
      </c>
      <c r="U539" s="13">
        <f>YEAR(B539)&amp;"-Q"&amp;ROUNDUP(MONTH(B539)/3,0)</f>
        <v/>
      </c>
      <c r="V539" s="13">
        <f>TEXT(B539,"YYYY-MM")</f>
        <v/>
      </c>
      <c r="W539" s="13">
        <f>IF(L539="","",IF(L539&gt;pLateDays,1,0))</f>
        <v/>
      </c>
      <c r="X539" s="13">
        <f>IF(Q539&gt;=pHighCutoff,1,0)</f>
        <v/>
      </c>
      <c r="Y539" s="13">
        <f>IF(M539="Returned",1,0)</f>
        <v/>
      </c>
    </row>
    <row r="540">
      <c r="A540" s="13" t="inlineStr">
        <is>
          <t>HC-100538</t>
        </is>
      </c>
      <c r="B540" s="18" t="n">
        <v>45599</v>
      </c>
      <c r="C540" s="13" t="inlineStr">
        <is>
          <t>North</t>
        </is>
      </c>
      <c r="D540" s="13" t="inlineStr">
        <is>
          <t>Store</t>
        </is>
      </c>
      <c r="E540" s="13" t="inlineStr">
        <is>
          <t>Kitchen</t>
        </is>
      </c>
      <c r="F540" s="13" t="inlineStr">
        <is>
          <t>Ceramic Set</t>
        </is>
      </c>
      <c r="G540" s="13" t="inlineStr">
        <is>
          <t>Corporate</t>
        </is>
      </c>
      <c r="H540" s="13" t="n">
        <v>2</v>
      </c>
      <c r="I540" s="14" t="n">
        <v>89.43000000000001</v>
      </c>
      <c r="J540" s="15" t="n">
        <v>0.11</v>
      </c>
      <c r="K540" s="14" t="n">
        <v>33.98</v>
      </c>
      <c r="L540" s="13" t="n">
        <v>6</v>
      </c>
      <c r="M540" s="13" t="inlineStr">
        <is>
          <t>Completed</t>
        </is>
      </c>
      <c r="N540" s="13" t="inlineStr">
        <is>
          <t>S. Nguyen</t>
        </is>
      </c>
      <c r="O540" s="13" t="inlineStr">
        <is>
          <t>No</t>
        </is>
      </c>
      <c r="P540" s="14">
        <f>H540*I540</f>
        <v/>
      </c>
      <c r="Q540" s="14">
        <f>P540*(1-J540)</f>
        <v/>
      </c>
      <c r="R540" s="14">
        <f>H540*K540</f>
        <v/>
      </c>
      <c r="S540" s="15">
        <f>IF(Q540=0,"",(Q540-R540)/Q540)</f>
        <v/>
      </c>
      <c r="T540" s="13">
        <f>YEAR(B540)</f>
        <v/>
      </c>
      <c r="U540" s="13">
        <f>YEAR(B540)&amp;"-Q"&amp;ROUNDUP(MONTH(B540)/3,0)</f>
        <v/>
      </c>
      <c r="V540" s="13">
        <f>TEXT(B540,"YYYY-MM")</f>
        <v/>
      </c>
      <c r="W540" s="13">
        <f>IF(L540="","",IF(L540&gt;pLateDays,1,0))</f>
        <v/>
      </c>
      <c r="X540" s="13">
        <f>IF(Q540&gt;=pHighCutoff,1,0)</f>
        <v/>
      </c>
      <c r="Y540" s="13">
        <f>IF(M540="Returned",1,0)</f>
        <v/>
      </c>
    </row>
    <row r="541">
      <c r="A541" s="13" t="inlineStr">
        <is>
          <t>HC-100539</t>
        </is>
      </c>
      <c r="B541" s="18" t="n">
        <v>45402</v>
      </c>
      <c r="C541" s="13" t="inlineStr">
        <is>
          <t>North</t>
        </is>
      </c>
      <c r="D541" s="13" t="inlineStr">
        <is>
          <t>Online</t>
        </is>
      </c>
      <c r="E541" s="13" t="inlineStr">
        <is>
          <t>Kitchen</t>
        </is>
      </c>
      <c r="F541" s="13" t="inlineStr">
        <is>
          <t>Ceramic Set</t>
        </is>
      </c>
      <c r="G541" s="13" t="inlineStr">
        <is>
          <t>Unknown</t>
        </is>
      </c>
      <c r="H541" s="13" t="n">
        <v>2</v>
      </c>
      <c r="I541" s="14" t="n">
        <v>83.76000000000001</v>
      </c>
      <c r="J541" s="15" t="n">
        <v>0.11</v>
      </c>
      <c r="K541" s="14" t="n">
        <v>31.83</v>
      </c>
      <c r="L541" s="13" t="n">
        <v>6</v>
      </c>
      <c r="M541" s="13" t="inlineStr">
        <is>
          <t>Completed</t>
        </is>
      </c>
      <c r="N541" s="13" t="inlineStr">
        <is>
          <t>L. Berger</t>
        </is>
      </c>
      <c r="O541" s="13" t="inlineStr">
        <is>
          <t>No</t>
        </is>
      </c>
      <c r="P541" s="14">
        <f>H541*I541</f>
        <v/>
      </c>
      <c r="Q541" s="14">
        <f>P541*(1-J541)</f>
        <v/>
      </c>
      <c r="R541" s="14">
        <f>H541*K541</f>
        <v/>
      </c>
      <c r="S541" s="15">
        <f>IF(Q541=0,"",(Q541-R541)/Q541)</f>
        <v/>
      </c>
      <c r="T541" s="13">
        <f>YEAR(B541)</f>
        <v/>
      </c>
      <c r="U541" s="13">
        <f>YEAR(B541)&amp;"-Q"&amp;ROUNDUP(MONTH(B541)/3,0)</f>
        <v/>
      </c>
      <c r="V541" s="13">
        <f>TEXT(B541,"YYYY-MM")</f>
        <v/>
      </c>
      <c r="W541" s="13">
        <f>IF(L541="","",IF(L541&gt;pLateDays,1,0))</f>
        <v/>
      </c>
      <c r="X541" s="13">
        <f>IF(Q541&gt;=pHighCutoff,1,0)</f>
        <v/>
      </c>
      <c r="Y541" s="13">
        <f>IF(M541="Returned",1,0)</f>
        <v/>
      </c>
    </row>
    <row r="542">
      <c r="A542" s="13" t="inlineStr">
        <is>
          <t>HC-100540</t>
        </is>
      </c>
      <c r="B542" s="18" t="n">
        <v>45909</v>
      </c>
      <c r="C542" s="13" t="inlineStr">
        <is>
          <t>South</t>
        </is>
      </c>
      <c r="D542" s="13" t="inlineStr">
        <is>
          <t>Store</t>
        </is>
      </c>
      <c r="E542" s="13" t="inlineStr">
        <is>
          <t>Textiles</t>
        </is>
      </c>
      <c r="F542" s="13" t="inlineStr">
        <is>
          <t>Cotton Duvet</t>
        </is>
      </c>
      <c r="G542" s="13" t="inlineStr">
        <is>
          <t>Consumer</t>
        </is>
      </c>
      <c r="H542" s="13" t="n">
        <v>1</v>
      </c>
      <c r="I542" s="14" t="n">
        <v>111.42</v>
      </c>
      <c r="J542" s="15" t="n">
        <v>0.03</v>
      </c>
      <c r="K542" s="14" t="n">
        <v>49.03</v>
      </c>
      <c r="L542" s="13" t="n">
        <v>5</v>
      </c>
      <c r="M542" s="13" t="inlineStr">
        <is>
          <t>Returned</t>
        </is>
      </c>
      <c r="N542" s="13" t="inlineStr">
        <is>
          <t>P. Rossi</t>
        </is>
      </c>
      <c r="O542" s="13" t="inlineStr">
        <is>
          <t>No</t>
        </is>
      </c>
      <c r="P542" s="14">
        <f>H542*I542</f>
        <v/>
      </c>
      <c r="Q542" s="14">
        <f>P542*(1-J542)</f>
        <v/>
      </c>
      <c r="R542" s="14">
        <f>H542*K542</f>
        <v/>
      </c>
      <c r="S542" s="15">
        <f>IF(Q542=0,"",(Q542-R542)/Q542)</f>
        <v/>
      </c>
      <c r="T542" s="13">
        <f>YEAR(B542)</f>
        <v/>
      </c>
      <c r="U542" s="13">
        <f>YEAR(B542)&amp;"-Q"&amp;ROUNDUP(MONTH(B542)/3,0)</f>
        <v/>
      </c>
      <c r="V542" s="13">
        <f>TEXT(B542,"YYYY-MM")</f>
        <v/>
      </c>
      <c r="W542" s="13">
        <f>IF(L542="","",IF(L542&gt;pLateDays,1,0))</f>
        <v/>
      </c>
      <c r="X542" s="13">
        <f>IF(Q542&gt;=pHighCutoff,1,0)</f>
        <v/>
      </c>
      <c r="Y542" s="13">
        <f>IF(M542="Returned",1,0)</f>
        <v/>
      </c>
    </row>
    <row r="543">
      <c r="A543" s="13" t="inlineStr">
        <is>
          <t>HC-100541</t>
        </is>
      </c>
      <c r="B543" s="18" t="n">
        <v>45335</v>
      </c>
      <c r="C543" s="13" t="inlineStr">
        <is>
          <t>North</t>
        </is>
      </c>
      <c r="D543" s="13" t="inlineStr">
        <is>
          <t>Store</t>
        </is>
      </c>
      <c r="E543" s="13" t="inlineStr">
        <is>
          <t>Furniture</t>
        </is>
      </c>
      <c r="F543" s="13" t="inlineStr">
        <is>
          <t>Lounge Chair</t>
        </is>
      </c>
      <c r="G543" s="13" t="inlineStr">
        <is>
          <t>Corporate</t>
        </is>
      </c>
      <c r="H543" s="13" t="n">
        <v>1</v>
      </c>
      <c r="I543" s="14" t="n">
        <v>502.9</v>
      </c>
      <c r="J543" s="15" t="n">
        <v>0.1</v>
      </c>
      <c r="K543" s="14" t="n">
        <v>301.74</v>
      </c>
      <c r="L543" s="13" t="n"/>
      <c r="M543" s="13" t="inlineStr">
        <is>
          <t>Completed</t>
        </is>
      </c>
      <c r="N543" s="13" t="inlineStr">
        <is>
          <t>R. Ibarra</t>
        </is>
      </c>
      <c r="O543" s="13" t="inlineStr">
        <is>
          <t>No</t>
        </is>
      </c>
      <c r="P543" s="14">
        <f>H543*I543</f>
        <v/>
      </c>
      <c r="Q543" s="14">
        <f>P543*(1-J543)</f>
        <v/>
      </c>
      <c r="R543" s="14">
        <f>H543*K543</f>
        <v/>
      </c>
      <c r="S543" s="15">
        <f>IF(Q543=0,"",(Q543-R543)/Q543)</f>
        <v/>
      </c>
      <c r="T543" s="13">
        <f>YEAR(B543)</f>
        <v/>
      </c>
      <c r="U543" s="13">
        <f>YEAR(B543)&amp;"-Q"&amp;ROUNDUP(MONTH(B543)/3,0)</f>
        <v/>
      </c>
      <c r="V543" s="13">
        <f>TEXT(B543,"YYYY-MM")</f>
        <v/>
      </c>
      <c r="W543" s="13">
        <f>IF(L543="","",IF(L543&gt;pLateDays,1,0))</f>
        <v/>
      </c>
      <c r="X543" s="13">
        <f>IF(Q543&gt;=pHighCutoff,1,0)</f>
        <v/>
      </c>
      <c r="Y543" s="13">
        <f>IF(M543="Returned",1,0)</f>
        <v/>
      </c>
    </row>
    <row r="544">
      <c r="A544" s="13" t="inlineStr">
        <is>
          <t>HC-100542</t>
        </is>
      </c>
      <c r="B544" s="18" t="n">
        <v>45416</v>
      </c>
      <c r="C544" s="13" t="inlineStr">
        <is>
          <t>East</t>
        </is>
      </c>
      <c r="D544" s="13" t="inlineStr">
        <is>
          <t>Store</t>
        </is>
      </c>
      <c r="E544" s="13" t="inlineStr">
        <is>
          <t>Furniture</t>
        </is>
      </c>
      <c r="F544" s="13" t="inlineStr">
        <is>
          <t>Linen Sofa</t>
        </is>
      </c>
      <c r="G544" s="13" t="inlineStr">
        <is>
          <t>Unknown</t>
        </is>
      </c>
      <c r="H544" s="13" t="n">
        <v>4</v>
      </c>
      <c r="I544" s="14" t="n">
        <v>1105.9</v>
      </c>
      <c r="J544" s="15" t="n">
        <v>0.06</v>
      </c>
      <c r="K544" s="14" t="n">
        <v>729.89</v>
      </c>
      <c r="L544" s="13" t="n">
        <v>7</v>
      </c>
      <c r="M544" s="13" t="inlineStr">
        <is>
          <t>Completed</t>
        </is>
      </c>
      <c r="N544" s="13" t="inlineStr">
        <is>
          <t>K. Mensah</t>
        </is>
      </c>
      <c r="O544" s="13" t="inlineStr">
        <is>
          <t>No</t>
        </is>
      </c>
      <c r="P544" s="14">
        <f>H544*I544</f>
        <v/>
      </c>
      <c r="Q544" s="14">
        <f>P544*(1-J544)</f>
        <v/>
      </c>
      <c r="R544" s="14">
        <f>H544*K544</f>
        <v/>
      </c>
      <c r="S544" s="15">
        <f>IF(Q544=0,"",(Q544-R544)/Q544)</f>
        <v/>
      </c>
      <c r="T544" s="13">
        <f>YEAR(B544)</f>
        <v/>
      </c>
      <c r="U544" s="13">
        <f>YEAR(B544)&amp;"-Q"&amp;ROUNDUP(MONTH(B544)/3,0)</f>
        <v/>
      </c>
      <c r="V544" s="13">
        <f>TEXT(B544,"YYYY-MM")</f>
        <v/>
      </c>
      <c r="W544" s="13">
        <f>IF(L544="","",IF(L544&gt;pLateDays,1,0))</f>
        <v/>
      </c>
      <c r="X544" s="13">
        <f>IF(Q544&gt;=pHighCutoff,1,0)</f>
        <v/>
      </c>
      <c r="Y544" s="13">
        <f>IF(M544="Returned",1,0)</f>
        <v/>
      </c>
    </row>
    <row r="545">
      <c r="A545" s="13" t="inlineStr">
        <is>
          <t>HC-100543</t>
        </is>
      </c>
      <c r="B545" s="18" t="n">
        <v>45401</v>
      </c>
      <c r="C545" s="13" t="inlineStr">
        <is>
          <t>North</t>
        </is>
      </c>
      <c r="D545" s="13" t="inlineStr">
        <is>
          <t>Store</t>
        </is>
      </c>
      <c r="E545" s="13" t="inlineStr">
        <is>
          <t>Kitchen</t>
        </is>
      </c>
      <c r="F545" s="13" t="inlineStr">
        <is>
          <t>Chef Knife</t>
        </is>
      </c>
      <c r="G545" s="13" t="inlineStr">
        <is>
          <t>Home Office</t>
        </is>
      </c>
      <c r="H545" s="13" t="n">
        <v>2</v>
      </c>
      <c r="I545" s="14" t="n">
        <v>64.70999999999999</v>
      </c>
      <c r="J545" s="15" t="n">
        <v>0.03</v>
      </c>
      <c r="K545" s="14" t="n">
        <v>23.3</v>
      </c>
      <c r="L545" s="13" t="n">
        <v>6</v>
      </c>
      <c r="M545" s="13" t="inlineStr">
        <is>
          <t>Completed</t>
        </is>
      </c>
      <c r="N545" s="13" t="inlineStr">
        <is>
          <t>P. Rossi</t>
        </is>
      </c>
      <c r="O545" s="13" t="inlineStr">
        <is>
          <t>No</t>
        </is>
      </c>
      <c r="P545" s="14">
        <f>H545*I545</f>
        <v/>
      </c>
      <c r="Q545" s="14">
        <f>P545*(1-J545)</f>
        <v/>
      </c>
      <c r="R545" s="14">
        <f>H545*K545</f>
        <v/>
      </c>
      <c r="S545" s="15">
        <f>IF(Q545=0,"",(Q545-R545)/Q545)</f>
        <v/>
      </c>
      <c r="T545" s="13">
        <f>YEAR(B545)</f>
        <v/>
      </c>
      <c r="U545" s="13">
        <f>YEAR(B545)&amp;"-Q"&amp;ROUNDUP(MONTH(B545)/3,0)</f>
        <v/>
      </c>
      <c r="V545" s="13">
        <f>TEXT(B545,"YYYY-MM")</f>
        <v/>
      </c>
      <c r="W545" s="13">
        <f>IF(L545="","",IF(L545&gt;pLateDays,1,0))</f>
        <v/>
      </c>
      <c r="X545" s="13">
        <f>IF(Q545&gt;=pHighCutoff,1,0)</f>
        <v/>
      </c>
      <c r="Y545" s="13">
        <f>IF(M545="Returned",1,0)</f>
        <v/>
      </c>
    </row>
    <row r="546">
      <c r="A546" s="13" t="inlineStr">
        <is>
          <t>HC-100544</t>
        </is>
      </c>
      <c r="B546" s="18" t="n">
        <v>45360</v>
      </c>
      <c r="C546" s="13" t="inlineStr">
        <is>
          <t>South</t>
        </is>
      </c>
      <c r="D546" s="13" t="inlineStr">
        <is>
          <t>Store</t>
        </is>
      </c>
      <c r="E546" s="13" t="inlineStr">
        <is>
          <t>Textiles</t>
        </is>
      </c>
      <c r="F546" s="13" t="inlineStr">
        <is>
          <t>Wool Throw</t>
        </is>
      </c>
      <c r="G546" s="13" t="inlineStr">
        <is>
          <t>Consumer</t>
        </is>
      </c>
      <c r="H546" s="13" t="n">
        <v>3</v>
      </c>
      <c r="I546" s="14" t="n">
        <v>69.59</v>
      </c>
      <c r="J546" s="15" t="n">
        <v>0.1</v>
      </c>
      <c r="K546" s="14" t="n">
        <v>29.23</v>
      </c>
      <c r="L546" s="13" t="n">
        <v>8</v>
      </c>
      <c r="M546" s="13" t="inlineStr">
        <is>
          <t>Completed</t>
        </is>
      </c>
      <c r="N546" s="13" t="inlineStr">
        <is>
          <t>K. Mensah</t>
        </is>
      </c>
      <c r="O546" s="13" t="inlineStr">
        <is>
          <t>No</t>
        </is>
      </c>
      <c r="P546" s="14">
        <f>H546*I546</f>
        <v/>
      </c>
      <c r="Q546" s="14">
        <f>P546*(1-J546)</f>
        <v/>
      </c>
      <c r="R546" s="14">
        <f>H546*K546</f>
        <v/>
      </c>
      <c r="S546" s="15">
        <f>IF(Q546=0,"",(Q546-R546)/Q546)</f>
        <v/>
      </c>
      <c r="T546" s="13">
        <f>YEAR(B546)</f>
        <v/>
      </c>
      <c r="U546" s="13">
        <f>YEAR(B546)&amp;"-Q"&amp;ROUNDUP(MONTH(B546)/3,0)</f>
        <v/>
      </c>
      <c r="V546" s="13">
        <f>TEXT(B546,"YYYY-MM")</f>
        <v/>
      </c>
      <c r="W546" s="13">
        <f>IF(L546="","",IF(L546&gt;pLateDays,1,0))</f>
        <v/>
      </c>
      <c r="X546" s="13">
        <f>IF(Q546&gt;=pHighCutoff,1,0)</f>
        <v/>
      </c>
      <c r="Y546" s="13">
        <f>IF(M546="Returned",1,0)</f>
        <v/>
      </c>
    </row>
    <row r="547">
      <c r="A547" s="13" t="inlineStr">
        <is>
          <t>HC-100545</t>
        </is>
      </c>
      <c r="B547" s="18" t="n">
        <v>45587</v>
      </c>
      <c r="C547" s="13" t="inlineStr">
        <is>
          <t>West</t>
        </is>
      </c>
      <c r="D547" s="13" t="inlineStr">
        <is>
          <t>Online</t>
        </is>
      </c>
      <c r="E547" s="13" t="inlineStr">
        <is>
          <t>Textiles</t>
        </is>
      </c>
      <c r="F547" s="13" t="inlineStr">
        <is>
          <t>Wool Throw</t>
        </is>
      </c>
      <c r="G547" s="13" t="inlineStr">
        <is>
          <t>Consumer</t>
        </is>
      </c>
      <c r="H547" s="13" t="n">
        <v>1</v>
      </c>
      <c r="I547" s="14" t="n">
        <v>74.3</v>
      </c>
      <c r="J547" s="15" t="n">
        <v>0.11</v>
      </c>
      <c r="K547" s="14" t="n">
        <v>31.21</v>
      </c>
      <c r="L547" s="13" t="n">
        <v>5</v>
      </c>
      <c r="M547" s="13" t="inlineStr">
        <is>
          <t>Completed</t>
        </is>
      </c>
      <c r="N547" s="13" t="inlineStr">
        <is>
          <t>K. Mensah</t>
        </is>
      </c>
      <c r="O547" s="13" t="inlineStr">
        <is>
          <t>No</t>
        </is>
      </c>
      <c r="P547" s="14">
        <f>H547*I547</f>
        <v/>
      </c>
      <c r="Q547" s="14">
        <f>P547*(1-J547)</f>
        <v/>
      </c>
      <c r="R547" s="14">
        <f>H547*K547</f>
        <v/>
      </c>
      <c r="S547" s="15">
        <f>IF(Q547=0,"",(Q547-R547)/Q547)</f>
        <v/>
      </c>
      <c r="T547" s="13">
        <f>YEAR(B547)</f>
        <v/>
      </c>
      <c r="U547" s="13">
        <f>YEAR(B547)&amp;"-Q"&amp;ROUNDUP(MONTH(B547)/3,0)</f>
        <v/>
      </c>
      <c r="V547" s="13">
        <f>TEXT(B547,"YYYY-MM")</f>
        <v/>
      </c>
      <c r="W547" s="13">
        <f>IF(L547="","",IF(L547&gt;pLateDays,1,0))</f>
        <v/>
      </c>
      <c r="X547" s="13">
        <f>IF(Q547&gt;=pHighCutoff,1,0)</f>
        <v/>
      </c>
      <c r="Y547" s="13">
        <f>IF(M547="Returned",1,0)</f>
        <v/>
      </c>
    </row>
    <row r="548">
      <c r="A548" s="13" t="inlineStr">
        <is>
          <t>HC-100546</t>
        </is>
      </c>
      <c r="B548" s="18" t="n">
        <v>45533</v>
      </c>
      <c r="C548" s="13" t="inlineStr">
        <is>
          <t>East</t>
        </is>
      </c>
      <c r="D548" s="13" t="inlineStr">
        <is>
          <t>Online</t>
        </is>
      </c>
      <c r="E548" s="13" t="inlineStr">
        <is>
          <t>Lighting</t>
        </is>
      </c>
      <c r="F548" s="13" t="inlineStr">
        <is>
          <t>Arc Lamp</t>
        </is>
      </c>
      <c r="G548" s="13" t="inlineStr">
        <is>
          <t>Corporate</t>
        </is>
      </c>
      <c r="H548" s="13" t="n">
        <v>3</v>
      </c>
      <c r="I548" s="14" t="n">
        <v>273.77</v>
      </c>
      <c r="J548" s="15" t="n">
        <v>0.07000000000000001</v>
      </c>
      <c r="K548" s="14" t="n">
        <v>131.41</v>
      </c>
      <c r="L548" s="13" t="n">
        <v>5</v>
      </c>
      <c r="M548" s="13" t="inlineStr">
        <is>
          <t>Completed</t>
        </is>
      </c>
      <c r="N548" s="13" t="inlineStr">
        <is>
          <t>K. Mensah</t>
        </is>
      </c>
      <c r="O548" s="13" t="inlineStr">
        <is>
          <t>No</t>
        </is>
      </c>
      <c r="P548" s="14">
        <f>H548*I548</f>
        <v/>
      </c>
      <c r="Q548" s="14">
        <f>P548*(1-J548)</f>
        <v/>
      </c>
      <c r="R548" s="14">
        <f>H548*K548</f>
        <v/>
      </c>
      <c r="S548" s="15">
        <f>IF(Q548=0,"",(Q548-R548)/Q548)</f>
        <v/>
      </c>
      <c r="T548" s="13">
        <f>YEAR(B548)</f>
        <v/>
      </c>
      <c r="U548" s="13">
        <f>YEAR(B548)&amp;"-Q"&amp;ROUNDUP(MONTH(B548)/3,0)</f>
        <v/>
      </c>
      <c r="V548" s="13">
        <f>TEXT(B548,"YYYY-MM")</f>
        <v/>
      </c>
      <c r="W548" s="13">
        <f>IF(L548="","",IF(L548&gt;pLateDays,1,0))</f>
        <v/>
      </c>
      <c r="X548" s="13">
        <f>IF(Q548&gt;=pHighCutoff,1,0)</f>
        <v/>
      </c>
      <c r="Y548" s="13">
        <f>IF(M548="Returned",1,0)</f>
        <v/>
      </c>
    </row>
    <row r="549">
      <c r="A549" s="13" t="inlineStr">
        <is>
          <t>HC-100547</t>
        </is>
      </c>
      <c r="B549" s="18" t="n">
        <v>45740</v>
      </c>
      <c r="C549" s="13" t="inlineStr">
        <is>
          <t>West</t>
        </is>
      </c>
      <c r="D549" s="13" t="inlineStr">
        <is>
          <t>Store</t>
        </is>
      </c>
      <c r="E549" s="13" t="inlineStr">
        <is>
          <t>Furniture</t>
        </is>
      </c>
      <c r="F549" s="13" t="inlineStr">
        <is>
          <t>Oak Desk</t>
        </is>
      </c>
      <c r="G549" s="13" t="inlineStr">
        <is>
          <t>Consumer</t>
        </is>
      </c>
      <c r="H549" s="13" t="n">
        <v>4</v>
      </c>
      <c r="I549" s="14" t="n">
        <v>786.39</v>
      </c>
      <c r="J549" s="15" t="n">
        <v>0.02</v>
      </c>
      <c r="K549" s="14" t="n">
        <v>487.56</v>
      </c>
      <c r="L549" s="13" t="n">
        <v>6</v>
      </c>
      <c r="M549" s="13" t="inlineStr">
        <is>
          <t>Completed</t>
        </is>
      </c>
      <c r="N549" s="13" t="inlineStr">
        <is>
          <t>J. Patel</t>
        </is>
      </c>
      <c r="O549" s="13" t="inlineStr">
        <is>
          <t>No</t>
        </is>
      </c>
      <c r="P549" s="14">
        <f>H549*I549</f>
        <v/>
      </c>
      <c r="Q549" s="14">
        <f>P549*(1-J549)</f>
        <v/>
      </c>
      <c r="R549" s="14">
        <f>H549*K549</f>
        <v/>
      </c>
      <c r="S549" s="15">
        <f>IF(Q549=0,"",(Q549-R549)/Q549)</f>
        <v/>
      </c>
      <c r="T549" s="13">
        <f>YEAR(B549)</f>
        <v/>
      </c>
      <c r="U549" s="13">
        <f>YEAR(B549)&amp;"-Q"&amp;ROUNDUP(MONTH(B549)/3,0)</f>
        <v/>
      </c>
      <c r="V549" s="13">
        <f>TEXT(B549,"YYYY-MM")</f>
        <v/>
      </c>
      <c r="W549" s="13">
        <f>IF(L549="","",IF(L549&gt;pLateDays,1,0))</f>
        <v/>
      </c>
      <c r="X549" s="13">
        <f>IF(Q549&gt;=pHighCutoff,1,0)</f>
        <v/>
      </c>
      <c r="Y549" s="13">
        <f>IF(M549="Returned",1,0)</f>
        <v/>
      </c>
    </row>
    <row r="550">
      <c r="A550" s="13" t="inlineStr">
        <is>
          <t>HC-100548</t>
        </is>
      </c>
      <c r="B550" s="18" t="n">
        <v>45780</v>
      </c>
      <c r="C550" s="13" t="inlineStr">
        <is>
          <t>South</t>
        </is>
      </c>
      <c r="D550" s="13" t="inlineStr">
        <is>
          <t>Online</t>
        </is>
      </c>
      <c r="E550" s="13" t="inlineStr">
        <is>
          <t>Textiles</t>
        </is>
      </c>
      <c r="F550" s="13" t="inlineStr">
        <is>
          <t>Wool Throw</t>
        </is>
      </c>
      <c r="G550" s="13" t="inlineStr">
        <is>
          <t>Corporate</t>
        </is>
      </c>
      <c r="H550" s="13" t="n">
        <v>3</v>
      </c>
      <c r="I550" s="14" t="n">
        <v>71.51000000000001</v>
      </c>
      <c r="J550" s="15" t="n">
        <v>0.07000000000000001</v>
      </c>
      <c r="K550" s="14" t="n">
        <v>30.03</v>
      </c>
      <c r="L550" s="13" t="n">
        <v>4</v>
      </c>
      <c r="M550" s="13" t="inlineStr">
        <is>
          <t>Cancelled</t>
        </is>
      </c>
      <c r="N550" s="13" t="inlineStr">
        <is>
          <t>S. Nguyen</t>
        </is>
      </c>
      <c r="O550" s="13" t="inlineStr">
        <is>
          <t>No</t>
        </is>
      </c>
      <c r="P550" s="14">
        <f>H550*I550</f>
        <v/>
      </c>
      <c r="Q550" s="14">
        <f>P550*(1-J550)</f>
        <v/>
      </c>
      <c r="R550" s="14">
        <f>H550*K550</f>
        <v/>
      </c>
      <c r="S550" s="15">
        <f>IF(Q550=0,"",(Q550-R550)/Q550)</f>
        <v/>
      </c>
      <c r="T550" s="13">
        <f>YEAR(B550)</f>
        <v/>
      </c>
      <c r="U550" s="13">
        <f>YEAR(B550)&amp;"-Q"&amp;ROUNDUP(MONTH(B550)/3,0)</f>
        <v/>
      </c>
      <c r="V550" s="13">
        <f>TEXT(B550,"YYYY-MM")</f>
        <v/>
      </c>
      <c r="W550" s="13">
        <f>IF(L550="","",IF(L550&gt;pLateDays,1,0))</f>
        <v/>
      </c>
      <c r="X550" s="13">
        <f>IF(Q550&gt;=pHighCutoff,1,0)</f>
        <v/>
      </c>
      <c r="Y550" s="13">
        <f>IF(M550="Returned",1,0)</f>
        <v/>
      </c>
    </row>
    <row r="551">
      <c r="A551" s="13" t="inlineStr">
        <is>
          <t>HC-100549</t>
        </is>
      </c>
      <c r="B551" s="18" t="n">
        <v>45355</v>
      </c>
      <c r="C551" s="13" t="inlineStr">
        <is>
          <t>East</t>
        </is>
      </c>
      <c r="D551" s="13" t="inlineStr">
        <is>
          <t>Online</t>
        </is>
      </c>
      <c r="E551" s="13" t="inlineStr">
        <is>
          <t>Furniture</t>
        </is>
      </c>
      <c r="F551" s="13" t="inlineStr">
        <is>
          <t>Linen Sofa</t>
        </is>
      </c>
      <c r="G551" s="13" t="inlineStr">
        <is>
          <t>Consumer</t>
        </is>
      </c>
      <c r="H551" s="13" t="n">
        <v>2</v>
      </c>
      <c r="I551" s="14" t="n">
        <v>1096.01</v>
      </c>
      <c r="J551" s="15" t="n">
        <v>0.08</v>
      </c>
      <c r="K551" s="14" t="n">
        <v>723.36</v>
      </c>
      <c r="L551" s="13" t="n">
        <v>11</v>
      </c>
      <c r="M551" s="13" t="inlineStr">
        <is>
          <t>Completed</t>
        </is>
      </c>
      <c r="N551" s="13" t="inlineStr">
        <is>
          <t>S. Nguyen</t>
        </is>
      </c>
      <c r="O551" s="13" t="inlineStr">
        <is>
          <t>No</t>
        </is>
      </c>
      <c r="P551" s="14">
        <f>H551*I551</f>
        <v/>
      </c>
      <c r="Q551" s="14">
        <f>P551*(1-J551)</f>
        <v/>
      </c>
      <c r="R551" s="14">
        <f>H551*K551</f>
        <v/>
      </c>
      <c r="S551" s="15">
        <f>IF(Q551=0,"",(Q551-R551)/Q551)</f>
        <v/>
      </c>
      <c r="T551" s="13">
        <f>YEAR(B551)</f>
        <v/>
      </c>
      <c r="U551" s="13">
        <f>YEAR(B551)&amp;"-Q"&amp;ROUNDUP(MONTH(B551)/3,0)</f>
        <v/>
      </c>
      <c r="V551" s="13">
        <f>TEXT(B551,"YYYY-MM")</f>
        <v/>
      </c>
      <c r="W551" s="13">
        <f>IF(L551="","",IF(L551&gt;pLateDays,1,0))</f>
        <v/>
      </c>
      <c r="X551" s="13">
        <f>IF(Q551&gt;=pHighCutoff,1,0)</f>
        <v/>
      </c>
      <c r="Y551" s="13">
        <f>IF(M551="Returned",1,0)</f>
        <v/>
      </c>
    </row>
    <row r="552">
      <c r="A552" s="13" t="inlineStr">
        <is>
          <t>HC-100550</t>
        </is>
      </c>
      <c r="B552" s="18" t="n">
        <v>45500</v>
      </c>
      <c r="C552" s="13" t="inlineStr">
        <is>
          <t>West</t>
        </is>
      </c>
      <c r="D552" s="13" t="inlineStr">
        <is>
          <t>Online</t>
        </is>
      </c>
      <c r="E552" s="13" t="inlineStr">
        <is>
          <t>Textiles</t>
        </is>
      </c>
      <c r="F552" s="13" t="inlineStr">
        <is>
          <t>Cotton Duvet</t>
        </is>
      </c>
      <c r="G552" s="13" t="inlineStr">
        <is>
          <t>Consumer</t>
        </is>
      </c>
      <c r="H552" s="13" t="n">
        <v>2</v>
      </c>
      <c r="I552" s="14" t="n">
        <v>123.25</v>
      </c>
      <c r="J552" s="15" t="n">
        <v>0.09</v>
      </c>
      <c r="K552" s="14" t="n">
        <v>54.23</v>
      </c>
      <c r="L552" s="13" t="n">
        <v>6</v>
      </c>
      <c r="M552" s="13" t="inlineStr">
        <is>
          <t>Completed</t>
        </is>
      </c>
      <c r="N552" s="13" t="inlineStr">
        <is>
          <t>J. Patel</t>
        </is>
      </c>
      <c r="O552" s="13" t="inlineStr">
        <is>
          <t>No</t>
        </is>
      </c>
      <c r="P552" s="14">
        <f>H552*I552</f>
        <v/>
      </c>
      <c r="Q552" s="14">
        <f>P552*(1-J552)</f>
        <v/>
      </c>
      <c r="R552" s="14">
        <f>H552*K552</f>
        <v/>
      </c>
      <c r="S552" s="15">
        <f>IF(Q552=0,"",(Q552-R552)/Q552)</f>
        <v/>
      </c>
      <c r="T552" s="13">
        <f>YEAR(B552)</f>
        <v/>
      </c>
      <c r="U552" s="13">
        <f>YEAR(B552)&amp;"-Q"&amp;ROUNDUP(MONTH(B552)/3,0)</f>
        <v/>
      </c>
      <c r="V552" s="13">
        <f>TEXT(B552,"YYYY-MM")</f>
        <v/>
      </c>
      <c r="W552" s="13">
        <f>IF(L552="","",IF(L552&gt;pLateDays,1,0))</f>
        <v/>
      </c>
      <c r="X552" s="13">
        <f>IF(Q552&gt;=pHighCutoff,1,0)</f>
        <v/>
      </c>
      <c r="Y552" s="13">
        <f>IF(M552="Returned",1,0)</f>
        <v/>
      </c>
    </row>
    <row r="553">
      <c r="A553" s="13" t="inlineStr">
        <is>
          <t>HC-100551</t>
        </is>
      </c>
      <c r="B553" s="18" t="n">
        <v>45815</v>
      </c>
      <c r="C553" s="13" t="inlineStr">
        <is>
          <t>West</t>
        </is>
      </c>
      <c r="D553" s="13" t="inlineStr">
        <is>
          <t>Store</t>
        </is>
      </c>
      <c r="E553" s="13" t="inlineStr">
        <is>
          <t>Furniture</t>
        </is>
      </c>
      <c r="F553" s="13" t="inlineStr">
        <is>
          <t>Linen Sofa</t>
        </is>
      </c>
      <c r="G553" s="13" t="inlineStr">
        <is>
          <t>Consumer</t>
        </is>
      </c>
      <c r="H553" s="13" t="n">
        <v>3</v>
      </c>
      <c r="I553" s="14" t="n">
        <v>1190.54</v>
      </c>
      <c r="J553" s="15" t="n">
        <v>0.08</v>
      </c>
      <c r="K553" s="14" t="n">
        <v>785.76</v>
      </c>
      <c r="L553" s="13" t="n">
        <v>3</v>
      </c>
      <c r="M553" s="13" t="inlineStr">
        <is>
          <t>Completed</t>
        </is>
      </c>
      <c r="N553" s="13" t="inlineStr">
        <is>
          <t>M. Okonkwo</t>
        </is>
      </c>
      <c r="O553" s="13" t="inlineStr">
        <is>
          <t>No</t>
        </is>
      </c>
      <c r="P553" s="14">
        <f>H553*I553</f>
        <v/>
      </c>
      <c r="Q553" s="14">
        <f>P553*(1-J553)</f>
        <v/>
      </c>
      <c r="R553" s="14">
        <f>H553*K553</f>
        <v/>
      </c>
      <c r="S553" s="15">
        <f>IF(Q553=0,"",(Q553-R553)/Q553)</f>
        <v/>
      </c>
      <c r="T553" s="13">
        <f>YEAR(B553)</f>
        <v/>
      </c>
      <c r="U553" s="13">
        <f>YEAR(B553)&amp;"-Q"&amp;ROUNDUP(MONTH(B553)/3,0)</f>
        <v/>
      </c>
      <c r="V553" s="13">
        <f>TEXT(B553,"YYYY-MM")</f>
        <v/>
      </c>
      <c r="W553" s="13">
        <f>IF(L553="","",IF(L553&gt;pLateDays,1,0))</f>
        <v/>
      </c>
      <c r="X553" s="13">
        <f>IF(Q553&gt;=pHighCutoff,1,0)</f>
        <v/>
      </c>
      <c r="Y553" s="13">
        <f>IF(M553="Returned",1,0)</f>
        <v/>
      </c>
    </row>
    <row r="554">
      <c r="A554" s="13" t="inlineStr">
        <is>
          <t>HC-100552</t>
        </is>
      </c>
      <c r="B554" s="18" t="n">
        <v>45575</v>
      </c>
      <c r="C554" s="13" t="inlineStr">
        <is>
          <t>South</t>
        </is>
      </c>
      <c r="D554" s="13" t="inlineStr">
        <is>
          <t>Store</t>
        </is>
      </c>
      <c r="E554" s="13" t="inlineStr">
        <is>
          <t>Lighting</t>
        </is>
      </c>
      <c r="F554" s="13" t="inlineStr">
        <is>
          <t>Brass Sconce</t>
        </is>
      </c>
      <c r="G554" s="13" t="inlineStr">
        <is>
          <t>Corporate</t>
        </is>
      </c>
      <c r="H554" s="13" t="n">
        <v>3</v>
      </c>
      <c r="I554" s="14" t="n">
        <v>130.02</v>
      </c>
      <c r="J554" s="15" t="n">
        <v>0.07000000000000001</v>
      </c>
      <c r="K554" s="14" t="n">
        <v>59.81</v>
      </c>
      <c r="L554" s="13" t="n">
        <v>3</v>
      </c>
      <c r="M554" s="13" t="inlineStr">
        <is>
          <t>Completed</t>
        </is>
      </c>
      <c r="N554" s="13" t="inlineStr">
        <is>
          <t>K. Mensah</t>
        </is>
      </c>
      <c r="O554" s="13" t="inlineStr">
        <is>
          <t>No</t>
        </is>
      </c>
      <c r="P554" s="14">
        <f>H554*I554</f>
        <v/>
      </c>
      <c r="Q554" s="14">
        <f>P554*(1-J554)</f>
        <v/>
      </c>
      <c r="R554" s="14">
        <f>H554*K554</f>
        <v/>
      </c>
      <c r="S554" s="15">
        <f>IF(Q554=0,"",(Q554-R554)/Q554)</f>
        <v/>
      </c>
      <c r="T554" s="13">
        <f>YEAR(B554)</f>
        <v/>
      </c>
      <c r="U554" s="13">
        <f>YEAR(B554)&amp;"-Q"&amp;ROUNDUP(MONTH(B554)/3,0)</f>
        <v/>
      </c>
      <c r="V554" s="13">
        <f>TEXT(B554,"YYYY-MM")</f>
        <v/>
      </c>
      <c r="W554" s="13">
        <f>IF(L554="","",IF(L554&gt;pLateDays,1,0))</f>
        <v/>
      </c>
      <c r="X554" s="13">
        <f>IF(Q554&gt;=pHighCutoff,1,0)</f>
        <v/>
      </c>
      <c r="Y554" s="13">
        <f>IF(M554="Returned",1,0)</f>
        <v/>
      </c>
    </row>
    <row r="555">
      <c r="A555" s="13" t="inlineStr">
        <is>
          <t>HC-100553</t>
        </is>
      </c>
      <c r="B555" s="18" t="n">
        <v>45623</v>
      </c>
      <c r="C555" s="13" t="inlineStr">
        <is>
          <t>East</t>
        </is>
      </c>
      <c r="D555" s="13" t="inlineStr">
        <is>
          <t>Online</t>
        </is>
      </c>
      <c r="E555" s="13" t="inlineStr">
        <is>
          <t>Furniture</t>
        </is>
      </c>
      <c r="F555" s="13" t="inlineStr">
        <is>
          <t>Linen Sofa</t>
        </is>
      </c>
      <c r="G555" s="13" t="inlineStr">
        <is>
          <t>Corporate</t>
        </is>
      </c>
      <c r="H555" s="13" t="n">
        <v>4</v>
      </c>
      <c r="I555" s="14" t="n">
        <v>1208.59</v>
      </c>
      <c r="J555" s="15" t="n">
        <v>0.08</v>
      </c>
      <c r="K555" s="14" t="n">
        <v>797.67</v>
      </c>
      <c r="L555" s="13" t="n">
        <v>6</v>
      </c>
      <c r="M555" s="13" t="inlineStr">
        <is>
          <t>Completed</t>
        </is>
      </c>
      <c r="N555" s="13" t="inlineStr">
        <is>
          <t>J. Patel</t>
        </is>
      </c>
      <c r="O555" s="13" t="inlineStr">
        <is>
          <t>No</t>
        </is>
      </c>
      <c r="P555" s="14">
        <f>H555*I555</f>
        <v/>
      </c>
      <c r="Q555" s="14">
        <f>P555*(1-J555)</f>
        <v/>
      </c>
      <c r="R555" s="14">
        <f>H555*K555</f>
        <v/>
      </c>
      <c r="S555" s="15">
        <f>IF(Q555=0,"",(Q555-R555)/Q555)</f>
        <v/>
      </c>
      <c r="T555" s="13">
        <f>YEAR(B555)</f>
        <v/>
      </c>
      <c r="U555" s="13">
        <f>YEAR(B555)&amp;"-Q"&amp;ROUNDUP(MONTH(B555)/3,0)</f>
        <v/>
      </c>
      <c r="V555" s="13">
        <f>TEXT(B555,"YYYY-MM")</f>
        <v/>
      </c>
      <c r="W555" s="13">
        <f>IF(L555="","",IF(L555&gt;pLateDays,1,0))</f>
        <v/>
      </c>
      <c r="X555" s="13">
        <f>IF(Q555&gt;=pHighCutoff,1,0)</f>
        <v/>
      </c>
      <c r="Y555" s="13">
        <f>IF(M555="Returned",1,0)</f>
        <v/>
      </c>
    </row>
    <row r="556">
      <c r="A556" s="13" t="inlineStr">
        <is>
          <t>HC-100554</t>
        </is>
      </c>
      <c r="B556" s="18" t="n">
        <v>45758</v>
      </c>
      <c r="C556" s="13" t="inlineStr">
        <is>
          <t>West</t>
        </is>
      </c>
      <c r="D556" s="13" t="inlineStr">
        <is>
          <t>Store</t>
        </is>
      </c>
      <c r="E556" s="13" t="inlineStr">
        <is>
          <t>Textiles</t>
        </is>
      </c>
      <c r="F556" s="13" t="inlineStr">
        <is>
          <t>Linen Curtain</t>
        </is>
      </c>
      <c r="G556" s="13" t="inlineStr">
        <is>
          <t>Consumer</t>
        </is>
      </c>
      <c r="H556" s="13" t="n">
        <v>3</v>
      </c>
      <c r="I556" s="14" t="n">
        <v>97.59999999999999</v>
      </c>
      <c r="J556" s="15" t="n">
        <v>0.08</v>
      </c>
      <c r="K556" s="14" t="n">
        <v>43.92</v>
      </c>
      <c r="L556" s="13" t="n"/>
      <c r="M556" s="13" t="inlineStr">
        <is>
          <t>Returned</t>
        </is>
      </c>
      <c r="N556" s="13" t="inlineStr">
        <is>
          <t>M. Okonkwo</t>
        </is>
      </c>
      <c r="O556" s="13" t="inlineStr">
        <is>
          <t>No</t>
        </is>
      </c>
      <c r="P556" s="14">
        <f>H556*I556</f>
        <v/>
      </c>
      <c r="Q556" s="14">
        <f>P556*(1-J556)</f>
        <v/>
      </c>
      <c r="R556" s="14">
        <f>H556*K556</f>
        <v/>
      </c>
      <c r="S556" s="15">
        <f>IF(Q556=0,"",(Q556-R556)/Q556)</f>
        <v/>
      </c>
      <c r="T556" s="13">
        <f>YEAR(B556)</f>
        <v/>
      </c>
      <c r="U556" s="13">
        <f>YEAR(B556)&amp;"-Q"&amp;ROUNDUP(MONTH(B556)/3,0)</f>
        <v/>
      </c>
      <c r="V556" s="13">
        <f>TEXT(B556,"YYYY-MM")</f>
        <v/>
      </c>
      <c r="W556" s="13">
        <f>IF(L556="","",IF(L556&gt;pLateDays,1,0))</f>
        <v/>
      </c>
      <c r="X556" s="13">
        <f>IF(Q556&gt;=pHighCutoff,1,0)</f>
        <v/>
      </c>
      <c r="Y556" s="13">
        <f>IF(M556="Returned",1,0)</f>
        <v/>
      </c>
    </row>
    <row r="557">
      <c r="A557" s="13" t="inlineStr">
        <is>
          <t>HC-100555</t>
        </is>
      </c>
      <c r="B557" s="18" t="n">
        <v>45542</v>
      </c>
      <c r="C557" s="13" t="inlineStr">
        <is>
          <t>South</t>
        </is>
      </c>
      <c r="D557" s="13" t="inlineStr">
        <is>
          <t>Online</t>
        </is>
      </c>
      <c r="E557" s="13" t="inlineStr">
        <is>
          <t>Furniture</t>
        </is>
      </c>
      <c r="F557" s="13" t="inlineStr">
        <is>
          <t>Walnut Shelf</t>
        </is>
      </c>
      <c r="G557" s="13" t="inlineStr">
        <is>
          <t>Consumer</t>
        </is>
      </c>
      <c r="H557" s="13" t="n">
        <v>2</v>
      </c>
      <c r="I557" s="14" t="n">
        <v>214.56</v>
      </c>
      <c r="J557" s="15" t="n">
        <v>0.02</v>
      </c>
      <c r="K557" s="14" t="n">
        <v>118.01</v>
      </c>
      <c r="L557" s="13" t="n">
        <v>4</v>
      </c>
      <c r="M557" s="13" t="inlineStr">
        <is>
          <t>Completed</t>
        </is>
      </c>
      <c r="N557" s="13" t="inlineStr">
        <is>
          <t>A. Shah</t>
        </is>
      </c>
      <c r="O557" s="13" t="inlineStr">
        <is>
          <t>No</t>
        </is>
      </c>
      <c r="P557" s="14">
        <f>H557*I557</f>
        <v/>
      </c>
      <c r="Q557" s="14">
        <f>P557*(1-J557)</f>
        <v/>
      </c>
      <c r="R557" s="14">
        <f>H557*K557</f>
        <v/>
      </c>
      <c r="S557" s="15">
        <f>IF(Q557=0,"",(Q557-R557)/Q557)</f>
        <v/>
      </c>
      <c r="T557" s="13">
        <f>YEAR(B557)</f>
        <v/>
      </c>
      <c r="U557" s="13">
        <f>YEAR(B557)&amp;"-Q"&amp;ROUNDUP(MONTH(B557)/3,0)</f>
        <v/>
      </c>
      <c r="V557" s="13">
        <f>TEXT(B557,"YYYY-MM")</f>
        <v/>
      </c>
      <c r="W557" s="13">
        <f>IF(L557="","",IF(L557&gt;pLateDays,1,0))</f>
        <v/>
      </c>
      <c r="X557" s="13">
        <f>IF(Q557&gt;=pHighCutoff,1,0)</f>
        <v/>
      </c>
      <c r="Y557" s="13">
        <f>IF(M557="Returned",1,0)</f>
        <v/>
      </c>
    </row>
    <row r="558">
      <c r="A558" s="13" t="inlineStr">
        <is>
          <t>HC-100556</t>
        </is>
      </c>
      <c r="B558" s="18" t="n">
        <v>45687</v>
      </c>
      <c r="C558" s="13" t="inlineStr">
        <is>
          <t>North</t>
        </is>
      </c>
      <c r="D558" s="13" t="inlineStr">
        <is>
          <t>Online</t>
        </is>
      </c>
      <c r="E558" s="13" t="inlineStr">
        <is>
          <t>Textiles</t>
        </is>
      </c>
      <c r="F558" s="13" t="inlineStr">
        <is>
          <t>Cotton Duvet</t>
        </is>
      </c>
      <c r="G558" s="13" t="inlineStr">
        <is>
          <t>Consumer</t>
        </is>
      </c>
      <c r="H558" s="13" t="n">
        <v>2</v>
      </c>
      <c r="I558" s="14" t="n">
        <v>113.6</v>
      </c>
      <c r="J558" s="15" t="n">
        <v>0.07000000000000001</v>
      </c>
      <c r="K558" s="14" t="n">
        <v>49.98</v>
      </c>
      <c r="L558" s="13" t="n">
        <v>6</v>
      </c>
      <c r="M558" s="13" t="inlineStr">
        <is>
          <t>Completed</t>
        </is>
      </c>
      <c r="N558" s="13" t="inlineStr">
        <is>
          <t>R. Ibarra</t>
        </is>
      </c>
      <c r="O558" s="13" t="inlineStr">
        <is>
          <t>No</t>
        </is>
      </c>
      <c r="P558" s="14">
        <f>H558*I558</f>
        <v/>
      </c>
      <c r="Q558" s="14">
        <f>P558*(1-J558)</f>
        <v/>
      </c>
      <c r="R558" s="14">
        <f>H558*K558</f>
        <v/>
      </c>
      <c r="S558" s="15">
        <f>IF(Q558=0,"",(Q558-R558)/Q558)</f>
        <v/>
      </c>
      <c r="T558" s="13">
        <f>YEAR(B558)</f>
        <v/>
      </c>
      <c r="U558" s="13">
        <f>YEAR(B558)&amp;"-Q"&amp;ROUNDUP(MONTH(B558)/3,0)</f>
        <v/>
      </c>
      <c r="V558" s="13">
        <f>TEXT(B558,"YYYY-MM")</f>
        <v/>
      </c>
      <c r="W558" s="13">
        <f>IF(L558="","",IF(L558&gt;pLateDays,1,0))</f>
        <v/>
      </c>
      <c r="X558" s="13">
        <f>IF(Q558&gt;=pHighCutoff,1,0)</f>
        <v/>
      </c>
      <c r="Y558" s="13">
        <f>IF(M558="Returned",1,0)</f>
        <v/>
      </c>
    </row>
    <row r="559">
      <c r="A559" s="13" t="inlineStr">
        <is>
          <t>HC-100557</t>
        </is>
      </c>
      <c r="B559" s="18" t="n">
        <v>45873</v>
      </c>
      <c r="C559" s="13" t="inlineStr">
        <is>
          <t>South</t>
        </is>
      </c>
      <c r="D559" s="13" t="inlineStr">
        <is>
          <t>Online</t>
        </is>
      </c>
      <c r="E559" s="13" t="inlineStr">
        <is>
          <t>Textiles</t>
        </is>
      </c>
      <c r="F559" s="13" t="inlineStr">
        <is>
          <t>Linen Curtain</t>
        </is>
      </c>
      <c r="G559" s="13" t="inlineStr">
        <is>
          <t>Corporate</t>
        </is>
      </c>
      <c r="H559" s="13" t="n">
        <v>1</v>
      </c>
      <c r="I559" s="14" t="n">
        <v>94.29000000000001</v>
      </c>
      <c r="J559" s="15" t="n">
        <v>0.03</v>
      </c>
      <c r="K559" s="14" t="n">
        <v>42.43</v>
      </c>
      <c r="L559" s="13" t="n">
        <v>8</v>
      </c>
      <c r="M559" s="13" t="inlineStr">
        <is>
          <t>Completed</t>
        </is>
      </c>
      <c r="N559" s="13" t="inlineStr">
        <is>
          <t>M. Okonkwo</t>
        </is>
      </c>
      <c r="O559" s="13" t="inlineStr">
        <is>
          <t>No</t>
        </is>
      </c>
      <c r="P559" s="14">
        <f>H559*I559</f>
        <v/>
      </c>
      <c r="Q559" s="14">
        <f>P559*(1-J559)</f>
        <v/>
      </c>
      <c r="R559" s="14">
        <f>H559*K559</f>
        <v/>
      </c>
      <c r="S559" s="15">
        <f>IF(Q559=0,"",(Q559-R559)/Q559)</f>
        <v/>
      </c>
      <c r="T559" s="13">
        <f>YEAR(B559)</f>
        <v/>
      </c>
      <c r="U559" s="13">
        <f>YEAR(B559)&amp;"-Q"&amp;ROUNDUP(MONTH(B559)/3,0)</f>
        <v/>
      </c>
      <c r="V559" s="13">
        <f>TEXT(B559,"YYYY-MM")</f>
        <v/>
      </c>
      <c r="W559" s="13">
        <f>IF(L559="","",IF(L559&gt;pLateDays,1,0))</f>
        <v/>
      </c>
      <c r="X559" s="13">
        <f>IF(Q559&gt;=pHighCutoff,1,0)</f>
        <v/>
      </c>
      <c r="Y559" s="13">
        <f>IF(M559="Returned",1,0)</f>
        <v/>
      </c>
    </row>
    <row r="560">
      <c r="A560" s="13" t="inlineStr">
        <is>
          <t>HC-100558</t>
        </is>
      </c>
      <c r="B560" s="18" t="n">
        <v>45611</v>
      </c>
      <c r="C560" s="13" t="inlineStr">
        <is>
          <t>West</t>
        </is>
      </c>
      <c r="D560" s="13" t="inlineStr">
        <is>
          <t>Online</t>
        </is>
      </c>
      <c r="E560" s="13" t="inlineStr">
        <is>
          <t>Kitchen</t>
        </is>
      </c>
      <c r="F560" s="13" t="inlineStr">
        <is>
          <t>Ceramic Set</t>
        </is>
      </c>
      <c r="G560" s="13" t="inlineStr">
        <is>
          <t>Consumer</t>
        </is>
      </c>
      <c r="H560" s="13" t="n">
        <v>2</v>
      </c>
      <c r="I560" s="14" t="n">
        <v>91.69</v>
      </c>
      <c r="J560" s="15" t="n">
        <v>0.02</v>
      </c>
      <c r="K560" s="14" t="n">
        <v>34.84</v>
      </c>
      <c r="L560" s="13" t="n">
        <v>5</v>
      </c>
      <c r="M560" s="13" t="inlineStr">
        <is>
          <t>Completed</t>
        </is>
      </c>
      <c r="N560" s="13" t="inlineStr">
        <is>
          <t>P. Rossi</t>
        </is>
      </c>
      <c r="O560" s="13" t="inlineStr">
        <is>
          <t>No</t>
        </is>
      </c>
      <c r="P560" s="14">
        <f>H560*I560</f>
        <v/>
      </c>
      <c r="Q560" s="14">
        <f>P560*(1-J560)</f>
        <v/>
      </c>
      <c r="R560" s="14">
        <f>H560*K560</f>
        <v/>
      </c>
      <c r="S560" s="15">
        <f>IF(Q560=0,"",(Q560-R560)/Q560)</f>
        <v/>
      </c>
      <c r="T560" s="13">
        <f>YEAR(B560)</f>
        <v/>
      </c>
      <c r="U560" s="13">
        <f>YEAR(B560)&amp;"-Q"&amp;ROUNDUP(MONTH(B560)/3,0)</f>
        <v/>
      </c>
      <c r="V560" s="13">
        <f>TEXT(B560,"YYYY-MM")</f>
        <v/>
      </c>
      <c r="W560" s="13">
        <f>IF(L560="","",IF(L560&gt;pLateDays,1,0))</f>
        <v/>
      </c>
      <c r="X560" s="13">
        <f>IF(Q560&gt;=pHighCutoff,1,0)</f>
        <v/>
      </c>
      <c r="Y560" s="13">
        <f>IF(M560="Returned",1,0)</f>
        <v/>
      </c>
    </row>
    <row r="561">
      <c r="A561" s="13" t="inlineStr">
        <is>
          <t>HC-100559</t>
        </is>
      </c>
      <c r="B561" s="18" t="n">
        <v>45458</v>
      </c>
      <c r="C561" s="13" t="inlineStr">
        <is>
          <t>North</t>
        </is>
      </c>
      <c r="D561" s="13" t="inlineStr">
        <is>
          <t>Online</t>
        </is>
      </c>
      <c r="E561" s="13" t="inlineStr">
        <is>
          <t>Textiles</t>
        </is>
      </c>
      <c r="F561" s="13" t="inlineStr">
        <is>
          <t>Wool Throw</t>
        </is>
      </c>
      <c r="G561" s="13" t="inlineStr">
        <is>
          <t>Consumer</t>
        </is>
      </c>
      <c r="H561" s="13" t="n">
        <v>3</v>
      </c>
      <c r="I561" s="14" t="n">
        <v>80.94</v>
      </c>
      <c r="J561" s="15" t="n">
        <v>0.17</v>
      </c>
      <c r="K561" s="14" t="n">
        <v>34</v>
      </c>
      <c r="L561" s="13" t="n"/>
      <c r="M561" s="13" t="inlineStr">
        <is>
          <t>Returned</t>
        </is>
      </c>
      <c r="N561" s="13" t="inlineStr">
        <is>
          <t>S. Nguyen</t>
        </is>
      </c>
      <c r="O561" s="13" t="inlineStr">
        <is>
          <t>No</t>
        </is>
      </c>
      <c r="P561" s="14">
        <f>H561*I561</f>
        <v/>
      </c>
      <c r="Q561" s="14">
        <f>P561*(1-J561)</f>
        <v/>
      </c>
      <c r="R561" s="14">
        <f>H561*K561</f>
        <v/>
      </c>
      <c r="S561" s="15">
        <f>IF(Q561=0,"",(Q561-R561)/Q561)</f>
        <v/>
      </c>
      <c r="T561" s="13">
        <f>YEAR(B561)</f>
        <v/>
      </c>
      <c r="U561" s="13">
        <f>YEAR(B561)&amp;"-Q"&amp;ROUNDUP(MONTH(B561)/3,0)</f>
        <v/>
      </c>
      <c r="V561" s="13">
        <f>TEXT(B561,"YYYY-MM")</f>
        <v/>
      </c>
      <c r="W561" s="13">
        <f>IF(L561="","",IF(L561&gt;pLateDays,1,0))</f>
        <v/>
      </c>
      <c r="X561" s="13">
        <f>IF(Q561&gt;=pHighCutoff,1,0)</f>
        <v/>
      </c>
      <c r="Y561" s="13">
        <f>IF(M561="Returned",1,0)</f>
        <v/>
      </c>
    </row>
    <row r="562">
      <c r="A562" s="13" t="inlineStr">
        <is>
          <t>HC-100560</t>
        </is>
      </c>
      <c r="B562" s="18" t="n">
        <v>45562</v>
      </c>
      <c r="C562" s="13" t="inlineStr">
        <is>
          <t>North</t>
        </is>
      </c>
      <c r="D562" s="13" t="inlineStr">
        <is>
          <t>Store</t>
        </is>
      </c>
      <c r="E562" s="13" t="inlineStr">
        <is>
          <t>Textiles</t>
        </is>
      </c>
      <c r="F562" s="13" t="inlineStr">
        <is>
          <t>Linen Curtain</t>
        </is>
      </c>
      <c r="G562" s="13" t="inlineStr">
        <is>
          <t>Consumer</t>
        </is>
      </c>
      <c r="H562" s="13" t="n">
        <v>2</v>
      </c>
      <c r="I562" s="14" t="n">
        <v>96.40000000000001</v>
      </c>
      <c r="J562" s="15" t="n">
        <v>0.1</v>
      </c>
      <c r="K562" s="14" t="n">
        <v>43.38</v>
      </c>
      <c r="L562" s="13" t="n">
        <v>3</v>
      </c>
      <c r="M562" s="13" t="inlineStr">
        <is>
          <t>Returned</t>
        </is>
      </c>
      <c r="N562" s="13" t="inlineStr">
        <is>
          <t>S. Nguyen</t>
        </is>
      </c>
      <c r="O562" s="13" t="inlineStr">
        <is>
          <t>No</t>
        </is>
      </c>
      <c r="P562" s="14">
        <f>H562*I562</f>
        <v/>
      </c>
      <c r="Q562" s="14">
        <f>P562*(1-J562)</f>
        <v/>
      </c>
      <c r="R562" s="14">
        <f>H562*K562</f>
        <v/>
      </c>
      <c r="S562" s="15">
        <f>IF(Q562=0,"",(Q562-R562)/Q562)</f>
        <v/>
      </c>
      <c r="T562" s="13">
        <f>YEAR(B562)</f>
        <v/>
      </c>
      <c r="U562" s="13">
        <f>YEAR(B562)&amp;"-Q"&amp;ROUNDUP(MONTH(B562)/3,0)</f>
        <v/>
      </c>
      <c r="V562" s="13">
        <f>TEXT(B562,"YYYY-MM")</f>
        <v/>
      </c>
      <c r="W562" s="13">
        <f>IF(L562="","",IF(L562&gt;pLateDays,1,0))</f>
        <v/>
      </c>
      <c r="X562" s="13">
        <f>IF(Q562&gt;=pHighCutoff,1,0)</f>
        <v/>
      </c>
      <c r="Y562" s="13">
        <f>IF(M562="Returned",1,0)</f>
        <v/>
      </c>
    </row>
    <row r="563">
      <c r="A563" s="13" t="inlineStr">
        <is>
          <t>HC-100561</t>
        </is>
      </c>
      <c r="B563" s="18" t="n">
        <v>45501</v>
      </c>
      <c r="C563" s="13" t="inlineStr">
        <is>
          <t>West</t>
        </is>
      </c>
      <c r="D563" s="13" t="inlineStr">
        <is>
          <t>Store</t>
        </is>
      </c>
      <c r="E563" s="13" t="inlineStr">
        <is>
          <t>Lighting</t>
        </is>
      </c>
      <c r="F563" s="13" t="inlineStr">
        <is>
          <t>Pendant Light</t>
        </is>
      </c>
      <c r="G563" s="13" t="inlineStr">
        <is>
          <t>Corporate</t>
        </is>
      </c>
      <c r="H563" s="13" t="n">
        <v>2</v>
      </c>
      <c r="I563" s="14" t="n">
        <v>173.62</v>
      </c>
      <c r="J563" s="15" t="n">
        <v>0.03</v>
      </c>
      <c r="K563" s="14" t="n">
        <v>86.81</v>
      </c>
      <c r="L563" s="13" t="n">
        <v>2</v>
      </c>
      <c r="M563" s="13" t="inlineStr">
        <is>
          <t>Completed</t>
        </is>
      </c>
      <c r="N563" s="13" t="inlineStr">
        <is>
          <t>R. Ibarra</t>
        </is>
      </c>
      <c r="O563" s="13" t="inlineStr">
        <is>
          <t>No</t>
        </is>
      </c>
      <c r="P563" s="14">
        <f>H563*I563</f>
        <v/>
      </c>
      <c r="Q563" s="14">
        <f>P563*(1-J563)</f>
        <v/>
      </c>
      <c r="R563" s="14">
        <f>H563*K563</f>
        <v/>
      </c>
      <c r="S563" s="15">
        <f>IF(Q563=0,"",(Q563-R563)/Q563)</f>
        <v/>
      </c>
      <c r="T563" s="13">
        <f>YEAR(B563)</f>
        <v/>
      </c>
      <c r="U563" s="13">
        <f>YEAR(B563)&amp;"-Q"&amp;ROUNDUP(MONTH(B563)/3,0)</f>
        <v/>
      </c>
      <c r="V563" s="13">
        <f>TEXT(B563,"YYYY-MM")</f>
        <v/>
      </c>
      <c r="W563" s="13">
        <f>IF(L563="","",IF(L563&gt;pLateDays,1,0))</f>
        <v/>
      </c>
      <c r="X563" s="13">
        <f>IF(Q563&gt;=pHighCutoff,1,0)</f>
        <v/>
      </c>
      <c r="Y563" s="13">
        <f>IF(M563="Returned",1,0)</f>
        <v/>
      </c>
    </row>
    <row r="564">
      <c r="A564" s="13" t="inlineStr">
        <is>
          <t>HC-100562</t>
        </is>
      </c>
      <c r="B564" s="18" t="n">
        <v>45918</v>
      </c>
      <c r="C564" s="13" t="inlineStr">
        <is>
          <t>West</t>
        </is>
      </c>
      <c r="D564" s="13" t="inlineStr">
        <is>
          <t>Online</t>
        </is>
      </c>
      <c r="E564" s="13" t="inlineStr">
        <is>
          <t>Textiles</t>
        </is>
      </c>
      <c r="F564" s="13" t="inlineStr">
        <is>
          <t>Cotton Duvet</t>
        </is>
      </c>
      <c r="G564" s="13" t="inlineStr">
        <is>
          <t>Corporate</t>
        </is>
      </c>
      <c r="H564" s="13" t="n">
        <v>3</v>
      </c>
      <c r="I564" s="14" t="n">
        <v>117.1</v>
      </c>
      <c r="J564" s="15" t="n">
        <v>0.05</v>
      </c>
      <c r="K564" s="14" t="n">
        <v>51.52</v>
      </c>
      <c r="L564" s="13" t="n">
        <v>3</v>
      </c>
      <c r="M564" s="13" t="inlineStr">
        <is>
          <t>Completed</t>
        </is>
      </c>
      <c r="N564" s="13" t="inlineStr">
        <is>
          <t>K. Mensah</t>
        </is>
      </c>
      <c r="O564" s="13" t="inlineStr">
        <is>
          <t>No</t>
        </is>
      </c>
      <c r="P564" s="14">
        <f>H564*I564</f>
        <v/>
      </c>
      <c r="Q564" s="14">
        <f>P564*(1-J564)</f>
        <v/>
      </c>
      <c r="R564" s="14">
        <f>H564*K564</f>
        <v/>
      </c>
      <c r="S564" s="15">
        <f>IF(Q564=0,"",(Q564-R564)/Q564)</f>
        <v/>
      </c>
      <c r="T564" s="13">
        <f>YEAR(B564)</f>
        <v/>
      </c>
      <c r="U564" s="13">
        <f>YEAR(B564)&amp;"-Q"&amp;ROUNDUP(MONTH(B564)/3,0)</f>
        <v/>
      </c>
      <c r="V564" s="13">
        <f>TEXT(B564,"YYYY-MM")</f>
        <v/>
      </c>
      <c r="W564" s="13">
        <f>IF(L564="","",IF(L564&gt;pLateDays,1,0))</f>
        <v/>
      </c>
      <c r="X564" s="13">
        <f>IF(Q564&gt;=pHighCutoff,1,0)</f>
        <v/>
      </c>
      <c r="Y564" s="13">
        <f>IF(M564="Returned",1,0)</f>
        <v/>
      </c>
    </row>
    <row r="565">
      <c r="A565" s="13" t="inlineStr">
        <is>
          <t>HC-100563</t>
        </is>
      </c>
      <c r="B565" s="18" t="n">
        <v>45754</v>
      </c>
      <c r="C565" s="13" t="inlineStr">
        <is>
          <t>South</t>
        </is>
      </c>
      <c r="D565" s="13" t="inlineStr">
        <is>
          <t>Store</t>
        </is>
      </c>
      <c r="E565" s="13" t="inlineStr">
        <is>
          <t>Furniture</t>
        </is>
      </c>
      <c r="F565" s="13" t="inlineStr">
        <is>
          <t>Walnut Shelf</t>
        </is>
      </c>
      <c r="G565" s="13" t="inlineStr">
        <is>
          <t>Consumer</t>
        </is>
      </c>
      <c r="H565" s="13" t="n">
        <v>2</v>
      </c>
      <c r="I565" s="14" t="n">
        <v>207.4</v>
      </c>
      <c r="J565" s="15" t="n">
        <v>0.08</v>
      </c>
      <c r="K565" s="14" t="n">
        <v>114.07</v>
      </c>
      <c r="L565" s="13" t="n">
        <v>5</v>
      </c>
      <c r="M565" s="13" t="inlineStr">
        <is>
          <t>Completed</t>
        </is>
      </c>
      <c r="N565" s="13" t="inlineStr">
        <is>
          <t>M. Okonkwo</t>
        </is>
      </c>
      <c r="O565" s="13" t="inlineStr">
        <is>
          <t>No</t>
        </is>
      </c>
      <c r="P565" s="14">
        <f>H565*I565</f>
        <v/>
      </c>
      <c r="Q565" s="14">
        <f>P565*(1-J565)</f>
        <v/>
      </c>
      <c r="R565" s="14">
        <f>H565*K565</f>
        <v/>
      </c>
      <c r="S565" s="15">
        <f>IF(Q565=0,"",(Q565-R565)/Q565)</f>
        <v/>
      </c>
      <c r="T565" s="13">
        <f>YEAR(B565)</f>
        <v/>
      </c>
      <c r="U565" s="13">
        <f>YEAR(B565)&amp;"-Q"&amp;ROUNDUP(MONTH(B565)/3,0)</f>
        <v/>
      </c>
      <c r="V565" s="13">
        <f>TEXT(B565,"YYYY-MM")</f>
        <v/>
      </c>
      <c r="W565" s="13">
        <f>IF(L565="","",IF(L565&gt;pLateDays,1,0))</f>
        <v/>
      </c>
      <c r="X565" s="13">
        <f>IF(Q565&gt;=pHighCutoff,1,0)</f>
        <v/>
      </c>
      <c r="Y565" s="13">
        <f>IF(M565="Returned",1,0)</f>
        <v/>
      </c>
    </row>
    <row r="566">
      <c r="A566" s="13" t="inlineStr">
        <is>
          <t>HC-100564</t>
        </is>
      </c>
      <c r="B566" s="18" t="n">
        <v>45443</v>
      </c>
      <c r="C566" s="13" t="inlineStr">
        <is>
          <t>West</t>
        </is>
      </c>
      <c r="D566" s="13" t="inlineStr">
        <is>
          <t>Store</t>
        </is>
      </c>
      <c r="E566" s="13" t="inlineStr">
        <is>
          <t>Furniture</t>
        </is>
      </c>
      <c r="F566" s="13" t="inlineStr">
        <is>
          <t>Linen Sofa</t>
        </is>
      </c>
      <c r="G566" s="13" t="inlineStr">
        <is>
          <t>Corporate</t>
        </is>
      </c>
      <c r="H566" s="13" t="n">
        <v>1</v>
      </c>
      <c r="I566" s="14" t="n">
        <v>1209.17</v>
      </c>
      <c r="J566" s="15" t="n">
        <v>0.09</v>
      </c>
      <c r="K566" s="14" t="n">
        <v>798.05</v>
      </c>
      <c r="L566" s="13" t="n">
        <v>9</v>
      </c>
      <c r="M566" s="13" t="inlineStr">
        <is>
          <t>Completed</t>
        </is>
      </c>
      <c r="N566" s="13" t="inlineStr">
        <is>
          <t>P. Rossi</t>
        </is>
      </c>
      <c r="O566" s="13" t="inlineStr">
        <is>
          <t>No</t>
        </is>
      </c>
      <c r="P566" s="14">
        <f>H566*I566</f>
        <v/>
      </c>
      <c r="Q566" s="14">
        <f>P566*(1-J566)</f>
        <v/>
      </c>
      <c r="R566" s="14">
        <f>H566*K566</f>
        <v/>
      </c>
      <c r="S566" s="15">
        <f>IF(Q566=0,"",(Q566-R566)/Q566)</f>
        <v/>
      </c>
      <c r="T566" s="13">
        <f>YEAR(B566)</f>
        <v/>
      </c>
      <c r="U566" s="13">
        <f>YEAR(B566)&amp;"-Q"&amp;ROUNDUP(MONTH(B566)/3,0)</f>
        <v/>
      </c>
      <c r="V566" s="13">
        <f>TEXT(B566,"YYYY-MM")</f>
        <v/>
      </c>
      <c r="W566" s="13">
        <f>IF(L566="","",IF(L566&gt;pLateDays,1,0))</f>
        <v/>
      </c>
      <c r="X566" s="13">
        <f>IF(Q566&gt;=pHighCutoff,1,0)</f>
        <v/>
      </c>
      <c r="Y566" s="13">
        <f>IF(M566="Returned",1,0)</f>
        <v/>
      </c>
    </row>
    <row r="567">
      <c r="A567" s="13" t="inlineStr">
        <is>
          <t>HC-100565</t>
        </is>
      </c>
      <c r="B567" s="18" t="n">
        <v>45598</v>
      </c>
      <c r="C567" s="13" t="inlineStr">
        <is>
          <t>North</t>
        </is>
      </c>
      <c r="D567" s="13" t="inlineStr">
        <is>
          <t>Store</t>
        </is>
      </c>
      <c r="E567" s="13" t="inlineStr">
        <is>
          <t>Furniture</t>
        </is>
      </c>
      <c r="F567" s="13" t="inlineStr">
        <is>
          <t>Oak Desk</t>
        </is>
      </c>
      <c r="G567" s="13" t="inlineStr">
        <is>
          <t>Corporate</t>
        </is>
      </c>
      <c r="H567" s="13" t="n">
        <v>4</v>
      </c>
      <c r="I567" s="14" t="n">
        <v>862.42</v>
      </c>
      <c r="J567" s="15" t="n">
        <v>0.11</v>
      </c>
      <c r="K567" s="14" t="n">
        <v>534.7</v>
      </c>
      <c r="L567" s="13" t="n">
        <v>5</v>
      </c>
      <c r="M567" s="13" t="inlineStr">
        <is>
          <t>Completed</t>
        </is>
      </c>
      <c r="N567" s="13" t="inlineStr">
        <is>
          <t>M. Okonkwo</t>
        </is>
      </c>
      <c r="O567" s="13" t="inlineStr">
        <is>
          <t>No</t>
        </is>
      </c>
      <c r="P567" s="14">
        <f>H567*I567</f>
        <v/>
      </c>
      <c r="Q567" s="14">
        <f>P567*(1-J567)</f>
        <v/>
      </c>
      <c r="R567" s="14">
        <f>H567*K567</f>
        <v/>
      </c>
      <c r="S567" s="15">
        <f>IF(Q567=0,"",(Q567-R567)/Q567)</f>
        <v/>
      </c>
      <c r="T567" s="13">
        <f>YEAR(B567)</f>
        <v/>
      </c>
      <c r="U567" s="13">
        <f>YEAR(B567)&amp;"-Q"&amp;ROUNDUP(MONTH(B567)/3,0)</f>
        <v/>
      </c>
      <c r="V567" s="13">
        <f>TEXT(B567,"YYYY-MM")</f>
        <v/>
      </c>
      <c r="W567" s="13">
        <f>IF(L567="","",IF(L567&gt;pLateDays,1,0))</f>
        <v/>
      </c>
      <c r="X567" s="13">
        <f>IF(Q567&gt;=pHighCutoff,1,0)</f>
        <v/>
      </c>
      <c r="Y567" s="13">
        <f>IF(M567="Returned",1,0)</f>
        <v/>
      </c>
    </row>
    <row r="568">
      <c r="A568" s="13" t="inlineStr">
        <is>
          <t>HC-100566</t>
        </is>
      </c>
      <c r="B568" s="18" t="n">
        <v>45425</v>
      </c>
      <c r="C568" s="13" t="inlineStr">
        <is>
          <t>North</t>
        </is>
      </c>
      <c r="D568" s="13" t="inlineStr">
        <is>
          <t>Wholesale</t>
        </is>
      </c>
      <c r="E568" s="13" t="inlineStr">
        <is>
          <t>Textiles</t>
        </is>
      </c>
      <c r="F568" s="13" t="inlineStr">
        <is>
          <t>Wool Throw</t>
        </is>
      </c>
      <c r="G568" s="13" t="inlineStr">
        <is>
          <t>Consumer</t>
        </is>
      </c>
      <c r="H568" s="13" t="n">
        <v>10</v>
      </c>
      <c r="I568" s="14" t="n">
        <v>69.63</v>
      </c>
      <c r="J568" s="15" t="n">
        <v>0.31</v>
      </c>
      <c r="K568" s="14" t="n">
        <v>29.25</v>
      </c>
      <c r="L568" s="13" t="n">
        <v>4</v>
      </c>
      <c r="M568" s="13" t="inlineStr">
        <is>
          <t>Returned</t>
        </is>
      </c>
      <c r="N568" s="13" t="inlineStr">
        <is>
          <t>R. Ibarra</t>
        </is>
      </c>
      <c r="O568" s="13" t="inlineStr">
        <is>
          <t>No</t>
        </is>
      </c>
      <c r="P568" s="14">
        <f>H568*I568</f>
        <v/>
      </c>
      <c r="Q568" s="14">
        <f>P568*(1-J568)</f>
        <v/>
      </c>
      <c r="R568" s="14">
        <f>H568*K568</f>
        <v/>
      </c>
      <c r="S568" s="15">
        <f>IF(Q568=0,"",(Q568-R568)/Q568)</f>
        <v/>
      </c>
      <c r="T568" s="13">
        <f>YEAR(B568)</f>
        <v/>
      </c>
      <c r="U568" s="13">
        <f>YEAR(B568)&amp;"-Q"&amp;ROUNDUP(MONTH(B568)/3,0)</f>
        <v/>
      </c>
      <c r="V568" s="13">
        <f>TEXT(B568,"YYYY-MM")</f>
        <v/>
      </c>
      <c r="W568" s="13">
        <f>IF(L568="","",IF(L568&gt;pLateDays,1,0))</f>
        <v/>
      </c>
      <c r="X568" s="13">
        <f>IF(Q568&gt;=pHighCutoff,1,0)</f>
        <v/>
      </c>
      <c r="Y568" s="13">
        <f>IF(M568="Returned",1,0)</f>
        <v/>
      </c>
    </row>
    <row r="569">
      <c r="A569" s="13" t="inlineStr">
        <is>
          <t>HC-100567</t>
        </is>
      </c>
      <c r="B569" s="18" t="n">
        <v>45869</v>
      </c>
      <c r="C569" s="13" t="inlineStr">
        <is>
          <t>South</t>
        </is>
      </c>
      <c r="D569" s="13" t="inlineStr">
        <is>
          <t>Store</t>
        </is>
      </c>
      <c r="E569" s="13" t="inlineStr">
        <is>
          <t>Lighting</t>
        </is>
      </c>
      <c r="F569" s="13" t="inlineStr">
        <is>
          <t>Pendant Light</t>
        </is>
      </c>
      <c r="G569" s="13" t="inlineStr">
        <is>
          <t>Home Office</t>
        </is>
      </c>
      <c r="H569" s="13" t="n">
        <v>1</v>
      </c>
      <c r="I569" s="14" t="n">
        <v>187.78</v>
      </c>
      <c r="J569" s="15" t="n">
        <v>0.08</v>
      </c>
      <c r="K569" s="14" t="n">
        <v>93.89</v>
      </c>
      <c r="L569" s="13" t="n">
        <v>4</v>
      </c>
      <c r="M569" s="13" t="inlineStr">
        <is>
          <t>Completed</t>
        </is>
      </c>
      <c r="N569" s="13" t="inlineStr">
        <is>
          <t>R. Ibarra</t>
        </is>
      </c>
      <c r="O569" s="13" t="inlineStr">
        <is>
          <t>No</t>
        </is>
      </c>
      <c r="P569" s="14">
        <f>H569*I569</f>
        <v/>
      </c>
      <c r="Q569" s="14">
        <f>P569*(1-J569)</f>
        <v/>
      </c>
      <c r="R569" s="14">
        <f>H569*K569</f>
        <v/>
      </c>
      <c r="S569" s="15">
        <f>IF(Q569=0,"",(Q569-R569)/Q569)</f>
        <v/>
      </c>
      <c r="T569" s="13">
        <f>YEAR(B569)</f>
        <v/>
      </c>
      <c r="U569" s="13">
        <f>YEAR(B569)&amp;"-Q"&amp;ROUNDUP(MONTH(B569)/3,0)</f>
        <v/>
      </c>
      <c r="V569" s="13">
        <f>TEXT(B569,"YYYY-MM")</f>
        <v/>
      </c>
      <c r="W569" s="13">
        <f>IF(L569="","",IF(L569&gt;pLateDays,1,0))</f>
        <v/>
      </c>
      <c r="X569" s="13">
        <f>IF(Q569&gt;=pHighCutoff,1,0)</f>
        <v/>
      </c>
      <c r="Y569" s="13">
        <f>IF(M569="Returned",1,0)</f>
        <v/>
      </c>
    </row>
    <row r="570">
      <c r="A570" s="13" t="inlineStr">
        <is>
          <t>HC-100568</t>
        </is>
      </c>
      <c r="B570" s="18" t="n">
        <v>45551</v>
      </c>
      <c r="C570" s="13" t="inlineStr">
        <is>
          <t>South</t>
        </is>
      </c>
      <c r="D570" s="13" t="inlineStr">
        <is>
          <t>Online</t>
        </is>
      </c>
      <c r="E570" s="13" t="inlineStr">
        <is>
          <t>Lighting</t>
        </is>
      </c>
      <c r="F570" s="13" t="inlineStr">
        <is>
          <t>Pendant Light</t>
        </is>
      </c>
      <c r="G570" s="13" t="inlineStr">
        <is>
          <t>Consumer</t>
        </is>
      </c>
      <c r="H570" s="13" t="n">
        <v>1</v>
      </c>
      <c r="I570" s="14" t="n">
        <v>178.24</v>
      </c>
      <c r="J570" s="15" t="n">
        <v>0.03</v>
      </c>
      <c r="K570" s="14" t="n">
        <v>89.12</v>
      </c>
      <c r="L570" s="13" t="n">
        <v>4</v>
      </c>
      <c r="M570" s="13" t="inlineStr">
        <is>
          <t>Completed</t>
        </is>
      </c>
      <c r="N570" s="13" t="inlineStr">
        <is>
          <t>K. Mensah</t>
        </is>
      </c>
      <c r="O570" s="13" t="inlineStr">
        <is>
          <t>No</t>
        </is>
      </c>
      <c r="P570" s="14">
        <f>H570*I570</f>
        <v/>
      </c>
      <c r="Q570" s="14">
        <f>P570*(1-J570)</f>
        <v/>
      </c>
      <c r="R570" s="14">
        <f>H570*K570</f>
        <v/>
      </c>
      <c r="S570" s="15">
        <f>IF(Q570=0,"",(Q570-R570)/Q570)</f>
        <v/>
      </c>
      <c r="T570" s="13">
        <f>YEAR(B570)</f>
        <v/>
      </c>
      <c r="U570" s="13">
        <f>YEAR(B570)&amp;"-Q"&amp;ROUNDUP(MONTH(B570)/3,0)</f>
        <v/>
      </c>
      <c r="V570" s="13">
        <f>TEXT(B570,"YYYY-MM")</f>
        <v/>
      </c>
      <c r="W570" s="13">
        <f>IF(L570="","",IF(L570&gt;pLateDays,1,0))</f>
        <v/>
      </c>
      <c r="X570" s="13">
        <f>IF(Q570&gt;=pHighCutoff,1,0)</f>
        <v/>
      </c>
      <c r="Y570" s="13">
        <f>IF(M570="Returned",1,0)</f>
        <v/>
      </c>
    </row>
    <row r="571">
      <c r="A571" s="13" t="inlineStr">
        <is>
          <t>HC-100569</t>
        </is>
      </c>
      <c r="B571" s="18" t="n">
        <v>45381</v>
      </c>
      <c r="C571" s="13" t="inlineStr">
        <is>
          <t>West</t>
        </is>
      </c>
      <c r="D571" s="13" t="inlineStr">
        <is>
          <t>Store</t>
        </is>
      </c>
      <c r="E571" s="13" t="inlineStr">
        <is>
          <t>Lighting</t>
        </is>
      </c>
      <c r="F571" s="13" t="inlineStr">
        <is>
          <t>Pendant Light</t>
        </is>
      </c>
      <c r="G571" s="13" t="inlineStr">
        <is>
          <t>Consumer</t>
        </is>
      </c>
      <c r="H571" s="13" t="n">
        <v>4</v>
      </c>
      <c r="I571" s="14" t="n">
        <v>194.25</v>
      </c>
      <c r="J571" s="15" t="n">
        <v>0.07000000000000001</v>
      </c>
      <c r="K571" s="14" t="n">
        <v>97.13</v>
      </c>
      <c r="L571" s="13" t="n">
        <v>8</v>
      </c>
      <c r="M571" s="13" t="inlineStr">
        <is>
          <t>Completed</t>
        </is>
      </c>
      <c r="N571" s="13" t="inlineStr">
        <is>
          <t>A. Shah</t>
        </is>
      </c>
      <c r="O571" s="13" t="inlineStr">
        <is>
          <t>No</t>
        </is>
      </c>
      <c r="P571" s="14">
        <f>H571*I571</f>
        <v/>
      </c>
      <c r="Q571" s="14">
        <f>P571*(1-J571)</f>
        <v/>
      </c>
      <c r="R571" s="14">
        <f>H571*K571</f>
        <v/>
      </c>
      <c r="S571" s="15">
        <f>IF(Q571=0,"",(Q571-R571)/Q571)</f>
        <v/>
      </c>
      <c r="T571" s="13">
        <f>YEAR(B571)</f>
        <v/>
      </c>
      <c r="U571" s="13">
        <f>YEAR(B571)&amp;"-Q"&amp;ROUNDUP(MONTH(B571)/3,0)</f>
        <v/>
      </c>
      <c r="V571" s="13">
        <f>TEXT(B571,"YYYY-MM")</f>
        <v/>
      </c>
      <c r="W571" s="13">
        <f>IF(L571="","",IF(L571&gt;pLateDays,1,0))</f>
        <v/>
      </c>
      <c r="X571" s="13">
        <f>IF(Q571&gt;=pHighCutoff,1,0)</f>
        <v/>
      </c>
      <c r="Y571" s="13">
        <f>IF(M571="Returned",1,0)</f>
        <v/>
      </c>
    </row>
    <row r="572">
      <c r="A572" s="13" t="inlineStr">
        <is>
          <t>HC-100570</t>
        </is>
      </c>
      <c r="B572" s="18" t="n">
        <v>45661</v>
      </c>
      <c r="C572" s="13" t="inlineStr">
        <is>
          <t>North</t>
        </is>
      </c>
      <c r="D572" s="13" t="inlineStr">
        <is>
          <t>Store</t>
        </is>
      </c>
      <c r="E572" s="13" t="inlineStr">
        <is>
          <t>Lighting</t>
        </is>
      </c>
      <c r="F572" s="13" t="inlineStr">
        <is>
          <t>Pendant Light</t>
        </is>
      </c>
      <c r="G572" s="13" t="inlineStr">
        <is>
          <t>Consumer</t>
        </is>
      </c>
      <c r="H572" s="13" t="n">
        <v>2</v>
      </c>
      <c r="I572" s="14" t="n">
        <v>176.75</v>
      </c>
      <c r="J572" s="15" t="n">
        <v>0.05</v>
      </c>
      <c r="K572" s="14" t="n">
        <v>88.38</v>
      </c>
      <c r="L572" s="13" t="n"/>
      <c r="M572" s="13" t="inlineStr">
        <is>
          <t>Completed</t>
        </is>
      </c>
      <c r="N572" s="13" t="inlineStr">
        <is>
          <t>R. Ibarra</t>
        </is>
      </c>
      <c r="O572" s="13" t="inlineStr">
        <is>
          <t>No</t>
        </is>
      </c>
      <c r="P572" s="14">
        <f>H572*I572</f>
        <v/>
      </c>
      <c r="Q572" s="14">
        <f>P572*(1-J572)</f>
        <v/>
      </c>
      <c r="R572" s="14">
        <f>H572*K572</f>
        <v/>
      </c>
      <c r="S572" s="15">
        <f>IF(Q572=0,"",(Q572-R572)/Q572)</f>
        <v/>
      </c>
      <c r="T572" s="13">
        <f>YEAR(B572)</f>
        <v/>
      </c>
      <c r="U572" s="13">
        <f>YEAR(B572)&amp;"-Q"&amp;ROUNDUP(MONTH(B572)/3,0)</f>
        <v/>
      </c>
      <c r="V572" s="13">
        <f>TEXT(B572,"YYYY-MM")</f>
        <v/>
      </c>
      <c r="W572" s="13">
        <f>IF(L572="","",IF(L572&gt;pLateDays,1,0))</f>
        <v/>
      </c>
      <c r="X572" s="13">
        <f>IF(Q572&gt;=pHighCutoff,1,0)</f>
        <v/>
      </c>
      <c r="Y572" s="13">
        <f>IF(M572="Returned",1,0)</f>
        <v/>
      </c>
    </row>
    <row r="573">
      <c r="A573" s="13" t="inlineStr">
        <is>
          <t>HC-100571</t>
        </is>
      </c>
      <c r="B573" s="18" t="n">
        <v>45579</v>
      </c>
      <c r="C573" s="13" t="inlineStr">
        <is>
          <t>West</t>
        </is>
      </c>
      <c r="D573" s="13" t="inlineStr">
        <is>
          <t>Store</t>
        </is>
      </c>
      <c r="E573" s="13" t="inlineStr">
        <is>
          <t>Textiles</t>
        </is>
      </c>
      <c r="F573" s="13" t="inlineStr">
        <is>
          <t>Linen Curtain</t>
        </is>
      </c>
      <c r="G573" s="13" t="inlineStr">
        <is>
          <t>Consumer</t>
        </is>
      </c>
      <c r="H573" s="13" t="n">
        <v>2</v>
      </c>
      <c r="I573" s="14" t="n">
        <v>98.33</v>
      </c>
      <c r="J573" s="15" t="n">
        <v>0.05</v>
      </c>
      <c r="K573" s="14" t="n">
        <v>44.25</v>
      </c>
      <c r="L573" s="13" t="n">
        <v>3</v>
      </c>
      <c r="M573" s="13" t="inlineStr">
        <is>
          <t>Completed</t>
        </is>
      </c>
      <c r="N573" s="13" t="inlineStr">
        <is>
          <t>S. Nguyen</t>
        </is>
      </c>
      <c r="O573" s="13" t="inlineStr">
        <is>
          <t>No</t>
        </is>
      </c>
      <c r="P573" s="14">
        <f>H573*I573</f>
        <v/>
      </c>
      <c r="Q573" s="14">
        <f>P573*(1-J573)</f>
        <v/>
      </c>
      <c r="R573" s="14">
        <f>H573*K573</f>
        <v/>
      </c>
      <c r="S573" s="15">
        <f>IF(Q573=0,"",(Q573-R573)/Q573)</f>
        <v/>
      </c>
      <c r="T573" s="13">
        <f>YEAR(B573)</f>
        <v/>
      </c>
      <c r="U573" s="13">
        <f>YEAR(B573)&amp;"-Q"&amp;ROUNDUP(MONTH(B573)/3,0)</f>
        <v/>
      </c>
      <c r="V573" s="13">
        <f>TEXT(B573,"YYYY-MM")</f>
        <v/>
      </c>
      <c r="W573" s="13">
        <f>IF(L573="","",IF(L573&gt;pLateDays,1,0))</f>
        <v/>
      </c>
      <c r="X573" s="13">
        <f>IF(Q573&gt;=pHighCutoff,1,0)</f>
        <v/>
      </c>
      <c r="Y573" s="13">
        <f>IF(M573="Returned",1,0)</f>
        <v/>
      </c>
    </row>
    <row r="574">
      <c r="A574" s="13" t="inlineStr">
        <is>
          <t>HC-100572</t>
        </is>
      </c>
      <c r="B574" s="18" t="n">
        <v>45507</v>
      </c>
      <c r="C574" s="13" t="inlineStr">
        <is>
          <t>West</t>
        </is>
      </c>
      <c r="D574" s="13" t="inlineStr">
        <is>
          <t>Online</t>
        </is>
      </c>
      <c r="E574" s="13" t="inlineStr">
        <is>
          <t>Lighting</t>
        </is>
      </c>
      <c r="F574" s="13" t="inlineStr">
        <is>
          <t>Brass Sconce</t>
        </is>
      </c>
      <c r="G574" s="13" t="inlineStr">
        <is>
          <t>Corporate</t>
        </is>
      </c>
      <c r="H574" s="13" t="n">
        <v>2</v>
      </c>
      <c r="I574" s="14" t="n">
        <v>145.93</v>
      </c>
      <c r="J574" s="15" t="n">
        <v>0.15</v>
      </c>
      <c r="K574" s="14" t="n">
        <v>67.13</v>
      </c>
      <c r="L574" s="13" t="n">
        <v>6</v>
      </c>
      <c r="M574" s="13" t="inlineStr">
        <is>
          <t>Completed</t>
        </is>
      </c>
      <c r="N574" s="13" t="inlineStr">
        <is>
          <t>K. Mensah</t>
        </is>
      </c>
      <c r="O574" s="13" t="inlineStr">
        <is>
          <t>No</t>
        </is>
      </c>
      <c r="P574" s="14">
        <f>H574*I574</f>
        <v/>
      </c>
      <c r="Q574" s="14">
        <f>P574*(1-J574)</f>
        <v/>
      </c>
      <c r="R574" s="14">
        <f>H574*K574</f>
        <v/>
      </c>
      <c r="S574" s="15">
        <f>IF(Q574=0,"",(Q574-R574)/Q574)</f>
        <v/>
      </c>
      <c r="T574" s="13">
        <f>YEAR(B574)</f>
        <v/>
      </c>
      <c r="U574" s="13">
        <f>YEAR(B574)&amp;"-Q"&amp;ROUNDUP(MONTH(B574)/3,0)</f>
        <v/>
      </c>
      <c r="V574" s="13">
        <f>TEXT(B574,"YYYY-MM")</f>
        <v/>
      </c>
      <c r="W574" s="13">
        <f>IF(L574="","",IF(L574&gt;pLateDays,1,0))</f>
        <v/>
      </c>
      <c r="X574" s="13">
        <f>IF(Q574&gt;=pHighCutoff,1,0)</f>
        <v/>
      </c>
      <c r="Y574" s="13">
        <f>IF(M574="Returned",1,0)</f>
        <v/>
      </c>
    </row>
    <row r="575">
      <c r="A575" s="13" t="inlineStr">
        <is>
          <t>HC-100573</t>
        </is>
      </c>
      <c r="B575" s="18" t="n">
        <v>45736</v>
      </c>
      <c r="C575" s="13" t="inlineStr">
        <is>
          <t>West</t>
        </is>
      </c>
      <c r="D575" s="13" t="inlineStr">
        <is>
          <t>Online</t>
        </is>
      </c>
      <c r="E575" s="13" t="inlineStr">
        <is>
          <t>Furniture</t>
        </is>
      </c>
      <c r="F575" s="13" t="inlineStr">
        <is>
          <t>Oak Desk</t>
        </is>
      </c>
      <c r="G575" s="13" t="inlineStr">
        <is>
          <t>Consumer</t>
        </is>
      </c>
      <c r="H575" s="13" t="n">
        <v>1</v>
      </c>
      <c r="I575" s="14" t="n">
        <v>857.27</v>
      </c>
      <c r="J575" s="15" t="n">
        <v>0.02</v>
      </c>
      <c r="K575" s="14" t="n">
        <v>531.51</v>
      </c>
      <c r="L575" s="13" t="n">
        <v>2</v>
      </c>
      <c r="M575" s="13" t="inlineStr">
        <is>
          <t>Completed</t>
        </is>
      </c>
      <c r="N575" s="13" t="inlineStr">
        <is>
          <t>J. Patel</t>
        </is>
      </c>
      <c r="O575" s="13" t="inlineStr">
        <is>
          <t>No</t>
        </is>
      </c>
      <c r="P575" s="14">
        <f>H575*I575</f>
        <v/>
      </c>
      <c r="Q575" s="14">
        <f>P575*(1-J575)</f>
        <v/>
      </c>
      <c r="R575" s="14">
        <f>H575*K575</f>
        <v/>
      </c>
      <c r="S575" s="15">
        <f>IF(Q575=0,"",(Q575-R575)/Q575)</f>
        <v/>
      </c>
      <c r="T575" s="13">
        <f>YEAR(B575)</f>
        <v/>
      </c>
      <c r="U575" s="13">
        <f>YEAR(B575)&amp;"-Q"&amp;ROUNDUP(MONTH(B575)/3,0)</f>
        <v/>
      </c>
      <c r="V575" s="13">
        <f>TEXT(B575,"YYYY-MM")</f>
        <v/>
      </c>
      <c r="W575" s="13">
        <f>IF(L575="","",IF(L575&gt;pLateDays,1,0))</f>
        <v/>
      </c>
      <c r="X575" s="13">
        <f>IF(Q575&gt;=pHighCutoff,1,0)</f>
        <v/>
      </c>
      <c r="Y575" s="13">
        <f>IF(M575="Returned",1,0)</f>
        <v/>
      </c>
    </row>
    <row r="576">
      <c r="A576" s="13" t="inlineStr">
        <is>
          <t>HC-100574</t>
        </is>
      </c>
      <c r="B576" s="18" t="n">
        <v>45580</v>
      </c>
      <c r="C576" s="13" t="inlineStr">
        <is>
          <t>West</t>
        </is>
      </c>
      <c r="D576" s="13" t="inlineStr">
        <is>
          <t>Store</t>
        </is>
      </c>
      <c r="E576" s="13" t="inlineStr">
        <is>
          <t>Lighting</t>
        </is>
      </c>
      <c r="F576" s="13" t="inlineStr">
        <is>
          <t>Arc Lamp</t>
        </is>
      </c>
      <c r="G576" s="13" t="inlineStr">
        <is>
          <t>Consumer</t>
        </is>
      </c>
      <c r="H576" s="13" t="n">
        <v>2</v>
      </c>
      <c r="I576" s="14" t="n">
        <v>331.35</v>
      </c>
      <c r="J576" s="15" t="n">
        <v>0.1</v>
      </c>
      <c r="K576" s="14" t="n">
        <v>159.05</v>
      </c>
      <c r="L576" s="13" t="n">
        <v>10</v>
      </c>
      <c r="M576" s="13" t="inlineStr">
        <is>
          <t>Completed</t>
        </is>
      </c>
      <c r="N576" s="13" t="inlineStr">
        <is>
          <t>M. Okonkwo</t>
        </is>
      </c>
      <c r="O576" s="13" t="inlineStr">
        <is>
          <t>No</t>
        </is>
      </c>
      <c r="P576" s="14">
        <f>H576*I576</f>
        <v/>
      </c>
      <c r="Q576" s="14">
        <f>P576*(1-J576)</f>
        <v/>
      </c>
      <c r="R576" s="14">
        <f>H576*K576</f>
        <v/>
      </c>
      <c r="S576" s="15">
        <f>IF(Q576=0,"",(Q576-R576)/Q576)</f>
        <v/>
      </c>
      <c r="T576" s="13">
        <f>YEAR(B576)</f>
        <v/>
      </c>
      <c r="U576" s="13">
        <f>YEAR(B576)&amp;"-Q"&amp;ROUNDUP(MONTH(B576)/3,0)</f>
        <v/>
      </c>
      <c r="V576" s="13">
        <f>TEXT(B576,"YYYY-MM")</f>
        <v/>
      </c>
      <c r="W576" s="13">
        <f>IF(L576="","",IF(L576&gt;pLateDays,1,0))</f>
        <v/>
      </c>
      <c r="X576" s="13">
        <f>IF(Q576&gt;=pHighCutoff,1,0)</f>
        <v/>
      </c>
      <c r="Y576" s="13">
        <f>IF(M576="Returned",1,0)</f>
        <v/>
      </c>
    </row>
    <row r="577">
      <c r="A577" s="13" t="inlineStr">
        <is>
          <t>HC-100575</t>
        </is>
      </c>
      <c r="B577" s="18" t="n">
        <v>45630</v>
      </c>
      <c r="C577" s="13" t="inlineStr">
        <is>
          <t>West</t>
        </is>
      </c>
      <c r="D577" s="13" t="inlineStr">
        <is>
          <t>Wholesale</t>
        </is>
      </c>
      <c r="E577" s="13" t="inlineStr">
        <is>
          <t>Textiles</t>
        </is>
      </c>
      <c r="F577" s="13" t="inlineStr">
        <is>
          <t>Cotton Duvet</t>
        </is>
      </c>
      <c r="G577" s="13" t="inlineStr">
        <is>
          <t>Consumer</t>
        </is>
      </c>
      <c r="H577" s="13" t="n">
        <v>29</v>
      </c>
      <c r="I577" s="14" t="n">
        <v>120.38</v>
      </c>
      <c r="J577" s="15" t="n">
        <v>0.3</v>
      </c>
      <c r="K577" s="14" t="n">
        <v>52.97</v>
      </c>
      <c r="L577" s="13" t="n">
        <v>5</v>
      </c>
      <c r="M577" s="13" t="inlineStr">
        <is>
          <t>Completed</t>
        </is>
      </c>
      <c r="N577" s="13" t="inlineStr">
        <is>
          <t>R. Ibarra</t>
        </is>
      </c>
      <c r="O577" s="13" t="inlineStr">
        <is>
          <t>No</t>
        </is>
      </c>
      <c r="P577" s="14">
        <f>H577*I577</f>
        <v/>
      </c>
      <c r="Q577" s="14">
        <f>P577*(1-J577)</f>
        <v/>
      </c>
      <c r="R577" s="14">
        <f>H577*K577</f>
        <v/>
      </c>
      <c r="S577" s="15">
        <f>IF(Q577=0,"",(Q577-R577)/Q577)</f>
        <v/>
      </c>
      <c r="T577" s="13">
        <f>YEAR(B577)</f>
        <v/>
      </c>
      <c r="U577" s="13">
        <f>YEAR(B577)&amp;"-Q"&amp;ROUNDUP(MONTH(B577)/3,0)</f>
        <v/>
      </c>
      <c r="V577" s="13">
        <f>TEXT(B577,"YYYY-MM")</f>
        <v/>
      </c>
      <c r="W577" s="13">
        <f>IF(L577="","",IF(L577&gt;pLateDays,1,0))</f>
        <v/>
      </c>
      <c r="X577" s="13">
        <f>IF(Q577&gt;=pHighCutoff,1,0)</f>
        <v/>
      </c>
      <c r="Y577" s="13">
        <f>IF(M577="Returned",1,0)</f>
        <v/>
      </c>
    </row>
    <row r="578">
      <c r="A578" s="13" t="inlineStr">
        <is>
          <t>HC-100576</t>
        </is>
      </c>
      <c r="B578" s="18" t="n">
        <v>45737</v>
      </c>
      <c r="C578" s="13" t="inlineStr">
        <is>
          <t>West</t>
        </is>
      </c>
      <c r="D578" s="13" t="inlineStr">
        <is>
          <t>Online</t>
        </is>
      </c>
      <c r="E578" s="13" t="inlineStr">
        <is>
          <t>Textiles</t>
        </is>
      </c>
      <c r="F578" s="13" t="inlineStr">
        <is>
          <t>Wool Throw</t>
        </is>
      </c>
      <c r="G578" s="13" t="inlineStr">
        <is>
          <t>Home Office</t>
        </is>
      </c>
      <c r="H578" s="13" t="n">
        <v>3</v>
      </c>
      <c r="I578" s="14" t="n">
        <v>71.67</v>
      </c>
      <c r="J578" s="15" t="n">
        <v>0.03</v>
      </c>
      <c r="K578" s="14" t="n">
        <v>30.1</v>
      </c>
      <c r="L578" s="13" t="n">
        <v>6</v>
      </c>
      <c r="M578" s="13" t="inlineStr">
        <is>
          <t>Completed</t>
        </is>
      </c>
      <c r="N578" s="13" t="inlineStr">
        <is>
          <t>P. Rossi</t>
        </is>
      </c>
      <c r="O578" s="13" t="inlineStr">
        <is>
          <t>No</t>
        </is>
      </c>
      <c r="P578" s="14">
        <f>H578*I578</f>
        <v/>
      </c>
      <c r="Q578" s="14">
        <f>P578*(1-J578)</f>
        <v/>
      </c>
      <c r="R578" s="14">
        <f>H578*K578</f>
        <v/>
      </c>
      <c r="S578" s="15">
        <f>IF(Q578=0,"",(Q578-R578)/Q578)</f>
        <v/>
      </c>
      <c r="T578" s="13">
        <f>YEAR(B578)</f>
        <v/>
      </c>
      <c r="U578" s="13">
        <f>YEAR(B578)&amp;"-Q"&amp;ROUNDUP(MONTH(B578)/3,0)</f>
        <v/>
      </c>
      <c r="V578" s="13">
        <f>TEXT(B578,"YYYY-MM")</f>
        <v/>
      </c>
      <c r="W578" s="13">
        <f>IF(L578="","",IF(L578&gt;pLateDays,1,0))</f>
        <v/>
      </c>
      <c r="X578" s="13">
        <f>IF(Q578&gt;=pHighCutoff,1,0)</f>
        <v/>
      </c>
      <c r="Y578" s="13">
        <f>IF(M578="Returned",1,0)</f>
        <v/>
      </c>
    </row>
    <row r="579">
      <c r="A579" s="13" t="inlineStr">
        <is>
          <t>HC-100577</t>
        </is>
      </c>
      <c r="B579" s="18" t="n">
        <v>45734</v>
      </c>
      <c r="C579" s="13" t="inlineStr">
        <is>
          <t>South</t>
        </is>
      </c>
      <c r="D579" s="13" t="inlineStr">
        <is>
          <t>Online</t>
        </is>
      </c>
      <c r="E579" s="13" t="inlineStr">
        <is>
          <t>Kitchen</t>
        </is>
      </c>
      <c r="F579" s="13" t="inlineStr">
        <is>
          <t>Ceramic Set</t>
        </is>
      </c>
      <c r="G579" s="13" t="inlineStr">
        <is>
          <t>Consumer</t>
        </is>
      </c>
      <c r="H579" s="13" t="n">
        <v>2</v>
      </c>
      <c r="I579" s="14" t="n">
        <v>88.72</v>
      </c>
      <c r="J579" s="15" t="n">
        <v>0.1</v>
      </c>
      <c r="K579" s="14" t="n">
        <v>33.71</v>
      </c>
      <c r="L579" s="13" t="n">
        <v>7</v>
      </c>
      <c r="M579" s="13" t="inlineStr">
        <is>
          <t>Completed</t>
        </is>
      </c>
      <c r="N579" s="13" t="inlineStr">
        <is>
          <t>S. Nguyen</t>
        </is>
      </c>
      <c r="O579" s="13" t="inlineStr">
        <is>
          <t>No</t>
        </is>
      </c>
      <c r="P579" s="14">
        <f>H579*I579</f>
        <v/>
      </c>
      <c r="Q579" s="14">
        <f>P579*(1-J579)</f>
        <v/>
      </c>
      <c r="R579" s="14">
        <f>H579*K579</f>
        <v/>
      </c>
      <c r="S579" s="15">
        <f>IF(Q579=0,"",(Q579-R579)/Q579)</f>
        <v/>
      </c>
      <c r="T579" s="13">
        <f>YEAR(B579)</f>
        <v/>
      </c>
      <c r="U579" s="13">
        <f>YEAR(B579)&amp;"-Q"&amp;ROUNDUP(MONTH(B579)/3,0)</f>
        <v/>
      </c>
      <c r="V579" s="13">
        <f>TEXT(B579,"YYYY-MM")</f>
        <v/>
      </c>
      <c r="W579" s="13">
        <f>IF(L579="","",IF(L579&gt;pLateDays,1,0))</f>
        <v/>
      </c>
      <c r="X579" s="13">
        <f>IF(Q579&gt;=pHighCutoff,1,0)</f>
        <v/>
      </c>
      <c r="Y579" s="13">
        <f>IF(M579="Returned",1,0)</f>
        <v/>
      </c>
    </row>
    <row r="580">
      <c r="A580" s="13" t="inlineStr">
        <is>
          <t>HC-100578</t>
        </is>
      </c>
      <c r="B580" s="18" t="n">
        <v>45471</v>
      </c>
      <c r="C580" s="13" t="inlineStr">
        <is>
          <t>West</t>
        </is>
      </c>
      <c r="D580" s="13" t="inlineStr">
        <is>
          <t>Store</t>
        </is>
      </c>
      <c r="E580" s="13" t="inlineStr">
        <is>
          <t>Lighting</t>
        </is>
      </c>
      <c r="F580" s="13" t="inlineStr">
        <is>
          <t>Brass Sconce</t>
        </is>
      </c>
      <c r="G580" s="13" t="inlineStr">
        <is>
          <t>Consumer</t>
        </is>
      </c>
      <c r="H580" s="13" t="n">
        <v>1</v>
      </c>
      <c r="I580" s="14" t="n">
        <v>132.01</v>
      </c>
      <c r="J580" s="15" t="n">
        <v>0.01</v>
      </c>
      <c r="K580" s="14" t="n">
        <v>60.72</v>
      </c>
      <c r="L580" s="13" t="n">
        <v>3</v>
      </c>
      <c r="M580" s="13" t="inlineStr">
        <is>
          <t>Completed</t>
        </is>
      </c>
      <c r="N580" s="13" t="inlineStr">
        <is>
          <t>M. Okonkwo</t>
        </is>
      </c>
      <c r="O580" s="13" t="inlineStr">
        <is>
          <t>No</t>
        </is>
      </c>
      <c r="P580" s="14">
        <f>H580*I580</f>
        <v/>
      </c>
      <c r="Q580" s="14">
        <f>P580*(1-J580)</f>
        <v/>
      </c>
      <c r="R580" s="14">
        <f>H580*K580</f>
        <v/>
      </c>
      <c r="S580" s="15">
        <f>IF(Q580=0,"",(Q580-R580)/Q580)</f>
        <v/>
      </c>
      <c r="T580" s="13">
        <f>YEAR(B580)</f>
        <v/>
      </c>
      <c r="U580" s="13">
        <f>YEAR(B580)&amp;"-Q"&amp;ROUNDUP(MONTH(B580)/3,0)</f>
        <v/>
      </c>
      <c r="V580" s="13">
        <f>TEXT(B580,"YYYY-MM")</f>
        <v/>
      </c>
      <c r="W580" s="13">
        <f>IF(L580="","",IF(L580&gt;pLateDays,1,0))</f>
        <v/>
      </c>
      <c r="X580" s="13">
        <f>IF(Q580&gt;=pHighCutoff,1,0)</f>
        <v/>
      </c>
      <c r="Y580" s="13">
        <f>IF(M580="Returned",1,0)</f>
        <v/>
      </c>
    </row>
    <row r="581">
      <c r="A581" s="13" t="inlineStr">
        <is>
          <t>HC-100579</t>
        </is>
      </c>
      <c r="B581" s="18" t="n">
        <v>45662</v>
      </c>
      <c r="C581" s="13" t="inlineStr">
        <is>
          <t>North</t>
        </is>
      </c>
      <c r="D581" s="13" t="inlineStr">
        <is>
          <t>Online</t>
        </is>
      </c>
      <c r="E581" s="13" t="inlineStr">
        <is>
          <t>Textiles</t>
        </is>
      </c>
      <c r="F581" s="13" t="inlineStr">
        <is>
          <t>Wool Throw</t>
        </is>
      </c>
      <c r="G581" s="13" t="inlineStr">
        <is>
          <t>Corporate</t>
        </is>
      </c>
      <c r="H581" s="13" t="n">
        <v>3</v>
      </c>
      <c r="I581" s="14" t="n">
        <v>77.31999999999999</v>
      </c>
      <c r="J581" s="15" t="n">
        <v>0.07000000000000001</v>
      </c>
      <c r="K581" s="14" t="n">
        <v>32.48</v>
      </c>
      <c r="L581" s="13" t="n">
        <v>8</v>
      </c>
      <c r="M581" s="13" t="inlineStr">
        <is>
          <t>Completed</t>
        </is>
      </c>
      <c r="N581" s="13" t="inlineStr">
        <is>
          <t>M. Okonkwo</t>
        </is>
      </c>
      <c r="O581" s="13" t="inlineStr">
        <is>
          <t>No</t>
        </is>
      </c>
      <c r="P581" s="14">
        <f>H581*I581</f>
        <v/>
      </c>
      <c r="Q581" s="14">
        <f>P581*(1-J581)</f>
        <v/>
      </c>
      <c r="R581" s="14">
        <f>H581*K581</f>
        <v/>
      </c>
      <c r="S581" s="15">
        <f>IF(Q581=0,"",(Q581-R581)/Q581)</f>
        <v/>
      </c>
      <c r="T581" s="13">
        <f>YEAR(B581)</f>
        <v/>
      </c>
      <c r="U581" s="13">
        <f>YEAR(B581)&amp;"-Q"&amp;ROUNDUP(MONTH(B581)/3,0)</f>
        <v/>
      </c>
      <c r="V581" s="13">
        <f>TEXT(B581,"YYYY-MM")</f>
        <v/>
      </c>
      <c r="W581" s="13">
        <f>IF(L581="","",IF(L581&gt;pLateDays,1,0))</f>
        <v/>
      </c>
      <c r="X581" s="13">
        <f>IF(Q581&gt;=pHighCutoff,1,0)</f>
        <v/>
      </c>
      <c r="Y581" s="13">
        <f>IF(M581="Returned",1,0)</f>
        <v/>
      </c>
    </row>
    <row r="582">
      <c r="A582" s="13" t="inlineStr">
        <is>
          <t>HC-100580</t>
        </is>
      </c>
      <c r="B582" s="18" t="n">
        <v>45565</v>
      </c>
      <c r="C582" s="13" t="inlineStr">
        <is>
          <t>West</t>
        </is>
      </c>
      <c r="D582" s="13" t="inlineStr">
        <is>
          <t>Online</t>
        </is>
      </c>
      <c r="E582" s="13" t="inlineStr">
        <is>
          <t>Lighting</t>
        </is>
      </c>
      <c r="F582" s="13" t="inlineStr">
        <is>
          <t>Arc Lamp</t>
        </is>
      </c>
      <c r="G582" s="13" t="inlineStr">
        <is>
          <t>Consumer</t>
        </is>
      </c>
      <c r="H582" s="13" t="n">
        <v>2</v>
      </c>
      <c r="I582" s="14" t="n">
        <v>294.54</v>
      </c>
      <c r="J582" s="15" t="n">
        <v>0.1</v>
      </c>
      <c r="K582" s="14" t="n">
        <v>141.38</v>
      </c>
      <c r="L582" s="13" t="n">
        <v>4</v>
      </c>
      <c r="M582" s="13" t="inlineStr">
        <is>
          <t>Completed</t>
        </is>
      </c>
      <c r="N582" s="13" t="inlineStr">
        <is>
          <t>J. Patel</t>
        </is>
      </c>
      <c r="O582" s="13" t="inlineStr">
        <is>
          <t>No</t>
        </is>
      </c>
      <c r="P582" s="14">
        <f>H582*I582</f>
        <v/>
      </c>
      <c r="Q582" s="14">
        <f>P582*(1-J582)</f>
        <v/>
      </c>
      <c r="R582" s="14">
        <f>H582*K582</f>
        <v/>
      </c>
      <c r="S582" s="15">
        <f>IF(Q582=0,"",(Q582-R582)/Q582)</f>
        <v/>
      </c>
      <c r="T582" s="13">
        <f>YEAR(B582)</f>
        <v/>
      </c>
      <c r="U582" s="13">
        <f>YEAR(B582)&amp;"-Q"&amp;ROUNDUP(MONTH(B582)/3,0)</f>
        <v/>
      </c>
      <c r="V582" s="13">
        <f>TEXT(B582,"YYYY-MM")</f>
        <v/>
      </c>
      <c r="W582" s="13">
        <f>IF(L582="","",IF(L582&gt;pLateDays,1,0))</f>
        <v/>
      </c>
      <c r="X582" s="13">
        <f>IF(Q582&gt;=pHighCutoff,1,0)</f>
        <v/>
      </c>
      <c r="Y582" s="13">
        <f>IF(M582="Returned",1,0)</f>
        <v/>
      </c>
    </row>
    <row r="583">
      <c r="A583" s="13" t="inlineStr">
        <is>
          <t>HC-100581</t>
        </is>
      </c>
      <c r="B583" s="18" t="n">
        <v>45651</v>
      </c>
      <c r="C583" s="13" t="inlineStr">
        <is>
          <t>North</t>
        </is>
      </c>
      <c r="D583" s="13" t="inlineStr">
        <is>
          <t>Online</t>
        </is>
      </c>
      <c r="E583" s="13" t="inlineStr">
        <is>
          <t>Furniture</t>
        </is>
      </c>
      <c r="F583" s="13" t="inlineStr">
        <is>
          <t>Oak Desk</t>
        </is>
      </c>
      <c r="G583" s="13" t="inlineStr">
        <is>
          <t>Consumer</t>
        </is>
      </c>
      <c r="H583" s="13" t="n">
        <v>2</v>
      </c>
      <c r="I583" s="14" t="n">
        <v>813.29</v>
      </c>
      <c r="J583" s="15" t="n">
        <v>0.13</v>
      </c>
      <c r="K583" s="14" t="n">
        <v>504.24</v>
      </c>
      <c r="L583" s="13" t="n">
        <v>2</v>
      </c>
      <c r="M583" s="13" t="inlineStr">
        <is>
          <t>Completed</t>
        </is>
      </c>
      <c r="N583" s="13" t="inlineStr">
        <is>
          <t>P. Rossi</t>
        </is>
      </c>
      <c r="O583" s="13" t="inlineStr">
        <is>
          <t>No</t>
        </is>
      </c>
      <c r="P583" s="14">
        <f>H583*I583</f>
        <v/>
      </c>
      <c r="Q583" s="14">
        <f>P583*(1-J583)</f>
        <v/>
      </c>
      <c r="R583" s="14">
        <f>H583*K583</f>
        <v/>
      </c>
      <c r="S583" s="15">
        <f>IF(Q583=0,"",(Q583-R583)/Q583)</f>
        <v/>
      </c>
      <c r="T583" s="13">
        <f>YEAR(B583)</f>
        <v/>
      </c>
      <c r="U583" s="13">
        <f>YEAR(B583)&amp;"-Q"&amp;ROUNDUP(MONTH(B583)/3,0)</f>
        <v/>
      </c>
      <c r="V583" s="13">
        <f>TEXT(B583,"YYYY-MM")</f>
        <v/>
      </c>
      <c r="W583" s="13">
        <f>IF(L583="","",IF(L583&gt;pLateDays,1,0))</f>
        <v/>
      </c>
      <c r="X583" s="13">
        <f>IF(Q583&gt;=pHighCutoff,1,0)</f>
        <v/>
      </c>
      <c r="Y583" s="13">
        <f>IF(M583="Returned",1,0)</f>
        <v/>
      </c>
    </row>
    <row r="584">
      <c r="A584" s="13" t="inlineStr">
        <is>
          <t>HC-100582</t>
        </is>
      </c>
      <c r="B584" s="18" t="n">
        <v>45433</v>
      </c>
      <c r="C584" s="13" t="inlineStr">
        <is>
          <t>North</t>
        </is>
      </c>
      <c r="D584" s="13" t="inlineStr">
        <is>
          <t>Wholesale</t>
        </is>
      </c>
      <c r="E584" s="13" t="inlineStr">
        <is>
          <t>Lighting</t>
        </is>
      </c>
      <c r="F584" s="13" t="inlineStr">
        <is>
          <t>Brass Sconce</t>
        </is>
      </c>
      <c r="G584" s="13" t="inlineStr">
        <is>
          <t>Consumer</t>
        </is>
      </c>
      <c r="H584" s="13" t="n">
        <v>12</v>
      </c>
      <c r="I584" s="14" t="n">
        <v>133.62</v>
      </c>
      <c r="J584" s="15" t="n">
        <v>0.24</v>
      </c>
      <c r="K584" s="14" t="n">
        <v>61.46</v>
      </c>
      <c r="L584" s="13" t="n">
        <v>4</v>
      </c>
      <c r="M584" s="13" t="inlineStr">
        <is>
          <t>Completed</t>
        </is>
      </c>
      <c r="N584" s="13" t="inlineStr">
        <is>
          <t>R. Ibarra</t>
        </is>
      </c>
      <c r="O584" s="13" t="inlineStr">
        <is>
          <t>No</t>
        </is>
      </c>
      <c r="P584" s="14">
        <f>H584*I584</f>
        <v/>
      </c>
      <c r="Q584" s="14">
        <f>P584*(1-J584)</f>
        <v/>
      </c>
      <c r="R584" s="14">
        <f>H584*K584</f>
        <v/>
      </c>
      <c r="S584" s="15">
        <f>IF(Q584=0,"",(Q584-R584)/Q584)</f>
        <v/>
      </c>
      <c r="T584" s="13">
        <f>YEAR(B584)</f>
        <v/>
      </c>
      <c r="U584" s="13">
        <f>YEAR(B584)&amp;"-Q"&amp;ROUNDUP(MONTH(B584)/3,0)</f>
        <v/>
      </c>
      <c r="V584" s="13">
        <f>TEXT(B584,"YYYY-MM")</f>
        <v/>
      </c>
      <c r="W584" s="13">
        <f>IF(L584="","",IF(L584&gt;pLateDays,1,0))</f>
        <v/>
      </c>
      <c r="X584" s="13">
        <f>IF(Q584&gt;=pHighCutoff,1,0)</f>
        <v/>
      </c>
      <c r="Y584" s="13">
        <f>IF(M584="Returned",1,0)</f>
        <v/>
      </c>
    </row>
    <row r="585">
      <c r="A585" s="13" t="inlineStr">
        <is>
          <t>HC-100583</t>
        </is>
      </c>
      <c r="B585" s="18" t="n">
        <v>45459</v>
      </c>
      <c r="C585" s="13" t="inlineStr">
        <is>
          <t>West</t>
        </is>
      </c>
      <c r="D585" s="13" t="inlineStr">
        <is>
          <t>Store</t>
        </is>
      </c>
      <c r="E585" s="13" t="inlineStr">
        <is>
          <t>Furniture</t>
        </is>
      </c>
      <c r="F585" s="13" t="inlineStr">
        <is>
          <t>Linen Sofa</t>
        </is>
      </c>
      <c r="G585" s="13" t="inlineStr">
        <is>
          <t>Corporate</t>
        </is>
      </c>
      <c r="H585" s="13" t="n">
        <v>1</v>
      </c>
      <c r="I585" s="14" t="n">
        <v>1187.95</v>
      </c>
      <c r="J585" s="15" t="n">
        <v>0.02</v>
      </c>
      <c r="K585" s="14" t="n">
        <v>784.05</v>
      </c>
      <c r="L585" s="13" t="n">
        <v>2</v>
      </c>
      <c r="M585" s="13" t="inlineStr">
        <is>
          <t>Completed</t>
        </is>
      </c>
      <c r="N585" s="13" t="inlineStr">
        <is>
          <t>S. Nguyen</t>
        </is>
      </c>
      <c r="O585" s="13" t="inlineStr">
        <is>
          <t>No</t>
        </is>
      </c>
      <c r="P585" s="14">
        <f>H585*I585</f>
        <v/>
      </c>
      <c r="Q585" s="14">
        <f>P585*(1-J585)</f>
        <v/>
      </c>
      <c r="R585" s="14">
        <f>H585*K585</f>
        <v/>
      </c>
      <c r="S585" s="15">
        <f>IF(Q585=0,"",(Q585-R585)/Q585)</f>
        <v/>
      </c>
      <c r="T585" s="13">
        <f>YEAR(B585)</f>
        <v/>
      </c>
      <c r="U585" s="13">
        <f>YEAR(B585)&amp;"-Q"&amp;ROUNDUP(MONTH(B585)/3,0)</f>
        <v/>
      </c>
      <c r="V585" s="13">
        <f>TEXT(B585,"YYYY-MM")</f>
        <v/>
      </c>
      <c r="W585" s="13">
        <f>IF(L585="","",IF(L585&gt;pLateDays,1,0))</f>
        <v/>
      </c>
      <c r="X585" s="13">
        <f>IF(Q585&gt;=pHighCutoff,1,0)</f>
        <v/>
      </c>
      <c r="Y585" s="13">
        <f>IF(M585="Returned",1,0)</f>
        <v/>
      </c>
    </row>
    <row r="586">
      <c r="A586" s="13" t="inlineStr">
        <is>
          <t>HC-100584</t>
        </is>
      </c>
      <c r="B586" s="18" t="n">
        <v>45543</v>
      </c>
      <c r="C586" s="13" t="inlineStr">
        <is>
          <t>South</t>
        </is>
      </c>
      <c r="D586" s="13" t="inlineStr">
        <is>
          <t>Online</t>
        </is>
      </c>
      <c r="E586" s="13" t="inlineStr">
        <is>
          <t>Furniture</t>
        </is>
      </c>
      <c r="F586" s="13" t="inlineStr">
        <is>
          <t>Linen Sofa</t>
        </is>
      </c>
      <c r="G586" s="13" t="inlineStr">
        <is>
          <t>Consumer</t>
        </is>
      </c>
      <c r="H586" s="13" t="n">
        <v>1</v>
      </c>
      <c r="I586" s="14" t="n">
        <v>1194.69</v>
      </c>
      <c r="J586" s="15" t="n">
        <v>0.08</v>
      </c>
      <c r="K586" s="14" t="n">
        <v>788.5</v>
      </c>
      <c r="L586" s="13" t="n">
        <v>6</v>
      </c>
      <c r="M586" s="13" t="inlineStr">
        <is>
          <t>Completed</t>
        </is>
      </c>
      <c r="N586" s="13" t="inlineStr">
        <is>
          <t>P. Rossi</t>
        </is>
      </c>
      <c r="O586" s="13" t="inlineStr">
        <is>
          <t>No</t>
        </is>
      </c>
      <c r="P586" s="14">
        <f>H586*I586</f>
        <v/>
      </c>
      <c r="Q586" s="14">
        <f>P586*(1-J586)</f>
        <v/>
      </c>
      <c r="R586" s="14">
        <f>H586*K586</f>
        <v/>
      </c>
      <c r="S586" s="15">
        <f>IF(Q586=0,"",(Q586-R586)/Q586)</f>
        <v/>
      </c>
      <c r="T586" s="13">
        <f>YEAR(B586)</f>
        <v/>
      </c>
      <c r="U586" s="13">
        <f>YEAR(B586)&amp;"-Q"&amp;ROUNDUP(MONTH(B586)/3,0)</f>
        <v/>
      </c>
      <c r="V586" s="13">
        <f>TEXT(B586,"YYYY-MM")</f>
        <v/>
      </c>
      <c r="W586" s="13">
        <f>IF(L586="","",IF(L586&gt;pLateDays,1,0))</f>
        <v/>
      </c>
      <c r="X586" s="13">
        <f>IF(Q586&gt;=pHighCutoff,1,0)</f>
        <v/>
      </c>
      <c r="Y586" s="13">
        <f>IF(M586="Returned",1,0)</f>
        <v/>
      </c>
    </row>
    <row r="587">
      <c r="A587" s="13" t="inlineStr">
        <is>
          <t>HC-100585</t>
        </is>
      </c>
      <c r="B587" s="18" t="n">
        <v>45798</v>
      </c>
      <c r="C587" s="13" t="inlineStr">
        <is>
          <t>West</t>
        </is>
      </c>
      <c r="D587" s="13" t="inlineStr">
        <is>
          <t>Wholesale</t>
        </is>
      </c>
      <c r="E587" s="13" t="inlineStr">
        <is>
          <t>Textiles</t>
        </is>
      </c>
      <c r="F587" s="13" t="inlineStr">
        <is>
          <t>Linen Curtain</t>
        </is>
      </c>
      <c r="G587" s="13" t="inlineStr">
        <is>
          <t>Unknown</t>
        </is>
      </c>
      <c r="H587" s="13" t="n">
        <v>35</v>
      </c>
      <c r="I587" s="14" t="n">
        <v>87.44</v>
      </c>
      <c r="J587" s="15" t="n">
        <v>0.3</v>
      </c>
      <c r="K587" s="14" t="n">
        <v>39.35</v>
      </c>
      <c r="L587" s="13" t="n">
        <v>5</v>
      </c>
      <c r="M587" s="13" t="inlineStr">
        <is>
          <t>Completed</t>
        </is>
      </c>
      <c r="N587" s="13" t="inlineStr">
        <is>
          <t>R. Ibarra</t>
        </is>
      </c>
      <c r="O587" s="13" t="inlineStr">
        <is>
          <t>No</t>
        </is>
      </c>
      <c r="P587" s="14">
        <f>H587*I587</f>
        <v/>
      </c>
      <c r="Q587" s="14">
        <f>P587*(1-J587)</f>
        <v/>
      </c>
      <c r="R587" s="14">
        <f>H587*K587</f>
        <v/>
      </c>
      <c r="S587" s="15">
        <f>IF(Q587=0,"",(Q587-R587)/Q587)</f>
        <v/>
      </c>
      <c r="T587" s="13">
        <f>YEAR(B587)</f>
        <v/>
      </c>
      <c r="U587" s="13">
        <f>YEAR(B587)&amp;"-Q"&amp;ROUNDUP(MONTH(B587)/3,0)</f>
        <v/>
      </c>
      <c r="V587" s="13">
        <f>TEXT(B587,"YYYY-MM")</f>
        <v/>
      </c>
      <c r="W587" s="13">
        <f>IF(L587="","",IF(L587&gt;pLateDays,1,0))</f>
        <v/>
      </c>
      <c r="X587" s="13">
        <f>IF(Q587&gt;=pHighCutoff,1,0)</f>
        <v/>
      </c>
      <c r="Y587" s="13">
        <f>IF(M587="Returned",1,0)</f>
        <v/>
      </c>
    </row>
    <row r="588">
      <c r="A588" s="13" t="inlineStr">
        <is>
          <t>HC-100586</t>
        </is>
      </c>
      <c r="B588" s="18" t="n">
        <v>45475</v>
      </c>
      <c r="C588" s="13" t="inlineStr">
        <is>
          <t>North</t>
        </is>
      </c>
      <c r="D588" s="13" t="inlineStr">
        <is>
          <t>Wholesale</t>
        </is>
      </c>
      <c r="E588" s="13" t="inlineStr">
        <is>
          <t>Textiles</t>
        </is>
      </c>
      <c r="F588" s="13" t="inlineStr">
        <is>
          <t>Linen Curtain</t>
        </is>
      </c>
      <c r="G588" s="13" t="inlineStr">
        <is>
          <t>Corporate</t>
        </is>
      </c>
      <c r="H588" s="13" t="n">
        <v>10</v>
      </c>
      <c r="I588" s="14" t="n">
        <v>87.68000000000001</v>
      </c>
      <c r="J588" s="15" t="n">
        <v>0.14</v>
      </c>
      <c r="K588" s="14" t="n">
        <v>39.45</v>
      </c>
      <c r="L588" s="13" t="n">
        <v>4</v>
      </c>
      <c r="M588" s="13" t="inlineStr">
        <is>
          <t>Completed</t>
        </is>
      </c>
      <c r="N588" s="13" t="inlineStr">
        <is>
          <t>S. Nguyen</t>
        </is>
      </c>
      <c r="O588" s="13" t="inlineStr">
        <is>
          <t>No</t>
        </is>
      </c>
      <c r="P588" s="14">
        <f>H588*I588</f>
        <v/>
      </c>
      <c r="Q588" s="14">
        <f>P588*(1-J588)</f>
        <v/>
      </c>
      <c r="R588" s="14">
        <f>H588*K588</f>
        <v/>
      </c>
      <c r="S588" s="15">
        <f>IF(Q588=0,"",(Q588-R588)/Q588)</f>
        <v/>
      </c>
      <c r="T588" s="13">
        <f>YEAR(B588)</f>
        <v/>
      </c>
      <c r="U588" s="13">
        <f>YEAR(B588)&amp;"-Q"&amp;ROUNDUP(MONTH(B588)/3,0)</f>
        <v/>
      </c>
      <c r="V588" s="13">
        <f>TEXT(B588,"YYYY-MM")</f>
        <v/>
      </c>
      <c r="W588" s="13">
        <f>IF(L588="","",IF(L588&gt;pLateDays,1,0))</f>
        <v/>
      </c>
      <c r="X588" s="13">
        <f>IF(Q588&gt;=pHighCutoff,1,0)</f>
        <v/>
      </c>
      <c r="Y588" s="13">
        <f>IF(M588="Returned",1,0)</f>
        <v/>
      </c>
    </row>
    <row r="589">
      <c r="A589" s="13" t="inlineStr">
        <is>
          <t>HC-100587</t>
        </is>
      </c>
      <c r="B589" s="18" t="n">
        <v>45824</v>
      </c>
      <c r="C589" s="13" t="inlineStr">
        <is>
          <t>West</t>
        </is>
      </c>
      <c r="D589" s="13" t="inlineStr">
        <is>
          <t>Online</t>
        </is>
      </c>
      <c r="E589" s="13" t="inlineStr">
        <is>
          <t>Kitchen</t>
        </is>
      </c>
      <c r="F589" s="13" t="inlineStr">
        <is>
          <t>Cast Skillet</t>
        </is>
      </c>
      <c r="G589" s="13" t="inlineStr">
        <is>
          <t>Consumer</t>
        </is>
      </c>
      <c r="H589" s="13" t="n">
        <v>1</v>
      </c>
      <c r="I589" s="14" t="n">
        <v>56.56</v>
      </c>
      <c r="J589" s="15" t="n">
        <v>0.08</v>
      </c>
      <c r="K589" s="14" t="n">
        <v>22.62</v>
      </c>
      <c r="L589" s="13" t="n">
        <v>7</v>
      </c>
      <c r="M589" s="13" t="inlineStr">
        <is>
          <t>Completed</t>
        </is>
      </c>
      <c r="N589" s="13" t="inlineStr">
        <is>
          <t>M. Okonkwo</t>
        </is>
      </c>
      <c r="O589" s="13" t="inlineStr">
        <is>
          <t>No</t>
        </is>
      </c>
      <c r="P589" s="14">
        <f>H589*I589</f>
        <v/>
      </c>
      <c r="Q589" s="14">
        <f>P589*(1-J589)</f>
        <v/>
      </c>
      <c r="R589" s="14">
        <f>H589*K589</f>
        <v/>
      </c>
      <c r="S589" s="15">
        <f>IF(Q589=0,"",(Q589-R589)/Q589)</f>
        <v/>
      </c>
      <c r="T589" s="13">
        <f>YEAR(B589)</f>
        <v/>
      </c>
      <c r="U589" s="13">
        <f>YEAR(B589)&amp;"-Q"&amp;ROUNDUP(MONTH(B589)/3,0)</f>
        <v/>
      </c>
      <c r="V589" s="13">
        <f>TEXT(B589,"YYYY-MM")</f>
        <v/>
      </c>
      <c r="W589" s="13">
        <f>IF(L589="","",IF(L589&gt;pLateDays,1,0))</f>
        <v/>
      </c>
      <c r="X589" s="13">
        <f>IF(Q589&gt;=pHighCutoff,1,0)</f>
        <v/>
      </c>
      <c r="Y589" s="13">
        <f>IF(M589="Returned",1,0)</f>
        <v/>
      </c>
    </row>
    <row r="590">
      <c r="A590" s="13" t="inlineStr">
        <is>
          <t>HC-100588</t>
        </is>
      </c>
      <c r="B590" s="18" t="n">
        <v>45294</v>
      </c>
      <c r="C590" s="13" t="inlineStr">
        <is>
          <t>East</t>
        </is>
      </c>
      <c r="D590" s="13" t="inlineStr">
        <is>
          <t>Online</t>
        </is>
      </c>
      <c r="E590" s="13" t="inlineStr">
        <is>
          <t>Textiles</t>
        </is>
      </c>
      <c r="F590" s="13" t="inlineStr">
        <is>
          <t>Wool Throw</t>
        </is>
      </c>
      <c r="G590" s="13" t="inlineStr">
        <is>
          <t>Consumer</t>
        </is>
      </c>
      <c r="H590" s="13" t="n">
        <v>2</v>
      </c>
      <c r="I590" s="14" t="n">
        <v>67.20999999999999</v>
      </c>
      <c r="J590" s="15" t="n">
        <v>0.17</v>
      </c>
      <c r="K590" s="14" t="n">
        <v>28.23</v>
      </c>
      <c r="L590" s="13" t="n">
        <v>9</v>
      </c>
      <c r="M590" s="13" t="inlineStr">
        <is>
          <t>Returned</t>
        </is>
      </c>
      <c r="N590" s="13" t="inlineStr">
        <is>
          <t>K. Mensah</t>
        </is>
      </c>
      <c r="O590" s="13" t="inlineStr">
        <is>
          <t>No</t>
        </is>
      </c>
      <c r="P590" s="14">
        <f>H590*I590</f>
        <v/>
      </c>
      <c r="Q590" s="14">
        <f>P590*(1-J590)</f>
        <v/>
      </c>
      <c r="R590" s="14">
        <f>H590*K590</f>
        <v/>
      </c>
      <c r="S590" s="15">
        <f>IF(Q590=0,"",(Q590-R590)/Q590)</f>
        <v/>
      </c>
      <c r="T590" s="13">
        <f>YEAR(B590)</f>
        <v/>
      </c>
      <c r="U590" s="13">
        <f>YEAR(B590)&amp;"-Q"&amp;ROUNDUP(MONTH(B590)/3,0)</f>
        <v/>
      </c>
      <c r="V590" s="13">
        <f>TEXT(B590,"YYYY-MM")</f>
        <v/>
      </c>
      <c r="W590" s="13">
        <f>IF(L590="","",IF(L590&gt;pLateDays,1,0))</f>
        <v/>
      </c>
      <c r="X590" s="13">
        <f>IF(Q590&gt;=pHighCutoff,1,0)</f>
        <v/>
      </c>
      <c r="Y590" s="13">
        <f>IF(M590="Returned",1,0)</f>
        <v/>
      </c>
    </row>
    <row r="591">
      <c r="A591" s="13" t="inlineStr">
        <is>
          <t>HC-100589</t>
        </is>
      </c>
      <c r="B591" s="18" t="n">
        <v>45692</v>
      </c>
      <c r="C591" s="13" t="inlineStr">
        <is>
          <t>South</t>
        </is>
      </c>
      <c r="D591" s="13" t="inlineStr">
        <is>
          <t>Store</t>
        </is>
      </c>
      <c r="E591" s="13" t="inlineStr">
        <is>
          <t>Furniture</t>
        </is>
      </c>
      <c r="F591" s="13" t="inlineStr">
        <is>
          <t>Lounge Chair</t>
        </is>
      </c>
      <c r="G591" s="13" t="inlineStr">
        <is>
          <t>Consumer</t>
        </is>
      </c>
      <c r="H591" s="13" t="n">
        <v>3</v>
      </c>
      <c r="I591" s="14" t="n">
        <v>447.77</v>
      </c>
      <c r="J591" s="15" t="n">
        <v>0.09</v>
      </c>
      <c r="K591" s="14" t="n">
        <v>268.66</v>
      </c>
      <c r="L591" s="13" t="n">
        <v>6</v>
      </c>
      <c r="M591" s="13" t="inlineStr">
        <is>
          <t>Completed</t>
        </is>
      </c>
      <c r="N591" s="13" t="inlineStr">
        <is>
          <t>M. Okonkwo</t>
        </is>
      </c>
      <c r="O591" s="13" t="inlineStr">
        <is>
          <t>No</t>
        </is>
      </c>
      <c r="P591" s="14">
        <f>H591*I591</f>
        <v/>
      </c>
      <c r="Q591" s="14">
        <f>P591*(1-J591)</f>
        <v/>
      </c>
      <c r="R591" s="14">
        <f>H591*K591</f>
        <v/>
      </c>
      <c r="S591" s="15">
        <f>IF(Q591=0,"",(Q591-R591)/Q591)</f>
        <v/>
      </c>
      <c r="T591" s="13">
        <f>YEAR(B591)</f>
        <v/>
      </c>
      <c r="U591" s="13">
        <f>YEAR(B591)&amp;"-Q"&amp;ROUNDUP(MONTH(B591)/3,0)</f>
        <v/>
      </c>
      <c r="V591" s="13">
        <f>TEXT(B591,"YYYY-MM")</f>
        <v/>
      </c>
      <c r="W591" s="13">
        <f>IF(L591="","",IF(L591&gt;pLateDays,1,0))</f>
        <v/>
      </c>
      <c r="X591" s="13">
        <f>IF(Q591&gt;=pHighCutoff,1,0)</f>
        <v/>
      </c>
      <c r="Y591" s="13">
        <f>IF(M591="Returned",1,0)</f>
        <v/>
      </c>
    </row>
    <row r="592">
      <c r="A592" s="13" t="inlineStr">
        <is>
          <t>HC-100590</t>
        </is>
      </c>
      <c r="B592" s="18" t="n">
        <v>45618</v>
      </c>
      <c r="C592" s="13" t="inlineStr">
        <is>
          <t>South</t>
        </is>
      </c>
      <c r="D592" s="13" t="inlineStr">
        <is>
          <t>Store</t>
        </is>
      </c>
      <c r="E592" s="13" t="inlineStr">
        <is>
          <t>Furniture</t>
        </is>
      </c>
      <c r="F592" s="13" t="inlineStr">
        <is>
          <t>Lounge Chair</t>
        </is>
      </c>
      <c r="G592" s="13" t="inlineStr">
        <is>
          <t>Consumer</t>
        </is>
      </c>
      <c r="H592" s="13" t="n">
        <v>3</v>
      </c>
      <c r="I592" s="14" t="n">
        <v>513.6900000000001</v>
      </c>
      <c r="J592" s="15" t="n">
        <v>0.07000000000000001</v>
      </c>
      <c r="K592" s="14" t="n">
        <v>308.21</v>
      </c>
      <c r="L592" s="13" t="n">
        <v>4</v>
      </c>
      <c r="M592" s="13" t="inlineStr">
        <is>
          <t>Completed</t>
        </is>
      </c>
      <c r="N592" s="13" t="inlineStr">
        <is>
          <t>A. Shah</t>
        </is>
      </c>
      <c r="O592" s="13" t="inlineStr">
        <is>
          <t>No</t>
        </is>
      </c>
      <c r="P592" s="14">
        <f>H592*I592</f>
        <v/>
      </c>
      <c r="Q592" s="14">
        <f>P592*(1-J592)</f>
        <v/>
      </c>
      <c r="R592" s="14">
        <f>H592*K592</f>
        <v/>
      </c>
      <c r="S592" s="15">
        <f>IF(Q592=0,"",(Q592-R592)/Q592)</f>
        <v/>
      </c>
      <c r="T592" s="13">
        <f>YEAR(B592)</f>
        <v/>
      </c>
      <c r="U592" s="13">
        <f>YEAR(B592)&amp;"-Q"&amp;ROUNDUP(MONTH(B592)/3,0)</f>
        <v/>
      </c>
      <c r="V592" s="13">
        <f>TEXT(B592,"YYYY-MM")</f>
        <v/>
      </c>
      <c r="W592" s="13">
        <f>IF(L592="","",IF(L592&gt;pLateDays,1,0))</f>
        <v/>
      </c>
      <c r="X592" s="13">
        <f>IF(Q592&gt;=pHighCutoff,1,0)</f>
        <v/>
      </c>
      <c r="Y592" s="13">
        <f>IF(M592="Returned",1,0)</f>
        <v/>
      </c>
    </row>
    <row r="593">
      <c r="A593" s="13" t="inlineStr">
        <is>
          <t>HC-100591</t>
        </is>
      </c>
      <c r="B593" s="18" t="n">
        <v>45814</v>
      </c>
      <c r="C593" s="13" t="inlineStr">
        <is>
          <t>East</t>
        </is>
      </c>
      <c r="D593" s="13" t="inlineStr">
        <is>
          <t>Store</t>
        </is>
      </c>
      <c r="E593" s="13" t="inlineStr">
        <is>
          <t>Textiles</t>
        </is>
      </c>
      <c r="F593" s="13" t="inlineStr">
        <is>
          <t>Wool Throw</t>
        </is>
      </c>
      <c r="G593" s="13" t="inlineStr">
        <is>
          <t>Consumer</t>
        </is>
      </c>
      <c r="H593" s="13" t="n">
        <v>1</v>
      </c>
      <c r="I593" s="14" t="n">
        <v>66.76000000000001</v>
      </c>
      <c r="J593" s="15" t="n">
        <v>0.07000000000000001</v>
      </c>
      <c r="K593" s="14" t="n">
        <v>28.04</v>
      </c>
      <c r="L593" s="13" t="n">
        <v>7</v>
      </c>
      <c r="M593" s="13" t="inlineStr">
        <is>
          <t>Completed</t>
        </is>
      </c>
      <c r="N593" s="13" t="inlineStr">
        <is>
          <t>R. Ibarra</t>
        </is>
      </c>
      <c r="O593" s="13" t="inlineStr">
        <is>
          <t>No</t>
        </is>
      </c>
      <c r="P593" s="14">
        <f>H593*I593</f>
        <v/>
      </c>
      <c r="Q593" s="14">
        <f>P593*(1-J593)</f>
        <v/>
      </c>
      <c r="R593" s="14">
        <f>H593*K593</f>
        <v/>
      </c>
      <c r="S593" s="15">
        <f>IF(Q593=0,"",(Q593-R593)/Q593)</f>
        <v/>
      </c>
      <c r="T593" s="13">
        <f>YEAR(B593)</f>
        <v/>
      </c>
      <c r="U593" s="13">
        <f>YEAR(B593)&amp;"-Q"&amp;ROUNDUP(MONTH(B593)/3,0)</f>
        <v/>
      </c>
      <c r="V593" s="13">
        <f>TEXT(B593,"YYYY-MM")</f>
        <v/>
      </c>
      <c r="W593" s="13">
        <f>IF(L593="","",IF(L593&gt;pLateDays,1,0))</f>
        <v/>
      </c>
      <c r="X593" s="13">
        <f>IF(Q593&gt;=pHighCutoff,1,0)</f>
        <v/>
      </c>
      <c r="Y593" s="13">
        <f>IF(M593="Returned",1,0)</f>
        <v/>
      </c>
    </row>
    <row r="594">
      <c r="A594" s="13" t="inlineStr">
        <is>
          <t>HC-100592</t>
        </is>
      </c>
      <c r="B594" s="18" t="n">
        <v>45476</v>
      </c>
      <c r="C594" s="13" t="inlineStr">
        <is>
          <t>North</t>
        </is>
      </c>
      <c r="D594" s="13" t="inlineStr">
        <is>
          <t>Store</t>
        </is>
      </c>
      <c r="E594" s="13" t="inlineStr">
        <is>
          <t>Textiles</t>
        </is>
      </c>
      <c r="F594" s="13" t="inlineStr">
        <is>
          <t>Wool Throw</t>
        </is>
      </c>
      <c r="G594" s="13" t="inlineStr">
        <is>
          <t>Home Office</t>
        </is>
      </c>
      <c r="H594" s="13" t="n">
        <v>4</v>
      </c>
      <c r="I594" s="14" t="n">
        <v>71.34999999999999</v>
      </c>
      <c r="J594" s="15" t="n">
        <v>0.04</v>
      </c>
      <c r="K594" s="14" t="n">
        <v>29.97</v>
      </c>
      <c r="L594" s="13" t="n">
        <v>4</v>
      </c>
      <c r="M594" s="13" t="inlineStr">
        <is>
          <t>Completed</t>
        </is>
      </c>
      <c r="N594" s="13" t="inlineStr">
        <is>
          <t>J. Patel</t>
        </is>
      </c>
      <c r="O594" s="13" t="inlineStr">
        <is>
          <t>No</t>
        </is>
      </c>
      <c r="P594" s="14">
        <f>H594*I594</f>
        <v/>
      </c>
      <c r="Q594" s="14">
        <f>P594*(1-J594)</f>
        <v/>
      </c>
      <c r="R594" s="14">
        <f>H594*K594</f>
        <v/>
      </c>
      <c r="S594" s="15">
        <f>IF(Q594=0,"",(Q594-R594)/Q594)</f>
        <v/>
      </c>
      <c r="T594" s="13">
        <f>YEAR(B594)</f>
        <v/>
      </c>
      <c r="U594" s="13">
        <f>YEAR(B594)&amp;"-Q"&amp;ROUNDUP(MONTH(B594)/3,0)</f>
        <v/>
      </c>
      <c r="V594" s="13">
        <f>TEXT(B594,"YYYY-MM")</f>
        <v/>
      </c>
      <c r="W594" s="13">
        <f>IF(L594="","",IF(L594&gt;pLateDays,1,0))</f>
        <v/>
      </c>
      <c r="X594" s="13">
        <f>IF(Q594&gt;=pHighCutoff,1,0)</f>
        <v/>
      </c>
      <c r="Y594" s="13">
        <f>IF(M594="Returned",1,0)</f>
        <v/>
      </c>
    </row>
    <row r="595">
      <c r="A595" s="13" t="inlineStr">
        <is>
          <t>HC-100593</t>
        </is>
      </c>
      <c r="B595" s="18" t="n">
        <v>45427</v>
      </c>
      <c r="C595" s="13" t="inlineStr">
        <is>
          <t>North</t>
        </is>
      </c>
      <c r="D595" s="13" t="inlineStr">
        <is>
          <t>Online</t>
        </is>
      </c>
      <c r="E595" s="13" t="inlineStr">
        <is>
          <t>Textiles</t>
        </is>
      </c>
      <c r="F595" s="13" t="inlineStr">
        <is>
          <t>Cotton Duvet</t>
        </is>
      </c>
      <c r="G595" s="13" t="inlineStr">
        <is>
          <t>Corporate</t>
        </is>
      </c>
      <c r="H595" s="13" t="n">
        <v>2</v>
      </c>
      <c r="I595" s="14" t="n">
        <v>111.54</v>
      </c>
      <c r="J595" s="15" t="n">
        <v>0.07000000000000001</v>
      </c>
      <c r="K595" s="14" t="n">
        <v>49.08</v>
      </c>
      <c r="L595" s="13" t="n">
        <v>6</v>
      </c>
      <c r="M595" s="13" t="inlineStr">
        <is>
          <t>Completed</t>
        </is>
      </c>
      <c r="N595" s="13" t="inlineStr">
        <is>
          <t>A. Shah</t>
        </is>
      </c>
      <c r="O595" s="13" t="inlineStr">
        <is>
          <t>No</t>
        </is>
      </c>
      <c r="P595" s="14">
        <f>H595*I595</f>
        <v/>
      </c>
      <c r="Q595" s="14">
        <f>P595*(1-J595)</f>
        <v/>
      </c>
      <c r="R595" s="14">
        <f>H595*K595</f>
        <v/>
      </c>
      <c r="S595" s="15">
        <f>IF(Q595=0,"",(Q595-R595)/Q595)</f>
        <v/>
      </c>
      <c r="T595" s="13">
        <f>YEAR(B595)</f>
        <v/>
      </c>
      <c r="U595" s="13">
        <f>YEAR(B595)&amp;"-Q"&amp;ROUNDUP(MONTH(B595)/3,0)</f>
        <v/>
      </c>
      <c r="V595" s="13">
        <f>TEXT(B595,"YYYY-MM")</f>
        <v/>
      </c>
      <c r="W595" s="13">
        <f>IF(L595="","",IF(L595&gt;pLateDays,1,0))</f>
        <v/>
      </c>
      <c r="X595" s="13">
        <f>IF(Q595&gt;=pHighCutoff,1,0)</f>
        <v/>
      </c>
      <c r="Y595" s="13">
        <f>IF(M595="Returned",1,0)</f>
        <v/>
      </c>
    </row>
    <row r="596">
      <c r="A596" s="13" t="inlineStr">
        <is>
          <t>HC-100594</t>
        </is>
      </c>
      <c r="B596" s="18" t="n">
        <v>45889</v>
      </c>
      <c r="C596" s="13" t="inlineStr">
        <is>
          <t>West</t>
        </is>
      </c>
      <c r="D596" s="13" t="inlineStr">
        <is>
          <t>Store</t>
        </is>
      </c>
      <c r="E596" s="13" t="inlineStr">
        <is>
          <t>Furniture</t>
        </is>
      </c>
      <c r="F596" s="13" t="inlineStr">
        <is>
          <t>Lounge Chair</t>
        </is>
      </c>
      <c r="G596" s="13" t="inlineStr">
        <is>
          <t>Corporate</t>
        </is>
      </c>
      <c r="H596" s="13" t="n">
        <v>4</v>
      </c>
      <c r="I596" s="14" t="n">
        <v>511.11</v>
      </c>
      <c r="J596" s="15" t="n">
        <v>0.08</v>
      </c>
      <c r="K596" s="14" t="n">
        <v>306.67</v>
      </c>
      <c r="L596" s="13" t="n">
        <v>8</v>
      </c>
      <c r="M596" s="13" t="inlineStr">
        <is>
          <t>Completed</t>
        </is>
      </c>
      <c r="N596" s="13" t="inlineStr">
        <is>
          <t>J. Patel</t>
        </is>
      </c>
      <c r="O596" s="13" t="inlineStr">
        <is>
          <t>No</t>
        </is>
      </c>
      <c r="P596" s="14">
        <f>H596*I596</f>
        <v/>
      </c>
      <c r="Q596" s="14">
        <f>P596*(1-J596)</f>
        <v/>
      </c>
      <c r="R596" s="14">
        <f>H596*K596</f>
        <v/>
      </c>
      <c r="S596" s="15">
        <f>IF(Q596=0,"",(Q596-R596)/Q596)</f>
        <v/>
      </c>
      <c r="T596" s="13">
        <f>YEAR(B596)</f>
        <v/>
      </c>
      <c r="U596" s="13">
        <f>YEAR(B596)&amp;"-Q"&amp;ROUNDUP(MONTH(B596)/3,0)</f>
        <v/>
      </c>
      <c r="V596" s="13">
        <f>TEXT(B596,"YYYY-MM")</f>
        <v/>
      </c>
      <c r="W596" s="13">
        <f>IF(L596="","",IF(L596&gt;pLateDays,1,0))</f>
        <v/>
      </c>
      <c r="X596" s="13">
        <f>IF(Q596&gt;=pHighCutoff,1,0)</f>
        <v/>
      </c>
      <c r="Y596" s="13">
        <f>IF(M596="Returned",1,0)</f>
        <v/>
      </c>
    </row>
    <row r="597">
      <c r="A597" s="13" t="inlineStr">
        <is>
          <t>HC-100595</t>
        </is>
      </c>
      <c r="B597" s="18" t="n">
        <v>45651</v>
      </c>
      <c r="C597" s="13" t="inlineStr">
        <is>
          <t>West</t>
        </is>
      </c>
      <c r="D597" s="13" t="inlineStr">
        <is>
          <t>Online</t>
        </is>
      </c>
      <c r="E597" s="13" t="inlineStr">
        <is>
          <t>Textiles</t>
        </is>
      </c>
      <c r="F597" s="13" t="inlineStr">
        <is>
          <t>Linen Curtain</t>
        </is>
      </c>
      <c r="G597" s="13" t="inlineStr">
        <is>
          <t>Home Office</t>
        </is>
      </c>
      <c r="H597" s="13" t="n">
        <v>2</v>
      </c>
      <c r="I597" s="14" t="n">
        <v>98.59999999999999</v>
      </c>
      <c r="J597" s="15" t="n">
        <v>0.07000000000000001</v>
      </c>
      <c r="K597" s="14" t="n">
        <v>44.37</v>
      </c>
      <c r="L597" s="13" t="n">
        <v>3</v>
      </c>
      <c r="M597" s="13" t="inlineStr">
        <is>
          <t>Completed</t>
        </is>
      </c>
      <c r="N597" s="13" t="inlineStr">
        <is>
          <t>K. Mensah</t>
        </is>
      </c>
      <c r="O597" s="13" t="inlineStr">
        <is>
          <t>No</t>
        </is>
      </c>
      <c r="P597" s="14">
        <f>H597*I597</f>
        <v/>
      </c>
      <c r="Q597" s="14">
        <f>P597*(1-J597)</f>
        <v/>
      </c>
      <c r="R597" s="14">
        <f>H597*K597</f>
        <v/>
      </c>
      <c r="S597" s="15">
        <f>IF(Q597=0,"",(Q597-R597)/Q597)</f>
        <v/>
      </c>
      <c r="T597" s="13">
        <f>YEAR(B597)</f>
        <v/>
      </c>
      <c r="U597" s="13">
        <f>YEAR(B597)&amp;"-Q"&amp;ROUNDUP(MONTH(B597)/3,0)</f>
        <v/>
      </c>
      <c r="V597" s="13">
        <f>TEXT(B597,"YYYY-MM")</f>
        <v/>
      </c>
      <c r="W597" s="13">
        <f>IF(L597="","",IF(L597&gt;pLateDays,1,0))</f>
        <v/>
      </c>
      <c r="X597" s="13">
        <f>IF(Q597&gt;=pHighCutoff,1,0)</f>
        <v/>
      </c>
      <c r="Y597" s="13">
        <f>IF(M597="Returned",1,0)</f>
        <v/>
      </c>
    </row>
    <row r="598">
      <c r="A598" s="13" t="inlineStr">
        <is>
          <t>HC-100596</t>
        </is>
      </c>
      <c r="B598" s="18" t="n">
        <v>45863</v>
      </c>
      <c r="C598" s="13" t="inlineStr">
        <is>
          <t>North</t>
        </is>
      </c>
      <c r="D598" s="13" t="inlineStr">
        <is>
          <t>Store</t>
        </is>
      </c>
      <c r="E598" s="13" t="inlineStr">
        <is>
          <t>Furniture</t>
        </is>
      </c>
      <c r="F598" s="13" t="inlineStr">
        <is>
          <t>Lounge Chair</t>
        </is>
      </c>
      <c r="G598" s="13" t="inlineStr">
        <is>
          <t>Consumer</t>
        </is>
      </c>
      <c r="H598" s="13" t="n">
        <v>2</v>
      </c>
      <c r="I598" s="14" t="n">
        <v>500.03</v>
      </c>
      <c r="J598" s="15" t="n">
        <v>0.02</v>
      </c>
      <c r="K598" s="14" t="n">
        <v>300.02</v>
      </c>
      <c r="L598" s="13" t="n">
        <v>7</v>
      </c>
      <c r="M598" s="13" t="inlineStr">
        <is>
          <t>Completed</t>
        </is>
      </c>
      <c r="N598" s="13" t="inlineStr">
        <is>
          <t>A. Shah</t>
        </is>
      </c>
      <c r="O598" s="13" t="inlineStr">
        <is>
          <t>No</t>
        </is>
      </c>
      <c r="P598" s="14">
        <f>H598*I598</f>
        <v/>
      </c>
      <c r="Q598" s="14">
        <f>P598*(1-J598)</f>
        <v/>
      </c>
      <c r="R598" s="14">
        <f>H598*K598</f>
        <v/>
      </c>
      <c r="S598" s="15">
        <f>IF(Q598=0,"",(Q598-R598)/Q598)</f>
        <v/>
      </c>
      <c r="T598" s="13">
        <f>YEAR(B598)</f>
        <v/>
      </c>
      <c r="U598" s="13">
        <f>YEAR(B598)&amp;"-Q"&amp;ROUNDUP(MONTH(B598)/3,0)</f>
        <v/>
      </c>
      <c r="V598" s="13">
        <f>TEXT(B598,"YYYY-MM")</f>
        <v/>
      </c>
      <c r="W598" s="13">
        <f>IF(L598="","",IF(L598&gt;pLateDays,1,0))</f>
        <v/>
      </c>
      <c r="X598" s="13">
        <f>IF(Q598&gt;=pHighCutoff,1,0)</f>
        <v/>
      </c>
      <c r="Y598" s="13">
        <f>IF(M598="Returned",1,0)</f>
        <v/>
      </c>
    </row>
    <row r="599">
      <c r="A599" s="13" t="inlineStr">
        <is>
          <t>HC-100597</t>
        </is>
      </c>
      <c r="B599" s="18" t="n">
        <v>45370</v>
      </c>
      <c r="C599" s="13" t="inlineStr">
        <is>
          <t>South</t>
        </is>
      </c>
      <c r="D599" s="13" t="inlineStr">
        <is>
          <t>Wholesale</t>
        </is>
      </c>
      <c r="E599" s="13" t="inlineStr">
        <is>
          <t>Furniture</t>
        </is>
      </c>
      <c r="F599" s="13" t="inlineStr">
        <is>
          <t>Walnut Shelf</t>
        </is>
      </c>
      <c r="G599" s="13" t="inlineStr">
        <is>
          <t>Consumer</t>
        </is>
      </c>
      <c r="H599" s="13" t="n">
        <v>22</v>
      </c>
      <c r="I599" s="14" t="n">
        <v>223.77</v>
      </c>
      <c r="J599" s="15" t="n">
        <v>0.15</v>
      </c>
      <c r="K599" s="14" t="n">
        <v>123.07</v>
      </c>
      <c r="L599" s="13" t="n">
        <v>7</v>
      </c>
      <c r="M599" s="13" t="inlineStr">
        <is>
          <t>Completed</t>
        </is>
      </c>
      <c r="N599" s="13" t="inlineStr">
        <is>
          <t>J. Patel</t>
        </is>
      </c>
      <c r="O599" s="13" t="inlineStr">
        <is>
          <t>No</t>
        </is>
      </c>
      <c r="P599" s="14">
        <f>H599*I599</f>
        <v/>
      </c>
      <c r="Q599" s="14">
        <f>P599*(1-J599)</f>
        <v/>
      </c>
      <c r="R599" s="14">
        <f>H599*K599</f>
        <v/>
      </c>
      <c r="S599" s="15">
        <f>IF(Q599=0,"",(Q599-R599)/Q599)</f>
        <v/>
      </c>
      <c r="T599" s="13">
        <f>YEAR(B599)</f>
        <v/>
      </c>
      <c r="U599" s="13">
        <f>YEAR(B599)&amp;"-Q"&amp;ROUNDUP(MONTH(B599)/3,0)</f>
        <v/>
      </c>
      <c r="V599" s="13">
        <f>TEXT(B599,"YYYY-MM")</f>
        <v/>
      </c>
      <c r="W599" s="13">
        <f>IF(L599="","",IF(L599&gt;pLateDays,1,0))</f>
        <v/>
      </c>
      <c r="X599" s="13">
        <f>IF(Q599&gt;=pHighCutoff,1,0)</f>
        <v/>
      </c>
      <c r="Y599" s="13">
        <f>IF(M599="Returned",1,0)</f>
        <v/>
      </c>
    </row>
    <row r="600">
      <c r="A600" s="13" t="inlineStr">
        <is>
          <t>HC-100598</t>
        </is>
      </c>
      <c r="B600" s="18" t="n">
        <v>45748</v>
      </c>
      <c r="C600" s="13" t="inlineStr">
        <is>
          <t>North</t>
        </is>
      </c>
      <c r="D600" s="13" t="inlineStr">
        <is>
          <t>Online</t>
        </is>
      </c>
      <c r="E600" s="13" t="inlineStr">
        <is>
          <t>Furniture</t>
        </is>
      </c>
      <c r="F600" s="13" t="inlineStr">
        <is>
          <t>Linen Sofa</t>
        </is>
      </c>
      <c r="G600" s="13" t="inlineStr">
        <is>
          <t>Corporate</t>
        </is>
      </c>
      <c r="H600" s="13" t="n">
        <v>3</v>
      </c>
      <c r="I600" s="14" t="n">
        <v>1208.27</v>
      </c>
      <c r="J600" s="15" t="n">
        <v>0.17</v>
      </c>
      <c r="K600" s="14" t="n">
        <v>797.46</v>
      </c>
      <c r="L600" s="13" t="n">
        <v>5</v>
      </c>
      <c r="M600" s="13" t="inlineStr">
        <is>
          <t>Completed</t>
        </is>
      </c>
      <c r="N600" s="13" t="inlineStr">
        <is>
          <t>S. Nguyen</t>
        </is>
      </c>
      <c r="O600" s="13" t="inlineStr">
        <is>
          <t>No</t>
        </is>
      </c>
      <c r="P600" s="14">
        <f>H600*I600</f>
        <v/>
      </c>
      <c r="Q600" s="14">
        <f>P600*(1-J600)</f>
        <v/>
      </c>
      <c r="R600" s="14">
        <f>H600*K600</f>
        <v/>
      </c>
      <c r="S600" s="15">
        <f>IF(Q600=0,"",(Q600-R600)/Q600)</f>
        <v/>
      </c>
      <c r="T600" s="13">
        <f>YEAR(B600)</f>
        <v/>
      </c>
      <c r="U600" s="13">
        <f>YEAR(B600)&amp;"-Q"&amp;ROUNDUP(MONTH(B600)/3,0)</f>
        <v/>
      </c>
      <c r="V600" s="13">
        <f>TEXT(B600,"YYYY-MM")</f>
        <v/>
      </c>
      <c r="W600" s="13">
        <f>IF(L600="","",IF(L600&gt;pLateDays,1,0))</f>
        <v/>
      </c>
      <c r="X600" s="13">
        <f>IF(Q600&gt;=pHighCutoff,1,0)</f>
        <v/>
      </c>
      <c r="Y600" s="13">
        <f>IF(M600="Returned",1,0)</f>
        <v/>
      </c>
    </row>
    <row r="601">
      <c r="A601" s="13" t="inlineStr">
        <is>
          <t>HC-100599</t>
        </is>
      </c>
      <c r="B601" s="18" t="n">
        <v>45512</v>
      </c>
      <c r="C601" s="13" t="inlineStr">
        <is>
          <t>East</t>
        </is>
      </c>
      <c r="D601" s="13" t="inlineStr">
        <is>
          <t>Store</t>
        </is>
      </c>
      <c r="E601" s="13" t="inlineStr">
        <is>
          <t>Textiles</t>
        </is>
      </c>
      <c r="F601" s="13" t="inlineStr">
        <is>
          <t>Wool Throw</t>
        </is>
      </c>
      <c r="G601" s="13" t="inlineStr">
        <is>
          <t>Consumer</t>
        </is>
      </c>
      <c r="H601" s="13" t="n">
        <v>2</v>
      </c>
      <c r="I601" s="14" t="n">
        <v>64.89</v>
      </c>
      <c r="J601" s="15" t="n">
        <v>0.02</v>
      </c>
      <c r="K601" s="14" t="n">
        <v>27.25</v>
      </c>
      <c r="L601" s="13" t="n">
        <v>6</v>
      </c>
      <c r="M601" s="13" t="inlineStr">
        <is>
          <t>Completed</t>
        </is>
      </c>
      <c r="N601" s="13" t="inlineStr">
        <is>
          <t>S. Nguyen</t>
        </is>
      </c>
      <c r="O601" s="13" t="inlineStr">
        <is>
          <t>No</t>
        </is>
      </c>
      <c r="P601" s="14">
        <f>H601*I601</f>
        <v/>
      </c>
      <c r="Q601" s="14">
        <f>P601*(1-J601)</f>
        <v/>
      </c>
      <c r="R601" s="14">
        <f>H601*K601</f>
        <v/>
      </c>
      <c r="S601" s="15">
        <f>IF(Q601=0,"",(Q601-R601)/Q601)</f>
        <v/>
      </c>
      <c r="T601" s="13">
        <f>YEAR(B601)</f>
        <v/>
      </c>
      <c r="U601" s="13">
        <f>YEAR(B601)&amp;"-Q"&amp;ROUNDUP(MONTH(B601)/3,0)</f>
        <v/>
      </c>
      <c r="V601" s="13">
        <f>TEXT(B601,"YYYY-MM")</f>
        <v/>
      </c>
      <c r="W601" s="13">
        <f>IF(L601="","",IF(L601&gt;pLateDays,1,0))</f>
        <v/>
      </c>
      <c r="X601" s="13">
        <f>IF(Q601&gt;=pHighCutoff,1,0)</f>
        <v/>
      </c>
      <c r="Y601" s="13">
        <f>IF(M601="Returned",1,0)</f>
        <v/>
      </c>
    </row>
    <row r="602">
      <c r="A602" s="13" t="inlineStr">
        <is>
          <t>HC-100600</t>
        </is>
      </c>
      <c r="B602" s="18" t="n">
        <v>45382</v>
      </c>
      <c r="C602" s="13" t="inlineStr">
        <is>
          <t>North</t>
        </is>
      </c>
      <c r="D602" s="13" t="inlineStr">
        <is>
          <t>Wholesale</t>
        </is>
      </c>
      <c r="E602" s="13" t="inlineStr">
        <is>
          <t>Textiles</t>
        </is>
      </c>
      <c r="F602" s="13" t="inlineStr">
        <is>
          <t>Linen Curtain</t>
        </is>
      </c>
      <c r="G602" s="13" t="inlineStr">
        <is>
          <t>Home Office</t>
        </is>
      </c>
      <c r="H602" s="13" t="n">
        <v>35</v>
      </c>
      <c r="I602" s="14" t="n">
        <v>101.76</v>
      </c>
      <c r="J602" s="15" t="n">
        <v>0.18</v>
      </c>
      <c r="K602" s="14" t="n">
        <v>45.79</v>
      </c>
      <c r="L602" s="13" t="n">
        <v>4</v>
      </c>
      <c r="M602" s="13" t="inlineStr">
        <is>
          <t>Completed</t>
        </is>
      </c>
      <c r="N602" s="13" t="inlineStr">
        <is>
          <t>J. Patel</t>
        </is>
      </c>
      <c r="O602" s="13" t="inlineStr">
        <is>
          <t>No</t>
        </is>
      </c>
      <c r="P602" s="14">
        <f>H602*I602</f>
        <v/>
      </c>
      <c r="Q602" s="14">
        <f>P602*(1-J602)</f>
        <v/>
      </c>
      <c r="R602" s="14">
        <f>H602*K602</f>
        <v/>
      </c>
      <c r="S602" s="15">
        <f>IF(Q602=0,"",(Q602-R602)/Q602)</f>
        <v/>
      </c>
      <c r="T602" s="13">
        <f>YEAR(B602)</f>
        <v/>
      </c>
      <c r="U602" s="13">
        <f>YEAR(B602)&amp;"-Q"&amp;ROUNDUP(MONTH(B602)/3,0)</f>
        <v/>
      </c>
      <c r="V602" s="13">
        <f>TEXT(B602,"YYYY-MM")</f>
        <v/>
      </c>
      <c r="W602" s="13">
        <f>IF(L602="","",IF(L602&gt;pLateDays,1,0))</f>
        <v/>
      </c>
      <c r="X602" s="13">
        <f>IF(Q602&gt;=pHighCutoff,1,0)</f>
        <v/>
      </c>
      <c r="Y602" s="13">
        <f>IF(M602="Returned",1,0)</f>
        <v/>
      </c>
    </row>
    <row r="603">
      <c r="A603" s="13" t="inlineStr">
        <is>
          <t>HC-100601</t>
        </is>
      </c>
      <c r="B603" s="18" t="n">
        <v>45400</v>
      </c>
      <c r="C603" s="13" t="inlineStr">
        <is>
          <t>North</t>
        </is>
      </c>
      <c r="D603" s="13" t="inlineStr">
        <is>
          <t>Wholesale</t>
        </is>
      </c>
      <c r="E603" s="13" t="inlineStr">
        <is>
          <t>Kitchen</t>
        </is>
      </c>
      <c r="F603" s="13" t="inlineStr">
        <is>
          <t>Chef Knife</t>
        </is>
      </c>
      <c r="G603" s="13" t="inlineStr">
        <is>
          <t>Consumer</t>
        </is>
      </c>
      <c r="H603" s="13" t="n">
        <v>11</v>
      </c>
      <c r="I603" s="14" t="n">
        <v>62.79</v>
      </c>
      <c r="J603" s="15" t="n">
        <v>0.18</v>
      </c>
      <c r="K603" s="14" t="n">
        <v>22.6</v>
      </c>
      <c r="L603" s="13" t="n">
        <v>3</v>
      </c>
      <c r="M603" s="13" t="inlineStr">
        <is>
          <t>Completed</t>
        </is>
      </c>
      <c r="N603" s="13" t="inlineStr">
        <is>
          <t>M. Okonkwo</t>
        </is>
      </c>
      <c r="O603" s="13" t="inlineStr">
        <is>
          <t>No</t>
        </is>
      </c>
      <c r="P603" s="14">
        <f>H603*I603</f>
        <v/>
      </c>
      <c r="Q603" s="14">
        <f>P603*(1-J603)</f>
        <v/>
      </c>
      <c r="R603" s="14">
        <f>H603*K603</f>
        <v/>
      </c>
      <c r="S603" s="15">
        <f>IF(Q603=0,"",(Q603-R603)/Q603)</f>
        <v/>
      </c>
      <c r="T603" s="13">
        <f>YEAR(B603)</f>
        <v/>
      </c>
      <c r="U603" s="13">
        <f>YEAR(B603)&amp;"-Q"&amp;ROUNDUP(MONTH(B603)/3,0)</f>
        <v/>
      </c>
      <c r="V603" s="13">
        <f>TEXT(B603,"YYYY-MM")</f>
        <v/>
      </c>
      <c r="W603" s="13">
        <f>IF(L603="","",IF(L603&gt;pLateDays,1,0))</f>
        <v/>
      </c>
      <c r="X603" s="13">
        <f>IF(Q603&gt;=pHighCutoff,1,0)</f>
        <v/>
      </c>
      <c r="Y603" s="13">
        <f>IF(M603="Returned",1,0)</f>
        <v/>
      </c>
    </row>
    <row r="604">
      <c r="A604" s="13" t="inlineStr">
        <is>
          <t>HC-100602</t>
        </is>
      </c>
      <c r="B604" s="18" t="n">
        <v>45724</v>
      </c>
      <c r="C604" s="13" t="inlineStr">
        <is>
          <t>South</t>
        </is>
      </c>
      <c r="D604" s="13" t="inlineStr">
        <is>
          <t>Store</t>
        </is>
      </c>
      <c r="E604" s="13" t="inlineStr">
        <is>
          <t>Furniture</t>
        </is>
      </c>
      <c r="F604" s="13" t="inlineStr">
        <is>
          <t>Oak Desk</t>
        </is>
      </c>
      <c r="G604" s="13" t="inlineStr">
        <is>
          <t>Consumer</t>
        </is>
      </c>
      <c r="H604" s="13" t="n">
        <v>2</v>
      </c>
      <c r="I604" s="14" t="n">
        <v>875.89</v>
      </c>
      <c r="J604" s="15" t="n">
        <v>0.06</v>
      </c>
      <c r="K604" s="14" t="n">
        <v>543.05</v>
      </c>
      <c r="L604" s="13" t="n">
        <v>3</v>
      </c>
      <c r="M604" s="13" t="inlineStr">
        <is>
          <t>Completed</t>
        </is>
      </c>
      <c r="N604" s="13" t="inlineStr">
        <is>
          <t>A. Shah</t>
        </is>
      </c>
      <c r="O604" s="13" t="inlineStr">
        <is>
          <t>No</t>
        </is>
      </c>
      <c r="P604" s="14">
        <f>H604*I604</f>
        <v/>
      </c>
      <c r="Q604" s="14">
        <f>P604*(1-J604)</f>
        <v/>
      </c>
      <c r="R604" s="14">
        <f>H604*K604</f>
        <v/>
      </c>
      <c r="S604" s="15">
        <f>IF(Q604=0,"",(Q604-R604)/Q604)</f>
        <v/>
      </c>
      <c r="T604" s="13">
        <f>YEAR(B604)</f>
        <v/>
      </c>
      <c r="U604" s="13">
        <f>YEAR(B604)&amp;"-Q"&amp;ROUNDUP(MONTH(B604)/3,0)</f>
        <v/>
      </c>
      <c r="V604" s="13">
        <f>TEXT(B604,"YYYY-MM")</f>
        <v/>
      </c>
      <c r="W604" s="13">
        <f>IF(L604="","",IF(L604&gt;pLateDays,1,0))</f>
        <v/>
      </c>
      <c r="X604" s="13">
        <f>IF(Q604&gt;=pHighCutoff,1,0)</f>
        <v/>
      </c>
      <c r="Y604" s="13">
        <f>IF(M604="Returned",1,0)</f>
        <v/>
      </c>
    </row>
    <row r="605">
      <c r="A605" s="13" t="inlineStr">
        <is>
          <t>HC-100603</t>
        </is>
      </c>
      <c r="B605" s="18" t="n">
        <v>45319</v>
      </c>
      <c r="C605" s="13" t="inlineStr">
        <is>
          <t>East</t>
        </is>
      </c>
      <c r="D605" s="13" t="inlineStr">
        <is>
          <t>Wholesale</t>
        </is>
      </c>
      <c r="E605" s="13" t="inlineStr">
        <is>
          <t>Furniture</t>
        </is>
      </c>
      <c r="F605" s="13" t="inlineStr">
        <is>
          <t>Oak Desk</t>
        </is>
      </c>
      <c r="G605" s="13" t="inlineStr">
        <is>
          <t>Consumer</t>
        </is>
      </c>
      <c r="H605" s="13" t="n">
        <v>21</v>
      </c>
      <c r="I605" s="14" t="n">
        <v>808.3</v>
      </c>
      <c r="J605" s="15" t="n">
        <v>0.25</v>
      </c>
      <c r="K605" s="14" t="n">
        <v>501.15</v>
      </c>
      <c r="L605" s="13" t="n">
        <v>6</v>
      </c>
      <c r="M605" s="13" t="inlineStr">
        <is>
          <t>Completed</t>
        </is>
      </c>
      <c r="N605" s="13" t="inlineStr">
        <is>
          <t>S. Nguyen</t>
        </is>
      </c>
      <c r="O605" s="13" t="inlineStr">
        <is>
          <t>No</t>
        </is>
      </c>
      <c r="P605" s="14">
        <f>H605*I605</f>
        <v/>
      </c>
      <c r="Q605" s="14">
        <f>P605*(1-J605)</f>
        <v/>
      </c>
      <c r="R605" s="14">
        <f>H605*K605</f>
        <v/>
      </c>
      <c r="S605" s="15">
        <f>IF(Q605=0,"",(Q605-R605)/Q605)</f>
        <v/>
      </c>
      <c r="T605" s="13">
        <f>YEAR(B605)</f>
        <v/>
      </c>
      <c r="U605" s="13">
        <f>YEAR(B605)&amp;"-Q"&amp;ROUNDUP(MONTH(B605)/3,0)</f>
        <v/>
      </c>
      <c r="V605" s="13">
        <f>TEXT(B605,"YYYY-MM")</f>
        <v/>
      </c>
      <c r="W605" s="13">
        <f>IF(L605="","",IF(L605&gt;pLateDays,1,0))</f>
        <v/>
      </c>
      <c r="X605" s="13">
        <f>IF(Q605&gt;=pHighCutoff,1,0)</f>
        <v/>
      </c>
      <c r="Y605" s="13">
        <f>IF(M605="Returned",1,0)</f>
        <v/>
      </c>
    </row>
    <row r="606">
      <c r="A606" s="13" t="inlineStr">
        <is>
          <t>HC-100604</t>
        </is>
      </c>
      <c r="B606" s="18" t="n">
        <v>45471</v>
      </c>
      <c r="C606" s="13" t="inlineStr">
        <is>
          <t>South</t>
        </is>
      </c>
      <c r="D606" s="13" t="inlineStr">
        <is>
          <t>Wholesale</t>
        </is>
      </c>
      <c r="E606" s="13" t="inlineStr">
        <is>
          <t>Kitchen</t>
        </is>
      </c>
      <c r="F606" s="13" t="inlineStr">
        <is>
          <t>Cast Skillet</t>
        </is>
      </c>
      <c r="G606" s="13" t="inlineStr">
        <is>
          <t>Corporate</t>
        </is>
      </c>
      <c r="H606" s="13" t="n">
        <v>16</v>
      </c>
      <c r="I606" s="14" t="n">
        <v>51.34</v>
      </c>
      <c r="J606" s="15" t="n">
        <v>0.23</v>
      </c>
      <c r="K606" s="14" t="n">
        <v>20.54</v>
      </c>
      <c r="L606" s="13" t="n">
        <v>5</v>
      </c>
      <c r="M606" s="13" t="inlineStr">
        <is>
          <t>Completed</t>
        </is>
      </c>
      <c r="N606" s="13" t="inlineStr">
        <is>
          <t>S. Nguyen</t>
        </is>
      </c>
      <c r="O606" s="13" t="inlineStr">
        <is>
          <t>No</t>
        </is>
      </c>
      <c r="P606" s="14">
        <f>H606*I606</f>
        <v/>
      </c>
      <c r="Q606" s="14">
        <f>P606*(1-J606)</f>
        <v/>
      </c>
      <c r="R606" s="14">
        <f>H606*K606</f>
        <v/>
      </c>
      <c r="S606" s="15">
        <f>IF(Q606=0,"",(Q606-R606)/Q606)</f>
        <v/>
      </c>
      <c r="T606" s="13">
        <f>YEAR(B606)</f>
        <v/>
      </c>
      <c r="U606" s="13">
        <f>YEAR(B606)&amp;"-Q"&amp;ROUNDUP(MONTH(B606)/3,0)</f>
        <v/>
      </c>
      <c r="V606" s="13">
        <f>TEXT(B606,"YYYY-MM")</f>
        <v/>
      </c>
      <c r="W606" s="13">
        <f>IF(L606="","",IF(L606&gt;pLateDays,1,0))</f>
        <v/>
      </c>
      <c r="X606" s="13">
        <f>IF(Q606&gt;=pHighCutoff,1,0)</f>
        <v/>
      </c>
      <c r="Y606" s="13">
        <f>IF(M606="Returned",1,0)</f>
        <v/>
      </c>
    </row>
    <row r="607">
      <c r="A607" s="13" t="inlineStr">
        <is>
          <t>HC-100605</t>
        </is>
      </c>
      <c r="B607" s="18" t="n">
        <v>45493</v>
      </c>
      <c r="C607" s="13" t="inlineStr">
        <is>
          <t>West</t>
        </is>
      </c>
      <c r="D607" s="13" t="inlineStr">
        <is>
          <t>Store</t>
        </is>
      </c>
      <c r="E607" s="13" t="inlineStr">
        <is>
          <t>Lighting</t>
        </is>
      </c>
      <c r="F607" s="13" t="inlineStr">
        <is>
          <t>Arc Lamp</t>
        </is>
      </c>
      <c r="G607" s="13" t="inlineStr">
        <is>
          <t>Consumer</t>
        </is>
      </c>
      <c r="H607" s="13" t="n">
        <v>1</v>
      </c>
      <c r="I607" s="14" t="n">
        <v>305.61</v>
      </c>
      <c r="J607" s="15" t="n">
        <v>0.07000000000000001</v>
      </c>
      <c r="K607" s="14" t="n">
        <v>146.69</v>
      </c>
      <c r="L607" s="13" t="n">
        <v>3</v>
      </c>
      <c r="M607" s="13" t="inlineStr">
        <is>
          <t>Completed</t>
        </is>
      </c>
      <c r="N607" s="13" t="inlineStr">
        <is>
          <t>J. Patel</t>
        </is>
      </c>
      <c r="O607" s="13" t="inlineStr">
        <is>
          <t>No</t>
        </is>
      </c>
      <c r="P607" s="14">
        <f>H607*I607</f>
        <v/>
      </c>
      <c r="Q607" s="14">
        <f>P607*(1-J607)</f>
        <v/>
      </c>
      <c r="R607" s="14">
        <f>H607*K607</f>
        <v/>
      </c>
      <c r="S607" s="15">
        <f>IF(Q607=0,"",(Q607-R607)/Q607)</f>
        <v/>
      </c>
      <c r="T607" s="13">
        <f>YEAR(B607)</f>
        <v/>
      </c>
      <c r="U607" s="13">
        <f>YEAR(B607)&amp;"-Q"&amp;ROUNDUP(MONTH(B607)/3,0)</f>
        <v/>
      </c>
      <c r="V607" s="13">
        <f>TEXT(B607,"YYYY-MM")</f>
        <v/>
      </c>
      <c r="W607" s="13">
        <f>IF(L607="","",IF(L607&gt;pLateDays,1,0))</f>
        <v/>
      </c>
      <c r="X607" s="13">
        <f>IF(Q607&gt;=pHighCutoff,1,0)</f>
        <v/>
      </c>
      <c r="Y607" s="13">
        <f>IF(M607="Returned",1,0)</f>
        <v/>
      </c>
    </row>
    <row r="608">
      <c r="A608" s="13" t="inlineStr">
        <is>
          <t>HC-100606</t>
        </is>
      </c>
      <c r="B608" s="18" t="n">
        <v>45665</v>
      </c>
      <c r="C608" s="13" t="inlineStr">
        <is>
          <t>North</t>
        </is>
      </c>
      <c r="D608" s="13" t="inlineStr">
        <is>
          <t>Online</t>
        </is>
      </c>
      <c r="E608" s="13" t="inlineStr">
        <is>
          <t>Textiles</t>
        </is>
      </c>
      <c r="F608" s="13" t="inlineStr">
        <is>
          <t>Wool Throw</t>
        </is>
      </c>
      <c r="G608" s="13" t="inlineStr">
        <is>
          <t>Home Office</t>
        </is>
      </c>
      <c r="H608" s="13" t="n">
        <v>1</v>
      </c>
      <c r="I608" s="14" t="n">
        <v>71.89</v>
      </c>
      <c r="J608" s="15" t="n">
        <v>0.16</v>
      </c>
      <c r="K608" s="14" t="n">
        <v>30.2</v>
      </c>
      <c r="L608" s="13" t="n">
        <v>3</v>
      </c>
      <c r="M608" s="13" t="inlineStr">
        <is>
          <t>Completed</t>
        </is>
      </c>
      <c r="N608" s="13" t="inlineStr">
        <is>
          <t>S. Nguyen</t>
        </is>
      </c>
      <c r="O608" s="13" t="inlineStr">
        <is>
          <t>No</t>
        </is>
      </c>
      <c r="P608" s="14">
        <f>H608*I608</f>
        <v/>
      </c>
      <c r="Q608" s="14">
        <f>P608*(1-J608)</f>
        <v/>
      </c>
      <c r="R608" s="14">
        <f>H608*K608</f>
        <v/>
      </c>
      <c r="S608" s="15">
        <f>IF(Q608=0,"",(Q608-R608)/Q608)</f>
        <v/>
      </c>
      <c r="T608" s="13">
        <f>YEAR(B608)</f>
        <v/>
      </c>
      <c r="U608" s="13">
        <f>YEAR(B608)&amp;"-Q"&amp;ROUNDUP(MONTH(B608)/3,0)</f>
        <v/>
      </c>
      <c r="V608" s="13">
        <f>TEXT(B608,"YYYY-MM")</f>
        <v/>
      </c>
      <c r="W608" s="13">
        <f>IF(L608="","",IF(L608&gt;pLateDays,1,0))</f>
        <v/>
      </c>
      <c r="X608" s="13">
        <f>IF(Q608&gt;=pHighCutoff,1,0)</f>
        <v/>
      </c>
      <c r="Y608" s="13">
        <f>IF(M608="Returned",1,0)</f>
        <v/>
      </c>
    </row>
    <row r="609">
      <c r="A609" s="13" t="inlineStr">
        <is>
          <t>HC-100607</t>
        </is>
      </c>
      <c r="B609" s="18" t="n">
        <v>45714</v>
      </c>
      <c r="C609" s="13" t="inlineStr">
        <is>
          <t>South</t>
        </is>
      </c>
      <c r="D609" s="13" t="inlineStr">
        <is>
          <t>Store</t>
        </is>
      </c>
      <c r="E609" s="13" t="inlineStr">
        <is>
          <t>Textiles</t>
        </is>
      </c>
      <c r="F609" s="13" t="inlineStr">
        <is>
          <t>Wool Throw</t>
        </is>
      </c>
      <c r="G609" s="13" t="inlineStr">
        <is>
          <t>Consumer</t>
        </is>
      </c>
      <c r="H609" s="13" t="n">
        <v>2</v>
      </c>
      <c r="I609" s="14" t="n">
        <v>80.03</v>
      </c>
      <c r="J609" s="15" t="n">
        <v>0.1</v>
      </c>
      <c r="K609" s="14" t="n">
        <v>33.61</v>
      </c>
      <c r="L609" s="13" t="n">
        <v>7</v>
      </c>
      <c r="M609" s="13" t="inlineStr">
        <is>
          <t>Returned</t>
        </is>
      </c>
      <c r="N609" s="13" t="inlineStr">
        <is>
          <t>J. Patel</t>
        </is>
      </c>
      <c r="O609" s="13" t="inlineStr">
        <is>
          <t>No</t>
        </is>
      </c>
      <c r="P609" s="14">
        <f>H609*I609</f>
        <v/>
      </c>
      <c r="Q609" s="14">
        <f>P609*(1-J609)</f>
        <v/>
      </c>
      <c r="R609" s="14">
        <f>H609*K609</f>
        <v/>
      </c>
      <c r="S609" s="15">
        <f>IF(Q609=0,"",(Q609-R609)/Q609)</f>
        <v/>
      </c>
      <c r="T609" s="13">
        <f>YEAR(B609)</f>
        <v/>
      </c>
      <c r="U609" s="13">
        <f>YEAR(B609)&amp;"-Q"&amp;ROUNDUP(MONTH(B609)/3,0)</f>
        <v/>
      </c>
      <c r="V609" s="13">
        <f>TEXT(B609,"YYYY-MM")</f>
        <v/>
      </c>
      <c r="W609" s="13">
        <f>IF(L609="","",IF(L609&gt;pLateDays,1,0))</f>
        <v/>
      </c>
      <c r="X609" s="13">
        <f>IF(Q609&gt;=pHighCutoff,1,0)</f>
        <v/>
      </c>
      <c r="Y609" s="13">
        <f>IF(M609="Returned",1,0)</f>
        <v/>
      </c>
    </row>
    <row r="610">
      <c r="A610" s="13" t="inlineStr">
        <is>
          <t>HC-100608</t>
        </is>
      </c>
      <c r="B610" s="18" t="n">
        <v>45562</v>
      </c>
      <c r="C610" s="13" t="inlineStr">
        <is>
          <t>North</t>
        </is>
      </c>
      <c r="D610" s="13" t="inlineStr">
        <is>
          <t>Online</t>
        </is>
      </c>
      <c r="E610" s="13" t="inlineStr">
        <is>
          <t>Textiles</t>
        </is>
      </c>
      <c r="F610" s="13" t="inlineStr">
        <is>
          <t>Cotton Duvet</t>
        </is>
      </c>
      <c r="G610" s="13" t="inlineStr">
        <is>
          <t>Consumer</t>
        </is>
      </c>
      <c r="H610" s="13" t="n">
        <v>3</v>
      </c>
      <c r="I610" s="14" t="n">
        <v>127.47</v>
      </c>
      <c r="J610" s="15" t="n">
        <v>0.04</v>
      </c>
      <c r="K610" s="14" t="n">
        <v>56.09</v>
      </c>
      <c r="L610" s="13" t="n">
        <v>3</v>
      </c>
      <c r="M610" s="13" t="inlineStr">
        <is>
          <t>Completed</t>
        </is>
      </c>
      <c r="N610" s="13" t="inlineStr">
        <is>
          <t>S. Nguyen</t>
        </is>
      </c>
      <c r="O610" s="13" t="inlineStr">
        <is>
          <t>No</t>
        </is>
      </c>
      <c r="P610" s="14">
        <f>H610*I610</f>
        <v/>
      </c>
      <c r="Q610" s="14">
        <f>P610*(1-J610)</f>
        <v/>
      </c>
      <c r="R610" s="14">
        <f>H610*K610</f>
        <v/>
      </c>
      <c r="S610" s="15">
        <f>IF(Q610=0,"",(Q610-R610)/Q610)</f>
        <v/>
      </c>
      <c r="T610" s="13">
        <f>YEAR(B610)</f>
        <v/>
      </c>
      <c r="U610" s="13">
        <f>YEAR(B610)&amp;"-Q"&amp;ROUNDUP(MONTH(B610)/3,0)</f>
        <v/>
      </c>
      <c r="V610" s="13">
        <f>TEXT(B610,"YYYY-MM")</f>
        <v/>
      </c>
      <c r="W610" s="13">
        <f>IF(L610="","",IF(L610&gt;pLateDays,1,0))</f>
        <v/>
      </c>
      <c r="X610" s="13">
        <f>IF(Q610&gt;=pHighCutoff,1,0)</f>
        <v/>
      </c>
      <c r="Y610" s="13">
        <f>IF(M610="Returned",1,0)</f>
        <v/>
      </c>
    </row>
    <row r="611">
      <c r="A611" s="13" t="inlineStr">
        <is>
          <t>HC-100609</t>
        </is>
      </c>
      <c r="B611" s="18" t="n">
        <v>45627</v>
      </c>
      <c r="C611" s="13" t="inlineStr">
        <is>
          <t>West</t>
        </is>
      </c>
      <c r="D611" s="13" t="inlineStr">
        <is>
          <t>Store</t>
        </is>
      </c>
      <c r="E611" s="13" t="inlineStr">
        <is>
          <t>Furniture</t>
        </is>
      </c>
      <c r="F611" s="13" t="inlineStr">
        <is>
          <t>Walnut Shelf</t>
        </is>
      </c>
      <c r="G611" s="13" t="inlineStr">
        <is>
          <t>Consumer</t>
        </is>
      </c>
      <c r="H611" s="13" t="n">
        <v>5</v>
      </c>
      <c r="I611" s="14" t="n">
        <v>224.74</v>
      </c>
      <c r="J611" s="15" t="n">
        <v>0.01</v>
      </c>
      <c r="K611" s="14" t="n">
        <v>123.61</v>
      </c>
      <c r="L611" s="13" t="n">
        <v>8</v>
      </c>
      <c r="M611" s="13" t="inlineStr">
        <is>
          <t>Completed</t>
        </is>
      </c>
      <c r="N611" s="13" t="inlineStr">
        <is>
          <t>S. Nguyen</t>
        </is>
      </c>
      <c r="O611" s="13" t="inlineStr">
        <is>
          <t>No</t>
        </is>
      </c>
      <c r="P611" s="14">
        <f>H611*I611</f>
        <v/>
      </c>
      <c r="Q611" s="14">
        <f>P611*(1-J611)</f>
        <v/>
      </c>
      <c r="R611" s="14">
        <f>H611*K611</f>
        <v/>
      </c>
      <c r="S611" s="15">
        <f>IF(Q611=0,"",(Q611-R611)/Q611)</f>
        <v/>
      </c>
      <c r="T611" s="13">
        <f>YEAR(B611)</f>
        <v/>
      </c>
      <c r="U611" s="13">
        <f>YEAR(B611)&amp;"-Q"&amp;ROUNDUP(MONTH(B611)/3,0)</f>
        <v/>
      </c>
      <c r="V611" s="13">
        <f>TEXT(B611,"YYYY-MM")</f>
        <v/>
      </c>
      <c r="W611" s="13">
        <f>IF(L611="","",IF(L611&gt;pLateDays,1,0))</f>
        <v/>
      </c>
      <c r="X611" s="13">
        <f>IF(Q611&gt;=pHighCutoff,1,0)</f>
        <v/>
      </c>
      <c r="Y611" s="13">
        <f>IF(M611="Returned",1,0)</f>
        <v/>
      </c>
    </row>
    <row r="612">
      <c r="A612" s="13" t="inlineStr">
        <is>
          <t>HC-100610</t>
        </is>
      </c>
      <c r="B612" s="18" t="n">
        <v>45613</v>
      </c>
      <c r="C612" s="13" t="inlineStr">
        <is>
          <t>East</t>
        </is>
      </c>
      <c r="D612" s="13" t="inlineStr">
        <is>
          <t>Online</t>
        </is>
      </c>
      <c r="E612" s="13" t="inlineStr">
        <is>
          <t>Lighting</t>
        </is>
      </c>
      <c r="F612" s="13" t="inlineStr">
        <is>
          <t>Pendant Light</t>
        </is>
      </c>
      <c r="G612" s="13" t="inlineStr">
        <is>
          <t>Consumer</t>
        </is>
      </c>
      <c r="H612" s="13" t="n">
        <v>3</v>
      </c>
      <c r="I612" s="14" t="n">
        <v>162.41</v>
      </c>
      <c r="J612" s="15" t="n">
        <v>0.06</v>
      </c>
      <c r="K612" s="14" t="n">
        <v>81.20999999999999</v>
      </c>
      <c r="L612" s="13" t="n">
        <v>7</v>
      </c>
      <c r="M612" s="13" t="inlineStr">
        <is>
          <t>Completed</t>
        </is>
      </c>
      <c r="N612" s="13" t="inlineStr">
        <is>
          <t>R. Ibarra</t>
        </is>
      </c>
      <c r="O612" s="13" t="inlineStr">
        <is>
          <t>No</t>
        </is>
      </c>
      <c r="P612" s="14">
        <f>H612*I612</f>
        <v/>
      </c>
      <c r="Q612" s="14">
        <f>P612*(1-J612)</f>
        <v/>
      </c>
      <c r="R612" s="14">
        <f>H612*K612</f>
        <v/>
      </c>
      <c r="S612" s="15">
        <f>IF(Q612=0,"",(Q612-R612)/Q612)</f>
        <v/>
      </c>
      <c r="T612" s="13">
        <f>YEAR(B612)</f>
        <v/>
      </c>
      <c r="U612" s="13">
        <f>YEAR(B612)&amp;"-Q"&amp;ROUNDUP(MONTH(B612)/3,0)</f>
        <v/>
      </c>
      <c r="V612" s="13">
        <f>TEXT(B612,"YYYY-MM")</f>
        <v/>
      </c>
      <c r="W612" s="13">
        <f>IF(L612="","",IF(L612&gt;pLateDays,1,0))</f>
        <v/>
      </c>
      <c r="X612" s="13">
        <f>IF(Q612&gt;=pHighCutoff,1,0)</f>
        <v/>
      </c>
      <c r="Y612" s="13">
        <f>IF(M612="Returned",1,0)</f>
        <v/>
      </c>
    </row>
    <row r="613">
      <c r="A613" s="13" t="inlineStr">
        <is>
          <t>HC-100611</t>
        </is>
      </c>
      <c r="B613" s="18" t="n">
        <v>45783</v>
      </c>
      <c r="C613" s="13" t="inlineStr">
        <is>
          <t>South</t>
        </is>
      </c>
      <c r="D613" s="13" t="inlineStr">
        <is>
          <t>Online</t>
        </is>
      </c>
      <c r="E613" s="13" t="inlineStr">
        <is>
          <t>Textiles</t>
        </is>
      </c>
      <c r="F613" s="13" t="inlineStr">
        <is>
          <t>Linen Curtain</t>
        </is>
      </c>
      <c r="G613" s="13" t="inlineStr">
        <is>
          <t>Corporate</t>
        </is>
      </c>
      <c r="H613" s="13" t="n">
        <v>1</v>
      </c>
      <c r="I613" s="14" t="n">
        <v>93.02</v>
      </c>
      <c r="J613" s="15" t="n">
        <v>0.03</v>
      </c>
      <c r="K613" s="14" t="n">
        <v>41.86</v>
      </c>
      <c r="L613" s="13" t="n">
        <v>5</v>
      </c>
      <c r="M613" s="13" t="inlineStr">
        <is>
          <t>Completed</t>
        </is>
      </c>
      <c r="N613" s="13" t="inlineStr">
        <is>
          <t>M. Okonkwo</t>
        </is>
      </c>
      <c r="O613" s="13" t="inlineStr">
        <is>
          <t>No</t>
        </is>
      </c>
      <c r="P613" s="14">
        <f>H613*I613</f>
        <v/>
      </c>
      <c r="Q613" s="14">
        <f>P613*(1-J613)</f>
        <v/>
      </c>
      <c r="R613" s="14">
        <f>H613*K613</f>
        <v/>
      </c>
      <c r="S613" s="15">
        <f>IF(Q613=0,"",(Q613-R613)/Q613)</f>
        <v/>
      </c>
      <c r="T613" s="13">
        <f>YEAR(B613)</f>
        <v/>
      </c>
      <c r="U613" s="13">
        <f>YEAR(B613)&amp;"-Q"&amp;ROUNDUP(MONTH(B613)/3,0)</f>
        <v/>
      </c>
      <c r="V613" s="13">
        <f>TEXT(B613,"YYYY-MM")</f>
        <v/>
      </c>
      <c r="W613" s="13">
        <f>IF(L613="","",IF(L613&gt;pLateDays,1,0))</f>
        <v/>
      </c>
      <c r="X613" s="13">
        <f>IF(Q613&gt;=pHighCutoff,1,0)</f>
        <v/>
      </c>
      <c r="Y613" s="13">
        <f>IF(M613="Returned",1,0)</f>
        <v/>
      </c>
    </row>
    <row r="614">
      <c r="A614" s="13" t="inlineStr">
        <is>
          <t>HC-100612</t>
        </is>
      </c>
      <c r="B614" s="18" t="n">
        <v>45538</v>
      </c>
      <c r="C614" s="13" t="inlineStr">
        <is>
          <t>East</t>
        </is>
      </c>
      <c r="D614" s="13" t="inlineStr">
        <is>
          <t>Wholesale</t>
        </is>
      </c>
      <c r="E614" s="13" t="inlineStr">
        <is>
          <t>Furniture</t>
        </is>
      </c>
      <c r="F614" s="13" t="inlineStr">
        <is>
          <t>Oak Desk</t>
        </is>
      </c>
      <c r="G614" s="13" t="inlineStr">
        <is>
          <t>Consumer</t>
        </is>
      </c>
      <c r="H614" s="13" t="n">
        <v>25</v>
      </c>
      <c r="I614" s="14" t="n">
        <v>752.87</v>
      </c>
      <c r="J614" s="15" t="n">
        <v>0.16</v>
      </c>
      <c r="K614" s="14" t="n">
        <v>466.78</v>
      </c>
      <c r="L614" s="13" t="n">
        <v>8</v>
      </c>
      <c r="M614" s="13" t="inlineStr">
        <is>
          <t>Completed</t>
        </is>
      </c>
      <c r="N614" s="13" t="inlineStr">
        <is>
          <t>M. Okonkwo</t>
        </is>
      </c>
      <c r="O614" s="13" t="inlineStr">
        <is>
          <t>No</t>
        </is>
      </c>
      <c r="P614" s="14">
        <f>H614*I614</f>
        <v/>
      </c>
      <c r="Q614" s="14">
        <f>P614*(1-J614)</f>
        <v/>
      </c>
      <c r="R614" s="14">
        <f>H614*K614</f>
        <v/>
      </c>
      <c r="S614" s="15">
        <f>IF(Q614=0,"",(Q614-R614)/Q614)</f>
        <v/>
      </c>
      <c r="T614" s="13">
        <f>YEAR(B614)</f>
        <v/>
      </c>
      <c r="U614" s="13">
        <f>YEAR(B614)&amp;"-Q"&amp;ROUNDUP(MONTH(B614)/3,0)</f>
        <v/>
      </c>
      <c r="V614" s="13">
        <f>TEXT(B614,"YYYY-MM")</f>
        <v/>
      </c>
      <c r="W614" s="13">
        <f>IF(L614="","",IF(L614&gt;pLateDays,1,0))</f>
        <v/>
      </c>
      <c r="X614" s="13">
        <f>IF(Q614&gt;=pHighCutoff,1,0)</f>
        <v/>
      </c>
      <c r="Y614" s="13">
        <f>IF(M614="Returned",1,0)</f>
        <v/>
      </c>
    </row>
    <row r="615">
      <c r="A615" s="13" t="inlineStr">
        <is>
          <t>HC-100613</t>
        </is>
      </c>
      <c r="B615" s="18" t="n">
        <v>45590</v>
      </c>
      <c r="C615" s="13" t="inlineStr">
        <is>
          <t>East</t>
        </is>
      </c>
      <c r="D615" s="13" t="inlineStr">
        <is>
          <t>Online</t>
        </is>
      </c>
      <c r="E615" s="13" t="inlineStr">
        <is>
          <t>Lighting</t>
        </is>
      </c>
      <c r="F615" s="13" t="inlineStr">
        <is>
          <t>Arc Lamp</t>
        </is>
      </c>
      <c r="G615" s="13" t="inlineStr">
        <is>
          <t>Consumer</t>
        </is>
      </c>
      <c r="H615" s="13" t="n">
        <v>3</v>
      </c>
      <c r="I615" s="14" t="n">
        <v>276.9</v>
      </c>
      <c r="J615" s="15" t="n">
        <v>0.08</v>
      </c>
      <c r="K615" s="14" t="n">
        <v>132.91</v>
      </c>
      <c r="L615" s="13" t="n">
        <v>13</v>
      </c>
      <c r="M615" s="13" t="inlineStr">
        <is>
          <t>Completed</t>
        </is>
      </c>
      <c r="N615" s="13" t="inlineStr">
        <is>
          <t>K. Mensah</t>
        </is>
      </c>
      <c r="O615" s="13" t="inlineStr">
        <is>
          <t>No</t>
        </is>
      </c>
      <c r="P615" s="14">
        <f>H615*I615</f>
        <v/>
      </c>
      <c r="Q615" s="14">
        <f>P615*(1-J615)</f>
        <v/>
      </c>
      <c r="R615" s="14">
        <f>H615*K615</f>
        <v/>
      </c>
      <c r="S615" s="15">
        <f>IF(Q615=0,"",(Q615-R615)/Q615)</f>
        <v/>
      </c>
      <c r="T615" s="13">
        <f>YEAR(B615)</f>
        <v/>
      </c>
      <c r="U615" s="13">
        <f>YEAR(B615)&amp;"-Q"&amp;ROUNDUP(MONTH(B615)/3,0)</f>
        <v/>
      </c>
      <c r="V615" s="13">
        <f>TEXT(B615,"YYYY-MM")</f>
        <v/>
      </c>
      <c r="W615" s="13">
        <f>IF(L615="","",IF(L615&gt;pLateDays,1,0))</f>
        <v/>
      </c>
      <c r="X615" s="13">
        <f>IF(Q615&gt;=pHighCutoff,1,0)</f>
        <v/>
      </c>
      <c r="Y615" s="13">
        <f>IF(M615="Returned",1,0)</f>
        <v/>
      </c>
    </row>
    <row r="616">
      <c r="A616" s="13" t="inlineStr">
        <is>
          <t>HC-100614</t>
        </is>
      </c>
      <c r="B616" s="18" t="n">
        <v>45367</v>
      </c>
      <c r="C616" s="13" t="inlineStr">
        <is>
          <t>South</t>
        </is>
      </c>
      <c r="D616" s="13" t="inlineStr">
        <is>
          <t>Store</t>
        </is>
      </c>
      <c r="E616" s="13" t="inlineStr">
        <is>
          <t>Lighting</t>
        </is>
      </c>
      <c r="F616" s="13" t="inlineStr">
        <is>
          <t>Pendant Light</t>
        </is>
      </c>
      <c r="G616" s="13" t="inlineStr">
        <is>
          <t>Corporate</t>
        </is>
      </c>
      <c r="H616" s="13" t="n">
        <v>2</v>
      </c>
      <c r="I616" s="14" t="n">
        <v>169.03</v>
      </c>
      <c r="J616" s="15" t="n">
        <v>0.04</v>
      </c>
      <c r="K616" s="14" t="n">
        <v>84.52</v>
      </c>
      <c r="L616" s="13" t="n">
        <v>5</v>
      </c>
      <c r="M616" s="13" t="inlineStr">
        <is>
          <t>Completed</t>
        </is>
      </c>
      <c r="N616" s="13" t="inlineStr">
        <is>
          <t>A. Shah</t>
        </is>
      </c>
      <c r="O616" s="13" t="inlineStr">
        <is>
          <t>No</t>
        </is>
      </c>
      <c r="P616" s="14">
        <f>H616*I616</f>
        <v/>
      </c>
      <c r="Q616" s="14">
        <f>P616*(1-J616)</f>
        <v/>
      </c>
      <c r="R616" s="14">
        <f>H616*K616</f>
        <v/>
      </c>
      <c r="S616" s="15">
        <f>IF(Q616=0,"",(Q616-R616)/Q616)</f>
        <v/>
      </c>
      <c r="T616" s="13">
        <f>YEAR(B616)</f>
        <v/>
      </c>
      <c r="U616" s="13">
        <f>YEAR(B616)&amp;"-Q"&amp;ROUNDUP(MONTH(B616)/3,0)</f>
        <v/>
      </c>
      <c r="V616" s="13">
        <f>TEXT(B616,"YYYY-MM")</f>
        <v/>
      </c>
      <c r="W616" s="13">
        <f>IF(L616="","",IF(L616&gt;pLateDays,1,0))</f>
        <v/>
      </c>
      <c r="X616" s="13">
        <f>IF(Q616&gt;=pHighCutoff,1,0)</f>
        <v/>
      </c>
      <c r="Y616" s="13">
        <f>IF(M616="Returned",1,0)</f>
        <v/>
      </c>
    </row>
    <row r="617">
      <c r="A617" s="13" t="inlineStr">
        <is>
          <t>HC-100615</t>
        </is>
      </c>
      <c r="B617" s="18" t="n">
        <v>45688</v>
      </c>
      <c r="C617" s="13" t="inlineStr">
        <is>
          <t>West</t>
        </is>
      </c>
      <c r="D617" s="13" t="inlineStr">
        <is>
          <t>Store</t>
        </is>
      </c>
      <c r="E617" s="13" t="inlineStr">
        <is>
          <t>Furniture</t>
        </is>
      </c>
      <c r="F617" s="13" t="inlineStr">
        <is>
          <t>Linen Sofa</t>
        </is>
      </c>
      <c r="G617" s="13" t="inlineStr">
        <is>
          <t>Consumer</t>
        </is>
      </c>
      <c r="H617" s="13" t="n">
        <v>4</v>
      </c>
      <c r="I617" s="14" t="n">
        <v>1226.66</v>
      </c>
      <c r="J617" s="15" t="n">
        <v>0.02</v>
      </c>
      <c r="K617" s="14" t="n">
        <v>809.6</v>
      </c>
      <c r="L617" s="13" t="n">
        <v>2</v>
      </c>
      <c r="M617" s="13" t="inlineStr">
        <is>
          <t>Completed</t>
        </is>
      </c>
      <c r="N617" s="13" t="inlineStr">
        <is>
          <t>M. Okonkwo</t>
        </is>
      </c>
      <c r="O617" s="13" t="inlineStr">
        <is>
          <t>No</t>
        </is>
      </c>
      <c r="P617" s="14">
        <f>H617*I617</f>
        <v/>
      </c>
      <c r="Q617" s="14">
        <f>P617*(1-J617)</f>
        <v/>
      </c>
      <c r="R617" s="14">
        <f>H617*K617</f>
        <v/>
      </c>
      <c r="S617" s="15">
        <f>IF(Q617=0,"",(Q617-R617)/Q617)</f>
        <v/>
      </c>
      <c r="T617" s="13">
        <f>YEAR(B617)</f>
        <v/>
      </c>
      <c r="U617" s="13">
        <f>YEAR(B617)&amp;"-Q"&amp;ROUNDUP(MONTH(B617)/3,0)</f>
        <v/>
      </c>
      <c r="V617" s="13">
        <f>TEXT(B617,"YYYY-MM")</f>
        <v/>
      </c>
      <c r="W617" s="13">
        <f>IF(L617="","",IF(L617&gt;pLateDays,1,0))</f>
        <v/>
      </c>
      <c r="X617" s="13">
        <f>IF(Q617&gt;=pHighCutoff,1,0)</f>
        <v/>
      </c>
      <c r="Y617" s="13">
        <f>IF(M617="Returned",1,0)</f>
        <v/>
      </c>
    </row>
    <row r="618">
      <c r="A618" s="13" t="inlineStr">
        <is>
          <t>HC-100616</t>
        </is>
      </c>
      <c r="B618" s="18" t="n">
        <v>45339</v>
      </c>
      <c r="C618" s="13" t="inlineStr">
        <is>
          <t>East</t>
        </is>
      </c>
      <c r="D618" s="13" t="inlineStr">
        <is>
          <t>Online</t>
        </is>
      </c>
      <c r="E618" s="13" t="inlineStr">
        <is>
          <t>Furniture</t>
        </is>
      </c>
      <c r="F618" s="13" t="inlineStr">
        <is>
          <t>Walnut Shelf</t>
        </is>
      </c>
      <c r="G618" s="13" t="inlineStr">
        <is>
          <t>Corporate</t>
        </is>
      </c>
      <c r="H618" s="13" t="n">
        <v>2</v>
      </c>
      <c r="I618" s="14" t="n">
        <v>182.68</v>
      </c>
      <c r="J618" s="15" t="n">
        <v>0.06</v>
      </c>
      <c r="K618" s="14" t="n">
        <v>100.47</v>
      </c>
      <c r="L618" s="13" t="n">
        <v>11</v>
      </c>
      <c r="M618" s="13" t="inlineStr">
        <is>
          <t>Completed</t>
        </is>
      </c>
      <c r="N618" s="13" t="inlineStr">
        <is>
          <t>J. Patel</t>
        </is>
      </c>
      <c r="O618" s="13" t="inlineStr">
        <is>
          <t>No</t>
        </is>
      </c>
      <c r="P618" s="14">
        <f>H618*I618</f>
        <v/>
      </c>
      <c r="Q618" s="14">
        <f>P618*(1-J618)</f>
        <v/>
      </c>
      <c r="R618" s="14">
        <f>H618*K618</f>
        <v/>
      </c>
      <c r="S618" s="15">
        <f>IF(Q618=0,"",(Q618-R618)/Q618)</f>
        <v/>
      </c>
      <c r="T618" s="13">
        <f>YEAR(B618)</f>
        <v/>
      </c>
      <c r="U618" s="13">
        <f>YEAR(B618)&amp;"-Q"&amp;ROUNDUP(MONTH(B618)/3,0)</f>
        <v/>
      </c>
      <c r="V618" s="13">
        <f>TEXT(B618,"YYYY-MM")</f>
        <v/>
      </c>
      <c r="W618" s="13">
        <f>IF(L618="","",IF(L618&gt;pLateDays,1,0))</f>
        <v/>
      </c>
      <c r="X618" s="13">
        <f>IF(Q618&gt;=pHighCutoff,1,0)</f>
        <v/>
      </c>
      <c r="Y618" s="13">
        <f>IF(M618="Returned",1,0)</f>
        <v/>
      </c>
    </row>
    <row r="619">
      <c r="A619" s="13" t="inlineStr">
        <is>
          <t>HC-100617</t>
        </is>
      </c>
      <c r="B619" s="18" t="n">
        <v>45830</v>
      </c>
      <c r="C619" s="13" t="inlineStr">
        <is>
          <t>South</t>
        </is>
      </c>
      <c r="D619" s="13" t="inlineStr">
        <is>
          <t>Online</t>
        </is>
      </c>
      <c r="E619" s="13" t="inlineStr">
        <is>
          <t>Lighting</t>
        </is>
      </c>
      <c r="F619" s="13" t="inlineStr">
        <is>
          <t>Pendant Light</t>
        </is>
      </c>
      <c r="G619" s="13" t="inlineStr">
        <is>
          <t>Corporate</t>
        </is>
      </c>
      <c r="H619" s="13" t="n">
        <v>3</v>
      </c>
      <c r="I619" s="14" t="n">
        <v>181.03</v>
      </c>
      <c r="J619" s="15" t="n">
        <v>0.08</v>
      </c>
      <c r="K619" s="14" t="n">
        <v>90.51000000000001</v>
      </c>
      <c r="L619" s="13" t="n">
        <v>4</v>
      </c>
      <c r="M619" s="13" t="inlineStr">
        <is>
          <t>Completed</t>
        </is>
      </c>
      <c r="N619" s="13" t="inlineStr">
        <is>
          <t>M. Okonkwo</t>
        </is>
      </c>
      <c r="O619" s="13" t="inlineStr">
        <is>
          <t>No</t>
        </is>
      </c>
      <c r="P619" s="14">
        <f>H619*I619</f>
        <v/>
      </c>
      <c r="Q619" s="14">
        <f>P619*(1-J619)</f>
        <v/>
      </c>
      <c r="R619" s="14">
        <f>H619*K619</f>
        <v/>
      </c>
      <c r="S619" s="15">
        <f>IF(Q619=0,"",(Q619-R619)/Q619)</f>
        <v/>
      </c>
      <c r="T619" s="13">
        <f>YEAR(B619)</f>
        <v/>
      </c>
      <c r="U619" s="13">
        <f>YEAR(B619)&amp;"-Q"&amp;ROUNDUP(MONTH(B619)/3,0)</f>
        <v/>
      </c>
      <c r="V619" s="13">
        <f>TEXT(B619,"YYYY-MM")</f>
        <v/>
      </c>
      <c r="W619" s="13">
        <f>IF(L619="","",IF(L619&gt;pLateDays,1,0))</f>
        <v/>
      </c>
      <c r="X619" s="13">
        <f>IF(Q619&gt;=pHighCutoff,1,0)</f>
        <v/>
      </c>
      <c r="Y619" s="13">
        <f>IF(M619="Returned",1,0)</f>
        <v/>
      </c>
    </row>
    <row r="620">
      <c r="A620" s="13" t="inlineStr">
        <is>
          <t>HC-100618</t>
        </is>
      </c>
      <c r="B620" s="18" t="n">
        <v>45364</v>
      </c>
      <c r="C620" s="13" t="inlineStr">
        <is>
          <t>North</t>
        </is>
      </c>
      <c r="D620" s="13" t="inlineStr">
        <is>
          <t>Store</t>
        </is>
      </c>
      <c r="E620" s="13" t="inlineStr">
        <is>
          <t>Furniture</t>
        </is>
      </c>
      <c r="F620" s="13" t="inlineStr">
        <is>
          <t>Linen Sofa</t>
        </is>
      </c>
      <c r="G620" s="13" t="inlineStr">
        <is>
          <t>Consumer</t>
        </is>
      </c>
      <c r="H620" s="13" t="n">
        <v>4</v>
      </c>
      <c r="I620" s="14" t="n">
        <v>1339.48</v>
      </c>
      <c r="J620" s="15" t="n">
        <v>0.07000000000000001</v>
      </c>
      <c r="K620" s="14" t="n">
        <v>884.0599999999999</v>
      </c>
      <c r="L620" s="13" t="n">
        <v>6</v>
      </c>
      <c r="M620" s="13" t="inlineStr">
        <is>
          <t>Completed</t>
        </is>
      </c>
      <c r="N620" s="13" t="inlineStr">
        <is>
          <t>R. Ibarra</t>
        </is>
      </c>
      <c r="O620" s="13" t="inlineStr">
        <is>
          <t>No</t>
        </is>
      </c>
      <c r="P620" s="14">
        <f>H620*I620</f>
        <v/>
      </c>
      <c r="Q620" s="14">
        <f>P620*(1-J620)</f>
        <v/>
      </c>
      <c r="R620" s="14">
        <f>H620*K620</f>
        <v/>
      </c>
      <c r="S620" s="15">
        <f>IF(Q620=0,"",(Q620-R620)/Q620)</f>
        <v/>
      </c>
      <c r="T620" s="13">
        <f>YEAR(B620)</f>
        <v/>
      </c>
      <c r="U620" s="13">
        <f>YEAR(B620)&amp;"-Q"&amp;ROUNDUP(MONTH(B620)/3,0)</f>
        <v/>
      </c>
      <c r="V620" s="13">
        <f>TEXT(B620,"YYYY-MM")</f>
        <v/>
      </c>
      <c r="W620" s="13">
        <f>IF(L620="","",IF(L620&gt;pLateDays,1,0))</f>
        <v/>
      </c>
      <c r="X620" s="13">
        <f>IF(Q620&gt;=pHighCutoff,1,0)</f>
        <v/>
      </c>
      <c r="Y620" s="13">
        <f>IF(M620="Returned",1,0)</f>
        <v/>
      </c>
    </row>
    <row r="621">
      <c r="A621" s="13" t="inlineStr">
        <is>
          <t>HC-100619</t>
        </is>
      </c>
      <c r="B621" s="18" t="n">
        <v>45521</v>
      </c>
      <c r="C621" s="13" t="inlineStr">
        <is>
          <t>South</t>
        </is>
      </c>
      <c r="D621" s="13" t="inlineStr">
        <is>
          <t>Store</t>
        </is>
      </c>
      <c r="E621" s="13" t="inlineStr">
        <is>
          <t>Kitchen</t>
        </is>
      </c>
      <c r="F621" s="13" t="inlineStr">
        <is>
          <t>Ceramic Set</t>
        </is>
      </c>
      <c r="G621" s="13" t="inlineStr">
        <is>
          <t>Consumer</t>
        </is>
      </c>
      <c r="H621" s="13" t="n">
        <v>1</v>
      </c>
      <c r="I621" s="14" t="n">
        <v>83.23</v>
      </c>
      <c r="J621" s="15" t="n">
        <v>0.03</v>
      </c>
      <c r="K621" s="14" t="n">
        <v>31.63</v>
      </c>
      <c r="L621" s="13" t="n">
        <v>4</v>
      </c>
      <c r="M621" s="13" t="inlineStr">
        <is>
          <t>Completed</t>
        </is>
      </c>
      <c r="N621" s="13" t="inlineStr">
        <is>
          <t>K. Mensah</t>
        </is>
      </c>
      <c r="O621" s="13" t="inlineStr">
        <is>
          <t>No</t>
        </is>
      </c>
      <c r="P621" s="14">
        <f>H621*I621</f>
        <v/>
      </c>
      <c r="Q621" s="14">
        <f>P621*(1-J621)</f>
        <v/>
      </c>
      <c r="R621" s="14">
        <f>H621*K621</f>
        <v/>
      </c>
      <c r="S621" s="15">
        <f>IF(Q621=0,"",(Q621-R621)/Q621)</f>
        <v/>
      </c>
      <c r="T621" s="13">
        <f>YEAR(B621)</f>
        <v/>
      </c>
      <c r="U621" s="13">
        <f>YEAR(B621)&amp;"-Q"&amp;ROUNDUP(MONTH(B621)/3,0)</f>
        <v/>
      </c>
      <c r="V621" s="13">
        <f>TEXT(B621,"YYYY-MM")</f>
        <v/>
      </c>
      <c r="W621" s="13">
        <f>IF(L621="","",IF(L621&gt;pLateDays,1,0))</f>
        <v/>
      </c>
      <c r="X621" s="13">
        <f>IF(Q621&gt;=pHighCutoff,1,0)</f>
        <v/>
      </c>
      <c r="Y621" s="13">
        <f>IF(M621="Returned",1,0)</f>
        <v/>
      </c>
    </row>
    <row r="622">
      <c r="A622" s="13" t="inlineStr">
        <is>
          <t>HC-100620</t>
        </is>
      </c>
      <c r="B622" s="18" t="n">
        <v>45696</v>
      </c>
      <c r="C622" s="13" t="inlineStr">
        <is>
          <t>West</t>
        </is>
      </c>
      <c r="D622" s="13" t="inlineStr">
        <is>
          <t>Store</t>
        </is>
      </c>
      <c r="E622" s="13" t="inlineStr">
        <is>
          <t>Lighting</t>
        </is>
      </c>
      <c r="F622" s="13" t="inlineStr">
        <is>
          <t>Brass Sconce</t>
        </is>
      </c>
      <c r="G622" s="13" t="inlineStr">
        <is>
          <t>Consumer</t>
        </is>
      </c>
      <c r="H622" s="13" t="n">
        <v>2</v>
      </c>
      <c r="I622" s="14" t="n">
        <v>129.31</v>
      </c>
      <c r="J622" s="15" t="n">
        <v>0</v>
      </c>
      <c r="K622" s="14" t="n">
        <v>59.48</v>
      </c>
      <c r="L622" s="13" t="n">
        <v>7</v>
      </c>
      <c r="M622" s="13" t="inlineStr">
        <is>
          <t>Completed</t>
        </is>
      </c>
      <c r="N622" s="13" t="inlineStr">
        <is>
          <t>J. Patel</t>
        </is>
      </c>
      <c r="O622" s="13" t="inlineStr">
        <is>
          <t>No</t>
        </is>
      </c>
      <c r="P622" s="14">
        <f>H622*I622</f>
        <v/>
      </c>
      <c r="Q622" s="14">
        <f>P622*(1-J622)</f>
        <v/>
      </c>
      <c r="R622" s="14">
        <f>H622*K622</f>
        <v/>
      </c>
      <c r="S622" s="15">
        <f>IF(Q622=0,"",(Q622-R622)/Q622)</f>
        <v/>
      </c>
      <c r="T622" s="13">
        <f>YEAR(B622)</f>
        <v/>
      </c>
      <c r="U622" s="13">
        <f>YEAR(B622)&amp;"-Q"&amp;ROUNDUP(MONTH(B622)/3,0)</f>
        <v/>
      </c>
      <c r="V622" s="13">
        <f>TEXT(B622,"YYYY-MM")</f>
        <v/>
      </c>
      <c r="W622" s="13">
        <f>IF(L622="","",IF(L622&gt;pLateDays,1,0))</f>
        <v/>
      </c>
      <c r="X622" s="13">
        <f>IF(Q622&gt;=pHighCutoff,1,0)</f>
        <v/>
      </c>
      <c r="Y622" s="13">
        <f>IF(M622="Returned",1,0)</f>
        <v/>
      </c>
    </row>
    <row r="623">
      <c r="A623" s="13" t="inlineStr">
        <is>
          <t>HC-100621</t>
        </is>
      </c>
      <c r="B623" s="18" t="n">
        <v>45384</v>
      </c>
      <c r="C623" s="13" t="inlineStr">
        <is>
          <t>South</t>
        </is>
      </c>
      <c r="D623" s="13" t="inlineStr">
        <is>
          <t>Store</t>
        </is>
      </c>
      <c r="E623" s="13" t="inlineStr">
        <is>
          <t>Kitchen</t>
        </is>
      </c>
      <c r="F623" s="13" t="inlineStr">
        <is>
          <t>Chef Knife</t>
        </is>
      </c>
      <c r="G623" s="13" t="inlineStr">
        <is>
          <t>Consumer</t>
        </is>
      </c>
      <c r="H623" s="13" t="n">
        <v>3</v>
      </c>
      <c r="I623" s="14" t="n">
        <v>60.56</v>
      </c>
      <c r="J623" s="15" t="n">
        <v>0.11</v>
      </c>
      <c r="K623" s="14" t="n">
        <v>21.8</v>
      </c>
      <c r="L623" s="13" t="n">
        <v>9</v>
      </c>
      <c r="M623" s="13" t="inlineStr">
        <is>
          <t>Completed</t>
        </is>
      </c>
      <c r="N623" s="13" t="inlineStr">
        <is>
          <t>R. Ibarra</t>
        </is>
      </c>
      <c r="O623" s="13" t="inlineStr">
        <is>
          <t>No</t>
        </is>
      </c>
      <c r="P623" s="14">
        <f>H623*I623</f>
        <v/>
      </c>
      <c r="Q623" s="14">
        <f>P623*(1-J623)</f>
        <v/>
      </c>
      <c r="R623" s="14">
        <f>H623*K623</f>
        <v/>
      </c>
      <c r="S623" s="15">
        <f>IF(Q623=0,"",(Q623-R623)/Q623)</f>
        <v/>
      </c>
      <c r="T623" s="13">
        <f>YEAR(B623)</f>
        <v/>
      </c>
      <c r="U623" s="13">
        <f>YEAR(B623)&amp;"-Q"&amp;ROUNDUP(MONTH(B623)/3,0)</f>
        <v/>
      </c>
      <c r="V623" s="13">
        <f>TEXT(B623,"YYYY-MM")</f>
        <v/>
      </c>
      <c r="W623" s="13">
        <f>IF(L623="","",IF(L623&gt;pLateDays,1,0))</f>
        <v/>
      </c>
      <c r="X623" s="13">
        <f>IF(Q623&gt;=pHighCutoff,1,0)</f>
        <v/>
      </c>
      <c r="Y623" s="13">
        <f>IF(M623="Returned",1,0)</f>
        <v/>
      </c>
    </row>
    <row r="624">
      <c r="A624" s="13" t="inlineStr">
        <is>
          <t>HC-100622</t>
        </is>
      </c>
      <c r="B624" s="18" t="n">
        <v>45822</v>
      </c>
      <c r="C624" s="13" t="inlineStr">
        <is>
          <t>South</t>
        </is>
      </c>
      <c r="D624" s="13" t="inlineStr">
        <is>
          <t>Online</t>
        </is>
      </c>
      <c r="E624" s="13" t="inlineStr">
        <is>
          <t>Furniture</t>
        </is>
      </c>
      <c r="F624" s="13" t="inlineStr">
        <is>
          <t>Oak Desk</t>
        </is>
      </c>
      <c r="G624" s="13" t="inlineStr">
        <is>
          <t>Home Office</t>
        </is>
      </c>
      <c r="H624" s="13" t="n">
        <v>2</v>
      </c>
      <c r="I624" s="14" t="n">
        <v>828.28</v>
      </c>
      <c r="J624" s="15" t="n">
        <v>0.06</v>
      </c>
      <c r="K624" s="14" t="n">
        <v>513.53</v>
      </c>
      <c r="L624" s="13" t="n">
        <v>5</v>
      </c>
      <c r="M624" s="13" t="inlineStr">
        <is>
          <t>Completed</t>
        </is>
      </c>
      <c r="N624" s="13" t="inlineStr">
        <is>
          <t>S. Nguyen</t>
        </is>
      </c>
      <c r="O624" s="13" t="inlineStr">
        <is>
          <t>No</t>
        </is>
      </c>
      <c r="P624" s="14">
        <f>H624*I624</f>
        <v/>
      </c>
      <c r="Q624" s="14">
        <f>P624*(1-J624)</f>
        <v/>
      </c>
      <c r="R624" s="14">
        <f>H624*K624</f>
        <v/>
      </c>
      <c r="S624" s="15">
        <f>IF(Q624=0,"",(Q624-R624)/Q624)</f>
        <v/>
      </c>
      <c r="T624" s="13">
        <f>YEAR(B624)</f>
        <v/>
      </c>
      <c r="U624" s="13">
        <f>YEAR(B624)&amp;"-Q"&amp;ROUNDUP(MONTH(B624)/3,0)</f>
        <v/>
      </c>
      <c r="V624" s="13">
        <f>TEXT(B624,"YYYY-MM")</f>
        <v/>
      </c>
      <c r="W624" s="13">
        <f>IF(L624="","",IF(L624&gt;pLateDays,1,0))</f>
        <v/>
      </c>
      <c r="X624" s="13">
        <f>IF(Q624&gt;=pHighCutoff,1,0)</f>
        <v/>
      </c>
      <c r="Y624" s="13">
        <f>IF(M624="Returned",1,0)</f>
        <v/>
      </c>
    </row>
    <row r="625">
      <c r="A625" s="13" t="inlineStr">
        <is>
          <t>HC-100623</t>
        </is>
      </c>
      <c r="B625" s="18" t="n">
        <v>45676</v>
      </c>
      <c r="C625" s="13" t="inlineStr">
        <is>
          <t>East</t>
        </is>
      </c>
      <c r="D625" s="13" t="inlineStr">
        <is>
          <t>Online</t>
        </is>
      </c>
      <c r="E625" s="13" t="inlineStr">
        <is>
          <t>Textiles</t>
        </is>
      </c>
      <c r="F625" s="13" t="inlineStr">
        <is>
          <t>Cotton Duvet</t>
        </is>
      </c>
      <c r="G625" s="13" t="inlineStr">
        <is>
          <t>Consumer</t>
        </is>
      </c>
      <c r="H625" s="13" t="n">
        <v>1</v>
      </c>
      <c r="I625" s="14" t="n">
        <v>105.49</v>
      </c>
      <c r="J625" s="15" t="n">
        <v>0.11</v>
      </c>
      <c r="K625" s="14" t="n">
        <v>46.41</v>
      </c>
      <c r="L625" s="13" t="n">
        <v>7</v>
      </c>
      <c r="M625" s="13" t="inlineStr">
        <is>
          <t>Completed</t>
        </is>
      </c>
      <c r="N625" s="13" t="inlineStr">
        <is>
          <t>M. Okonkwo</t>
        </is>
      </c>
      <c r="O625" s="13" t="inlineStr">
        <is>
          <t>No</t>
        </is>
      </c>
      <c r="P625" s="14">
        <f>H625*I625</f>
        <v/>
      </c>
      <c r="Q625" s="14">
        <f>P625*(1-J625)</f>
        <v/>
      </c>
      <c r="R625" s="14">
        <f>H625*K625</f>
        <v/>
      </c>
      <c r="S625" s="15">
        <f>IF(Q625=0,"",(Q625-R625)/Q625)</f>
        <v/>
      </c>
      <c r="T625" s="13">
        <f>YEAR(B625)</f>
        <v/>
      </c>
      <c r="U625" s="13">
        <f>YEAR(B625)&amp;"-Q"&amp;ROUNDUP(MONTH(B625)/3,0)</f>
        <v/>
      </c>
      <c r="V625" s="13">
        <f>TEXT(B625,"YYYY-MM")</f>
        <v/>
      </c>
      <c r="W625" s="13">
        <f>IF(L625="","",IF(L625&gt;pLateDays,1,0))</f>
        <v/>
      </c>
      <c r="X625" s="13">
        <f>IF(Q625&gt;=pHighCutoff,1,0)</f>
        <v/>
      </c>
      <c r="Y625" s="13">
        <f>IF(M625="Returned",1,0)</f>
        <v/>
      </c>
    </row>
    <row r="626">
      <c r="A626" s="13" t="inlineStr">
        <is>
          <t>HC-100624</t>
        </is>
      </c>
      <c r="B626" s="18" t="n">
        <v>45401</v>
      </c>
      <c r="C626" s="13" t="inlineStr">
        <is>
          <t>South</t>
        </is>
      </c>
      <c r="D626" s="13" t="inlineStr">
        <is>
          <t>Wholesale</t>
        </is>
      </c>
      <c r="E626" s="13" t="inlineStr">
        <is>
          <t>Furniture</t>
        </is>
      </c>
      <c r="F626" s="13" t="inlineStr">
        <is>
          <t>Oak Desk</t>
        </is>
      </c>
      <c r="G626" s="13" t="inlineStr">
        <is>
          <t>Consumer</t>
        </is>
      </c>
      <c r="H626" s="13" t="n">
        <v>28</v>
      </c>
      <c r="I626" s="14" t="n">
        <v>902.27</v>
      </c>
      <c r="J626" s="15" t="n">
        <v>0.3</v>
      </c>
      <c r="K626" s="14" t="n">
        <v>559.41</v>
      </c>
      <c r="L626" s="13" t="n">
        <v>6</v>
      </c>
      <c r="M626" s="13" t="inlineStr">
        <is>
          <t>Completed</t>
        </is>
      </c>
      <c r="N626" s="13" t="inlineStr">
        <is>
          <t>L. Berger</t>
        </is>
      </c>
      <c r="O626" s="13" t="inlineStr">
        <is>
          <t>No</t>
        </is>
      </c>
      <c r="P626" s="14">
        <f>H626*I626</f>
        <v/>
      </c>
      <c r="Q626" s="14">
        <f>P626*(1-J626)</f>
        <v/>
      </c>
      <c r="R626" s="14">
        <f>H626*K626</f>
        <v/>
      </c>
      <c r="S626" s="15">
        <f>IF(Q626=0,"",(Q626-R626)/Q626)</f>
        <v/>
      </c>
      <c r="T626" s="13">
        <f>YEAR(B626)</f>
        <v/>
      </c>
      <c r="U626" s="13">
        <f>YEAR(B626)&amp;"-Q"&amp;ROUNDUP(MONTH(B626)/3,0)</f>
        <v/>
      </c>
      <c r="V626" s="13">
        <f>TEXT(B626,"YYYY-MM")</f>
        <v/>
      </c>
      <c r="W626" s="13">
        <f>IF(L626="","",IF(L626&gt;pLateDays,1,0))</f>
        <v/>
      </c>
      <c r="X626" s="13">
        <f>IF(Q626&gt;=pHighCutoff,1,0)</f>
        <v/>
      </c>
      <c r="Y626" s="13">
        <f>IF(M626="Returned",1,0)</f>
        <v/>
      </c>
    </row>
    <row r="627">
      <c r="A627" s="13" t="inlineStr">
        <is>
          <t>HC-100625</t>
        </is>
      </c>
      <c r="B627" s="18" t="n">
        <v>45548</v>
      </c>
      <c r="C627" s="13" t="inlineStr">
        <is>
          <t>North</t>
        </is>
      </c>
      <c r="D627" s="13" t="inlineStr">
        <is>
          <t>Store</t>
        </is>
      </c>
      <c r="E627" s="13" t="inlineStr">
        <is>
          <t>Furniture</t>
        </is>
      </c>
      <c r="F627" s="13" t="inlineStr">
        <is>
          <t>Walnut Shelf</t>
        </is>
      </c>
      <c r="G627" s="13" t="inlineStr">
        <is>
          <t>Corporate</t>
        </is>
      </c>
      <c r="H627" s="13" t="n">
        <v>1</v>
      </c>
      <c r="I627" s="14" t="n">
        <v>224.68</v>
      </c>
      <c r="J627" s="15" t="n">
        <v>0.06</v>
      </c>
      <c r="K627" s="14" t="n">
        <v>123.57</v>
      </c>
      <c r="L627" s="13" t="n">
        <v>4</v>
      </c>
      <c r="M627" s="13" t="inlineStr">
        <is>
          <t>Completed</t>
        </is>
      </c>
      <c r="N627" s="13" t="inlineStr">
        <is>
          <t>P. Rossi</t>
        </is>
      </c>
      <c r="O627" s="13" t="inlineStr">
        <is>
          <t>No</t>
        </is>
      </c>
      <c r="P627" s="14">
        <f>H627*I627</f>
        <v/>
      </c>
      <c r="Q627" s="14">
        <f>P627*(1-J627)</f>
        <v/>
      </c>
      <c r="R627" s="14">
        <f>H627*K627</f>
        <v/>
      </c>
      <c r="S627" s="15">
        <f>IF(Q627=0,"",(Q627-R627)/Q627)</f>
        <v/>
      </c>
      <c r="T627" s="13">
        <f>YEAR(B627)</f>
        <v/>
      </c>
      <c r="U627" s="13">
        <f>YEAR(B627)&amp;"-Q"&amp;ROUNDUP(MONTH(B627)/3,0)</f>
        <v/>
      </c>
      <c r="V627" s="13">
        <f>TEXT(B627,"YYYY-MM")</f>
        <v/>
      </c>
      <c r="W627" s="13">
        <f>IF(L627="","",IF(L627&gt;pLateDays,1,0))</f>
        <v/>
      </c>
      <c r="X627" s="13">
        <f>IF(Q627&gt;=pHighCutoff,1,0)</f>
        <v/>
      </c>
      <c r="Y627" s="13">
        <f>IF(M627="Returned",1,0)</f>
        <v/>
      </c>
    </row>
    <row r="628">
      <c r="A628" s="13" t="inlineStr">
        <is>
          <t>HC-100626</t>
        </is>
      </c>
      <c r="B628" s="18" t="n">
        <v>45301</v>
      </c>
      <c r="C628" s="13" t="inlineStr">
        <is>
          <t>West</t>
        </is>
      </c>
      <c r="D628" s="13" t="inlineStr">
        <is>
          <t>Store</t>
        </is>
      </c>
      <c r="E628" s="13" t="inlineStr">
        <is>
          <t>Kitchen</t>
        </is>
      </c>
      <c r="F628" s="13" t="inlineStr">
        <is>
          <t>Chef Knife</t>
        </is>
      </c>
      <c r="G628" s="13" t="inlineStr">
        <is>
          <t>Corporate</t>
        </is>
      </c>
      <c r="H628" s="13" t="n">
        <v>3</v>
      </c>
      <c r="I628" s="14" t="n">
        <v>68.78</v>
      </c>
      <c r="J628" s="15" t="n">
        <v>0.11</v>
      </c>
      <c r="K628" s="14" t="n">
        <v>24.76</v>
      </c>
      <c r="L628" s="13" t="n">
        <v>6</v>
      </c>
      <c r="M628" s="13" t="inlineStr">
        <is>
          <t>Completed</t>
        </is>
      </c>
      <c r="N628" s="13" t="inlineStr">
        <is>
          <t>L. Berger</t>
        </is>
      </c>
      <c r="O628" s="13" t="inlineStr">
        <is>
          <t>No</t>
        </is>
      </c>
      <c r="P628" s="14">
        <f>H628*I628</f>
        <v/>
      </c>
      <c r="Q628" s="14">
        <f>P628*(1-J628)</f>
        <v/>
      </c>
      <c r="R628" s="14">
        <f>H628*K628</f>
        <v/>
      </c>
      <c r="S628" s="15">
        <f>IF(Q628=0,"",(Q628-R628)/Q628)</f>
        <v/>
      </c>
      <c r="T628" s="13">
        <f>YEAR(B628)</f>
        <v/>
      </c>
      <c r="U628" s="13">
        <f>YEAR(B628)&amp;"-Q"&amp;ROUNDUP(MONTH(B628)/3,0)</f>
        <v/>
      </c>
      <c r="V628" s="13">
        <f>TEXT(B628,"YYYY-MM")</f>
        <v/>
      </c>
      <c r="W628" s="13">
        <f>IF(L628="","",IF(L628&gt;pLateDays,1,0))</f>
        <v/>
      </c>
      <c r="X628" s="13">
        <f>IF(Q628&gt;=pHighCutoff,1,0)</f>
        <v/>
      </c>
      <c r="Y628" s="13">
        <f>IF(M628="Returned",1,0)</f>
        <v/>
      </c>
    </row>
    <row r="629">
      <c r="A629" s="13" t="inlineStr">
        <is>
          <t>HC-100627</t>
        </is>
      </c>
      <c r="B629" s="18" t="n">
        <v>45678</v>
      </c>
      <c r="C629" s="13" t="inlineStr">
        <is>
          <t>West</t>
        </is>
      </c>
      <c r="D629" s="13" t="inlineStr">
        <is>
          <t>Store</t>
        </is>
      </c>
      <c r="E629" s="13" t="inlineStr">
        <is>
          <t>Furniture</t>
        </is>
      </c>
      <c r="F629" s="13" t="inlineStr">
        <is>
          <t>Oak Desk</t>
        </is>
      </c>
      <c r="G629" s="13" t="inlineStr">
        <is>
          <t>Consumer</t>
        </is>
      </c>
      <c r="H629" s="13" t="n">
        <v>3</v>
      </c>
      <c r="I629" s="14" t="n">
        <v>864.39</v>
      </c>
      <c r="J629" s="15" t="n">
        <v>0.07000000000000001</v>
      </c>
      <c r="K629" s="14" t="n">
        <v>535.92</v>
      </c>
      <c r="L629" s="13" t="n">
        <v>7</v>
      </c>
      <c r="M629" s="13" t="inlineStr">
        <is>
          <t>Completed</t>
        </is>
      </c>
      <c r="N629" s="13" t="inlineStr">
        <is>
          <t>L. Berger</t>
        </is>
      </c>
      <c r="O629" s="13" t="inlineStr">
        <is>
          <t>No</t>
        </is>
      </c>
      <c r="P629" s="14">
        <f>H629*I629</f>
        <v/>
      </c>
      <c r="Q629" s="14">
        <f>P629*(1-J629)</f>
        <v/>
      </c>
      <c r="R629" s="14">
        <f>H629*K629</f>
        <v/>
      </c>
      <c r="S629" s="15">
        <f>IF(Q629=0,"",(Q629-R629)/Q629)</f>
        <v/>
      </c>
      <c r="T629" s="13">
        <f>YEAR(B629)</f>
        <v/>
      </c>
      <c r="U629" s="13">
        <f>YEAR(B629)&amp;"-Q"&amp;ROUNDUP(MONTH(B629)/3,0)</f>
        <v/>
      </c>
      <c r="V629" s="13">
        <f>TEXT(B629,"YYYY-MM")</f>
        <v/>
      </c>
      <c r="W629" s="13">
        <f>IF(L629="","",IF(L629&gt;pLateDays,1,0))</f>
        <v/>
      </c>
      <c r="X629" s="13">
        <f>IF(Q629&gt;=pHighCutoff,1,0)</f>
        <v/>
      </c>
      <c r="Y629" s="13">
        <f>IF(M629="Returned",1,0)</f>
        <v/>
      </c>
    </row>
    <row r="630">
      <c r="A630" s="13" t="inlineStr">
        <is>
          <t>HC-100628</t>
        </is>
      </c>
      <c r="B630" s="18" t="n">
        <v>45483</v>
      </c>
      <c r="C630" s="13" t="inlineStr">
        <is>
          <t>North</t>
        </is>
      </c>
      <c r="D630" s="13" t="inlineStr">
        <is>
          <t>Online</t>
        </is>
      </c>
      <c r="E630" s="13" t="inlineStr">
        <is>
          <t>Furniture</t>
        </is>
      </c>
      <c r="F630" s="13" t="inlineStr">
        <is>
          <t>Lounge Chair</t>
        </is>
      </c>
      <c r="G630" s="13" t="inlineStr">
        <is>
          <t>Consumer</t>
        </is>
      </c>
      <c r="H630" s="13" t="n">
        <v>2</v>
      </c>
      <c r="I630" s="14" t="n">
        <v>466.09</v>
      </c>
      <c r="J630" s="15" t="n">
        <v>0.09</v>
      </c>
      <c r="K630" s="14" t="n">
        <v>279.65</v>
      </c>
      <c r="L630" s="13" t="n">
        <v>5</v>
      </c>
      <c r="M630" s="13" t="inlineStr">
        <is>
          <t>Completed</t>
        </is>
      </c>
      <c r="N630" s="13" t="inlineStr">
        <is>
          <t>J. Patel</t>
        </is>
      </c>
      <c r="O630" s="13" t="inlineStr">
        <is>
          <t>No</t>
        </is>
      </c>
      <c r="P630" s="14">
        <f>H630*I630</f>
        <v/>
      </c>
      <c r="Q630" s="14">
        <f>P630*(1-J630)</f>
        <v/>
      </c>
      <c r="R630" s="14">
        <f>H630*K630</f>
        <v/>
      </c>
      <c r="S630" s="15">
        <f>IF(Q630=0,"",(Q630-R630)/Q630)</f>
        <v/>
      </c>
      <c r="T630" s="13">
        <f>YEAR(B630)</f>
        <v/>
      </c>
      <c r="U630" s="13">
        <f>YEAR(B630)&amp;"-Q"&amp;ROUNDUP(MONTH(B630)/3,0)</f>
        <v/>
      </c>
      <c r="V630" s="13">
        <f>TEXT(B630,"YYYY-MM")</f>
        <v/>
      </c>
      <c r="W630" s="13">
        <f>IF(L630="","",IF(L630&gt;pLateDays,1,0))</f>
        <v/>
      </c>
      <c r="X630" s="13">
        <f>IF(Q630&gt;=pHighCutoff,1,0)</f>
        <v/>
      </c>
      <c r="Y630" s="13">
        <f>IF(M630="Returned",1,0)</f>
        <v/>
      </c>
    </row>
    <row r="631">
      <c r="A631" s="13" t="inlineStr">
        <is>
          <t>HC-100629</t>
        </is>
      </c>
      <c r="B631" s="18" t="n">
        <v>45750</v>
      </c>
      <c r="C631" s="13" t="inlineStr">
        <is>
          <t>West</t>
        </is>
      </c>
      <c r="D631" s="13" t="inlineStr">
        <is>
          <t>Wholesale</t>
        </is>
      </c>
      <c r="E631" s="13" t="inlineStr">
        <is>
          <t>Textiles</t>
        </is>
      </c>
      <c r="F631" s="13" t="inlineStr">
        <is>
          <t>Linen Curtain</t>
        </is>
      </c>
      <c r="G631" s="13" t="inlineStr">
        <is>
          <t>Consumer</t>
        </is>
      </c>
      <c r="H631" s="13" t="n">
        <v>28</v>
      </c>
      <c r="I631" s="14" t="n">
        <v>95.86</v>
      </c>
      <c r="J631" s="15" t="n">
        <v>0.28</v>
      </c>
      <c r="K631" s="14" t="n">
        <v>43.14</v>
      </c>
      <c r="L631" s="13" t="n">
        <v>4</v>
      </c>
      <c r="M631" s="13" t="inlineStr">
        <is>
          <t>Completed</t>
        </is>
      </c>
      <c r="N631" s="13" t="inlineStr">
        <is>
          <t>R. Ibarra</t>
        </is>
      </c>
      <c r="O631" s="13" t="inlineStr">
        <is>
          <t>No</t>
        </is>
      </c>
      <c r="P631" s="14">
        <f>H631*I631</f>
        <v/>
      </c>
      <c r="Q631" s="14">
        <f>P631*(1-J631)</f>
        <v/>
      </c>
      <c r="R631" s="14">
        <f>H631*K631</f>
        <v/>
      </c>
      <c r="S631" s="15">
        <f>IF(Q631=0,"",(Q631-R631)/Q631)</f>
        <v/>
      </c>
      <c r="T631" s="13">
        <f>YEAR(B631)</f>
        <v/>
      </c>
      <c r="U631" s="13">
        <f>YEAR(B631)&amp;"-Q"&amp;ROUNDUP(MONTH(B631)/3,0)</f>
        <v/>
      </c>
      <c r="V631" s="13">
        <f>TEXT(B631,"YYYY-MM")</f>
        <v/>
      </c>
      <c r="W631" s="13">
        <f>IF(L631="","",IF(L631&gt;pLateDays,1,0))</f>
        <v/>
      </c>
      <c r="X631" s="13">
        <f>IF(Q631&gt;=pHighCutoff,1,0)</f>
        <v/>
      </c>
      <c r="Y631" s="13">
        <f>IF(M631="Returned",1,0)</f>
        <v/>
      </c>
    </row>
    <row r="632">
      <c r="A632" s="13" t="inlineStr">
        <is>
          <t>HC-100630</t>
        </is>
      </c>
      <c r="B632" s="18" t="n">
        <v>45301</v>
      </c>
      <c r="C632" s="13" t="inlineStr">
        <is>
          <t>South</t>
        </is>
      </c>
      <c r="D632" s="13" t="inlineStr">
        <is>
          <t>Store</t>
        </is>
      </c>
      <c r="E632" s="13" t="inlineStr">
        <is>
          <t>Textiles</t>
        </is>
      </c>
      <c r="F632" s="13" t="inlineStr">
        <is>
          <t>Cotton Duvet</t>
        </is>
      </c>
      <c r="G632" s="13" t="inlineStr">
        <is>
          <t>Home Office</t>
        </is>
      </c>
      <c r="H632" s="13" t="n">
        <v>4</v>
      </c>
      <c r="I632" s="14" t="n">
        <v>114.35</v>
      </c>
      <c r="J632" s="15" t="n">
        <v>0.11</v>
      </c>
      <c r="K632" s="14" t="n">
        <v>50.31</v>
      </c>
      <c r="L632" s="13" t="n">
        <v>5</v>
      </c>
      <c r="M632" s="13" t="inlineStr">
        <is>
          <t>Completed</t>
        </is>
      </c>
      <c r="N632" s="13" t="inlineStr">
        <is>
          <t>M. Okonkwo</t>
        </is>
      </c>
      <c r="O632" s="13" t="inlineStr">
        <is>
          <t>No</t>
        </is>
      </c>
      <c r="P632" s="14">
        <f>H632*I632</f>
        <v/>
      </c>
      <c r="Q632" s="14">
        <f>P632*(1-J632)</f>
        <v/>
      </c>
      <c r="R632" s="14">
        <f>H632*K632</f>
        <v/>
      </c>
      <c r="S632" s="15">
        <f>IF(Q632=0,"",(Q632-R632)/Q632)</f>
        <v/>
      </c>
      <c r="T632" s="13">
        <f>YEAR(B632)</f>
        <v/>
      </c>
      <c r="U632" s="13">
        <f>YEAR(B632)&amp;"-Q"&amp;ROUNDUP(MONTH(B632)/3,0)</f>
        <v/>
      </c>
      <c r="V632" s="13">
        <f>TEXT(B632,"YYYY-MM")</f>
        <v/>
      </c>
      <c r="W632" s="13">
        <f>IF(L632="","",IF(L632&gt;pLateDays,1,0))</f>
        <v/>
      </c>
      <c r="X632" s="13">
        <f>IF(Q632&gt;=pHighCutoff,1,0)</f>
        <v/>
      </c>
      <c r="Y632" s="13">
        <f>IF(M632="Returned",1,0)</f>
        <v/>
      </c>
    </row>
    <row r="633">
      <c r="A633" s="13" t="inlineStr">
        <is>
          <t>HC-100631</t>
        </is>
      </c>
      <c r="B633" s="18" t="n">
        <v>45855</v>
      </c>
      <c r="C633" s="13" t="inlineStr">
        <is>
          <t>North</t>
        </is>
      </c>
      <c r="D633" s="13" t="inlineStr">
        <is>
          <t>Store</t>
        </is>
      </c>
      <c r="E633" s="13" t="inlineStr">
        <is>
          <t>Kitchen</t>
        </is>
      </c>
      <c r="F633" s="13" t="inlineStr">
        <is>
          <t>Cast Skillet</t>
        </is>
      </c>
      <c r="G633" s="13" t="inlineStr">
        <is>
          <t>Corporate</t>
        </is>
      </c>
      <c r="H633" s="13" t="n">
        <v>1</v>
      </c>
      <c r="I633" s="14" t="n">
        <v>54.95</v>
      </c>
      <c r="J633" s="15" t="n">
        <v>0.05</v>
      </c>
      <c r="K633" s="14" t="n">
        <v>21.98</v>
      </c>
      <c r="L633" s="13" t="n">
        <v>2</v>
      </c>
      <c r="M633" s="13" t="inlineStr">
        <is>
          <t>Completed</t>
        </is>
      </c>
      <c r="N633" s="13" t="inlineStr">
        <is>
          <t>M. Okonkwo</t>
        </is>
      </c>
      <c r="O633" s="13" t="inlineStr">
        <is>
          <t>No</t>
        </is>
      </c>
      <c r="P633" s="14">
        <f>H633*I633</f>
        <v/>
      </c>
      <c r="Q633" s="14">
        <f>P633*(1-J633)</f>
        <v/>
      </c>
      <c r="R633" s="14">
        <f>H633*K633</f>
        <v/>
      </c>
      <c r="S633" s="15">
        <f>IF(Q633=0,"",(Q633-R633)/Q633)</f>
        <v/>
      </c>
      <c r="T633" s="13">
        <f>YEAR(B633)</f>
        <v/>
      </c>
      <c r="U633" s="13">
        <f>YEAR(B633)&amp;"-Q"&amp;ROUNDUP(MONTH(B633)/3,0)</f>
        <v/>
      </c>
      <c r="V633" s="13">
        <f>TEXT(B633,"YYYY-MM")</f>
        <v/>
      </c>
      <c r="W633" s="13">
        <f>IF(L633="","",IF(L633&gt;pLateDays,1,0))</f>
        <v/>
      </c>
      <c r="X633" s="13">
        <f>IF(Q633&gt;=pHighCutoff,1,0)</f>
        <v/>
      </c>
      <c r="Y633" s="13">
        <f>IF(M633="Returned",1,0)</f>
        <v/>
      </c>
    </row>
    <row r="634">
      <c r="A634" s="13" t="inlineStr">
        <is>
          <t>HC-100632</t>
        </is>
      </c>
      <c r="B634" s="18" t="n">
        <v>45476</v>
      </c>
      <c r="C634" s="13" t="inlineStr">
        <is>
          <t>South</t>
        </is>
      </c>
      <c r="D634" s="13" t="inlineStr">
        <is>
          <t>Store</t>
        </is>
      </c>
      <c r="E634" s="13" t="inlineStr">
        <is>
          <t>Textiles</t>
        </is>
      </c>
      <c r="F634" s="13" t="inlineStr">
        <is>
          <t>Linen Curtain</t>
        </is>
      </c>
      <c r="G634" s="13" t="inlineStr">
        <is>
          <t>Consumer</t>
        </is>
      </c>
      <c r="H634" s="13" t="n">
        <v>3</v>
      </c>
      <c r="I634" s="14" t="n">
        <v>102.45</v>
      </c>
      <c r="J634" s="15" t="n">
        <v>0.09</v>
      </c>
      <c r="K634" s="14" t="n">
        <v>46.1</v>
      </c>
      <c r="L634" s="13" t="n">
        <v>4</v>
      </c>
      <c r="M634" s="13" t="inlineStr">
        <is>
          <t>Completed</t>
        </is>
      </c>
      <c r="N634" s="13" t="inlineStr">
        <is>
          <t>R. Ibarra</t>
        </is>
      </c>
      <c r="O634" s="13" t="inlineStr">
        <is>
          <t>No</t>
        </is>
      </c>
      <c r="P634" s="14">
        <f>H634*I634</f>
        <v/>
      </c>
      <c r="Q634" s="14">
        <f>P634*(1-J634)</f>
        <v/>
      </c>
      <c r="R634" s="14">
        <f>H634*K634</f>
        <v/>
      </c>
      <c r="S634" s="15">
        <f>IF(Q634=0,"",(Q634-R634)/Q634)</f>
        <v/>
      </c>
      <c r="T634" s="13">
        <f>YEAR(B634)</f>
        <v/>
      </c>
      <c r="U634" s="13">
        <f>YEAR(B634)&amp;"-Q"&amp;ROUNDUP(MONTH(B634)/3,0)</f>
        <v/>
      </c>
      <c r="V634" s="13">
        <f>TEXT(B634,"YYYY-MM")</f>
        <v/>
      </c>
      <c r="W634" s="13">
        <f>IF(L634="","",IF(L634&gt;pLateDays,1,0))</f>
        <v/>
      </c>
      <c r="X634" s="13">
        <f>IF(Q634&gt;=pHighCutoff,1,0)</f>
        <v/>
      </c>
      <c r="Y634" s="13">
        <f>IF(M634="Returned",1,0)</f>
        <v/>
      </c>
    </row>
    <row r="635">
      <c r="A635" s="13" t="inlineStr">
        <is>
          <t>HC-100633</t>
        </is>
      </c>
      <c r="B635" s="18" t="n">
        <v>45504</v>
      </c>
      <c r="C635" s="13" t="inlineStr">
        <is>
          <t>South</t>
        </is>
      </c>
      <c r="D635" s="13" t="inlineStr">
        <is>
          <t>Store</t>
        </is>
      </c>
      <c r="E635" s="13" t="inlineStr">
        <is>
          <t>Textiles</t>
        </is>
      </c>
      <c r="F635" s="13" t="inlineStr">
        <is>
          <t>Wool Throw</t>
        </is>
      </c>
      <c r="G635" s="13" t="inlineStr">
        <is>
          <t>Home Office</t>
        </is>
      </c>
      <c r="H635" s="13" t="n">
        <v>1</v>
      </c>
      <c r="I635" s="14" t="n">
        <v>79.02</v>
      </c>
      <c r="J635" s="15" t="n">
        <v>0.05</v>
      </c>
      <c r="K635" s="14" t="n">
        <v>33.19</v>
      </c>
      <c r="L635" s="13" t="n">
        <v>5</v>
      </c>
      <c r="M635" s="13" t="inlineStr">
        <is>
          <t>Completed</t>
        </is>
      </c>
      <c r="N635" s="13" t="inlineStr">
        <is>
          <t>J. Patel</t>
        </is>
      </c>
      <c r="O635" s="13" t="inlineStr">
        <is>
          <t>No</t>
        </is>
      </c>
      <c r="P635" s="14">
        <f>H635*I635</f>
        <v/>
      </c>
      <c r="Q635" s="14">
        <f>P635*(1-J635)</f>
        <v/>
      </c>
      <c r="R635" s="14">
        <f>H635*K635</f>
        <v/>
      </c>
      <c r="S635" s="15">
        <f>IF(Q635=0,"",(Q635-R635)/Q635)</f>
        <v/>
      </c>
      <c r="T635" s="13">
        <f>YEAR(B635)</f>
        <v/>
      </c>
      <c r="U635" s="13">
        <f>YEAR(B635)&amp;"-Q"&amp;ROUNDUP(MONTH(B635)/3,0)</f>
        <v/>
      </c>
      <c r="V635" s="13">
        <f>TEXT(B635,"YYYY-MM")</f>
        <v/>
      </c>
      <c r="W635" s="13">
        <f>IF(L635="","",IF(L635&gt;pLateDays,1,0))</f>
        <v/>
      </c>
      <c r="X635" s="13">
        <f>IF(Q635&gt;=pHighCutoff,1,0)</f>
        <v/>
      </c>
      <c r="Y635" s="13">
        <f>IF(M635="Returned",1,0)</f>
        <v/>
      </c>
    </row>
    <row r="636">
      <c r="A636" s="13" t="inlineStr">
        <is>
          <t>HC-100634</t>
        </is>
      </c>
      <c r="B636" s="18" t="n">
        <v>45628</v>
      </c>
      <c r="C636" s="13" t="inlineStr">
        <is>
          <t>North</t>
        </is>
      </c>
      <c r="D636" s="13" t="inlineStr">
        <is>
          <t>Online</t>
        </is>
      </c>
      <c r="E636" s="13" t="inlineStr">
        <is>
          <t>Textiles</t>
        </is>
      </c>
      <c r="F636" s="13" t="inlineStr">
        <is>
          <t>Cotton Duvet</t>
        </is>
      </c>
      <c r="G636" s="13" t="inlineStr">
        <is>
          <t>Consumer</t>
        </is>
      </c>
      <c r="H636" s="13" t="n">
        <v>4</v>
      </c>
      <c r="I636" s="14" t="n">
        <v>111.87</v>
      </c>
      <c r="J636" s="15" t="n">
        <v>0.13</v>
      </c>
      <c r="K636" s="14" t="n">
        <v>49.22</v>
      </c>
      <c r="L636" s="13" t="n">
        <v>10</v>
      </c>
      <c r="M636" s="13" t="inlineStr">
        <is>
          <t>Completed</t>
        </is>
      </c>
      <c r="N636" s="13" t="inlineStr">
        <is>
          <t>L. Berger</t>
        </is>
      </c>
      <c r="O636" s="13" t="inlineStr">
        <is>
          <t>No</t>
        </is>
      </c>
      <c r="P636" s="14">
        <f>H636*I636</f>
        <v/>
      </c>
      <c r="Q636" s="14">
        <f>P636*(1-J636)</f>
        <v/>
      </c>
      <c r="R636" s="14">
        <f>H636*K636</f>
        <v/>
      </c>
      <c r="S636" s="15">
        <f>IF(Q636=0,"",(Q636-R636)/Q636)</f>
        <v/>
      </c>
      <c r="T636" s="13">
        <f>YEAR(B636)</f>
        <v/>
      </c>
      <c r="U636" s="13">
        <f>YEAR(B636)&amp;"-Q"&amp;ROUNDUP(MONTH(B636)/3,0)</f>
        <v/>
      </c>
      <c r="V636" s="13">
        <f>TEXT(B636,"YYYY-MM")</f>
        <v/>
      </c>
      <c r="W636" s="13">
        <f>IF(L636="","",IF(L636&gt;pLateDays,1,0))</f>
        <v/>
      </c>
      <c r="X636" s="13">
        <f>IF(Q636&gt;=pHighCutoff,1,0)</f>
        <v/>
      </c>
      <c r="Y636" s="13">
        <f>IF(M636="Returned",1,0)</f>
        <v/>
      </c>
    </row>
    <row r="637">
      <c r="A637" s="13" t="inlineStr">
        <is>
          <t>HC-100635</t>
        </is>
      </c>
      <c r="B637" s="18" t="n">
        <v>45552</v>
      </c>
      <c r="C637" s="13" t="inlineStr">
        <is>
          <t>North</t>
        </is>
      </c>
      <c r="D637" s="13" t="inlineStr">
        <is>
          <t>Store</t>
        </is>
      </c>
      <c r="E637" s="13" t="inlineStr">
        <is>
          <t>Lighting</t>
        </is>
      </c>
      <c r="F637" s="13" t="inlineStr">
        <is>
          <t>Arc Lamp</t>
        </is>
      </c>
      <c r="G637" s="13" t="inlineStr">
        <is>
          <t>Consumer</t>
        </is>
      </c>
      <c r="H637" s="13" t="n">
        <v>3</v>
      </c>
      <c r="I637" s="14" t="n">
        <v>292.58</v>
      </c>
      <c r="J637" s="15" t="n">
        <v>0.04</v>
      </c>
      <c r="K637" s="14" t="n">
        <v>140.44</v>
      </c>
      <c r="L637" s="13" t="n">
        <v>9</v>
      </c>
      <c r="M637" s="13" t="inlineStr">
        <is>
          <t>Completed</t>
        </is>
      </c>
      <c r="N637" s="13" t="inlineStr">
        <is>
          <t>K. Mensah</t>
        </is>
      </c>
      <c r="O637" s="13" t="inlineStr">
        <is>
          <t>No</t>
        </is>
      </c>
      <c r="P637" s="14">
        <f>H637*I637</f>
        <v/>
      </c>
      <c r="Q637" s="14">
        <f>P637*(1-J637)</f>
        <v/>
      </c>
      <c r="R637" s="14">
        <f>H637*K637</f>
        <v/>
      </c>
      <c r="S637" s="15">
        <f>IF(Q637=0,"",(Q637-R637)/Q637)</f>
        <v/>
      </c>
      <c r="T637" s="13">
        <f>YEAR(B637)</f>
        <v/>
      </c>
      <c r="U637" s="13">
        <f>YEAR(B637)&amp;"-Q"&amp;ROUNDUP(MONTH(B637)/3,0)</f>
        <v/>
      </c>
      <c r="V637" s="13">
        <f>TEXT(B637,"YYYY-MM")</f>
        <v/>
      </c>
      <c r="W637" s="13">
        <f>IF(L637="","",IF(L637&gt;pLateDays,1,0))</f>
        <v/>
      </c>
      <c r="X637" s="13">
        <f>IF(Q637&gt;=pHighCutoff,1,0)</f>
        <v/>
      </c>
      <c r="Y637" s="13">
        <f>IF(M637="Returned",1,0)</f>
        <v/>
      </c>
    </row>
    <row r="638">
      <c r="A638" s="13" t="inlineStr">
        <is>
          <t>HC-100636</t>
        </is>
      </c>
      <c r="B638" s="18" t="n">
        <v>45525</v>
      </c>
      <c r="C638" s="13" t="inlineStr">
        <is>
          <t>North</t>
        </is>
      </c>
      <c r="D638" s="13" t="inlineStr">
        <is>
          <t>Store</t>
        </is>
      </c>
      <c r="E638" s="13" t="inlineStr">
        <is>
          <t>Textiles</t>
        </is>
      </c>
      <c r="F638" s="13" t="inlineStr">
        <is>
          <t>Cotton Duvet</t>
        </is>
      </c>
      <c r="G638" s="13" t="inlineStr">
        <is>
          <t>Consumer</t>
        </is>
      </c>
      <c r="H638" s="13" t="n">
        <v>1</v>
      </c>
      <c r="I638" s="14" t="n">
        <v>115.62</v>
      </c>
      <c r="J638" s="15" t="n">
        <v>0.09</v>
      </c>
      <c r="K638" s="14" t="n">
        <v>50.87</v>
      </c>
      <c r="L638" s="13" t="n">
        <v>3</v>
      </c>
      <c r="M638" s="13" t="inlineStr">
        <is>
          <t>Completed</t>
        </is>
      </c>
      <c r="N638" s="13" t="inlineStr">
        <is>
          <t>M. Okonkwo</t>
        </is>
      </c>
      <c r="O638" s="13" t="inlineStr">
        <is>
          <t>No</t>
        </is>
      </c>
      <c r="P638" s="14">
        <f>H638*I638</f>
        <v/>
      </c>
      <c r="Q638" s="14">
        <f>P638*(1-J638)</f>
        <v/>
      </c>
      <c r="R638" s="14">
        <f>H638*K638</f>
        <v/>
      </c>
      <c r="S638" s="15">
        <f>IF(Q638=0,"",(Q638-R638)/Q638)</f>
        <v/>
      </c>
      <c r="T638" s="13">
        <f>YEAR(B638)</f>
        <v/>
      </c>
      <c r="U638" s="13">
        <f>YEAR(B638)&amp;"-Q"&amp;ROUNDUP(MONTH(B638)/3,0)</f>
        <v/>
      </c>
      <c r="V638" s="13">
        <f>TEXT(B638,"YYYY-MM")</f>
        <v/>
      </c>
      <c r="W638" s="13">
        <f>IF(L638="","",IF(L638&gt;pLateDays,1,0))</f>
        <v/>
      </c>
      <c r="X638" s="13">
        <f>IF(Q638&gt;=pHighCutoff,1,0)</f>
        <v/>
      </c>
      <c r="Y638" s="13">
        <f>IF(M638="Returned",1,0)</f>
        <v/>
      </c>
    </row>
    <row r="639">
      <c r="A639" s="13" t="inlineStr">
        <is>
          <t>HC-100637</t>
        </is>
      </c>
      <c r="B639" s="18" t="n">
        <v>45643</v>
      </c>
      <c r="C639" s="13" t="inlineStr">
        <is>
          <t>North</t>
        </is>
      </c>
      <c r="D639" s="13" t="inlineStr">
        <is>
          <t>Store</t>
        </is>
      </c>
      <c r="E639" s="13" t="inlineStr">
        <is>
          <t>Textiles</t>
        </is>
      </c>
      <c r="F639" s="13" t="inlineStr">
        <is>
          <t>Wool Throw</t>
        </is>
      </c>
      <c r="G639" s="13" t="inlineStr">
        <is>
          <t>Consumer</t>
        </is>
      </c>
      <c r="H639" s="13" t="n">
        <v>4</v>
      </c>
      <c r="I639" s="14" t="n">
        <v>76.16</v>
      </c>
      <c r="J639" s="15" t="n">
        <v>0.07000000000000001</v>
      </c>
      <c r="K639" s="14" t="n">
        <v>31.99</v>
      </c>
      <c r="L639" s="13" t="n">
        <v>5</v>
      </c>
      <c r="M639" s="13" t="inlineStr">
        <is>
          <t>Completed</t>
        </is>
      </c>
      <c r="N639" s="13" t="inlineStr">
        <is>
          <t>A. Shah</t>
        </is>
      </c>
      <c r="O639" s="13" t="inlineStr">
        <is>
          <t>No</t>
        </is>
      </c>
      <c r="P639" s="14">
        <f>H639*I639</f>
        <v/>
      </c>
      <c r="Q639" s="14">
        <f>P639*(1-J639)</f>
        <v/>
      </c>
      <c r="R639" s="14">
        <f>H639*K639</f>
        <v/>
      </c>
      <c r="S639" s="15">
        <f>IF(Q639=0,"",(Q639-R639)/Q639)</f>
        <v/>
      </c>
      <c r="T639" s="13">
        <f>YEAR(B639)</f>
        <v/>
      </c>
      <c r="U639" s="13">
        <f>YEAR(B639)&amp;"-Q"&amp;ROUNDUP(MONTH(B639)/3,0)</f>
        <v/>
      </c>
      <c r="V639" s="13">
        <f>TEXT(B639,"YYYY-MM")</f>
        <v/>
      </c>
      <c r="W639" s="13">
        <f>IF(L639="","",IF(L639&gt;pLateDays,1,0))</f>
        <v/>
      </c>
      <c r="X639" s="13">
        <f>IF(Q639&gt;=pHighCutoff,1,0)</f>
        <v/>
      </c>
      <c r="Y639" s="13">
        <f>IF(M639="Returned",1,0)</f>
        <v/>
      </c>
    </row>
    <row r="640">
      <c r="A640" s="13" t="inlineStr">
        <is>
          <t>HC-100638</t>
        </is>
      </c>
      <c r="B640" s="18" t="n">
        <v>45495</v>
      </c>
      <c r="C640" s="13" t="inlineStr">
        <is>
          <t>West</t>
        </is>
      </c>
      <c r="D640" s="13" t="inlineStr">
        <is>
          <t>Wholesale</t>
        </is>
      </c>
      <c r="E640" s="13" t="inlineStr">
        <is>
          <t>Furniture</t>
        </is>
      </c>
      <c r="F640" s="13" t="inlineStr">
        <is>
          <t>Oak Desk</t>
        </is>
      </c>
      <c r="G640" s="13" t="inlineStr">
        <is>
          <t>Home Office</t>
        </is>
      </c>
      <c r="H640" s="13" t="n">
        <v>11</v>
      </c>
      <c r="I640" s="14" t="n">
        <v>793.61</v>
      </c>
      <c r="J640" s="15" t="n">
        <v>0.18</v>
      </c>
      <c r="K640" s="14" t="n">
        <v>492.04</v>
      </c>
      <c r="L640" s="13" t="n">
        <v>7</v>
      </c>
      <c r="M640" s="13" t="inlineStr">
        <is>
          <t>Completed</t>
        </is>
      </c>
      <c r="N640" s="13" t="inlineStr">
        <is>
          <t>L. Berger</t>
        </is>
      </c>
      <c r="O640" s="13" t="inlineStr">
        <is>
          <t>No</t>
        </is>
      </c>
      <c r="P640" s="14">
        <f>H640*I640</f>
        <v/>
      </c>
      <c r="Q640" s="14">
        <f>P640*(1-J640)</f>
        <v/>
      </c>
      <c r="R640" s="14">
        <f>H640*K640</f>
        <v/>
      </c>
      <c r="S640" s="15">
        <f>IF(Q640=0,"",(Q640-R640)/Q640)</f>
        <v/>
      </c>
      <c r="T640" s="13">
        <f>YEAR(B640)</f>
        <v/>
      </c>
      <c r="U640" s="13">
        <f>YEAR(B640)&amp;"-Q"&amp;ROUNDUP(MONTH(B640)/3,0)</f>
        <v/>
      </c>
      <c r="V640" s="13">
        <f>TEXT(B640,"YYYY-MM")</f>
        <v/>
      </c>
      <c r="W640" s="13">
        <f>IF(L640="","",IF(L640&gt;pLateDays,1,0))</f>
        <v/>
      </c>
      <c r="X640" s="13">
        <f>IF(Q640&gt;=pHighCutoff,1,0)</f>
        <v/>
      </c>
      <c r="Y640" s="13">
        <f>IF(M640="Returned",1,0)</f>
        <v/>
      </c>
    </row>
    <row r="641">
      <c r="A641" s="13" t="inlineStr">
        <is>
          <t>HC-100639</t>
        </is>
      </c>
      <c r="B641" s="18" t="n">
        <v>45582</v>
      </c>
      <c r="C641" s="13" t="inlineStr">
        <is>
          <t>North</t>
        </is>
      </c>
      <c r="D641" s="13" t="inlineStr">
        <is>
          <t>Store</t>
        </is>
      </c>
      <c r="E641" s="13" t="inlineStr">
        <is>
          <t>Kitchen</t>
        </is>
      </c>
      <c r="F641" s="13" t="inlineStr">
        <is>
          <t>Ceramic Set</t>
        </is>
      </c>
      <c r="G641" s="13" t="inlineStr">
        <is>
          <t>Corporate</t>
        </is>
      </c>
      <c r="H641" s="13" t="n">
        <v>2</v>
      </c>
      <c r="I641" s="14" t="n">
        <v>92.31999999999999</v>
      </c>
      <c r="J641" s="15" t="n">
        <v>0.01</v>
      </c>
      <c r="K641" s="14" t="n">
        <v>35.08</v>
      </c>
      <c r="L641" s="13" t="n">
        <v>6</v>
      </c>
      <c r="M641" s="13" t="inlineStr">
        <is>
          <t>Completed</t>
        </is>
      </c>
      <c r="N641" s="13" t="inlineStr">
        <is>
          <t>K. Mensah</t>
        </is>
      </c>
      <c r="O641" s="13" t="inlineStr">
        <is>
          <t>No</t>
        </is>
      </c>
      <c r="P641" s="14">
        <f>H641*I641</f>
        <v/>
      </c>
      <c r="Q641" s="14">
        <f>P641*(1-J641)</f>
        <v/>
      </c>
      <c r="R641" s="14">
        <f>H641*K641</f>
        <v/>
      </c>
      <c r="S641" s="15">
        <f>IF(Q641=0,"",(Q641-R641)/Q641)</f>
        <v/>
      </c>
      <c r="T641" s="13">
        <f>YEAR(B641)</f>
        <v/>
      </c>
      <c r="U641" s="13">
        <f>YEAR(B641)&amp;"-Q"&amp;ROUNDUP(MONTH(B641)/3,0)</f>
        <v/>
      </c>
      <c r="V641" s="13">
        <f>TEXT(B641,"YYYY-MM")</f>
        <v/>
      </c>
      <c r="W641" s="13">
        <f>IF(L641="","",IF(L641&gt;pLateDays,1,0))</f>
        <v/>
      </c>
      <c r="X641" s="13">
        <f>IF(Q641&gt;=pHighCutoff,1,0)</f>
        <v/>
      </c>
      <c r="Y641" s="13">
        <f>IF(M641="Returned",1,0)</f>
        <v/>
      </c>
    </row>
    <row r="642">
      <c r="A642" s="13" t="inlineStr">
        <is>
          <t>HC-100640</t>
        </is>
      </c>
      <c r="B642" s="18" t="n">
        <v>45790</v>
      </c>
      <c r="C642" s="13" t="inlineStr">
        <is>
          <t>East</t>
        </is>
      </c>
      <c r="D642" s="13" t="inlineStr">
        <is>
          <t>Online</t>
        </is>
      </c>
      <c r="E642" s="13" t="inlineStr">
        <is>
          <t>Furniture</t>
        </is>
      </c>
      <c r="F642" s="13" t="inlineStr">
        <is>
          <t>Walnut Shelf</t>
        </is>
      </c>
      <c r="G642" s="13" t="inlineStr">
        <is>
          <t>Consumer</t>
        </is>
      </c>
      <c r="H642" s="13" t="n">
        <v>2</v>
      </c>
      <c r="I642" s="14" t="n">
        <v>186.12</v>
      </c>
      <c r="J642" s="15" t="n">
        <v>0.12</v>
      </c>
      <c r="K642" s="14" t="n">
        <v>102.36</v>
      </c>
      <c r="L642" s="13" t="n"/>
      <c r="M642" s="13" t="inlineStr">
        <is>
          <t>Completed</t>
        </is>
      </c>
      <c r="N642" s="13" t="inlineStr">
        <is>
          <t>R. Ibarra</t>
        </is>
      </c>
      <c r="O642" s="13" t="inlineStr">
        <is>
          <t>No</t>
        </is>
      </c>
      <c r="P642" s="14">
        <f>H642*I642</f>
        <v/>
      </c>
      <c r="Q642" s="14">
        <f>P642*(1-J642)</f>
        <v/>
      </c>
      <c r="R642" s="14">
        <f>H642*K642</f>
        <v/>
      </c>
      <c r="S642" s="15">
        <f>IF(Q642=0,"",(Q642-R642)/Q642)</f>
        <v/>
      </c>
      <c r="T642" s="13">
        <f>YEAR(B642)</f>
        <v/>
      </c>
      <c r="U642" s="13">
        <f>YEAR(B642)&amp;"-Q"&amp;ROUNDUP(MONTH(B642)/3,0)</f>
        <v/>
      </c>
      <c r="V642" s="13">
        <f>TEXT(B642,"YYYY-MM")</f>
        <v/>
      </c>
      <c r="W642" s="13">
        <f>IF(L642="","",IF(L642&gt;pLateDays,1,0))</f>
        <v/>
      </c>
      <c r="X642" s="13">
        <f>IF(Q642&gt;=pHighCutoff,1,0)</f>
        <v/>
      </c>
      <c r="Y642" s="13">
        <f>IF(M642="Returned",1,0)</f>
        <v/>
      </c>
    </row>
    <row r="643">
      <c r="A643" s="13" t="inlineStr">
        <is>
          <t>HC-100641</t>
        </is>
      </c>
      <c r="B643" s="18" t="n">
        <v>45591</v>
      </c>
      <c r="C643" s="13" t="inlineStr">
        <is>
          <t>South</t>
        </is>
      </c>
      <c r="D643" s="13" t="inlineStr">
        <is>
          <t>Wholesale</t>
        </is>
      </c>
      <c r="E643" s="13" t="inlineStr">
        <is>
          <t>Lighting</t>
        </is>
      </c>
      <c r="F643" s="13" t="inlineStr">
        <is>
          <t>Arc Lamp</t>
        </is>
      </c>
      <c r="G643" s="13" t="inlineStr">
        <is>
          <t>Home Office</t>
        </is>
      </c>
      <c r="H643" s="13" t="n">
        <v>25</v>
      </c>
      <c r="I643" s="14" t="n">
        <v>328.42</v>
      </c>
      <c r="J643" s="15" t="n">
        <v>0.26</v>
      </c>
      <c r="K643" s="14" t="n">
        <v>157.64</v>
      </c>
      <c r="L643" s="13" t="n">
        <v>8</v>
      </c>
      <c r="M643" s="13" t="inlineStr">
        <is>
          <t>Completed</t>
        </is>
      </c>
      <c r="N643" s="13" t="inlineStr">
        <is>
          <t>R. Ibarra</t>
        </is>
      </c>
      <c r="O643" s="13" t="inlineStr">
        <is>
          <t>No</t>
        </is>
      </c>
      <c r="P643" s="14">
        <f>H643*I643</f>
        <v/>
      </c>
      <c r="Q643" s="14">
        <f>P643*(1-J643)</f>
        <v/>
      </c>
      <c r="R643" s="14">
        <f>H643*K643</f>
        <v/>
      </c>
      <c r="S643" s="15">
        <f>IF(Q643=0,"",(Q643-R643)/Q643)</f>
        <v/>
      </c>
      <c r="T643" s="13">
        <f>YEAR(B643)</f>
        <v/>
      </c>
      <c r="U643" s="13">
        <f>YEAR(B643)&amp;"-Q"&amp;ROUNDUP(MONTH(B643)/3,0)</f>
        <v/>
      </c>
      <c r="V643" s="13">
        <f>TEXT(B643,"YYYY-MM")</f>
        <v/>
      </c>
      <c r="W643" s="13">
        <f>IF(L643="","",IF(L643&gt;pLateDays,1,0))</f>
        <v/>
      </c>
      <c r="X643" s="13">
        <f>IF(Q643&gt;=pHighCutoff,1,0)</f>
        <v/>
      </c>
      <c r="Y643" s="13">
        <f>IF(M643="Returned",1,0)</f>
        <v/>
      </c>
    </row>
    <row r="644">
      <c r="A644" s="13" t="inlineStr">
        <is>
          <t>HC-100642</t>
        </is>
      </c>
      <c r="B644" s="18" t="n">
        <v>45839</v>
      </c>
      <c r="C644" s="13" t="inlineStr">
        <is>
          <t>South</t>
        </is>
      </c>
      <c r="D644" s="13" t="inlineStr">
        <is>
          <t>Store</t>
        </is>
      </c>
      <c r="E644" s="13" t="inlineStr">
        <is>
          <t>Kitchen</t>
        </is>
      </c>
      <c r="F644" s="13" t="inlineStr">
        <is>
          <t>Ceramic Set</t>
        </is>
      </c>
      <c r="G644" s="13" t="inlineStr">
        <is>
          <t>Consumer</t>
        </is>
      </c>
      <c r="H644" s="13" t="n">
        <v>4</v>
      </c>
      <c r="I644" s="14" t="n">
        <v>89.45999999999999</v>
      </c>
      <c r="J644" s="15" t="n">
        <v>0.01</v>
      </c>
      <c r="K644" s="14" t="n">
        <v>34</v>
      </c>
      <c r="L644" s="13" t="n">
        <v>5</v>
      </c>
      <c r="M644" s="13" t="inlineStr">
        <is>
          <t>Completed</t>
        </is>
      </c>
      <c r="N644" s="13" t="inlineStr">
        <is>
          <t>L. Berger</t>
        </is>
      </c>
      <c r="O644" s="13" t="inlineStr">
        <is>
          <t>No</t>
        </is>
      </c>
      <c r="P644" s="14">
        <f>H644*I644</f>
        <v/>
      </c>
      <c r="Q644" s="14">
        <f>P644*(1-J644)</f>
        <v/>
      </c>
      <c r="R644" s="14">
        <f>H644*K644</f>
        <v/>
      </c>
      <c r="S644" s="15">
        <f>IF(Q644=0,"",(Q644-R644)/Q644)</f>
        <v/>
      </c>
      <c r="T644" s="13">
        <f>YEAR(B644)</f>
        <v/>
      </c>
      <c r="U644" s="13">
        <f>YEAR(B644)&amp;"-Q"&amp;ROUNDUP(MONTH(B644)/3,0)</f>
        <v/>
      </c>
      <c r="V644" s="13">
        <f>TEXT(B644,"YYYY-MM")</f>
        <v/>
      </c>
      <c r="W644" s="13">
        <f>IF(L644="","",IF(L644&gt;pLateDays,1,0))</f>
        <v/>
      </c>
      <c r="X644" s="13">
        <f>IF(Q644&gt;=pHighCutoff,1,0)</f>
        <v/>
      </c>
      <c r="Y644" s="13">
        <f>IF(M644="Returned",1,0)</f>
        <v/>
      </c>
    </row>
    <row r="645">
      <c r="A645" s="13" t="inlineStr">
        <is>
          <t>HC-100643</t>
        </is>
      </c>
      <c r="B645" s="18" t="n">
        <v>45800</v>
      </c>
      <c r="C645" s="13" t="inlineStr">
        <is>
          <t>North</t>
        </is>
      </c>
      <c r="D645" s="13" t="inlineStr">
        <is>
          <t>Store</t>
        </is>
      </c>
      <c r="E645" s="13" t="inlineStr">
        <is>
          <t>Lighting</t>
        </is>
      </c>
      <c r="F645" s="13" t="inlineStr">
        <is>
          <t>Brass Sconce</t>
        </is>
      </c>
      <c r="G645" s="13" t="inlineStr">
        <is>
          <t>Consumer</t>
        </is>
      </c>
      <c r="H645" s="13" t="n">
        <v>2</v>
      </c>
      <c r="I645" s="14" t="n">
        <v>150.17</v>
      </c>
      <c r="J645" s="15" t="n">
        <v>0.02</v>
      </c>
      <c r="K645" s="14" t="n">
        <v>69.08</v>
      </c>
      <c r="L645" s="13" t="n">
        <v>1</v>
      </c>
      <c r="M645" s="13" t="inlineStr">
        <is>
          <t>Completed</t>
        </is>
      </c>
      <c r="N645" s="13" t="inlineStr">
        <is>
          <t>J. Patel</t>
        </is>
      </c>
      <c r="O645" s="13" t="inlineStr">
        <is>
          <t>No</t>
        </is>
      </c>
      <c r="P645" s="14">
        <f>H645*I645</f>
        <v/>
      </c>
      <c r="Q645" s="14">
        <f>P645*(1-J645)</f>
        <v/>
      </c>
      <c r="R645" s="14">
        <f>H645*K645</f>
        <v/>
      </c>
      <c r="S645" s="15">
        <f>IF(Q645=0,"",(Q645-R645)/Q645)</f>
        <v/>
      </c>
      <c r="T645" s="13">
        <f>YEAR(B645)</f>
        <v/>
      </c>
      <c r="U645" s="13">
        <f>YEAR(B645)&amp;"-Q"&amp;ROUNDUP(MONTH(B645)/3,0)</f>
        <v/>
      </c>
      <c r="V645" s="13">
        <f>TEXT(B645,"YYYY-MM")</f>
        <v/>
      </c>
      <c r="W645" s="13">
        <f>IF(L645="","",IF(L645&gt;pLateDays,1,0))</f>
        <v/>
      </c>
      <c r="X645" s="13">
        <f>IF(Q645&gt;=pHighCutoff,1,0)</f>
        <v/>
      </c>
      <c r="Y645" s="13">
        <f>IF(M645="Returned",1,0)</f>
        <v/>
      </c>
    </row>
    <row r="646">
      <c r="A646" s="13" t="inlineStr">
        <is>
          <t>HC-100644</t>
        </is>
      </c>
      <c r="B646" s="18" t="n">
        <v>45888</v>
      </c>
      <c r="C646" s="13" t="inlineStr">
        <is>
          <t>North</t>
        </is>
      </c>
      <c r="D646" s="13" t="inlineStr">
        <is>
          <t>Store</t>
        </is>
      </c>
      <c r="E646" s="13" t="inlineStr">
        <is>
          <t>Textiles</t>
        </is>
      </c>
      <c r="F646" s="13" t="inlineStr">
        <is>
          <t>Linen Curtain</t>
        </is>
      </c>
      <c r="G646" s="13" t="inlineStr">
        <is>
          <t>Consumer</t>
        </is>
      </c>
      <c r="H646" s="13" t="n">
        <v>4</v>
      </c>
      <c r="I646" s="14" t="n">
        <v>92.43000000000001</v>
      </c>
      <c r="J646" s="15" t="n">
        <v>0.06</v>
      </c>
      <c r="K646" s="14" t="n">
        <v>41.59</v>
      </c>
      <c r="L646" s="13" t="n"/>
      <c r="M646" s="13" t="inlineStr">
        <is>
          <t>Completed</t>
        </is>
      </c>
      <c r="N646" s="13" t="inlineStr">
        <is>
          <t>M. Okonkwo</t>
        </is>
      </c>
      <c r="O646" s="13" t="inlineStr">
        <is>
          <t>No</t>
        </is>
      </c>
      <c r="P646" s="14">
        <f>H646*I646</f>
        <v/>
      </c>
      <c r="Q646" s="14">
        <f>P646*(1-J646)</f>
        <v/>
      </c>
      <c r="R646" s="14">
        <f>H646*K646</f>
        <v/>
      </c>
      <c r="S646" s="15">
        <f>IF(Q646=0,"",(Q646-R646)/Q646)</f>
        <v/>
      </c>
      <c r="T646" s="13">
        <f>YEAR(B646)</f>
        <v/>
      </c>
      <c r="U646" s="13">
        <f>YEAR(B646)&amp;"-Q"&amp;ROUNDUP(MONTH(B646)/3,0)</f>
        <v/>
      </c>
      <c r="V646" s="13">
        <f>TEXT(B646,"YYYY-MM")</f>
        <v/>
      </c>
      <c r="W646" s="13">
        <f>IF(L646="","",IF(L646&gt;pLateDays,1,0))</f>
        <v/>
      </c>
      <c r="X646" s="13">
        <f>IF(Q646&gt;=pHighCutoff,1,0)</f>
        <v/>
      </c>
      <c r="Y646" s="13">
        <f>IF(M646="Returned",1,0)</f>
        <v/>
      </c>
    </row>
    <row r="647">
      <c r="A647" s="13" t="inlineStr">
        <is>
          <t>HC-100645</t>
        </is>
      </c>
      <c r="B647" s="18" t="n">
        <v>45399</v>
      </c>
      <c r="C647" s="13" t="inlineStr">
        <is>
          <t>North</t>
        </is>
      </c>
      <c r="D647" s="13" t="inlineStr">
        <is>
          <t>Store</t>
        </is>
      </c>
      <c r="E647" s="13" t="inlineStr">
        <is>
          <t>Furniture</t>
        </is>
      </c>
      <c r="F647" s="13" t="inlineStr">
        <is>
          <t>Oak Desk</t>
        </is>
      </c>
      <c r="G647" s="13" t="inlineStr">
        <is>
          <t>Consumer</t>
        </is>
      </c>
      <c r="H647" s="13" t="n">
        <v>3</v>
      </c>
      <c r="I647" s="14" t="n">
        <v>781.03</v>
      </c>
      <c r="J647" s="15" t="n">
        <v>0.03</v>
      </c>
      <c r="K647" s="14" t="n">
        <v>484.24</v>
      </c>
      <c r="L647" s="13" t="n">
        <v>4</v>
      </c>
      <c r="M647" s="13" t="inlineStr">
        <is>
          <t>Completed</t>
        </is>
      </c>
      <c r="N647" s="13" t="inlineStr">
        <is>
          <t>L. Berger</t>
        </is>
      </c>
      <c r="O647" s="13" t="inlineStr">
        <is>
          <t>No</t>
        </is>
      </c>
      <c r="P647" s="14">
        <f>H647*I647</f>
        <v/>
      </c>
      <c r="Q647" s="14">
        <f>P647*(1-J647)</f>
        <v/>
      </c>
      <c r="R647" s="14">
        <f>H647*K647</f>
        <v/>
      </c>
      <c r="S647" s="15">
        <f>IF(Q647=0,"",(Q647-R647)/Q647)</f>
        <v/>
      </c>
      <c r="T647" s="13">
        <f>YEAR(B647)</f>
        <v/>
      </c>
      <c r="U647" s="13">
        <f>YEAR(B647)&amp;"-Q"&amp;ROUNDUP(MONTH(B647)/3,0)</f>
        <v/>
      </c>
      <c r="V647" s="13">
        <f>TEXT(B647,"YYYY-MM")</f>
        <v/>
      </c>
      <c r="W647" s="13">
        <f>IF(L647="","",IF(L647&gt;pLateDays,1,0))</f>
        <v/>
      </c>
      <c r="X647" s="13">
        <f>IF(Q647&gt;=pHighCutoff,1,0)</f>
        <v/>
      </c>
      <c r="Y647" s="13">
        <f>IF(M647="Returned",1,0)</f>
        <v/>
      </c>
    </row>
    <row r="648">
      <c r="A648" s="13" t="inlineStr">
        <is>
          <t>HC-100646</t>
        </is>
      </c>
      <c r="B648" s="18" t="n">
        <v>45696</v>
      </c>
      <c r="C648" s="13" t="inlineStr">
        <is>
          <t>East</t>
        </is>
      </c>
      <c r="D648" s="13" t="inlineStr">
        <is>
          <t>Store</t>
        </is>
      </c>
      <c r="E648" s="13" t="inlineStr">
        <is>
          <t>Textiles</t>
        </is>
      </c>
      <c r="F648" s="13" t="inlineStr">
        <is>
          <t>Wool Throw</t>
        </is>
      </c>
      <c r="G648" s="13" t="inlineStr">
        <is>
          <t>Consumer</t>
        </is>
      </c>
      <c r="H648" s="13" t="n">
        <v>1</v>
      </c>
      <c r="I648" s="14" t="n">
        <v>64.66</v>
      </c>
      <c r="J648" s="15" t="n">
        <v>0.06</v>
      </c>
      <c r="K648" s="14" t="n">
        <v>27.16</v>
      </c>
      <c r="L648" s="13" t="n">
        <v>5</v>
      </c>
      <c r="M648" s="13" t="inlineStr">
        <is>
          <t>Completed</t>
        </is>
      </c>
      <c r="N648" s="13" t="inlineStr">
        <is>
          <t>A. Shah</t>
        </is>
      </c>
      <c r="O648" s="13" t="inlineStr">
        <is>
          <t>No</t>
        </is>
      </c>
      <c r="P648" s="14">
        <f>H648*I648</f>
        <v/>
      </c>
      <c r="Q648" s="14">
        <f>P648*(1-J648)</f>
        <v/>
      </c>
      <c r="R648" s="14">
        <f>H648*K648</f>
        <v/>
      </c>
      <c r="S648" s="15">
        <f>IF(Q648=0,"",(Q648-R648)/Q648)</f>
        <v/>
      </c>
      <c r="T648" s="13">
        <f>YEAR(B648)</f>
        <v/>
      </c>
      <c r="U648" s="13">
        <f>YEAR(B648)&amp;"-Q"&amp;ROUNDUP(MONTH(B648)/3,0)</f>
        <v/>
      </c>
      <c r="V648" s="13">
        <f>TEXT(B648,"YYYY-MM")</f>
        <v/>
      </c>
      <c r="W648" s="13">
        <f>IF(L648="","",IF(L648&gt;pLateDays,1,0))</f>
        <v/>
      </c>
      <c r="X648" s="13">
        <f>IF(Q648&gt;=pHighCutoff,1,0)</f>
        <v/>
      </c>
      <c r="Y648" s="13">
        <f>IF(M648="Returned",1,0)</f>
        <v/>
      </c>
    </row>
    <row r="649">
      <c r="A649" s="13" t="inlineStr">
        <is>
          <t>HC-100647</t>
        </is>
      </c>
      <c r="B649" s="18" t="n">
        <v>45898</v>
      </c>
      <c r="C649" s="13" t="inlineStr">
        <is>
          <t>East</t>
        </is>
      </c>
      <c r="D649" s="13" t="inlineStr">
        <is>
          <t>Online</t>
        </is>
      </c>
      <c r="E649" s="13" t="inlineStr">
        <is>
          <t>Textiles</t>
        </is>
      </c>
      <c r="F649" s="13" t="inlineStr">
        <is>
          <t>Cotton Duvet</t>
        </is>
      </c>
      <c r="G649" s="13" t="inlineStr">
        <is>
          <t>Consumer</t>
        </is>
      </c>
      <c r="H649" s="13" t="n">
        <v>2</v>
      </c>
      <c r="I649" s="14" t="n">
        <v>108.92</v>
      </c>
      <c r="J649" s="15" t="n">
        <v>0.13</v>
      </c>
      <c r="K649" s="14" t="n">
        <v>47.92</v>
      </c>
      <c r="L649" s="13" t="n">
        <v>6</v>
      </c>
      <c r="M649" s="13" t="inlineStr">
        <is>
          <t>Returned</t>
        </is>
      </c>
      <c r="N649" s="13" t="inlineStr">
        <is>
          <t>K. Mensah</t>
        </is>
      </c>
      <c r="O649" s="13" t="inlineStr">
        <is>
          <t>No</t>
        </is>
      </c>
      <c r="P649" s="14">
        <f>H649*I649</f>
        <v/>
      </c>
      <c r="Q649" s="14">
        <f>P649*(1-J649)</f>
        <v/>
      </c>
      <c r="R649" s="14">
        <f>H649*K649</f>
        <v/>
      </c>
      <c r="S649" s="15">
        <f>IF(Q649=0,"",(Q649-R649)/Q649)</f>
        <v/>
      </c>
      <c r="T649" s="13">
        <f>YEAR(B649)</f>
        <v/>
      </c>
      <c r="U649" s="13">
        <f>YEAR(B649)&amp;"-Q"&amp;ROUNDUP(MONTH(B649)/3,0)</f>
        <v/>
      </c>
      <c r="V649" s="13">
        <f>TEXT(B649,"YYYY-MM")</f>
        <v/>
      </c>
      <c r="W649" s="13">
        <f>IF(L649="","",IF(L649&gt;pLateDays,1,0))</f>
        <v/>
      </c>
      <c r="X649" s="13">
        <f>IF(Q649&gt;=pHighCutoff,1,0)</f>
        <v/>
      </c>
      <c r="Y649" s="13">
        <f>IF(M649="Returned",1,0)</f>
        <v/>
      </c>
    </row>
    <row r="650">
      <c r="A650" s="13" t="inlineStr">
        <is>
          <t>HC-100648</t>
        </is>
      </c>
      <c r="B650" s="18" t="n">
        <v>45571</v>
      </c>
      <c r="C650" s="13" t="inlineStr">
        <is>
          <t>South</t>
        </is>
      </c>
      <c r="D650" s="13" t="inlineStr">
        <is>
          <t>Online</t>
        </is>
      </c>
      <c r="E650" s="13" t="inlineStr">
        <is>
          <t>Furniture</t>
        </is>
      </c>
      <c r="F650" s="13" t="inlineStr">
        <is>
          <t>Linen Sofa</t>
        </is>
      </c>
      <c r="G650" s="13" t="inlineStr">
        <is>
          <t>Consumer</t>
        </is>
      </c>
      <c r="H650" s="13" t="n">
        <v>1</v>
      </c>
      <c r="I650" s="14" t="n">
        <v>1274.36</v>
      </c>
      <c r="J650" s="15" t="n">
        <v>0.12</v>
      </c>
      <c r="K650" s="14" t="n">
        <v>841.08</v>
      </c>
      <c r="L650" s="13" t="n">
        <v>6</v>
      </c>
      <c r="M650" s="13" t="inlineStr">
        <is>
          <t>Completed</t>
        </is>
      </c>
      <c r="N650" s="13" t="inlineStr">
        <is>
          <t>P. Rossi</t>
        </is>
      </c>
      <c r="O650" s="13" t="inlineStr">
        <is>
          <t>No</t>
        </is>
      </c>
      <c r="P650" s="14">
        <f>H650*I650</f>
        <v/>
      </c>
      <c r="Q650" s="14">
        <f>P650*(1-J650)</f>
        <v/>
      </c>
      <c r="R650" s="14">
        <f>H650*K650</f>
        <v/>
      </c>
      <c r="S650" s="15">
        <f>IF(Q650=0,"",(Q650-R650)/Q650)</f>
        <v/>
      </c>
      <c r="T650" s="13">
        <f>YEAR(B650)</f>
        <v/>
      </c>
      <c r="U650" s="13">
        <f>YEAR(B650)&amp;"-Q"&amp;ROUNDUP(MONTH(B650)/3,0)</f>
        <v/>
      </c>
      <c r="V650" s="13">
        <f>TEXT(B650,"YYYY-MM")</f>
        <v/>
      </c>
      <c r="W650" s="13">
        <f>IF(L650="","",IF(L650&gt;pLateDays,1,0))</f>
        <v/>
      </c>
      <c r="X650" s="13">
        <f>IF(Q650&gt;=pHighCutoff,1,0)</f>
        <v/>
      </c>
      <c r="Y650" s="13">
        <f>IF(M650="Returned",1,0)</f>
        <v/>
      </c>
    </row>
    <row r="651">
      <c r="A651" s="13" t="inlineStr">
        <is>
          <t>HC-100649</t>
        </is>
      </c>
      <c r="B651" s="18" t="n">
        <v>45576</v>
      </c>
      <c r="C651" s="13" t="inlineStr">
        <is>
          <t>West</t>
        </is>
      </c>
      <c r="D651" s="13" t="inlineStr">
        <is>
          <t>Online</t>
        </is>
      </c>
      <c r="E651" s="13" t="inlineStr">
        <is>
          <t>Furniture</t>
        </is>
      </c>
      <c r="F651" s="13" t="inlineStr">
        <is>
          <t>Linen Sofa</t>
        </is>
      </c>
      <c r="G651" s="13" t="inlineStr">
        <is>
          <t>Corporate</t>
        </is>
      </c>
      <c r="H651" s="13" t="n">
        <v>3</v>
      </c>
      <c r="I651" s="14" t="n">
        <v>1262.19</v>
      </c>
      <c r="J651" s="15" t="n">
        <v>0.13</v>
      </c>
      <c r="K651" s="14" t="n">
        <v>833.05</v>
      </c>
      <c r="L651" s="13" t="n">
        <v>6</v>
      </c>
      <c r="M651" s="13" t="inlineStr">
        <is>
          <t>Completed</t>
        </is>
      </c>
      <c r="N651" s="13" t="inlineStr">
        <is>
          <t>J. Patel</t>
        </is>
      </c>
      <c r="O651" s="13" t="inlineStr">
        <is>
          <t>No</t>
        </is>
      </c>
      <c r="P651" s="14">
        <f>H651*I651</f>
        <v/>
      </c>
      <c r="Q651" s="14">
        <f>P651*(1-J651)</f>
        <v/>
      </c>
      <c r="R651" s="14">
        <f>H651*K651</f>
        <v/>
      </c>
      <c r="S651" s="15">
        <f>IF(Q651=0,"",(Q651-R651)/Q651)</f>
        <v/>
      </c>
      <c r="T651" s="13">
        <f>YEAR(B651)</f>
        <v/>
      </c>
      <c r="U651" s="13">
        <f>YEAR(B651)&amp;"-Q"&amp;ROUNDUP(MONTH(B651)/3,0)</f>
        <v/>
      </c>
      <c r="V651" s="13">
        <f>TEXT(B651,"YYYY-MM")</f>
        <v/>
      </c>
      <c r="W651" s="13">
        <f>IF(L651="","",IF(L651&gt;pLateDays,1,0))</f>
        <v/>
      </c>
      <c r="X651" s="13">
        <f>IF(Q651&gt;=pHighCutoff,1,0)</f>
        <v/>
      </c>
      <c r="Y651" s="13">
        <f>IF(M651="Returned",1,0)</f>
        <v/>
      </c>
    </row>
    <row r="652">
      <c r="A652" s="13" t="inlineStr">
        <is>
          <t>HC-100650</t>
        </is>
      </c>
      <c r="B652" s="18" t="n">
        <v>45791</v>
      </c>
      <c r="C652" s="13" t="inlineStr">
        <is>
          <t>North</t>
        </is>
      </c>
      <c r="D652" s="13" t="inlineStr">
        <is>
          <t>Online</t>
        </is>
      </c>
      <c r="E652" s="13" t="inlineStr">
        <is>
          <t>Textiles</t>
        </is>
      </c>
      <c r="F652" s="13" t="inlineStr">
        <is>
          <t>Cotton Duvet</t>
        </is>
      </c>
      <c r="G652" s="13" t="inlineStr">
        <is>
          <t>Consumer</t>
        </is>
      </c>
      <c r="H652" s="13" t="n">
        <v>1</v>
      </c>
      <c r="I652" s="14" t="n">
        <v>116.32</v>
      </c>
      <c r="J652" s="15" t="n">
        <v>0.03</v>
      </c>
      <c r="K652" s="14" t="n">
        <v>51.18</v>
      </c>
      <c r="L652" s="13" t="n">
        <v>8</v>
      </c>
      <c r="M652" s="13" t="inlineStr">
        <is>
          <t>Completed</t>
        </is>
      </c>
      <c r="N652" s="13" t="inlineStr">
        <is>
          <t>P. Rossi</t>
        </is>
      </c>
      <c r="O652" s="13" t="inlineStr">
        <is>
          <t>No</t>
        </is>
      </c>
      <c r="P652" s="14">
        <f>H652*I652</f>
        <v/>
      </c>
      <c r="Q652" s="14">
        <f>P652*(1-J652)</f>
        <v/>
      </c>
      <c r="R652" s="14">
        <f>H652*K652</f>
        <v/>
      </c>
      <c r="S652" s="15">
        <f>IF(Q652=0,"",(Q652-R652)/Q652)</f>
        <v/>
      </c>
      <c r="T652" s="13">
        <f>YEAR(B652)</f>
        <v/>
      </c>
      <c r="U652" s="13">
        <f>YEAR(B652)&amp;"-Q"&amp;ROUNDUP(MONTH(B652)/3,0)</f>
        <v/>
      </c>
      <c r="V652" s="13">
        <f>TEXT(B652,"YYYY-MM")</f>
        <v/>
      </c>
      <c r="W652" s="13">
        <f>IF(L652="","",IF(L652&gt;pLateDays,1,0))</f>
        <v/>
      </c>
      <c r="X652" s="13">
        <f>IF(Q652&gt;=pHighCutoff,1,0)</f>
        <v/>
      </c>
      <c r="Y652" s="13">
        <f>IF(M652="Returned",1,0)</f>
        <v/>
      </c>
    </row>
    <row r="653">
      <c r="A653" s="13" t="inlineStr">
        <is>
          <t>HC-100651</t>
        </is>
      </c>
      <c r="B653" s="18" t="n">
        <v>45495</v>
      </c>
      <c r="C653" s="13" t="inlineStr">
        <is>
          <t>West</t>
        </is>
      </c>
      <c r="D653" s="13" t="inlineStr">
        <is>
          <t>Store</t>
        </is>
      </c>
      <c r="E653" s="13" t="inlineStr">
        <is>
          <t>Textiles</t>
        </is>
      </c>
      <c r="F653" s="13" t="inlineStr">
        <is>
          <t>Wool Throw</t>
        </is>
      </c>
      <c r="G653" s="13" t="inlineStr">
        <is>
          <t>Consumer</t>
        </is>
      </c>
      <c r="H653" s="13" t="n">
        <v>2</v>
      </c>
      <c r="I653" s="14" t="n">
        <v>73.95</v>
      </c>
      <c r="J653" s="15" t="n">
        <v>0.08</v>
      </c>
      <c r="K653" s="14" t="n">
        <v>31.06</v>
      </c>
      <c r="L653" s="13" t="n">
        <v>9</v>
      </c>
      <c r="M653" s="13" t="inlineStr">
        <is>
          <t>Completed</t>
        </is>
      </c>
      <c r="N653" s="13" t="inlineStr">
        <is>
          <t>J. Patel</t>
        </is>
      </c>
      <c r="O653" s="13" t="inlineStr">
        <is>
          <t>No</t>
        </is>
      </c>
      <c r="P653" s="14">
        <f>H653*I653</f>
        <v/>
      </c>
      <c r="Q653" s="14">
        <f>P653*(1-J653)</f>
        <v/>
      </c>
      <c r="R653" s="14">
        <f>H653*K653</f>
        <v/>
      </c>
      <c r="S653" s="15">
        <f>IF(Q653=0,"",(Q653-R653)/Q653)</f>
        <v/>
      </c>
      <c r="T653" s="13">
        <f>YEAR(B653)</f>
        <v/>
      </c>
      <c r="U653" s="13">
        <f>YEAR(B653)&amp;"-Q"&amp;ROUNDUP(MONTH(B653)/3,0)</f>
        <v/>
      </c>
      <c r="V653" s="13">
        <f>TEXT(B653,"YYYY-MM")</f>
        <v/>
      </c>
      <c r="W653" s="13">
        <f>IF(L653="","",IF(L653&gt;pLateDays,1,0))</f>
        <v/>
      </c>
      <c r="X653" s="13">
        <f>IF(Q653&gt;=pHighCutoff,1,0)</f>
        <v/>
      </c>
      <c r="Y653" s="13">
        <f>IF(M653="Returned",1,0)</f>
        <v/>
      </c>
    </row>
    <row r="654">
      <c r="A654" s="13" t="inlineStr">
        <is>
          <t>HC-100652</t>
        </is>
      </c>
      <c r="B654" s="18" t="n">
        <v>45671</v>
      </c>
      <c r="C654" s="13" t="inlineStr">
        <is>
          <t>West</t>
        </is>
      </c>
      <c r="D654" s="13" t="inlineStr">
        <is>
          <t>Store</t>
        </is>
      </c>
      <c r="E654" s="13" t="inlineStr">
        <is>
          <t>Textiles</t>
        </is>
      </c>
      <c r="F654" s="13" t="inlineStr">
        <is>
          <t>Linen Curtain</t>
        </is>
      </c>
      <c r="G654" s="13" t="inlineStr">
        <is>
          <t>Consumer</t>
        </is>
      </c>
      <c r="H654" s="13" t="n">
        <v>1</v>
      </c>
      <c r="I654" s="14" t="n">
        <v>91.12</v>
      </c>
      <c r="J654" s="15" t="n">
        <v>0.11</v>
      </c>
      <c r="K654" s="14" t="n">
        <v>41.01</v>
      </c>
      <c r="L654" s="13" t="n">
        <v>1</v>
      </c>
      <c r="M654" s="13" t="inlineStr">
        <is>
          <t>Completed</t>
        </is>
      </c>
      <c r="N654" s="13" t="inlineStr">
        <is>
          <t>P. Rossi</t>
        </is>
      </c>
      <c r="O654" s="13" t="inlineStr">
        <is>
          <t>No</t>
        </is>
      </c>
      <c r="P654" s="14">
        <f>H654*I654</f>
        <v/>
      </c>
      <c r="Q654" s="14">
        <f>P654*(1-J654)</f>
        <v/>
      </c>
      <c r="R654" s="14">
        <f>H654*K654</f>
        <v/>
      </c>
      <c r="S654" s="15">
        <f>IF(Q654=0,"",(Q654-R654)/Q654)</f>
        <v/>
      </c>
      <c r="T654" s="13">
        <f>YEAR(B654)</f>
        <v/>
      </c>
      <c r="U654" s="13">
        <f>YEAR(B654)&amp;"-Q"&amp;ROUNDUP(MONTH(B654)/3,0)</f>
        <v/>
      </c>
      <c r="V654" s="13">
        <f>TEXT(B654,"YYYY-MM")</f>
        <v/>
      </c>
      <c r="W654" s="13">
        <f>IF(L654="","",IF(L654&gt;pLateDays,1,0))</f>
        <v/>
      </c>
      <c r="X654" s="13">
        <f>IF(Q654&gt;=pHighCutoff,1,0)</f>
        <v/>
      </c>
      <c r="Y654" s="13">
        <f>IF(M654="Returned",1,0)</f>
        <v/>
      </c>
    </row>
    <row r="655">
      <c r="A655" s="13" t="inlineStr">
        <is>
          <t>HC-100653</t>
        </is>
      </c>
      <c r="B655" s="18" t="n">
        <v>45431</v>
      </c>
      <c r="C655" s="13" t="inlineStr">
        <is>
          <t>East</t>
        </is>
      </c>
      <c r="D655" s="13" t="inlineStr">
        <is>
          <t>Online</t>
        </is>
      </c>
      <c r="E655" s="13" t="inlineStr">
        <is>
          <t>Furniture</t>
        </is>
      </c>
      <c r="F655" s="13" t="inlineStr">
        <is>
          <t>Oak Desk</t>
        </is>
      </c>
      <c r="G655" s="13" t="inlineStr">
        <is>
          <t>Consumer</t>
        </is>
      </c>
      <c r="H655" s="13" t="n">
        <v>3</v>
      </c>
      <c r="I655" s="14" t="n">
        <v>746.96</v>
      </c>
      <c r="J655" s="15" t="n">
        <v>0.08</v>
      </c>
      <c r="K655" s="14" t="n">
        <v>463.11</v>
      </c>
      <c r="L655" s="13" t="n">
        <v>8</v>
      </c>
      <c r="M655" s="13" t="inlineStr">
        <is>
          <t>Completed</t>
        </is>
      </c>
      <c r="N655" s="13" t="inlineStr">
        <is>
          <t>J. Patel</t>
        </is>
      </c>
      <c r="O655" s="13" t="inlineStr">
        <is>
          <t>No</t>
        </is>
      </c>
      <c r="P655" s="14">
        <f>H655*I655</f>
        <v/>
      </c>
      <c r="Q655" s="14">
        <f>P655*(1-J655)</f>
        <v/>
      </c>
      <c r="R655" s="14">
        <f>H655*K655</f>
        <v/>
      </c>
      <c r="S655" s="15">
        <f>IF(Q655=0,"",(Q655-R655)/Q655)</f>
        <v/>
      </c>
      <c r="T655" s="13">
        <f>YEAR(B655)</f>
        <v/>
      </c>
      <c r="U655" s="13">
        <f>YEAR(B655)&amp;"-Q"&amp;ROUNDUP(MONTH(B655)/3,0)</f>
        <v/>
      </c>
      <c r="V655" s="13">
        <f>TEXT(B655,"YYYY-MM")</f>
        <v/>
      </c>
      <c r="W655" s="13">
        <f>IF(L655="","",IF(L655&gt;pLateDays,1,0))</f>
        <v/>
      </c>
      <c r="X655" s="13">
        <f>IF(Q655&gt;=pHighCutoff,1,0)</f>
        <v/>
      </c>
      <c r="Y655" s="13">
        <f>IF(M655="Returned",1,0)</f>
        <v/>
      </c>
    </row>
    <row r="656">
      <c r="A656" s="13" t="inlineStr">
        <is>
          <t>HC-100654</t>
        </is>
      </c>
      <c r="B656" s="18" t="n">
        <v>45906</v>
      </c>
      <c r="C656" s="13" t="inlineStr">
        <is>
          <t>West</t>
        </is>
      </c>
      <c r="D656" s="13" t="inlineStr">
        <is>
          <t>Online</t>
        </is>
      </c>
      <c r="E656" s="13" t="inlineStr">
        <is>
          <t>Furniture</t>
        </is>
      </c>
      <c r="F656" s="13" t="inlineStr">
        <is>
          <t>Walnut Shelf</t>
        </is>
      </c>
      <c r="G656" s="13" t="inlineStr">
        <is>
          <t>Corporate</t>
        </is>
      </c>
      <c r="H656" s="13" t="n">
        <v>3</v>
      </c>
      <c r="I656" s="14" t="n">
        <v>233.61</v>
      </c>
      <c r="J656" s="15" t="n">
        <v>0.16</v>
      </c>
      <c r="K656" s="14" t="n">
        <v>128.49</v>
      </c>
      <c r="L656" s="13" t="n">
        <v>6</v>
      </c>
      <c r="M656" s="13" t="inlineStr">
        <is>
          <t>Completed</t>
        </is>
      </c>
      <c r="N656" s="13" t="inlineStr">
        <is>
          <t>R. Ibarra</t>
        </is>
      </c>
      <c r="O656" s="13" t="inlineStr">
        <is>
          <t>No</t>
        </is>
      </c>
      <c r="P656" s="14">
        <f>H656*I656</f>
        <v/>
      </c>
      <c r="Q656" s="14">
        <f>P656*(1-J656)</f>
        <v/>
      </c>
      <c r="R656" s="14">
        <f>H656*K656</f>
        <v/>
      </c>
      <c r="S656" s="15">
        <f>IF(Q656=0,"",(Q656-R656)/Q656)</f>
        <v/>
      </c>
      <c r="T656" s="13">
        <f>YEAR(B656)</f>
        <v/>
      </c>
      <c r="U656" s="13">
        <f>YEAR(B656)&amp;"-Q"&amp;ROUNDUP(MONTH(B656)/3,0)</f>
        <v/>
      </c>
      <c r="V656" s="13">
        <f>TEXT(B656,"YYYY-MM")</f>
        <v/>
      </c>
      <c r="W656" s="13">
        <f>IF(L656="","",IF(L656&gt;pLateDays,1,0))</f>
        <v/>
      </c>
      <c r="X656" s="13">
        <f>IF(Q656&gt;=pHighCutoff,1,0)</f>
        <v/>
      </c>
      <c r="Y656" s="13">
        <f>IF(M656="Returned",1,0)</f>
        <v/>
      </c>
    </row>
    <row r="657">
      <c r="A657" s="13" t="inlineStr">
        <is>
          <t>HC-100655</t>
        </is>
      </c>
      <c r="B657" s="18" t="n">
        <v>45608</v>
      </c>
      <c r="C657" s="13" t="inlineStr">
        <is>
          <t>South</t>
        </is>
      </c>
      <c r="D657" s="13" t="inlineStr">
        <is>
          <t>Store</t>
        </is>
      </c>
      <c r="E657" s="13" t="inlineStr">
        <is>
          <t>Textiles</t>
        </is>
      </c>
      <c r="F657" s="13" t="inlineStr">
        <is>
          <t>Cotton Duvet</t>
        </is>
      </c>
      <c r="G657" s="13" t="inlineStr">
        <is>
          <t>Consumer</t>
        </is>
      </c>
      <c r="H657" s="13" t="n">
        <v>2</v>
      </c>
      <c r="I657" s="14" t="n">
        <v>112.37</v>
      </c>
      <c r="J657" s="15" t="n">
        <v>0.1</v>
      </c>
      <c r="K657" s="14" t="n">
        <v>49.44</v>
      </c>
      <c r="L657" s="13" t="n">
        <v>6</v>
      </c>
      <c r="M657" s="13" t="inlineStr">
        <is>
          <t>Cancelled</t>
        </is>
      </c>
      <c r="N657" s="13" t="inlineStr">
        <is>
          <t>L. Berger</t>
        </is>
      </c>
      <c r="O657" s="13" t="inlineStr">
        <is>
          <t>No</t>
        </is>
      </c>
      <c r="P657" s="14">
        <f>H657*I657</f>
        <v/>
      </c>
      <c r="Q657" s="14">
        <f>P657*(1-J657)</f>
        <v/>
      </c>
      <c r="R657" s="14">
        <f>H657*K657</f>
        <v/>
      </c>
      <c r="S657" s="15">
        <f>IF(Q657=0,"",(Q657-R657)/Q657)</f>
        <v/>
      </c>
      <c r="T657" s="13">
        <f>YEAR(B657)</f>
        <v/>
      </c>
      <c r="U657" s="13">
        <f>YEAR(B657)&amp;"-Q"&amp;ROUNDUP(MONTH(B657)/3,0)</f>
        <v/>
      </c>
      <c r="V657" s="13">
        <f>TEXT(B657,"YYYY-MM")</f>
        <v/>
      </c>
      <c r="W657" s="13">
        <f>IF(L657="","",IF(L657&gt;pLateDays,1,0))</f>
        <v/>
      </c>
      <c r="X657" s="13">
        <f>IF(Q657&gt;=pHighCutoff,1,0)</f>
        <v/>
      </c>
      <c r="Y657" s="13">
        <f>IF(M657="Returned",1,0)</f>
        <v/>
      </c>
    </row>
    <row r="658">
      <c r="A658" s="13" t="inlineStr">
        <is>
          <t>HC-100656</t>
        </is>
      </c>
      <c r="B658" s="18" t="n">
        <v>45734</v>
      </c>
      <c r="C658" s="13" t="inlineStr">
        <is>
          <t>East</t>
        </is>
      </c>
      <c r="D658" s="13" t="inlineStr">
        <is>
          <t>Online</t>
        </is>
      </c>
      <c r="E658" s="13" t="inlineStr">
        <is>
          <t>Textiles</t>
        </is>
      </c>
      <c r="F658" s="13" t="inlineStr">
        <is>
          <t>Wool Throw</t>
        </is>
      </c>
      <c r="G658" s="13" t="inlineStr">
        <is>
          <t>Consumer</t>
        </is>
      </c>
      <c r="H658" s="13" t="n">
        <v>2</v>
      </c>
      <c r="I658" s="14" t="n">
        <v>70.34</v>
      </c>
      <c r="J658" s="15" t="n">
        <v>0.1</v>
      </c>
      <c r="K658" s="14" t="n">
        <v>29.54</v>
      </c>
      <c r="L658" s="13" t="n"/>
      <c r="M658" s="13" t="inlineStr">
        <is>
          <t>Completed</t>
        </is>
      </c>
      <c r="N658" s="13" t="inlineStr">
        <is>
          <t>S. Nguyen</t>
        </is>
      </c>
      <c r="O658" s="13" t="inlineStr">
        <is>
          <t>No</t>
        </is>
      </c>
      <c r="P658" s="14">
        <f>H658*I658</f>
        <v/>
      </c>
      <c r="Q658" s="14">
        <f>P658*(1-J658)</f>
        <v/>
      </c>
      <c r="R658" s="14">
        <f>H658*K658</f>
        <v/>
      </c>
      <c r="S658" s="15">
        <f>IF(Q658=0,"",(Q658-R658)/Q658)</f>
        <v/>
      </c>
      <c r="T658" s="13">
        <f>YEAR(B658)</f>
        <v/>
      </c>
      <c r="U658" s="13">
        <f>YEAR(B658)&amp;"-Q"&amp;ROUNDUP(MONTH(B658)/3,0)</f>
        <v/>
      </c>
      <c r="V658" s="13">
        <f>TEXT(B658,"YYYY-MM")</f>
        <v/>
      </c>
      <c r="W658" s="13">
        <f>IF(L658="","",IF(L658&gt;pLateDays,1,0))</f>
        <v/>
      </c>
      <c r="X658" s="13">
        <f>IF(Q658&gt;=pHighCutoff,1,0)</f>
        <v/>
      </c>
      <c r="Y658" s="13">
        <f>IF(M658="Returned",1,0)</f>
        <v/>
      </c>
    </row>
    <row r="659">
      <c r="A659" s="13" t="inlineStr">
        <is>
          <t>HC-100657</t>
        </is>
      </c>
      <c r="B659" s="18" t="n">
        <v>45617</v>
      </c>
      <c r="C659" s="13" t="inlineStr">
        <is>
          <t>West</t>
        </is>
      </c>
      <c r="D659" s="13" t="inlineStr">
        <is>
          <t>Online</t>
        </is>
      </c>
      <c r="E659" s="13" t="inlineStr">
        <is>
          <t>Kitchen</t>
        </is>
      </c>
      <c r="F659" s="13" t="inlineStr">
        <is>
          <t>Chef Knife</t>
        </is>
      </c>
      <c r="G659" s="13" t="inlineStr">
        <is>
          <t>Corporate</t>
        </is>
      </c>
      <c r="H659" s="13" t="n">
        <v>4</v>
      </c>
      <c r="I659" s="14" t="n">
        <v>65.31999999999999</v>
      </c>
      <c r="J659" s="15" t="n">
        <v>0.18</v>
      </c>
      <c r="K659" s="14" t="n">
        <v>23.52</v>
      </c>
      <c r="L659" s="13" t="n">
        <v>5</v>
      </c>
      <c r="M659" s="13" t="inlineStr">
        <is>
          <t>Completed</t>
        </is>
      </c>
      <c r="N659" s="13" t="inlineStr">
        <is>
          <t>J. Patel</t>
        </is>
      </c>
      <c r="O659" s="13" t="inlineStr">
        <is>
          <t>No</t>
        </is>
      </c>
      <c r="P659" s="14">
        <f>H659*I659</f>
        <v/>
      </c>
      <c r="Q659" s="14">
        <f>P659*(1-J659)</f>
        <v/>
      </c>
      <c r="R659" s="14">
        <f>H659*K659</f>
        <v/>
      </c>
      <c r="S659" s="15">
        <f>IF(Q659=0,"",(Q659-R659)/Q659)</f>
        <v/>
      </c>
      <c r="T659" s="13">
        <f>YEAR(B659)</f>
        <v/>
      </c>
      <c r="U659" s="13">
        <f>YEAR(B659)&amp;"-Q"&amp;ROUNDUP(MONTH(B659)/3,0)</f>
        <v/>
      </c>
      <c r="V659" s="13">
        <f>TEXT(B659,"YYYY-MM")</f>
        <v/>
      </c>
      <c r="W659" s="13">
        <f>IF(L659="","",IF(L659&gt;pLateDays,1,0))</f>
        <v/>
      </c>
      <c r="X659" s="13">
        <f>IF(Q659&gt;=pHighCutoff,1,0)</f>
        <v/>
      </c>
      <c r="Y659" s="13">
        <f>IF(M659="Returned",1,0)</f>
        <v/>
      </c>
    </row>
    <row r="660">
      <c r="A660" s="13" t="inlineStr">
        <is>
          <t>HC-100658</t>
        </is>
      </c>
      <c r="B660" s="18" t="n">
        <v>45812</v>
      </c>
      <c r="C660" s="13" t="inlineStr">
        <is>
          <t>North</t>
        </is>
      </c>
      <c r="D660" s="13" t="inlineStr">
        <is>
          <t>Store</t>
        </is>
      </c>
      <c r="E660" s="13" t="inlineStr">
        <is>
          <t>Furniture</t>
        </is>
      </c>
      <c r="F660" s="13" t="inlineStr">
        <is>
          <t>Linen Sofa</t>
        </is>
      </c>
      <c r="G660" s="13" t="inlineStr">
        <is>
          <t>Consumer</t>
        </is>
      </c>
      <c r="H660" s="13" t="n">
        <v>4</v>
      </c>
      <c r="I660" s="14" t="n">
        <v>1338.74</v>
      </c>
      <c r="J660" s="15" t="n">
        <v>0.03</v>
      </c>
      <c r="K660" s="14" t="n">
        <v>883.5700000000001</v>
      </c>
      <c r="L660" s="13" t="n">
        <v>6</v>
      </c>
      <c r="M660" s="13" t="inlineStr">
        <is>
          <t>Cancelled</t>
        </is>
      </c>
      <c r="N660" s="13" t="inlineStr">
        <is>
          <t>K. Mensah</t>
        </is>
      </c>
      <c r="O660" s="13" t="inlineStr">
        <is>
          <t>No</t>
        </is>
      </c>
      <c r="P660" s="14">
        <f>H660*I660</f>
        <v/>
      </c>
      <c r="Q660" s="14">
        <f>P660*(1-J660)</f>
        <v/>
      </c>
      <c r="R660" s="14">
        <f>H660*K660</f>
        <v/>
      </c>
      <c r="S660" s="15">
        <f>IF(Q660=0,"",(Q660-R660)/Q660)</f>
        <v/>
      </c>
      <c r="T660" s="13">
        <f>YEAR(B660)</f>
        <v/>
      </c>
      <c r="U660" s="13">
        <f>YEAR(B660)&amp;"-Q"&amp;ROUNDUP(MONTH(B660)/3,0)</f>
        <v/>
      </c>
      <c r="V660" s="13">
        <f>TEXT(B660,"YYYY-MM")</f>
        <v/>
      </c>
      <c r="W660" s="13">
        <f>IF(L660="","",IF(L660&gt;pLateDays,1,0))</f>
        <v/>
      </c>
      <c r="X660" s="13">
        <f>IF(Q660&gt;=pHighCutoff,1,0)</f>
        <v/>
      </c>
      <c r="Y660" s="13">
        <f>IF(M660="Returned",1,0)</f>
        <v/>
      </c>
    </row>
    <row r="661">
      <c r="A661" s="13" t="inlineStr">
        <is>
          <t>HC-100659</t>
        </is>
      </c>
      <c r="B661" s="18" t="n">
        <v>45652</v>
      </c>
      <c r="C661" s="13" t="inlineStr">
        <is>
          <t>South</t>
        </is>
      </c>
      <c r="D661" s="13" t="inlineStr">
        <is>
          <t>Store</t>
        </is>
      </c>
      <c r="E661" s="13" t="inlineStr">
        <is>
          <t>Furniture</t>
        </is>
      </c>
      <c r="F661" s="13" t="inlineStr">
        <is>
          <t>Walnut Shelf</t>
        </is>
      </c>
      <c r="G661" s="13" t="inlineStr">
        <is>
          <t>Corporate</t>
        </is>
      </c>
      <c r="H661" s="13" t="n">
        <v>3</v>
      </c>
      <c r="I661" s="14" t="n">
        <v>211.13</v>
      </c>
      <c r="J661" s="15" t="n">
        <v>0.05</v>
      </c>
      <c r="K661" s="14" t="n">
        <v>116.12</v>
      </c>
      <c r="L661" s="13" t="n">
        <v>3</v>
      </c>
      <c r="M661" s="13" t="inlineStr">
        <is>
          <t>Completed</t>
        </is>
      </c>
      <c r="N661" s="13" t="inlineStr">
        <is>
          <t>L. Berger</t>
        </is>
      </c>
      <c r="O661" s="13" t="inlineStr">
        <is>
          <t>No</t>
        </is>
      </c>
      <c r="P661" s="14">
        <f>H661*I661</f>
        <v/>
      </c>
      <c r="Q661" s="14">
        <f>P661*(1-J661)</f>
        <v/>
      </c>
      <c r="R661" s="14">
        <f>H661*K661</f>
        <v/>
      </c>
      <c r="S661" s="15">
        <f>IF(Q661=0,"",(Q661-R661)/Q661)</f>
        <v/>
      </c>
      <c r="T661" s="13">
        <f>YEAR(B661)</f>
        <v/>
      </c>
      <c r="U661" s="13">
        <f>YEAR(B661)&amp;"-Q"&amp;ROUNDUP(MONTH(B661)/3,0)</f>
        <v/>
      </c>
      <c r="V661" s="13">
        <f>TEXT(B661,"YYYY-MM")</f>
        <v/>
      </c>
      <c r="W661" s="13">
        <f>IF(L661="","",IF(L661&gt;pLateDays,1,0))</f>
        <v/>
      </c>
      <c r="X661" s="13">
        <f>IF(Q661&gt;=pHighCutoff,1,0)</f>
        <v/>
      </c>
      <c r="Y661" s="13">
        <f>IF(M661="Returned",1,0)</f>
        <v/>
      </c>
    </row>
    <row r="662">
      <c r="A662" s="13" t="inlineStr">
        <is>
          <t>HC-100660</t>
        </is>
      </c>
      <c r="B662" s="18" t="n">
        <v>45803</v>
      </c>
      <c r="C662" s="13" t="inlineStr">
        <is>
          <t>South</t>
        </is>
      </c>
      <c r="D662" s="13" t="inlineStr">
        <is>
          <t>Store</t>
        </is>
      </c>
      <c r="E662" s="13" t="inlineStr">
        <is>
          <t>Furniture</t>
        </is>
      </c>
      <c r="F662" s="13" t="inlineStr">
        <is>
          <t>Linen Sofa</t>
        </is>
      </c>
      <c r="G662" s="13" t="inlineStr">
        <is>
          <t>Consumer</t>
        </is>
      </c>
      <c r="H662" s="13" t="n">
        <v>2</v>
      </c>
      <c r="I662" s="14" t="n">
        <v>1290.3</v>
      </c>
      <c r="J662" s="15" t="n">
        <v>0.1</v>
      </c>
      <c r="K662" s="14" t="n">
        <v>851.6</v>
      </c>
      <c r="L662" s="13" t="n">
        <v>6</v>
      </c>
      <c r="M662" s="13" t="inlineStr">
        <is>
          <t>Completed</t>
        </is>
      </c>
      <c r="N662" s="13" t="inlineStr">
        <is>
          <t>L. Berger</t>
        </is>
      </c>
      <c r="O662" s="13" t="inlineStr">
        <is>
          <t>No</t>
        </is>
      </c>
      <c r="P662" s="14">
        <f>H662*I662</f>
        <v/>
      </c>
      <c r="Q662" s="14">
        <f>P662*(1-J662)</f>
        <v/>
      </c>
      <c r="R662" s="14">
        <f>H662*K662</f>
        <v/>
      </c>
      <c r="S662" s="15">
        <f>IF(Q662=0,"",(Q662-R662)/Q662)</f>
        <v/>
      </c>
      <c r="T662" s="13">
        <f>YEAR(B662)</f>
        <v/>
      </c>
      <c r="U662" s="13">
        <f>YEAR(B662)&amp;"-Q"&amp;ROUNDUP(MONTH(B662)/3,0)</f>
        <v/>
      </c>
      <c r="V662" s="13">
        <f>TEXT(B662,"YYYY-MM")</f>
        <v/>
      </c>
      <c r="W662" s="13">
        <f>IF(L662="","",IF(L662&gt;pLateDays,1,0))</f>
        <v/>
      </c>
      <c r="X662" s="13">
        <f>IF(Q662&gt;=pHighCutoff,1,0)</f>
        <v/>
      </c>
      <c r="Y662" s="13">
        <f>IF(M662="Returned",1,0)</f>
        <v/>
      </c>
    </row>
    <row r="663">
      <c r="A663" s="13" t="inlineStr">
        <is>
          <t>HC-100661</t>
        </is>
      </c>
      <c r="B663" s="18" t="n">
        <v>45734</v>
      </c>
      <c r="C663" s="13" t="inlineStr">
        <is>
          <t>West</t>
        </is>
      </c>
      <c r="D663" s="13" t="inlineStr">
        <is>
          <t>Store</t>
        </is>
      </c>
      <c r="E663" s="13" t="inlineStr">
        <is>
          <t>Kitchen</t>
        </is>
      </c>
      <c r="F663" s="13" t="inlineStr">
        <is>
          <t>Chef Knife</t>
        </is>
      </c>
      <c r="G663" s="13" t="inlineStr">
        <is>
          <t>Corporate</t>
        </is>
      </c>
      <c r="H663" s="13" t="n">
        <v>2</v>
      </c>
      <c r="I663" s="14" t="n">
        <v>67.36</v>
      </c>
      <c r="J663" s="15" t="n">
        <v>0.07000000000000001</v>
      </c>
      <c r="K663" s="14" t="n">
        <v>24.25</v>
      </c>
      <c r="L663" s="13" t="n">
        <v>3</v>
      </c>
      <c r="M663" s="13" t="inlineStr">
        <is>
          <t>Completed</t>
        </is>
      </c>
      <c r="N663" s="13" t="inlineStr">
        <is>
          <t>L. Berger</t>
        </is>
      </c>
      <c r="O663" s="13" t="inlineStr">
        <is>
          <t>No</t>
        </is>
      </c>
      <c r="P663" s="14">
        <f>H663*I663</f>
        <v/>
      </c>
      <c r="Q663" s="14">
        <f>P663*(1-J663)</f>
        <v/>
      </c>
      <c r="R663" s="14">
        <f>H663*K663</f>
        <v/>
      </c>
      <c r="S663" s="15">
        <f>IF(Q663=0,"",(Q663-R663)/Q663)</f>
        <v/>
      </c>
      <c r="T663" s="13">
        <f>YEAR(B663)</f>
        <v/>
      </c>
      <c r="U663" s="13">
        <f>YEAR(B663)&amp;"-Q"&amp;ROUNDUP(MONTH(B663)/3,0)</f>
        <v/>
      </c>
      <c r="V663" s="13">
        <f>TEXT(B663,"YYYY-MM")</f>
        <v/>
      </c>
      <c r="W663" s="13">
        <f>IF(L663="","",IF(L663&gt;pLateDays,1,0))</f>
        <v/>
      </c>
      <c r="X663" s="13">
        <f>IF(Q663&gt;=pHighCutoff,1,0)</f>
        <v/>
      </c>
      <c r="Y663" s="13">
        <f>IF(M663="Returned",1,0)</f>
        <v/>
      </c>
    </row>
    <row r="664">
      <c r="A664" s="13" t="inlineStr">
        <is>
          <t>HC-100662</t>
        </is>
      </c>
      <c r="B664" s="18" t="n">
        <v>45605</v>
      </c>
      <c r="C664" s="13" t="inlineStr">
        <is>
          <t>South</t>
        </is>
      </c>
      <c r="D664" s="13" t="inlineStr">
        <is>
          <t>Store</t>
        </is>
      </c>
      <c r="E664" s="13" t="inlineStr">
        <is>
          <t>Furniture</t>
        </is>
      </c>
      <c r="F664" s="13" t="inlineStr">
        <is>
          <t>Linen Sofa</t>
        </is>
      </c>
      <c r="G664" s="13" t="inlineStr">
        <is>
          <t>Consumer</t>
        </is>
      </c>
      <c r="H664" s="13" t="n">
        <v>2</v>
      </c>
      <c r="I664" s="14" t="n">
        <v>1300.76</v>
      </c>
      <c r="J664" s="15" t="n">
        <v>0.02</v>
      </c>
      <c r="K664" s="14" t="n">
        <v>858.5</v>
      </c>
      <c r="L664" s="13" t="n">
        <v>2</v>
      </c>
      <c r="M664" s="13" t="inlineStr">
        <is>
          <t>Completed</t>
        </is>
      </c>
      <c r="N664" s="13" t="inlineStr">
        <is>
          <t>L. Berger</t>
        </is>
      </c>
      <c r="O664" s="13" t="inlineStr">
        <is>
          <t>No</t>
        </is>
      </c>
      <c r="P664" s="14">
        <f>H664*I664</f>
        <v/>
      </c>
      <c r="Q664" s="14">
        <f>P664*(1-J664)</f>
        <v/>
      </c>
      <c r="R664" s="14">
        <f>H664*K664</f>
        <v/>
      </c>
      <c r="S664" s="15">
        <f>IF(Q664=0,"",(Q664-R664)/Q664)</f>
        <v/>
      </c>
      <c r="T664" s="13">
        <f>YEAR(B664)</f>
        <v/>
      </c>
      <c r="U664" s="13">
        <f>YEAR(B664)&amp;"-Q"&amp;ROUNDUP(MONTH(B664)/3,0)</f>
        <v/>
      </c>
      <c r="V664" s="13">
        <f>TEXT(B664,"YYYY-MM")</f>
        <v/>
      </c>
      <c r="W664" s="13">
        <f>IF(L664="","",IF(L664&gt;pLateDays,1,0))</f>
        <v/>
      </c>
      <c r="X664" s="13">
        <f>IF(Q664&gt;=pHighCutoff,1,0)</f>
        <v/>
      </c>
      <c r="Y664" s="13">
        <f>IF(M664="Returned",1,0)</f>
        <v/>
      </c>
    </row>
    <row r="665">
      <c r="A665" s="13" t="inlineStr">
        <is>
          <t>HC-100663</t>
        </is>
      </c>
      <c r="B665" s="18" t="n">
        <v>45564</v>
      </c>
      <c r="C665" s="13" t="inlineStr">
        <is>
          <t>South</t>
        </is>
      </c>
      <c r="D665" s="13" t="inlineStr">
        <is>
          <t>Online</t>
        </is>
      </c>
      <c r="E665" s="13" t="inlineStr">
        <is>
          <t>Lighting</t>
        </is>
      </c>
      <c r="F665" s="13" t="inlineStr">
        <is>
          <t>Arc Lamp</t>
        </is>
      </c>
      <c r="G665" s="13" t="inlineStr">
        <is>
          <t>Consumer</t>
        </is>
      </c>
      <c r="H665" s="13" t="n">
        <v>1</v>
      </c>
      <c r="I665" s="14" t="n">
        <v>303.86</v>
      </c>
      <c r="J665" s="15" t="n">
        <v>0.07000000000000001</v>
      </c>
      <c r="K665" s="14" t="n">
        <v>145.85</v>
      </c>
      <c r="L665" s="13" t="n">
        <v>6</v>
      </c>
      <c r="M665" s="13" t="inlineStr">
        <is>
          <t>Completed</t>
        </is>
      </c>
      <c r="N665" s="13" t="inlineStr">
        <is>
          <t>A. Shah</t>
        </is>
      </c>
      <c r="O665" s="13" t="inlineStr">
        <is>
          <t>No</t>
        </is>
      </c>
      <c r="P665" s="14">
        <f>H665*I665</f>
        <v/>
      </c>
      <c r="Q665" s="14">
        <f>P665*(1-J665)</f>
        <v/>
      </c>
      <c r="R665" s="14">
        <f>H665*K665</f>
        <v/>
      </c>
      <c r="S665" s="15">
        <f>IF(Q665=0,"",(Q665-R665)/Q665)</f>
        <v/>
      </c>
      <c r="T665" s="13">
        <f>YEAR(B665)</f>
        <v/>
      </c>
      <c r="U665" s="13">
        <f>YEAR(B665)&amp;"-Q"&amp;ROUNDUP(MONTH(B665)/3,0)</f>
        <v/>
      </c>
      <c r="V665" s="13">
        <f>TEXT(B665,"YYYY-MM")</f>
        <v/>
      </c>
      <c r="W665" s="13">
        <f>IF(L665="","",IF(L665&gt;pLateDays,1,0))</f>
        <v/>
      </c>
      <c r="X665" s="13">
        <f>IF(Q665&gt;=pHighCutoff,1,0)</f>
        <v/>
      </c>
      <c r="Y665" s="13">
        <f>IF(M665="Returned",1,0)</f>
        <v/>
      </c>
    </row>
    <row r="666">
      <c r="A666" s="13" t="inlineStr">
        <is>
          <t>HC-100664</t>
        </is>
      </c>
      <c r="B666" s="18" t="n">
        <v>45885</v>
      </c>
      <c r="C666" s="13" t="inlineStr">
        <is>
          <t>North</t>
        </is>
      </c>
      <c r="D666" s="13" t="inlineStr">
        <is>
          <t>Store</t>
        </is>
      </c>
      <c r="E666" s="13" t="inlineStr">
        <is>
          <t>Kitchen</t>
        </is>
      </c>
      <c r="F666" s="13" t="inlineStr">
        <is>
          <t>Chef Knife</t>
        </is>
      </c>
      <c r="G666" s="13" t="inlineStr">
        <is>
          <t>Consumer</t>
        </is>
      </c>
      <c r="H666" s="13" t="n">
        <v>3</v>
      </c>
      <c r="I666" s="14" t="n">
        <v>62.16</v>
      </c>
      <c r="J666" s="15" t="n">
        <v>0.1</v>
      </c>
      <c r="K666" s="14" t="n">
        <v>22.38</v>
      </c>
      <c r="L666" s="13" t="n"/>
      <c r="M666" s="13" t="inlineStr">
        <is>
          <t>Completed</t>
        </is>
      </c>
      <c r="N666" s="13" t="inlineStr">
        <is>
          <t>J. Patel</t>
        </is>
      </c>
      <c r="O666" s="13" t="inlineStr">
        <is>
          <t>No</t>
        </is>
      </c>
      <c r="P666" s="14">
        <f>H666*I666</f>
        <v/>
      </c>
      <c r="Q666" s="14">
        <f>P666*(1-J666)</f>
        <v/>
      </c>
      <c r="R666" s="14">
        <f>H666*K666</f>
        <v/>
      </c>
      <c r="S666" s="15">
        <f>IF(Q666=0,"",(Q666-R666)/Q666)</f>
        <v/>
      </c>
      <c r="T666" s="13">
        <f>YEAR(B666)</f>
        <v/>
      </c>
      <c r="U666" s="13">
        <f>YEAR(B666)&amp;"-Q"&amp;ROUNDUP(MONTH(B666)/3,0)</f>
        <v/>
      </c>
      <c r="V666" s="13">
        <f>TEXT(B666,"YYYY-MM")</f>
        <v/>
      </c>
      <c r="W666" s="13">
        <f>IF(L666="","",IF(L666&gt;pLateDays,1,0))</f>
        <v/>
      </c>
      <c r="X666" s="13">
        <f>IF(Q666&gt;=pHighCutoff,1,0)</f>
        <v/>
      </c>
      <c r="Y666" s="13">
        <f>IF(M666="Returned",1,0)</f>
        <v/>
      </c>
    </row>
    <row r="667">
      <c r="A667" s="13" t="inlineStr">
        <is>
          <t>HC-100665</t>
        </is>
      </c>
      <c r="B667" s="18" t="n">
        <v>45501</v>
      </c>
      <c r="C667" s="13" t="inlineStr">
        <is>
          <t>South</t>
        </is>
      </c>
      <c r="D667" s="13" t="inlineStr">
        <is>
          <t>Store</t>
        </is>
      </c>
      <c r="E667" s="13" t="inlineStr">
        <is>
          <t>Textiles</t>
        </is>
      </c>
      <c r="F667" s="13" t="inlineStr">
        <is>
          <t>Cotton Duvet</t>
        </is>
      </c>
      <c r="G667" s="13" t="inlineStr">
        <is>
          <t>Consumer</t>
        </is>
      </c>
      <c r="H667" s="13" t="n">
        <v>2</v>
      </c>
      <c r="I667" s="14" t="n">
        <v>116.78</v>
      </c>
      <c r="J667" s="15" t="n">
        <v>0.11</v>
      </c>
      <c r="K667" s="14" t="n">
        <v>51.38</v>
      </c>
      <c r="L667" s="13" t="n">
        <v>6</v>
      </c>
      <c r="M667" s="13" t="inlineStr">
        <is>
          <t>Completed</t>
        </is>
      </c>
      <c r="N667" s="13" t="inlineStr">
        <is>
          <t>P. Rossi</t>
        </is>
      </c>
      <c r="O667" s="13" t="inlineStr">
        <is>
          <t>No</t>
        </is>
      </c>
      <c r="P667" s="14">
        <f>H667*I667</f>
        <v/>
      </c>
      <c r="Q667" s="14">
        <f>P667*(1-J667)</f>
        <v/>
      </c>
      <c r="R667" s="14">
        <f>H667*K667</f>
        <v/>
      </c>
      <c r="S667" s="15">
        <f>IF(Q667=0,"",(Q667-R667)/Q667)</f>
        <v/>
      </c>
      <c r="T667" s="13">
        <f>YEAR(B667)</f>
        <v/>
      </c>
      <c r="U667" s="13">
        <f>YEAR(B667)&amp;"-Q"&amp;ROUNDUP(MONTH(B667)/3,0)</f>
        <v/>
      </c>
      <c r="V667" s="13">
        <f>TEXT(B667,"YYYY-MM")</f>
        <v/>
      </c>
      <c r="W667" s="13">
        <f>IF(L667="","",IF(L667&gt;pLateDays,1,0))</f>
        <v/>
      </c>
      <c r="X667" s="13">
        <f>IF(Q667&gt;=pHighCutoff,1,0)</f>
        <v/>
      </c>
      <c r="Y667" s="13">
        <f>IF(M667="Returned",1,0)</f>
        <v/>
      </c>
    </row>
    <row r="668">
      <c r="A668" s="13" t="inlineStr">
        <is>
          <t>HC-100666</t>
        </is>
      </c>
      <c r="B668" s="18" t="n">
        <v>45597</v>
      </c>
      <c r="C668" s="13" t="inlineStr">
        <is>
          <t>East</t>
        </is>
      </c>
      <c r="D668" s="13" t="inlineStr">
        <is>
          <t>Online</t>
        </is>
      </c>
      <c r="E668" s="13" t="inlineStr">
        <is>
          <t>Textiles</t>
        </is>
      </c>
      <c r="F668" s="13" t="inlineStr">
        <is>
          <t>Wool Throw</t>
        </is>
      </c>
      <c r="G668" s="13" t="inlineStr">
        <is>
          <t>Consumer</t>
        </is>
      </c>
      <c r="H668" s="13" t="n">
        <v>4</v>
      </c>
      <c r="I668" s="14" t="n">
        <v>71.97</v>
      </c>
      <c r="J668" s="15" t="n">
        <v>0.08</v>
      </c>
      <c r="K668" s="14" t="n">
        <v>30.23</v>
      </c>
      <c r="L668" s="13" t="n">
        <v>10</v>
      </c>
      <c r="M668" s="13" t="inlineStr">
        <is>
          <t>Completed</t>
        </is>
      </c>
      <c r="N668" s="13" t="inlineStr">
        <is>
          <t>K. Mensah</t>
        </is>
      </c>
      <c r="O668" s="13" t="inlineStr">
        <is>
          <t>No</t>
        </is>
      </c>
      <c r="P668" s="14">
        <f>H668*I668</f>
        <v/>
      </c>
      <c r="Q668" s="14">
        <f>P668*(1-J668)</f>
        <v/>
      </c>
      <c r="R668" s="14">
        <f>H668*K668</f>
        <v/>
      </c>
      <c r="S668" s="15">
        <f>IF(Q668=0,"",(Q668-R668)/Q668)</f>
        <v/>
      </c>
      <c r="T668" s="13">
        <f>YEAR(B668)</f>
        <v/>
      </c>
      <c r="U668" s="13">
        <f>YEAR(B668)&amp;"-Q"&amp;ROUNDUP(MONTH(B668)/3,0)</f>
        <v/>
      </c>
      <c r="V668" s="13">
        <f>TEXT(B668,"YYYY-MM")</f>
        <v/>
      </c>
      <c r="W668" s="13">
        <f>IF(L668="","",IF(L668&gt;pLateDays,1,0))</f>
        <v/>
      </c>
      <c r="X668" s="13">
        <f>IF(Q668&gt;=pHighCutoff,1,0)</f>
        <v/>
      </c>
      <c r="Y668" s="13">
        <f>IF(M668="Returned",1,0)</f>
        <v/>
      </c>
    </row>
    <row r="669">
      <c r="A669" s="13" t="inlineStr">
        <is>
          <t>HC-100667</t>
        </is>
      </c>
      <c r="B669" s="18" t="n">
        <v>45821</v>
      </c>
      <c r="C669" s="13" t="inlineStr">
        <is>
          <t>West</t>
        </is>
      </c>
      <c r="D669" s="13" t="inlineStr">
        <is>
          <t>Store</t>
        </is>
      </c>
      <c r="E669" s="13" t="inlineStr">
        <is>
          <t>Lighting</t>
        </is>
      </c>
      <c r="F669" s="13" t="inlineStr">
        <is>
          <t>Brass Sconce</t>
        </is>
      </c>
      <c r="G669" s="13" t="inlineStr">
        <is>
          <t>Consumer</t>
        </is>
      </c>
      <c r="H669" s="13" t="n">
        <v>3</v>
      </c>
      <c r="I669" s="14" t="n">
        <v>140.98</v>
      </c>
      <c r="J669" s="15" t="n">
        <v>0.09</v>
      </c>
      <c r="K669" s="14" t="n">
        <v>64.84999999999999</v>
      </c>
      <c r="L669" s="13" t="n">
        <v>9</v>
      </c>
      <c r="M669" s="13" t="inlineStr">
        <is>
          <t>Completed</t>
        </is>
      </c>
      <c r="N669" s="13" t="inlineStr">
        <is>
          <t>K. Mensah</t>
        </is>
      </c>
      <c r="O669" s="13" t="inlineStr">
        <is>
          <t>No</t>
        </is>
      </c>
      <c r="P669" s="14">
        <f>H669*I669</f>
        <v/>
      </c>
      <c r="Q669" s="14">
        <f>P669*(1-J669)</f>
        <v/>
      </c>
      <c r="R669" s="14">
        <f>H669*K669</f>
        <v/>
      </c>
      <c r="S669" s="15">
        <f>IF(Q669=0,"",(Q669-R669)/Q669)</f>
        <v/>
      </c>
      <c r="T669" s="13">
        <f>YEAR(B669)</f>
        <v/>
      </c>
      <c r="U669" s="13">
        <f>YEAR(B669)&amp;"-Q"&amp;ROUNDUP(MONTH(B669)/3,0)</f>
        <v/>
      </c>
      <c r="V669" s="13">
        <f>TEXT(B669,"YYYY-MM")</f>
        <v/>
      </c>
      <c r="W669" s="13">
        <f>IF(L669="","",IF(L669&gt;pLateDays,1,0))</f>
        <v/>
      </c>
      <c r="X669" s="13">
        <f>IF(Q669&gt;=pHighCutoff,1,0)</f>
        <v/>
      </c>
      <c r="Y669" s="13">
        <f>IF(M669="Returned",1,0)</f>
        <v/>
      </c>
    </row>
    <row r="670">
      <c r="A670" s="13" t="inlineStr">
        <is>
          <t>HC-100668</t>
        </is>
      </c>
      <c r="B670" s="18" t="n">
        <v>45524</v>
      </c>
      <c r="C670" s="13" t="inlineStr">
        <is>
          <t>West</t>
        </is>
      </c>
      <c r="D670" s="13" t="inlineStr">
        <is>
          <t>Store</t>
        </is>
      </c>
      <c r="E670" s="13" t="inlineStr">
        <is>
          <t>Furniture</t>
        </is>
      </c>
      <c r="F670" s="13" t="inlineStr">
        <is>
          <t>Oak Desk</t>
        </is>
      </c>
      <c r="G670" s="13" t="inlineStr">
        <is>
          <t>Corporate</t>
        </is>
      </c>
      <c r="H670" s="13" t="n">
        <v>2</v>
      </c>
      <c r="I670" s="14" t="n">
        <v>885.12</v>
      </c>
      <c r="J670" s="15" t="n">
        <v>0.09</v>
      </c>
      <c r="K670" s="14" t="n">
        <v>548.78</v>
      </c>
      <c r="L670" s="13" t="n">
        <v>6</v>
      </c>
      <c r="M670" s="13" t="inlineStr">
        <is>
          <t>Completed</t>
        </is>
      </c>
      <c r="N670" s="13" t="inlineStr">
        <is>
          <t>R. Ibarra</t>
        </is>
      </c>
      <c r="O670" s="13" t="inlineStr">
        <is>
          <t>No</t>
        </is>
      </c>
      <c r="P670" s="14">
        <f>H670*I670</f>
        <v/>
      </c>
      <c r="Q670" s="14">
        <f>P670*(1-J670)</f>
        <v/>
      </c>
      <c r="R670" s="14">
        <f>H670*K670</f>
        <v/>
      </c>
      <c r="S670" s="15">
        <f>IF(Q670=0,"",(Q670-R670)/Q670)</f>
        <v/>
      </c>
      <c r="T670" s="13">
        <f>YEAR(B670)</f>
        <v/>
      </c>
      <c r="U670" s="13">
        <f>YEAR(B670)&amp;"-Q"&amp;ROUNDUP(MONTH(B670)/3,0)</f>
        <v/>
      </c>
      <c r="V670" s="13">
        <f>TEXT(B670,"YYYY-MM")</f>
        <v/>
      </c>
      <c r="W670" s="13">
        <f>IF(L670="","",IF(L670&gt;pLateDays,1,0))</f>
        <v/>
      </c>
      <c r="X670" s="13">
        <f>IF(Q670&gt;=pHighCutoff,1,0)</f>
        <v/>
      </c>
      <c r="Y670" s="13">
        <f>IF(M670="Returned",1,0)</f>
        <v/>
      </c>
    </row>
    <row r="671">
      <c r="A671" s="13" t="inlineStr">
        <is>
          <t>HC-100669</t>
        </is>
      </c>
      <c r="B671" s="18" t="n">
        <v>45845</v>
      </c>
      <c r="C671" s="13" t="inlineStr">
        <is>
          <t>West</t>
        </is>
      </c>
      <c r="D671" s="13" t="inlineStr">
        <is>
          <t>Wholesale</t>
        </is>
      </c>
      <c r="E671" s="13" t="inlineStr">
        <is>
          <t>Furniture</t>
        </is>
      </c>
      <c r="F671" s="13" t="inlineStr">
        <is>
          <t>Oak Desk</t>
        </is>
      </c>
      <c r="G671" s="13" t="inlineStr">
        <is>
          <t>Consumer</t>
        </is>
      </c>
      <c r="H671" s="13" t="n">
        <v>34</v>
      </c>
      <c r="I671" s="14" t="n">
        <v>842.6900000000001</v>
      </c>
      <c r="J671" s="15" t="n">
        <v>0.28</v>
      </c>
      <c r="K671" s="14" t="n">
        <v>522.47</v>
      </c>
      <c r="L671" s="13" t="n">
        <v>6</v>
      </c>
      <c r="M671" s="13" t="inlineStr">
        <is>
          <t>Completed</t>
        </is>
      </c>
      <c r="N671" s="13" t="inlineStr">
        <is>
          <t>M. Okonkwo</t>
        </is>
      </c>
      <c r="O671" s="13" t="inlineStr">
        <is>
          <t>No</t>
        </is>
      </c>
      <c r="P671" s="14">
        <f>H671*I671</f>
        <v/>
      </c>
      <c r="Q671" s="14">
        <f>P671*(1-J671)</f>
        <v/>
      </c>
      <c r="R671" s="14">
        <f>H671*K671</f>
        <v/>
      </c>
      <c r="S671" s="15">
        <f>IF(Q671=0,"",(Q671-R671)/Q671)</f>
        <v/>
      </c>
      <c r="T671" s="13">
        <f>YEAR(B671)</f>
        <v/>
      </c>
      <c r="U671" s="13">
        <f>YEAR(B671)&amp;"-Q"&amp;ROUNDUP(MONTH(B671)/3,0)</f>
        <v/>
      </c>
      <c r="V671" s="13">
        <f>TEXT(B671,"YYYY-MM")</f>
        <v/>
      </c>
      <c r="W671" s="13">
        <f>IF(L671="","",IF(L671&gt;pLateDays,1,0))</f>
        <v/>
      </c>
      <c r="X671" s="13">
        <f>IF(Q671&gt;=pHighCutoff,1,0)</f>
        <v/>
      </c>
      <c r="Y671" s="13">
        <f>IF(M671="Returned",1,0)</f>
        <v/>
      </c>
    </row>
    <row r="672">
      <c r="A672" s="13" t="inlineStr">
        <is>
          <t>HC-100670</t>
        </is>
      </c>
      <c r="B672" s="18" t="n">
        <v>45584</v>
      </c>
      <c r="C672" s="13" t="inlineStr">
        <is>
          <t>North</t>
        </is>
      </c>
      <c r="D672" s="13" t="inlineStr">
        <is>
          <t>Store</t>
        </is>
      </c>
      <c r="E672" s="13" t="inlineStr">
        <is>
          <t>Textiles</t>
        </is>
      </c>
      <c r="F672" s="13" t="inlineStr">
        <is>
          <t>Linen Curtain</t>
        </is>
      </c>
      <c r="G672" s="13" t="inlineStr">
        <is>
          <t>Consumer</t>
        </is>
      </c>
      <c r="H672" s="13" t="n">
        <v>1</v>
      </c>
      <c r="I672" s="14" t="n">
        <v>90.72</v>
      </c>
      <c r="J672" s="15" t="n">
        <v>0.11</v>
      </c>
      <c r="K672" s="14" t="n">
        <v>40.82</v>
      </c>
      <c r="L672" s="13" t="n">
        <v>7</v>
      </c>
      <c r="M672" s="13" t="inlineStr">
        <is>
          <t>Completed</t>
        </is>
      </c>
      <c r="N672" s="13" t="inlineStr">
        <is>
          <t>L. Berger</t>
        </is>
      </c>
      <c r="O672" s="13" t="inlineStr">
        <is>
          <t>No</t>
        </is>
      </c>
      <c r="P672" s="14">
        <f>H672*I672</f>
        <v/>
      </c>
      <c r="Q672" s="14">
        <f>P672*(1-J672)</f>
        <v/>
      </c>
      <c r="R672" s="14">
        <f>H672*K672</f>
        <v/>
      </c>
      <c r="S672" s="15">
        <f>IF(Q672=0,"",(Q672-R672)/Q672)</f>
        <v/>
      </c>
      <c r="T672" s="13">
        <f>YEAR(B672)</f>
        <v/>
      </c>
      <c r="U672" s="13">
        <f>YEAR(B672)&amp;"-Q"&amp;ROUNDUP(MONTH(B672)/3,0)</f>
        <v/>
      </c>
      <c r="V672" s="13">
        <f>TEXT(B672,"YYYY-MM")</f>
        <v/>
      </c>
      <c r="W672" s="13">
        <f>IF(L672="","",IF(L672&gt;pLateDays,1,0))</f>
        <v/>
      </c>
      <c r="X672" s="13">
        <f>IF(Q672&gt;=pHighCutoff,1,0)</f>
        <v/>
      </c>
      <c r="Y672" s="13">
        <f>IF(M672="Returned",1,0)</f>
        <v/>
      </c>
    </row>
    <row r="673">
      <c r="A673" s="13" t="inlineStr">
        <is>
          <t>HC-100671</t>
        </is>
      </c>
      <c r="B673" s="18" t="n">
        <v>45679</v>
      </c>
      <c r="C673" s="13" t="inlineStr">
        <is>
          <t>South</t>
        </is>
      </c>
      <c r="D673" s="13" t="inlineStr">
        <is>
          <t>Store</t>
        </is>
      </c>
      <c r="E673" s="13" t="inlineStr">
        <is>
          <t>Lighting</t>
        </is>
      </c>
      <c r="F673" s="13" t="inlineStr">
        <is>
          <t>Pendant Light</t>
        </is>
      </c>
      <c r="G673" s="13" t="inlineStr">
        <is>
          <t>Home Office</t>
        </is>
      </c>
      <c r="H673" s="13" t="n">
        <v>1</v>
      </c>
      <c r="I673" s="14" t="n">
        <v>186</v>
      </c>
      <c r="J673" s="15" t="n">
        <v>0.03</v>
      </c>
      <c r="K673" s="14" t="n">
        <v>93</v>
      </c>
      <c r="L673" s="13" t="n">
        <v>7</v>
      </c>
      <c r="M673" s="13" t="inlineStr">
        <is>
          <t>Completed</t>
        </is>
      </c>
      <c r="N673" s="13" t="inlineStr">
        <is>
          <t>P. Rossi</t>
        </is>
      </c>
      <c r="O673" s="13" t="inlineStr">
        <is>
          <t>No</t>
        </is>
      </c>
      <c r="P673" s="14">
        <f>H673*I673</f>
        <v/>
      </c>
      <c r="Q673" s="14">
        <f>P673*(1-J673)</f>
        <v/>
      </c>
      <c r="R673" s="14">
        <f>H673*K673</f>
        <v/>
      </c>
      <c r="S673" s="15">
        <f>IF(Q673=0,"",(Q673-R673)/Q673)</f>
        <v/>
      </c>
      <c r="T673" s="13">
        <f>YEAR(B673)</f>
        <v/>
      </c>
      <c r="U673" s="13">
        <f>YEAR(B673)&amp;"-Q"&amp;ROUNDUP(MONTH(B673)/3,0)</f>
        <v/>
      </c>
      <c r="V673" s="13">
        <f>TEXT(B673,"YYYY-MM")</f>
        <v/>
      </c>
      <c r="W673" s="13">
        <f>IF(L673="","",IF(L673&gt;pLateDays,1,0))</f>
        <v/>
      </c>
      <c r="X673" s="13">
        <f>IF(Q673&gt;=pHighCutoff,1,0)</f>
        <v/>
      </c>
      <c r="Y673" s="13">
        <f>IF(M673="Returned",1,0)</f>
        <v/>
      </c>
    </row>
    <row r="674">
      <c r="A674" s="13" t="inlineStr">
        <is>
          <t>HC-100672</t>
        </is>
      </c>
      <c r="B674" s="18" t="n">
        <v>45822</v>
      </c>
      <c r="C674" s="13" t="inlineStr">
        <is>
          <t>East</t>
        </is>
      </c>
      <c r="D674" s="13" t="inlineStr">
        <is>
          <t>Online</t>
        </is>
      </c>
      <c r="E674" s="13" t="inlineStr">
        <is>
          <t>Kitchen</t>
        </is>
      </c>
      <c r="F674" s="13" t="inlineStr">
        <is>
          <t>Cast Skillet</t>
        </is>
      </c>
      <c r="G674" s="13" t="inlineStr">
        <is>
          <t>Corporate</t>
        </is>
      </c>
      <c r="H674" s="13" t="n">
        <v>3</v>
      </c>
      <c r="I674" s="14" t="n">
        <v>52.46</v>
      </c>
      <c r="J674" s="15" t="n">
        <v>0.16</v>
      </c>
      <c r="K674" s="14" t="n">
        <v>20.98</v>
      </c>
      <c r="L674" s="13" t="n">
        <v>10</v>
      </c>
      <c r="M674" s="13" t="inlineStr">
        <is>
          <t>Completed</t>
        </is>
      </c>
      <c r="N674" s="13" t="inlineStr">
        <is>
          <t>S. Nguyen</t>
        </is>
      </c>
      <c r="O674" s="13" t="inlineStr">
        <is>
          <t>No</t>
        </is>
      </c>
      <c r="P674" s="14">
        <f>H674*I674</f>
        <v/>
      </c>
      <c r="Q674" s="14">
        <f>P674*(1-J674)</f>
        <v/>
      </c>
      <c r="R674" s="14">
        <f>H674*K674</f>
        <v/>
      </c>
      <c r="S674" s="15">
        <f>IF(Q674=0,"",(Q674-R674)/Q674)</f>
        <v/>
      </c>
      <c r="T674" s="13">
        <f>YEAR(B674)</f>
        <v/>
      </c>
      <c r="U674" s="13">
        <f>YEAR(B674)&amp;"-Q"&amp;ROUNDUP(MONTH(B674)/3,0)</f>
        <v/>
      </c>
      <c r="V674" s="13">
        <f>TEXT(B674,"YYYY-MM")</f>
        <v/>
      </c>
      <c r="W674" s="13">
        <f>IF(L674="","",IF(L674&gt;pLateDays,1,0))</f>
        <v/>
      </c>
      <c r="X674" s="13">
        <f>IF(Q674&gt;=pHighCutoff,1,0)</f>
        <v/>
      </c>
      <c r="Y674" s="13">
        <f>IF(M674="Returned",1,0)</f>
        <v/>
      </c>
    </row>
    <row r="675">
      <c r="A675" s="13" t="inlineStr">
        <is>
          <t>HC-100673</t>
        </is>
      </c>
      <c r="B675" s="18" t="n">
        <v>45510</v>
      </c>
      <c r="C675" s="13" t="inlineStr">
        <is>
          <t>South</t>
        </is>
      </c>
      <c r="D675" s="13" t="inlineStr">
        <is>
          <t>Wholesale</t>
        </is>
      </c>
      <c r="E675" s="13" t="inlineStr">
        <is>
          <t>Lighting</t>
        </is>
      </c>
      <c r="F675" s="13" t="inlineStr">
        <is>
          <t>Pendant Light</t>
        </is>
      </c>
      <c r="G675" s="13" t="inlineStr">
        <is>
          <t>Consumer</t>
        </is>
      </c>
      <c r="H675" s="13" t="n">
        <v>24</v>
      </c>
      <c r="I675" s="14" t="n">
        <v>177.86</v>
      </c>
      <c r="J675" s="15" t="n">
        <v>0.29</v>
      </c>
      <c r="K675" s="14" t="n">
        <v>88.93000000000001</v>
      </c>
      <c r="L675" s="13" t="n">
        <v>5</v>
      </c>
      <c r="M675" s="13" t="inlineStr">
        <is>
          <t>Completed</t>
        </is>
      </c>
      <c r="N675" s="13" t="inlineStr">
        <is>
          <t>K. Mensah</t>
        </is>
      </c>
      <c r="O675" s="13" t="inlineStr">
        <is>
          <t>No</t>
        </is>
      </c>
      <c r="P675" s="14">
        <f>H675*I675</f>
        <v/>
      </c>
      <c r="Q675" s="14">
        <f>P675*(1-J675)</f>
        <v/>
      </c>
      <c r="R675" s="14">
        <f>H675*K675</f>
        <v/>
      </c>
      <c r="S675" s="15">
        <f>IF(Q675=0,"",(Q675-R675)/Q675)</f>
        <v/>
      </c>
      <c r="T675" s="13">
        <f>YEAR(B675)</f>
        <v/>
      </c>
      <c r="U675" s="13">
        <f>YEAR(B675)&amp;"-Q"&amp;ROUNDUP(MONTH(B675)/3,0)</f>
        <v/>
      </c>
      <c r="V675" s="13">
        <f>TEXT(B675,"YYYY-MM")</f>
        <v/>
      </c>
      <c r="W675" s="13">
        <f>IF(L675="","",IF(L675&gt;pLateDays,1,0))</f>
        <v/>
      </c>
      <c r="X675" s="13">
        <f>IF(Q675&gt;=pHighCutoff,1,0)</f>
        <v/>
      </c>
      <c r="Y675" s="13">
        <f>IF(M675="Returned",1,0)</f>
        <v/>
      </c>
    </row>
    <row r="676">
      <c r="A676" s="13" t="inlineStr">
        <is>
          <t>HC-100674</t>
        </is>
      </c>
      <c r="B676" s="18" t="n">
        <v>45568</v>
      </c>
      <c r="C676" s="13" t="inlineStr">
        <is>
          <t>South</t>
        </is>
      </c>
      <c r="D676" s="13" t="inlineStr">
        <is>
          <t>Store</t>
        </is>
      </c>
      <c r="E676" s="13" t="inlineStr">
        <is>
          <t>Furniture</t>
        </is>
      </c>
      <c r="F676" s="13" t="inlineStr">
        <is>
          <t>Oak Desk</t>
        </is>
      </c>
      <c r="G676" s="13" t="inlineStr">
        <is>
          <t>Corporate</t>
        </is>
      </c>
      <c r="H676" s="13" t="n">
        <v>4</v>
      </c>
      <c r="I676" s="14" t="n">
        <v>901.14</v>
      </c>
      <c r="J676" s="15" t="n">
        <v>0.06</v>
      </c>
      <c r="K676" s="14" t="n">
        <v>558.7</v>
      </c>
      <c r="L676" s="13" t="n">
        <v>1</v>
      </c>
      <c r="M676" s="13" t="inlineStr">
        <is>
          <t>Completed</t>
        </is>
      </c>
      <c r="N676" s="13" t="inlineStr">
        <is>
          <t>J. Patel</t>
        </is>
      </c>
      <c r="O676" s="13" t="inlineStr">
        <is>
          <t>No</t>
        </is>
      </c>
      <c r="P676" s="14">
        <f>H676*I676</f>
        <v/>
      </c>
      <c r="Q676" s="14">
        <f>P676*(1-J676)</f>
        <v/>
      </c>
      <c r="R676" s="14">
        <f>H676*K676</f>
        <v/>
      </c>
      <c r="S676" s="15">
        <f>IF(Q676=0,"",(Q676-R676)/Q676)</f>
        <v/>
      </c>
      <c r="T676" s="13">
        <f>YEAR(B676)</f>
        <v/>
      </c>
      <c r="U676" s="13">
        <f>YEAR(B676)&amp;"-Q"&amp;ROUNDUP(MONTH(B676)/3,0)</f>
        <v/>
      </c>
      <c r="V676" s="13">
        <f>TEXT(B676,"YYYY-MM")</f>
        <v/>
      </c>
      <c r="W676" s="13">
        <f>IF(L676="","",IF(L676&gt;pLateDays,1,0))</f>
        <v/>
      </c>
      <c r="X676" s="13">
        <f>IF(Q676&gt;=pHighCutoff,1,0)</f>
        <v/>
      </c>
      <c r="Y676" s="13">
        <f>IF(M676="Returned",1,0)</f>
        <v/>
      </c>
    </row>
    <row r="677">
      <c r="A677" s="13" t="inlineStr">
        <is>
          <t>HC-100675</t>
        </is>
      </c>
      <c r="B677" s="18" t="n">
        <v>45432</v>
      </c>
      <c r="C677" s="13" t="inlineStr">
        <is>
          <t>North</t>
        </is>
      </c>
      <c r="D677" s="13" t="inlineStr">
        <is>
          <t>Online</t>
        </is>
      </c>
      <c r="E677" s="13" t="inlineStr">
        <is>
          <t>Furniture</t>
        </is>
      </c>
      <c r="F677" s="13" t="inlineStr">
        <is>
          <t>Walnut Shelf</t>
        </is>
      </c>
      <c r="G677" s="13" t="inlineStr">
        <is>
          <t>Consumer</t>
        </is>
      </c>
      <c r="H677" s="13" t="n">
        <v>1</v>
      </c>
      <c r="I677" s="14" t="n">
        <v>206.74</v>
      </c>
      <c r="J677" s="15" t="n">
        <v>0.03</v>
      </c>
      <c r="K677" s="14" t="n">
        <v>113.71</v>
      </c>
      <c r="L677" s="13" t="n">
        <v>7</v>
      </c>
      <c r="M677" s="13" t="inlineStr">
        <is>
          <t>Completed</t>
        </is>
      </c>
      <c r="N677" s="13" t="inlineStr">
        <is>
          <t>J. Patel</t>
        </is>
      </c>
      <c r="O677" s="13" t="inlineStr">
        <is>
          <t>No</t>
        </is>
      </c>
      <c r="P677" s="14">
        <f>H677*I677</f>
        <v/>
      </c>
      <c r="Q677" s="14">
        <f>P677*(1-J677)</f>
        <v/>
      </c>
      <c r="R677" s="14">
        <f>H677*K677</f>
        <v/>
      </c>
      <c r="S677" s="15">
        <f>IF(Q677=0,"",(Q677-R677)/Q677)</f>
        <v/>
      </c>
      <c r="T677" s="13">
        <f>YEAR(B677)</f>
        <v/>
      </c>
      <c r="U677" s="13">
        <f>YEAR(B677)&amp;"-Q"&amp;ROUNDUP(MONTH(B677)/3,0)</f>
        <v/>
      </c>
      <c r="V677" s="13">
        <f>TEXT(B677,"YYYY-MM")</f>
        <v/>
      </c>
      <c r="W677" s="13">
        <f>IF(L677="","",IF(L677&gt;pLateDays,1,0))</f>
        <v/>
      </c>
      <c r="X677" s="13">
        <f>IF(Q677&gt;=pHighCutoff,1,0)</f>
        <v/>
      </c>
      <c r="Y677" s="13">
        <f>IF(M677="Returned",1,0)</f>
        <v/>
      </c>
    </row>
    <row r="678">
      <c r="A678" s="13" t="inlineStr">
        <is>
          <t>HC-100676</t>
        </is>
      </c>
      <c r="B678" s="18" t="n">
        <v>45305</v>
      </c>
      <c r="C678" s="13" t="inlineStr">
        <is>
          <t>West</t>
        </is>
      </c>
      <c r="D678" s="13" t="inlineStr">
        <is>
          <t>Online</t>
        </is>
      </c>
      <c r="E678" s="13" t="inlineStr">
        <is>
          <t>Furniture</t>
        </is>
      </c>
      <c r="F678" s="13" t="inlineStr">
        <is>
          <t>Oak Desk</t>
        </is>
      </c>
      <c r="G678" s="13" t="inlineStr">
        <is>
          <t>Consumer</t>
        </is>
      </c>
      <c r="H678" s="13" t="n">
        <v>3</v>
      </c>
      <c r="I678" s="14" t="n">
        <v>792.33</v>
      </c>
      <c r="J678" s="15" t="n">
        <v>0.14</v>
      </c>
      <c r="K678" s="14" t="n">
        <v>491.24</v>
      </c>
      <c r="L678" s="13" t="n">
        <v>6</v>
      </c>
      <c r="M678" s="13" t="inlineStr">
        <is>
          <t>Returned</t>
        </is>
      </c>
      <c r="N678" s="13" t="inlineStr">
        <is>
          <t>P. Rossi</t>
        </is>
      </c>
      <c r="O678" s="13" t="inlineStr">
        <is>
          <t>No</t>
        </is>
      </c>
      <c r="P678" s="14">
        <f>H678*I678</f>
        <v/>
      </c>
      <c r="Q678" s="14">
        <f>P678*(1-J678)</f>
        <v/>
      </c>
      <c r="R678" s="14">
        <f>H678*K678</f>
        <v/>
      </c>
      <c r="S678" s="15">
        <f>IF(Q678=0,"",(Q678-R678)/Q678)</f>
        <v/>
      </c>
      <c r="T678" s="13">
        <f>YEAR(B678)</f>
        <v/>
      </c>
      <c r="U678" s="13">
        <f>YEAR(B678)&amp;"-Q"&amp;ROUNDUP(MONTH(B678)/3,0)</f>
        <v/>
      </c>
      <c r="V678" s="13">
        <f>TEXT(B678,"YYYY-MM")</f>
        <v/>
      </c>
      <c r="W678" s="13">
        <f>IF(L678="","",IF(L678&gt;pLateDays,1,0))</f>
        <v/>
      </c>
      <c r="X678" s="13">
        <f>IF(Q678&gt;=pHighCutoff,1,0)</f>
        <v/>
      </c>
      <c r="Y678" s="13">
        <f>IF(M678="Returned",1,0)</f>
        <v/>
      </c>
    </row>
    <row r="679">
      <c r="A679" s="13" t="inlineStr">
        <is>
          <t>HC-100677</t>
        </is>
      </c>
      <c r="B679" s="18" t="n">
        <v>45530</v>
      </c>
      <c r="C679" s="13" t="inlineStr">
        <is>
          <t>North</t>
        </is>
      </c>
      <c r="D679" s="13" t="inlineStr">
        <is>
          <t>Store</t>
        </is>
      </c>
      <c r="E679" s="13" t="inlineStr">
        <is>
          <t>Lighting</t>
        </is>
      </c>
      <c r="F679" s="13" t="inlineStr">
        <is>
          <t>Brass Sconce</t>
        </is>
      </c>
      <c r="G679" s="13" t="inlineStr">
        <is>
          <t>Consumer</t>
        </is>
      </c>
      <c r="H679" s="13" t="n">
        <v>4</v>
      </c>
      <c r="I679" s="14" t="n">
        <v>149.08</v>
      </c>
      <c r="J679" s="15" t="n">
        <v>0.07000000000000001</v>
      </c>
      <c r="K679" s="14" t="n">
        <v>68.58</v>
      </c>
      <c r="L679" s="13" t="n">
        <v>3</v>
      </c>
      <c r="M679" s="13" t="inlineStr">
        <is>
          <t>Completed</t>
        </is>
      </c>
      <c r="N679" s="13" t="inlineStr">
        <is>
          <t>L. Berger</t>
        </is>
      </c>
      <c r="O679" s="13" t="inlineStr">
        <is>
          <t>No</t>
        </is>
      </c>
      <c r="P679" s="14">
        <f>H679*I679</f>
        <v/>
      </c>
      <c r="Q679" s="14">
        <f>P679*(1-J679)</f>
        <v/>
      </c>
      <c r="R679" s="14">
        <f>H679*K679</f>
        <v/>
      </c>
      <c r="S679" s="15">
        <f>IF(Q679=0,"",(Q679-R679)/Q679)</f>
        <v/>
      </c>
      <c r="T679" s="13">
        <f>YEAR(B679)</f>
        <v/>
      </c>
      <c r="U679" s="13">
        <f>YEAR(B679)&amp;"-Q"&amp;ROUNDUP(MONTH(B679)/3,0)</f>
        <v/>
      </c>
      <c r="V679" s="13">
        <f>TEXT(B679,"YYYY-MM")</f>
        <v/>
      </c>
      <c r="W679" s="13">
        <f>IF(L679="","",IF(L679&gt;pLateDays,1,0))</f>
        <v/>
      </c>
      <c r="X679" s="13">
        <f>IF(Q679&gt;=pHighCutoff,1,0)</f>
        <v/>
      </c>
      <c r="Y679" s="13">
        <f>IF(M679="Returned",1,0)</f>
        <v/>
      </c>
    </row>
    <row r="680">
      <c r="A680" s="13" t="inlineStr">
        <is>
          <t>HC-100678</t>
        </is>
      </c>
      <c r="B680" s="18" t="n">
        <v>45840</v>
      </c>
      <c r="C680" s="13" t="inlineStr">
        <is>
          <t>West</t>
        </is>
      </c>
      <c r="D680" s="13" t="inlineStr">
        <is>
          <t>Store</t>
        </is>
      </c>
      <c r="E680" s="13" t="inlineStr">
        <is>
          <t>Textiles</t>
        </is>
      </c>
      <c r="F680" s="13" t="inlineStr">
        <is>
          <t>Linen Curtain</t>
        </is>
      </c>
      <c r="G680" s="13" t="inlineStr">
        <is>
          <t>Home Office</t>
        </is>
      </c>
      <c r="H680" s="13" t="n">
        <v>1</v>
      </c>
      <c r="I680" s="14" t="n">
        <v>98.26000000000001</v>
      </c>
      <c r="J680" s="15" t="n">
        <v>0.02</v>
      </c>
      <c r="K680" s="14" t="n">
        <v>44.21</v>
      </c>
      <c r="L680" s="13" t="n">
        <v>6</v>
      </c>
      <c r="M680" s="13" t="inlineStr">
        <is>
          <t>Completed</t>
        </is>
      </c>
      <c r="N680" s="13" t="inlineStr">
        <is>
          <t>L. Berger</t>
        </is>
      </c>
      <c r="O680" s="13" t="inlineStr">
        <is>
          <t>No</t>
        </is>
      </c>
      <c r="P680" s="14">
        <f>H680*I680</f>
        <v/>
      </c>
      <c r="Q680" s="14">
        <f>P680*(1-J680)</f>
        <v/>
      </c>
      <c r="R680" s="14">
        <f>H680*K680</f>
        <v/>
      </c>
      <c r="S680" s="15">
        <f>IF(Q680=0,"",(Q680-R680)/Q680)</f>
        <v/>
      </c>
      <c r="T680" s="13">
        <f>YEAR(B680)</f>
        <v/>
      </c>
      <c r="U680" s="13">
        <f>YEAR(B680)&amp;"-Q"&amp;ROUNDUP(MONTH(B680)/3,0)</f>
        <v/>
      </c>
      <c r="V680" s="13">
        <f>TEXT(B680,"YYYY-MM")</f>
        <v/>
      </c>
      <c r="W680" s="13">
        <f>IF(L680="","",IF(L680&gt;pLateDays,1,0))</f>
        <v/>
      </c>
      <c r="X680" s="13">
        <f>IF(Q680&gt;=pHighCutoff,1,0)</f>
        <v/>
      </c>
      <c r="Y680" s="13">
        <f>IF(M680="Returned",1,0)</f>
        <v/>
      </c>
    </row>
    <row r="681">
      <c r="A681" s="13" t="inlineStr">
        <is>
          <t>HC-100679</t>
        </is>
      </c>
      <c r="B681" s="18" t="n">
        <v>45374</v>
      </c>
      <c r="C681" s="13" t="inlineStr">
        <is>
          <t>East</t>
        </is>
      </c>
      <c r="D681" s="13" t="inlineStr">
        <is>
          <t>Wholesale</t>
        </is>
      </c>
      <c r="E681" s="13" t="inlineStr">
        <is>
          <t>Textiles</t>
        </is>
      </c>
      <c r="F681" s="13" t="inlineStr">
        <is>
          <t>Cotton Duvet</t>
        </is>
      </c>
      <c r="G681" s="13" t="inlineStr">
        <is>
          <t>Home Office</t>
        </is>
      </c>
      <c r="H681" s="13" t="n">
        <v>19</v>
      </c>
      <c r="I681" s="14" t="n">
        <v>115.3</v>
      </c>
      <c r="J681" s="15" t="n">
        <v>0.16</v>
      </c>
      <c r="K681" s="14" t="n">
        <v>50.73</v>
      </c>
      <c r="L681" s="13" t="n">
        <v>8</v>
      </c>
      <c r="M681" s="13" t="inlineStr">
        <is>
          <t>Completed</t>
        </is>
      </c>
      <c r="N681" s="13" t="inlineStr">
        <is>
          <t>J. Patel</t>
        </is>
      </c>
      <c r="O681" s="13" t="inlineStr">
        <is>
          <t>No</t>
        </is>
      </c>
      <c r="P681" s="14">
        <f>H681*I681</f>
        <v/>
      </c>
      <c r="Q681" s="14">
        <f>P681*(1-J681)</f>
        <v/>
      </c>
      <c r="R681" s="14">
        <f>H681*K681</f>
        <v/>
      </c>
      <c r="S681" s="15">
        <f>IF(Q681=0,"",(Q681-R681)/Q681)</f>
        <v/>
      </c>
      <c r="T681" s="13">
        <f>YEAR(B681)</f>
        <v/>
      </c>
      <c r="U681" s="13">
        <f>YEAR(B681)&amp;"-Q"&amp;ROUNDUP(MONTH(B681)/3,0)</f>
        <v/>
      </c>
      <c r="V681" s="13">
        <f>TEXT(B681,"YYYY-MM")</f>
        <v/>
      </c>
      <c r="W681" s="13">
        <f>IF(L681="","",IF(L681&gt;pLateDays,1,0))</f>
        <v/>
      </c>
      <c r="X681" s="13">
        <f>IF(Q681&gt;=pHighCutoff,1,0)</f>
        <v/>
      </c>
      <c r="Y681" s="13">
        <f>IF(M681="Returned",1,0)</f>
        <v/>
      </c>
    </row>
    <row r="682">
      <c r="A682" s="13" t="inlineStr">
        <is>
          <t>HC-100680</t>
        </is>
      </c>
      <c r="B682" s="18" t="n">
        <v>45790</v>
      </c>
      <c r="C682" s="13" t="inlineStr">
        <is>
          <t>North</t>
        </is>
      </c>
      <c r="D682" s="13" t="inlineStr">
        <is>
          <t>Online</t>
        </is>
      </c>
      <c r="E682" s="13" t="inlineStr">
        <is>
          <t>Lighting</t>
        </is>
      </c>
      <c r="F682" s="13" t="inlineStr">
        <is>
          <t>Brass Sconce</t>
        </is>
      </c>
      <c r="G682" s="13" t="inlineStr">
        <is>
          <t>Consumer</t>
        </is>
      </c>
      <c r="H682" s="13" t="n">
        <v>3</v>
      </c>
      <c r="I682" s="14" t="n">
        <v>143.25</v>
      </c>
      <c r="J682" s="15" t="n">
        <v>0.05</v>
      </c>
      <c r="K682" s="14" t="n">
        <v>65.89</v>
      </c>
      <c r="L682" s="13" t="n">
        <v>6</v>
      </c>
      <c r="M682" s="13" t="inlineStr">
        <is>
          <t>Completed</t>
        </is>
      </c>
      <c r="N682" s="13" t="inlineStr">
        <is>
          <t>K. Mensah</t>
        </is>
      </c>
      <c r="O682" s="13" t="inlineStr">
        <is>
          <t>No</t>
        </is>
      </c>
      <c r="P682" s="14">
        <f>H682*I682</f>
        <v/>
      </c>
      <c r="Q682" s="14">
        <f>P682*(1-J682)</f>
        <v/>
      </c>
      <c r="R682" s="14">
        <f>H682*K682</f>
        <v/>
      </c>
      <c r="S682" s="15">
        <f>IF(Q682=0,"",(Q682-R682)/Q682)</f>
        <v/>
      </c>
      <c r="T682" s="13">
        <f>YEAR(B682)</f>
        <v/>
      </c>
      <c r="U682" s="13">
        <f>YEAR(B682)&amp;"-Q"&amp;ROUNDUP(MONTH(B682)/3,0)</f>
        <v/>
      </c>
      <c r="V682" s="13">
        <f>TEXT(B682,"YYYY-MM")</f>
        <v/>
      </c>
      <c r="W682" s="13">
        <f>IF(L682="","",IF(L682&gt;pLateDays,1,0))</f>
        <v/>
      </c>
      <c r="X682" s="13">
        <f>IF(Q682&gt;=pHighCutoff,1,0)</f>
        <v/>
      </c>
      <c r="Y682" s="13">
        <f>IF(M682="Returned",1,0)</f>
        <v/>
      </c>
    </row>
    <row r="683">
      <c r="A683" s="13" t="inlineStr">
        <is>
          <t>HC-100681</t>
        </is>
      </c>
      <c r="B683" s="18" t="n">
        <v>45484</v>
      </c>
      <c r="C683" s="13" t="inlineStr">
        <is>
          <t>North</t>
        </is>
      </c>
      <c r="D683" s="13" t="inlineStr">
        <is>
          <t>Online</t>
        </is>
      </c>
      <c r="E683" s="13" t="inlineStr">
        <is>
          <t>Lighting</t>
        </is>
      </c>
      <c r="F683" s="13" t="inlineStr">
        <is>
          <t>Brass Sconce</t>
        </is>
      </c>
      <c r="G683" s="13" t="inlineStr">
        <is>
          <t>Corporate</t>
        </is>
      </c>
      <c r="H683" s="13" t="n">
        <v>2</v>
      </c>
      <c r="I683" s="14" t="n">
        <v>143.52</v>
      </c>
      <c r="J683" s="15" t="n">
        <v>0.12</v>
      </c>
      <c r="K683" s="14" t="n">
        <v>66.02</v>
      </c>
      <c r="L683" s="13" t="n">
        <v>6</v>
      </c>
      <c r="M683" s="13" t="inlineStr">
        <is>
          <t>Completed</t>
        </is>
      </c>
      <c r="N683" s="13" t="inlineStr">
        <is>
          <t>R. Ibarra</t>
        </is>
      </c>
      <c r="O683" s="13" t="inlineStr">
        <is>
          <t>No</t>
        </is>
      </c>
      <c r="P683" s="14">
        <f>H683*I683</f>
        <v/>
      </c>
      <c r="Q683" s="14">
        <f>P683*(1-J683)</f>
        <v/>
      </c>
      <c r="R683" s="14">
        <f>H683*K683</f>
        <v/>
      </c>
      <c r="S683" s="15">
        <f>IF(Q683=0,"",(Q683-R683)/Q683)</f>
        <v/>
      </c>
      <c r="T683" s="13">
        <f>YEAR(B683)</f>
        <v/>
      </c>
      <c r="U683" s="13">
        <f>YEAR(B683)&amp;"-Q"&amp;ROUNDUP(MONTH(B683)/3,0)</f>
        <v/>
      </c>
      <c r="V683" s="13">
        <f>TEXT(B683,"YYYY-MM")</f>
        <v/>
      </c>
      <c r="W683" s="13">
        <f>IF(L683="","",IF(L683&gt;pLateDays,1,0))</f>
        <v/>
      </c>
      <c r="X683" s="13">
        <f>IF(Q683&gt;=pHighCutoff,1,0)</f>
        <v/>
      </c>
      <c r="Y683" s="13">
        <f>IF(M683="Returned",1,0)</f>
        <v/>
      </c>
    </row>
    <row r="684">
      <c r="A684" s="13" t="inlineStr">
        <is>
          <t>HC-100682</t>
        </is>
      </c>
      <c r="B684" s="18" t="n">
        <v>45834</v>
      </c>
      <c r="C684" s="13" t="inlineStr">
        <is>
          <t>South</t>
        </is>
      </c>
      <c r="D684" s="13" t="inlineStr">
        <is>
          <t>Online</t>
        </is>
      </c>
      <c r="E684" s="13" t="inlineStr">
        <is>
          <t>Textiles</t>
        </is>
      </c>
      <c r="F684" s="13" t="inlineStr">
        <is>
          <t>Wool Throw</t>
        </is>
      </c>
      <c r="G684" s="13" t="inlineStr">
        <is>
          <t>Corporate</t>
        </is>
      </c>
      <c r="H684" s="13" t="n">
        <v>1</v>
      </c>
      <c r="I684" s="14" t="n">
        <v>75.01000000000001</v>
      </c>
      <c r="J684" s="15" t="n">
        <v>0.06</v>
      </c>
      <c r="K684" s="14" t="n">
        <v>31.5</v>
      </c>
      <c r="L684" s="13" t="n">
        <v>7</v>
      </c>
      <c r="M684" s="13" t="inlineStr">
        <is>
          <t>Completed</t>
        </is>
      </c>
      <c r="N684" s="13" t="inlineStr">
        <is>
          <t>K. Mensah</t>
        </is>
      </c>
      <c r="O684" s="13" t="inlineStr">
        <is>
          <t>No</t>
        </is>
      </c>
      <c r="P684" s="14">
        <f>H684*I684</f>
        <v/>
      </c>
      <c r="Q684" s="14">
        <f>P684*(1-J684)</f>
        <v/>
      </c>
      <c r="R684" s="14">
        <f>H684*K684</f>
        <v/>
      </c>
      <c r="S684" s="15">
        <f>IF(Q684=0,"",(Q684-R684)/Q684)</f>
        <v/>
      </c>
      <c r="T684" s="13">
        <f>YEAR(B684)</f>
        <v/>
      </c>
      <c r="U684" s="13">
        <f>YEAR(B684)&amp;"-Q"&amp;ROUNDUP(MONTH(B684)/3,0)</f>
        <v/>
      </c>
      <c r="V684" s="13">
        <f>TEXT(B684,"YYYY-MM")</f>
        <v/>
      </c>
      <c r="W684" s="13">
        <f>IF(L684="","",IF(L684&gt;pLateDays,1,0))</f>
        <v/>
      </c>
      <c r="X684" s="13">
        <f>IF(Q684&gt;=pHighCutoff,1,0)</f>
        <v/>
      </c>
      <c r="Y684" s="13">
        <f>IF(M684="Returned",1,0)</f>
        <v/>
      </c>
    </row>
    <row r="685">
      <c r="A685" s="13" t="inlineStr">
        <is>
          <t>HC-100683</t>
        </is>
      </c>
      <c r="B685" s="18" t="n">
        <v>45862</v>
      </c>
      <c r="C685" s="13" t="inlineStr">
        <is>
          <t>North</t>
        </is>
      </c>
      <c r="D685" s="13" t="inlineStr">
        <is>
          <t>Wholesale</t>
        </is>
      </c>
      <c r="E685" s="13" t="inlineStr">
        <is>
          <t>Lighting</t>
        </is>
      </c>
      <c r="F685" s="13" t="inlineStr">
        <is>
          <t>Brass Sconce</t>
        </is>
      </c>
      <c r="G685" s="13" t="inlineStr">
        <is>
          <t>Corporate</t>
        </is>
      </c>
      <c r="H685" s="13" t="n">
        <v>33</v>
      </c>
      <c r="I685" s="14" t="n">
        <v>143.84</v>
      </c>
      <c r="J685" s="15" t="n">
        <v>0.24</v>
      </c>
      <c r="K685" s="14" t="n">
        <v>66.17</v>
      </c>
      <c r="L685" s="13" t="n">
        <v>7</v>
      </c>
      <c r="M685" s="13" t="inlineStr">
        <is>
          <t>Completed</t>
        </is>
      </c>
      <c r="N685" s="13" t="inlineStr">
        <is>
          <t>K. Mensah</t>
        </is>
      </c>
      <c r="O685" s="13" t="inlineStr">
        <is>
          <t>No</t>
        </is>
      </c>
      <c r="P685" s="14">
        <f>H685*I685</f>
        <v/>
      </c>
      <c r="Q685" s="14">
        <f>P685*(1-J685)</f>
        <v/>
      </c>
      <c r="R685" s="14">
        <f>H685*K685</f>
        <v/>
      </c>
      <c r="S685" s="15">
        <f>IF(Q685=0,"",(Q685-R685)/Q685)</f>
        <v/>
      </c>
      <c r="T685" s="13">
        <f>YEAR(B685)</f>
        <v/>
      </c>
      <c r="U685" s="13">
        <f>YEAR(B685)&amp;"-Q"&amp;ROUNDUP(MONTH(B685)/3,0)</f>
        <v/>
      </c>
      <c r="V685" s="13">
        <f>TEXT(B685,"YYYY-MM")</f>
        <v/>
      </c>
      <c r="W685" s="13">
        <f>IF(L685="","",IF(L685&gt;pLateDays,1,0))</f>
        <v/>
      </c>
      <c r="X685" s="13">
        <f>IF(Q685&gt;=pHighCutoff,1,0)</f>
        <v/>
      </c>
      <c r="Y685" s="13">
        <f>IF(M685="Returned",1,0)</f>
        <v/>
      </c>
    </row>
    <row r="686">
      <c r="A686" s="13" t="inlineStr">
        <is>
          <t>HC-100684</t>
        </is>
      </c>
      <c r="B686" s="18" t="n">
        <v>45686</v>
      </c>
      <c r="C686" s="13" t="inlineStr">
        <is>
          <t>South</t>
        </is>
      </c>
      <c r="D686" s="13" t="inlineStr">
        <is>
          <t>Store</t>
        </is>
      </c>
      <c r="E686" s="13" t="inlineStr">
        <is>
          <t>Furniture</t>
        </is>
      </c>
      <c r="F686" s="13" t="inlineStr">
        <is>
          <t>Walnut Shelf</t>
        </is>
      </c>
      <c r="G686" s="13" t="inlineStr">
        <is>
          <t>Consumer</t>
        </is>
      </c>
      <c r="H686" s="13" t="n">
        <v>4</v>
      </c>
      <c r="I686" s="14" t="n">
        <v>224.5</v>
      </c>
      <c r="J686" s="15" t="n">
        <v>0.12</v>
      </c>
      <c r="K686" s="14" t="n">
        <v>123.47</v>
      </c>
      <c r="L686" s="13" t="n">
        <v>5</v>
      </c>
      <c r="M686" s="13" t="inlineStr">
        <is>
          <t>Returned</t>
        </is>
      </c>
      <c r="N686" s="13" t="inlineStr">
        <is>
          <t>P. Rossi</t>
        </is>
      </c>
      <c r="O686" s="13" t="inlineStr">
        <is>
          <t>No</t>
        </is>
      </c>
      <c r="P686" s="14">
        <f>H686*I686</f>
        <v/>
      </c>
      <c r="Q686" s="14">
        <f>P686*(1-J686)</f>
        <v/>
      </c>
      <c r="R686" s="14">
        <f>H686*K686</f>
        <v/>
      </c>
      <c r="S686" s="15">
        <f>IF(Q686=0,"",(Q686-R686)/Q686)</f>
        <v/>
      </c>
      <c r="T686" s="13">
        <f>YEAR(B686)</f>
        <v/>
      </c>
      <c r="U686" s="13">
        <f>YEAR(B686)&amp;"-Q"&amp;ROUNDUP(MONTH(B686)/3,0)</f>
        <v/>
      </c>
      <c r="V686" s="13">
        <f>TEXT(B686,"YYYY-MM")</f>
        <v/>
      </c>
      <c r="W686" s="13">
        <f>IF(L686="","",IF(L686&gt;pLateDays,1,0))</f>
        <v/>
      </c>
      <c r="X686" s="13">
        <f>IF(Q686&gt;=pHighCutoff,1,0)</f>
        <v/>
      </c>
      <c r="Y686" s="13">
        <f>IF(M686="Returned",1,0)</f>
        <v/>
      </c>
    </row>
    <row r="687">
      <c r="A687" s="13" t="inlineStr">
        <is>
          <t>HC-100685</t>
        </is>
      </c>
      <c r="B687" s="18" t="n">
        <v>45918</v>
      </c>
      <c r="C687" s="13" t="inlineStr">
        <is>
          <t>East</t>
        </is>
      </c>
      <c r="D687" s="13" t="inlineStr">
        <is>
          <t>Wholesale</t>
        </is>
      </c>
      <c r="E687" s="13" t="inlineStr">
        <is>
          <t>Furniture</t>
        </is>
      </c>
      <c r="F687" s="13" t="inlineStr">
        <is>
          <t>Lounge Chair</t>
        </is>
      </c>
      <c r="G687" s="13" t="inlineStr">
        <is>
          <t>Consumer</t>
        </is>
      </c>
      <c r="H687" s="13" t="n">
        <v>23</v>
      </c>
      <c r="I687" s="14" t="n">
        <v>400.05</v>
      </c>
      <c r="J687" s="15" t="n">
        <v>0.22</v>
      </c>
      <c r="K687" s="14" t="n">
        <v>240.03</v>
      </c>
      <c r="L687" s="13" t="n">
        <v>9</v>
      </c>
      <c r="M687" s="13" t="inlineStr">
        <is>
          <t>Completed</t>
        </is>
      </c>
      <c r="N687" s="13" t="inlineStr">
        <is>
          <t>P. Rossi</t>
        </is>
      </c>
      <c r="O687" s="13" t="inlineStr">
        <is>
          <t>No</t>
        </is>
      </c>
      <c r="P687" s="14">
        <f>H687*I687</f>
        <v/>
      </c>
      <c r="Q687" s="14">
        <f>P687*(1-J687)</f>
        <v/>
      </c>
      <c r="R687" s="14">
        <f>H687*K687</f>
        <v/>
      </c>
      <c r="S687" s="15">
        <f>IF(Q687=0,"",(Q687-R687)/Q687)</f>
        <v/>
      </c>
      <c r="T687" s="13">
        <f>YEAR(B687)</f>
        <v/>
      </c>
      <c r="U687" s="13">
        <f>YEAR(B687)&amp;"-Q"&amp;ROUNDUP(MONTH(B687)/3,0)</f>
        <v/>
      </c>
      <c r="V687" s="13">
        <f>TEXT(B687,"YYYY-MM")</f>
        <v/>
      </c>
      <c r="W687" s="13">
        <f>IF(L687="","",IF(L687&gt;pLateDays,1,0))</f>
        <v/>
      </c>
      <c r="X687" s="13">
        <f>IF(Q687&gt;=pHighCutoff,1,0)</f>
        <v/>
      </c>
      <c r="Y687" s="13">
        <f>IF(M687="Returned",1,0)</f>
        <v/>
      </c>
    </row>
    <row r="688">
      <c r="A688" s="13" t="inlineStr">
        <is>
          <t>HC-100686</t>
        </is>
      </c>
      <c r="B688" s="18" t="n">
        <v>45871</v>
      </c>
      <c r="C688" s="13" t="inlineStr">
        <is>
          <t>West</t>
        </is>
      </c>
      <c r="D688" s="13" t="inlineStr">
        <is>
          <t>Online</t>
        </is>
      </c>
      <c r="E688" s="13" t="inlineStr">
        <is>
          <t>Textiles</t>
        </is>
      </c>
      <c r="F688" s="13" t="inlineStr">
        <is>
          <t>Wool Throw</t>
        </is>
      </c>
      <c r="G688" s="13" t="inlineStr">
        <is>
          <t>Home Office</t>
        </is>
      </c>
      <c r="H688" s="13" t="n">
        <v>2</v>
      </c>
      <c r="I688" s="14" t="n">
        <v>70.73</v>
      </c>
      <c r="J688" s="15" t="n">
        <v>0.13</v>
      </c>
      <c r="K688" s="14" t="n">
        <v>29.71</v>
      </c>
      <c r="L688" s="13" t="n">
        <v>9</v>
      </c>
      <c r="M688" s="13" t="inlineStr">
        <is>
          <t>Completed</t>
        </is>
      </c>
      <c r="N688" s="13" t="inlineStr">
        <is>
          <t>S. Nguyen</t>
        </is>
      </c>
      <c r="O688" s="13" t="inlineStr">
        <is>
          <t>No</t>
        </is>
      </c>
      <c r="P688" s="14">
        <f>H688*I688</f>
        <v/>
      </c>
      <c r="Q688" s="14">
        <f>P688*(1-J688)</f>
        <v/>
      </c>
      <c r="R688" s="14">
        <f>H688*K688</f>
        <v/>
      </c>
      <c r="S688" s="15">
        <f>IF(Q688=0,"",(Q688-R688)/Q688)</f>
        <v/>
      </c>
      <c r="T688" s="13">
        <f>YEAR(B688)</f>
        <v/>
      </c>
      <c r="U688" s="13">
        <f>YEAR(B688)&amp;"-Q"&amp;ROUNDUP(MONTH(B688)/3,0)</f>
        <v/>
      </c>
      <c r="V688" s="13">
        <f>TEXT(B688,"YYYY-MM")</f>
        <v/>
      </c>
      <c r="W688" s="13">
        <f>IF(L688="","",IF(L688&gt;pLateDays,1,0))</f>
        <v/>
      </c>
      <c r="X688" s="13">
        <f>IF(Q688&gt;=pHighCutoff,1,0)</f>
        <v/>
      </c>
      <c r="Y688" s="13">
        <f>IF(M688="Returned",1,0)</f>
        <v/>
      </c>
    </row>
    <row r="689">
      <c r="A689" s="13" t="inlineStr">
        <is>
          <t>HC-100687</t>
        </is>
      </c>
      <c r="B689" s="18" t="n">
        <v>45610</v>
      </c>
      <c r="C689" s="13" t="inlineStr">
        <is>
          <t>West</t>
        </is>
      </c>
      <c r="D689" s="13" t="inlineStr">
        <is>
          <t>Store</t>
        </is>
      </c>
      <c r="E689" s="13" t="inlineStr">
        <is>
          <t>Textiles</t>
        </is>
      </c>
      <c r="F689" s="13" t="inlineStr">
        <is>
          <t>Cotton Duvet</t>
        </is>
      </c>
      <c r="G689" s="13" t="inlineStr">
        <is>
          <t>Corporate</t>
        </is>
      </c>
      <c r="H689" s="13" t="n">
        <v>2</v>
      </c>
      <c r="I689" s="14" t="n">
        <v>119.06</v>
      </c>
      <c r="J689" s="15" t="n">
        <v>0.08</v>
      </c>
      <c r="K689" s="14" t="n">
        <v>52.39</v>
      </c>
      <c r="L689" s="13" t="n">
        <v>9</v>
      </c>
      <c r="M689" s="13" t="inlineStr">
        <is>
          <t>Returned</t>
        </is>
      </c>
      <c r="N689" s="13" t="inlineStr">
        <is>
          <t>L. Berger</t>
        </is>
      </c>
      <c r="O689" s="13" t="inlineStr">
        <is>
          <t>No</t>
        </is>
      </c>
      <c r="P689" s="14">
        <f>H689*I689</f>
        <v/>
      </c>
      <c r="Q689" s="14">
        <f>P689*(1-J689)</f>
        <v/>
      </c>
      <c r="R689" s="14">
        <f>H689*K689</f>
        <v/>
      </c>
      <c r="S689" s="15">
        <f>IF(Q689=0,"",(Q689-R689)/Q689)</f>
        <v/>
      </c>
      <c r="T689" s="13">
        <f>YEAR(B689)</f>
        <v/>
      </c>
      <c r="U689" s="13">
        <f>YEAR(B689)&amp;"-Q"&amp;ROUNDUP(MONTH(B689)/3,0)</f>
        <v/>
      </c>
      <c r="V689" s="13">
        <f>TEXT(B689,"YYYY-MM")</f>
        <v/>
      </c>
      <c r="W689" s="13">
        <f>IF(L689="","",IF(L689&gt;pLateDays,1,0))</f>
        <v/>
      </c>
      <c r="X689" s="13">
        <f>IF(Q689&gt;=pHighCutoff,1,0)</f>
        <v/>
      </c>
      <c r="Y689" s="13">
        <f>IF(M689="Returned",1,0)</f>
        <v/>
      </c>
    </row>
    <row r="690">
      <c r="A690" s="13" t="inlineStr">
        <is>
          <t>HC-100688</t>
        </is>
      </c>
      <c r="B690" s="18" t="n">
        <v>45862</v>
      </c>
      <c r="C690" s="13" t="inlineStr">
        <is>
          <t>North</t>
        </is>
      </c>
      <c r="D690" s="13" t="inlineStr">
        <is>
          <t>Online</t>
        </is>
      </c>
      <c r="E690" s="13" t="inlineStr">
        <is>
          <t>Textiles</t>
        </is>
      </c>
      <c r="F690" s="13" t="inlineStr">
        <is>
          <t>Linen Curtain</t>
        </is>
      </c>
      <c r="G690" s="13" t="inlineStr">
        <is>
          <t>Corporate</t>
        </is>
      </c>
      <c r="H690" s="13" t="n">
        <v>3</v>
      </c>
      <c r="I690" s="14" t="n">
        <v>92.37</v>
      </c>
      <c r="J690" s="15" t="n">
        <v>0.02</v>
      </c>
      <c r="K690" s="14" t="n">
        <v>41.57</v>
      </c>
      <c r="L690" s="13" t="n">
        <v>6</v>
      </c>
      <c r="M690" s="13" t="inlineStr">
        <is>
          <t>Completed</t>
        </is>
      </c>
      <c r="N690" s="13" t="inlineStr">
        <is>
          <t>J. Patel</t>
        </is>
      </c>
      <c r="O690" s="13" t="inlineStr">
        <is>
          <t>No</t>
        </is>
      </c>
      <c r="P690" s="14">
        <f>H690*I690</f>
        <v/>
      </c>
      <c r="Q690" s="14">
        <f>P690*(1-J690)</f>
        <v/>
      </c>
      <c r="R690" s="14">
        <f>H690*K690</f>
        <v/>
      </c>
      <c r="S690" s="15">
        <f>IF(Q690=0,"",(Q690-R690)/Q690)</f>
        <v/>
      </c>
      <c r="T690" s="13">
        <f>YEAR(B690)</f>
        <v/>
      </c>
      <c r="U690" s="13">
        <f>YEAR(B690)&amp;"-Q"&amp;ROUNDUP(MONTH(B690)/3,0)</f>
        <v/>
      </c>
      <c r="V690" s="13">
        <f>TEXT(B690,"YYYY-MM")</f>
        <v/>
      </c>
      <c r="W690" s="13">
        <f>IF(L690="","",IF(L690&gt;pLateDays,1,0))</f>
        <v/>
      </c>
      <c r="X690" s="13">
        <f>IF(Q690&gt;=pHighCutoff,1,0)</f>
        <v/>
      </c>
      <c r="Y690" s="13">
        <f>IF(M690="Returned",1,0)</f>
        <v/>
      </c>
    </row>
    <row r="691">
      <c r="A691" s="13" t="inlineStr">
        <is>
          <t>HC-100689</t>
        </is>
      </c>
      <c r="B691" s="18" t="n">
        <v>45789</v>
      </c>
      <c r="C691" s="13" t="inlineStr">
        <is>
          <t>East</t>
        </is>
      </c>
      <c r="D691" s="13" t="inlineStr">
        <is>
          <t>Online</t>
        </is>
      </c>
      <c r="E691" s="13" t="inlineStr">
        <is>
          <t>Lighting</t>
        </is>
      </c>
      <c r="F691" s="13" t="inlineStr">
        <is>
          <t>Pendant Light</t>
        </is>
      </c>
      <c r="G691" s="13" t="inlineStr">
        <is>
          <t>Corporate</t>
        </is>
      </c>
      <c r="H691" s="13" t="n">
        <v>1</v>
      </c>
      <c r="I691" s="14" t="n">
        <v>170.77</v>
      </c>
      <c r="J691" s="15" t="n">
        <v>0.03</v>
      </c>
      <c r="K691" s="14" t="n">
        <v>85.38</v>
      </c>
      <c r="L691" s="13" t="n">
        <v>7</v>
      </c>
      <c r="M691" s="13" t="inlineStr">
        <is>
          <t>Completed</t>
        </is>
      </c>
      <c r="N691" s="13" t="inlineStr">
        <is>
          <t>J. Patel</t>
        </is>
      </c>
      <c r="O691" s="13" t="inlineStr">
        <is>
          <t>No</t>
        </is>
      </c>
      <c r="P691" s="14">
        <f>H691*I691</f>
        <v/>
      </c>
      <c r="Q691" s="14">
        <f>P691*(1-J691)</f>
        <v/>
      </c>
      <c r="R691" s="14">
        <f>H691*K691</f>
        <v/>
      </c>
      <c r="S691" s="15">
        <f>IF(Q691=0,"",(Q691-R691)/Q691)</f>
        <v/>
      </c>
      <c r="T691" s="13">
        <f>YEAR(B691)</f>
        <v/>
      </c>
      <c r="U691" s="13">
        <f>YEAR(B691)&amp;"-Q"&amp;ROUNDUP(MONTH(B691)/3,0)</f>
        <v/>
      </c>
      <c r="V691" s="13">
        <f>TEXT(B691,"YYYY-MM")</f>
        <v/>
      </c>
      <c r="W691" s="13">
        <f>IF(L691="","",IF(L691&gt;pLateDays,1,0))</f>
        <v/>
      </c>
      <c r="X691" s="13">
        <f>IF(Q691&gt;=pHighCutoff,1,0)</f>
        <v/>
      </c>
      <c r="Y691" s="13">
        <f>IF(M691="Returned",1,0)</f>
        <v/>
      </c>
    </row>
    <row r="692">
      <c r="A692" s="13" t="inlineStr">
        <is>
          <t>HC-100690</t>
        </is>
      </c>
      <c r="B692" s="18" t="n">
        <v>45831</v>
      </c>
      <c r="C692" s="13" t="inlineStr">
        <is>
          <t>West</t>
        </is>
      </c>
      <c r="D692" s="13" t="inlineStr">
        <is>
          <t>Online</t>
        </is>
      </c>
      <c r="E692" s="13" t="inlineStr">
        <is>
          <t>Textiles</t>
        </is>
      </c>
      <c r="F692" s="13" t="inlineStr">
        <is>
          <t>Linen Curtain</t>
        </is>
      </c>
      <c r="G692" s="13" t="inlineStr">
        <is>
          <t>Home Office</t>
        </is>
      </c>
      <c r="H692" s="13" t="n">
        <v>1</v>
      </c>
      <c r="I692" s="14" t="n">
        <v>96.7</v>
      </c>
      <c r="J692" s="15" t="n">
        <v>0.09</v>
      </c>
      <c r="K692" s="14" t="n">
        <v>43.51</v>
      </c>
      <c r="L692" s="13" t="n">
        <v>4</v>
      </c>
      <c r="M692" s="13" t="inlineStr">
        <is>
          <t>Completed</t>
        </is>
      </c>
      <c r="N692" s="13" t="inlineStr">
        <is>
          <t>J. Patel</t>
        </is>
      </c>
      <c r="O692" s="13" t="inlineStr">
        <is>
          <t>No</t>
        </is>
      </c>
      <c r="P692" s="14">
        <f>H692*I692</f>
        <v/>
      </c>
      <c r="Q692" s="14">
        <f>P692*(1-J692)</f>
        <v/>
      </c>
      <c r="R692" s="14">
        <f>H692*K692</f>
        <v/>
      </c>
      <c r="S692" s="15">
        <f>IF(Q692=0,"",(Q692-R692)/Q692)</f>
        <v/>
      </c>
      <c r="T692" s="13">
        <f>YEAR(B692)</f>
        <v/>
      </c>
      <c r="U692" s="13">
        <f>YEAR(B692)&amp;"-Q"&amp;ROUNDUP(MONTH(B692)/3,0)</f>
        <v/>
      </c>
      <c r="V692" s="13">
        <f>TEXT(B692,"YYYY-MM")</f>
        <v/>
      </c>
      <c r="W692" s="13">
        <f>IF(L692="","",IF(L692&gt;pLateDays,1,0))</f>
        <v/>
      </c>
      <c r="X692" s="13">
        <f>IF(Q692&gt;=pHighCutoff,1,0)</f>
        <v/>
      </c>
      <c r="Y692" s="13">
        <f>IF(M692="Returned",1,0)</f>
        <v/>
      </c>
    </row>
    <row r="693">
      <c r="A693" s="13" t="inlineStr">
        <is>
          <t>HC-100691</t>
        </is>
      </c>
      <c r="B693" s="18" t="n">
        <v>45392</v>
      </c>
      <c r="C693" s="13" t="inlineStr">
        <is>
          <t>North</t>
        </is>
      </c>
      <c r="D693" s="13" t="inlineStr">
        <is>
          <t>Store</t>
        </is>
      </c>
      <c r="E693" s="13" t="inlineStr">
        <is>
          <t>Furniture</t>
        </is>
      </c>
      <c r="F693" s="13" t="inlineStr">
        <is>
          <t>Linen Sofa</t>
        </is>
      </c>
      <c r="G693" s="13" t="inlineStr">
        <is>
          <t>Corporate</t>
        </is>
      </c>
      <c r="H693" s="13" t="n">
        <v>3</v>
      </c>
      <c r="I693" s="14" t="n">
        <v>1340.5</v>
      </c>
      <c r="J693" s="15" t="n">
        <v>0.06</v>
      </c>
      <c r="K693" s="14" t="n">
        <v>884.73</v>
      </c>
      <c r="L693" s="13" t="n">
        <v>4</v>
      </c>
      <c r="M693" s="13" t="inlineStr">
        <is>
          <t>Completed</t>
        </is>
      </c>
      <c r="N693" s="13" t="inlineStr">
        <is>
          <t>J. Patel</t>
        </is>
      </c>
      <c r="O693" s="13" t="inlineStr">
        <is>
          <t>No</t>
        </is>
      </c>
      <c r="P693" s="14">
        <f>H693*I693</f>
        <v/>
      </c>
      <c r="Q693" s="14">
        <f>P693*(1-J693)</f>
        <v/>
      </c>
      <c r="R693" s="14">
        <f>H693*K693</f>
        <v/>
      </c>
      <c r="S693" s="15">
        <f>IF(Q693=0,"",(Q693-R693)/Q693)</f>
        <v/>
      </c>
      <c r="T693" s="13">
        <f>YEAR(B693)</f>
        <v/>
      </c>
      <c r="U693" s="13">
        <f>YEAR(B693)&amp;"-Q"&amp;ROUNDUP(MONTH(B693)/3,0)</f>
        <v/>
      </c>
      <c r="V693" s="13">
        <f>TEXT(B693,"YYYY-MM")</f>
        <v/>
      </c>
      <c r="W693" s="13">
        <f>IF(L693="","",IF(L693&gt;pLateDays,1,0))</f>
        <v/>
      </c>
      <c r="X693" s="13">
        <f>IF(Q693&gt;=pHighCutoff,1,0)</f>
        <v/>
      </c>
      <c r="Y693" s="13">
        <f>IF(M693="Returned",1,0)</f>
        <v/>
      </c>
    </row>
    <row r="694">
      <c r="A694" s="13" t="inlineStr">
        <is>
          <t>HC-100692</t>
        </is>
      </c>
      <c r="B694" s="18" t="n">
        <v>45842</v>
      </c>
      <c r="C694" s="13" t="inlineStr">
        <is>
          <t>West</t>
        </is>
      </c>
      <c r="D694" s="13" t="inlineStr">
        <is>
          <t>Store</t>
        </is>
      </c>
      <c r="E694" s="13" t="inlineStr">
        <is>
          <t>Textiles</t>
        </is>
      </c>
      <c r="F694" s="13" t="inlineStr">
        <is>
          <t>Wool Throw</t>
        </is>
      </c>
      <c r="G694" s="13" t="inlineStr">
        <is>
          <t>Unknown</t>
        </is>
      </c>
      <c r="H694" s="13" t="n">
        <v>1</v>
      </c>
      <c r="I694" s="14" t="n">
        <v>77.41</v>
      </c>
      <c r="J694" s="15" t="n">
        <v>0.09</v>
      </c>
      <c r="K694" s="14" t="n">
        <v>32.51</v>
      </c>
      <c r="L694" s="13" t="n">
        <v>9</v>
      </c>
      <c r="M694" s="13" t="inlineStr">
        <is>
          <t>Completed</t>
        </is>
      </c>
      <c r="N694" s="13" t="inlineStr">
        <is>
          <t>M. Okonkwo</t>
        </is>
      </c>
      <c r="O694" s="13" t="inlineStr">
        <is>
          <t>No</t>
        </is>
      </c>
      <c r="P694" s="14">
        <f>H694*I694</f>
        <v/>
      </c>
      <c r="Q694" s="14">
        <f>P694*(1-J694)</f>
        <v/>
      </c>
      <c r="R694" s="14">
        <f>H694*K694</f>
        <v/>
      </c>
      <c r="S694" s="15">
        <f>IF(Q694=0,"",(Q694-R694)/Q694)</f>
        <v/>
      </c>
      <c r="T694" s="13">
        <f>YEAR(B694)</f>
        <v/>
      </c>
      <c r="U694" s="13">
        <f>YEAR(B694)&amp;"-Q"&amp;ROUNDUP(MONTH(B694)/3,0)</f>
        <v/>
      </c>
      <c r="V694" s="13">
        <f>TEXT(B694,"YYYY-MM")</f>
        <v/>
      </c>
      <c r="W694" s="13">
        <f>IF(L694="","",IF(L694&gt;pLateDays,1,0))</f>
        <v/>
      </c>
      <c r="X694" s="13">
        <f>IF(Q694&gt;=pHighCutoff,1,0)</f>
        <v/>
      </c>
      <c r="Y694" s="13">
        <f>IF(M694="Returned",1,0)</f>
        <v/>
      </c>
    </row>
    <row r="695">
      <c r="A695" s="13" t="inlineStr">
        <is>
          <t>HC-100693</t>
        </is>
      </c>
      <c r="B695" s="18" t="n">
        <v>45733</v>
      </c>
      <c r="C695" s="13" t="inlineStr">
        <is>
          <t>North</t>
        </is>
      </c>
      <c r="D695" s="13" t="inlineStr">
        <is>
          <t>Online</t>
        </is>
      </c>
      <c r="E695" s="13" t="inlineStr">
        <is>
          <t>Kitchen</t>
        </is>
      </c>
      <c r="F695" s="13" t="inlineStr">
        <is>
          <t>Cast Skillet</t>
        </is>
      </c>
      <c r="G695" s="13" t="inlineStr">
        <is>
          <t>Consumer</t>
        </is>
      </c>
      <c r="H695" s="13" t="n">
        <v>1</v>
      </c>
      <c r="I695" s="14" t="n">
        <v>50.07</v>
      </c>
      <c r="J695" s="15" t="n">
        <v>0.13</v>
      </c>
      <c r="K695" s="14" t="n">
        <v>20.03</v>
      </c>
      <c r="L695" s="13" t="n">
        <v>3</v>
      </c>
      <c r="M695" s="13" t="inlineStr">
        <is>
          <t>Completed</t>
        </is>
      </c>
      <c r="N695" s="13" t="inlineStr">
        <is>
          <t>K. Mensah</t>
        </is>
      </c>
      <c r="O695" s="13" t="inlineStr">
        <is>
          <t>No</t>
        </is>
      </c>
      <c r="P695" s="14">
        <f>H695*I695</f>
        <v/>
      </c>
      <c r="Q695" s="14">
        <f>P695*(1-J695)</f>
        <v/>
      </c>
      <c r="R695" s="14">
        <f>H695*K695</f>
        <v/>
      </c>
      <c r="S695" s="15">
        <f>IF(Q695=0,"",(Q695-R695)/Q695)</f>
        <v/>
      </c>
      <c r="T695" s="13">
        <f>YEAR(B695)</f>
        <v/>
      </c>
      <c r="U695" s="13">
        <f>YEAR(B695)&amp;"-Q"&amp;ROUNDUP(MONTH(B695)/3,0)</f>
        <v/>
      </c>
      <c r="V695" s="13">
        <f>TEXT(B695,"YYYY-MM")</f>
        <v/>
      </c>
      <c r="W695" s="13">
        <f>IF(L695="","",IF(L695&gt;pLateDays,1,0))</f>
        <v/>
      </c>
      <c r="X695" s="13">
        <f>IF(Q695&gt;=pHighCutoff,1,0)</f>
        <v/>
      </c>
      <c r="Y695" s="13">
        <f>IF(M695="Returned",1,0)</f>
        <v/>
      </c>
    </row>
    <row r="696">
      <c r="A696" s="13" t="inlineStr">
        <is>
          <t>HC-100694</t>
        </is>
      </c>
      <c r="B696" s="18" t="n">
        <v>45758</v>
      </c>
      <c r="C696" s="13" t="inlineStr">
        <is>
          <t>North</t>
        </is>
      </c>
      <c r="D696" s="13" t="inlineStr">
        <is>
          <t>Store</t>
        </is>
      </c>
      <c r="E696" s="13" t="inlineStr">
        <is>
          <t>Textiles</t>
        </is>
      </c>
      <c r="F696" s="13" t="inlineStr">
        <is>
          <t>Wool Throw</t>
        </is>
      </c>
      <c r="G696" s="13" t="inlineStr">
        <is>
          <t>Corporate</t>
        </is>
      </c>
      <c r="H696" s="13" t="n">
        <v>3</v>
      </c>
      <c r="I696" s="14" t="n">
        <v>77.95999999999999</v>
      </c>
      <c r="J696" s="15" t="n">
        <v>0.03</v>
      </c>
      <c r="K696" s="14" t="n">
        <v>32.74</v>
      </c>
      <c r="L696" s="13" t="n">
        <v>8</v>
      </c>
      <c r="M696" s="13" t="inlineStr">
        <is>
          <t>Completed</t>
        </is>
      </c>
      <c r="N696" s="13" t="inlineStr">
        <is>
          <t>R. Ibarra</t>
        </is>
      </c>
      <c r="O696" s="13" t="inlineStr">
        <is>
          <t>No</t>
        </is>
      </c>
      <c r="P696" s="14">
        <f>H696*I696</f>
        <v/>
      </c>
      <c r="Q696" s="14">
        <f>P696*(1-J696)</f>
        <v/>
      </c>
      <c r="R696" s="14">
        <f>H696*K696</f>
        <v/>
      </c>
      <c r="S696" s="15">
        <f>IF(Q696=0,"",(Q696-R696)/Q696)</f>
        <v/>
      </c>
      <c r="T696" s="13">
        <f>YEAR(B696)</f>
        <v/>
      </c>
      <c r="U696" s="13">
        <f>YEAR(B696)&amp;"-Q"&amp;ROUNDUP(MONTH(B696)/3,0)</f>
        <v/>
      </c>
      <c r="V696" s="13">
        <f>TEXT(B696,"YYYY-MM")</f>
        <v/>
      </c>
      <c r="W696" s="13">
        <f>IF(L696="","",IF(L696&gt;pLateDays,1,0))</f>
        <v/>
      </c>
      <c r="X696" s="13">
        <f>IF(Q696&gt;=pHighCutoff,1,0)</f>
        <v/>
      </c>
      <c r="Y696" s="13">
        <f>IF(M696="Returned",1,0)</f>
        <v/>
      </c>
    </row>
    <row r="697">
      <c r="A697" s="13" t="inlineStr">
        <is>
          <t>HC-100695</t>
        </is>
      </c>
      <c r="B697" s="18" t="n">
        <v>45493</v>
      </c>
      <c r="C697" s="13" t="inlineStr">
        <is>
          <t>South</t>
        </is>
      </c>
      <c r="D697" s="13" t="inlineStr">
        <is>
          <t>Wholesale</t>
        </is>
      </c>
      <c r="E697" s="13" t="inlineStr">
        <is>
          <t>Kitchen</t>
        </is>
      </c>
      <c r="F697" s="13" t="inlineStr">
        <is>
          <t>Chef Knife</t>
        </is>
      </c>
      <c r="G697" s="13" t="inlineStr">
        <is>
          <t>Consumer</t>
        </is>
      </c>
      <c r="H697" s="13" t="n">
        <v>30</v>
      </c>
      <c r="I697" s="14" t="n">
        <v>67.95999999999999</v>
      </c>
      <c r="J697" s="15" t="n">
        <v>0.18</v>
      </c>
      <c r="K697" s="14" t="n">
        <v>24.47</v>
      </c>
      <c r="L697" s="13" t="n">
        <v>7</v>
      </c>
      <c r="M697" s="13" t="inlineStr">
        <is>
          <t>Completed</t>
        </is>
      </c>
      <c r="N697" s="13" t="inlineStr">
        <is>
          <t>J. Patel</t>
        </is>
      </c>
      <c r="O697" s="13" t="inlineStr">
        <is>
          <t>No</t>
        </is>
      </c>
      <c r="P697" s="14">
        <f>H697*I697</f>
        <v/>
      </c>
      <c r="Q697" s="14">
        <f>P697*(1-J697)</f>
        <v/>
      </c>
      <c r="R697" s="14">
        <f>H697*K697</f>
        <v/>
      </c>
      <c r="S697" s="15">
        <f>IF(Q697=0,"",(Q697-R697)/Q697)</f>
        <v/>
      </c>
      <c r="T697" s="13">
        <f>YEAR(B697)</f>
        <v/>
      </c>
      <c r="U697" s="13">
        <f>YEAR(B697)&amp;"-Q"&amp;ROUNDUP(MONTH(B697)/3,0)</f>
        <v/>
      </c>
      <c r="V697" s="13">
        <f>TEXT(B697,"YYYY-MM")</f>
        <v/>
      </c>
      <c r="W697" s="13">
        <f>IF(L697="","",IF(L697&gt;pLateDays,1,0))</f>
        <v/>
      </c>
      <c r="X697" s="13">
        <f>IF(Q697&gt;=pHighCutoff,1,0)</f>
        <v/>
      </c>
      <c r="Y697" s="13">
        <f>IF(M697="Returned",1,0)</f>
        <v/>
      </c>
    </row>
    <row r="698">
      <c r="A698" s="13" t="inlineStr">
        <is>
          <t>HC-100696</t>
        </is>
      </c>
      <c r="B698" s="18" t="n">
        <v>45733</v>
      </c>
      <c r="C698" s="13" t="inlineStr">
        <is>
          <t>South</t>
        </is>
      </c>
      <c r="D698" s="13" t="inlineStr">
        <is>
          <t>Store</t>
        </is>
      </c>
      <c r="E698" s="13" t="inlineStr">
        <is>
          <t>Kitchen</t>
        </is>
      </c>
      <c r="F698" s="13" t="inlineStr">
        <is>
          <t>Cast Skillet</t>
        </is>
      </c>
      <c r="G698" s="13" t="inlineStr">
        <is>
          <t>Consumer</t>
        </is>
      </c>
      <c r="H698" s="13" t="n">
        <v>1</v>
      </c>
      <c r="I698" s="14" t="n">
        <v>51.83</v>
      </c>
      <c r="J698" s="15" t="n">
        <v>0.09</v>
      </c>
      <c r="K698" s="14" t="n">
        <v>20.73</v>
      </c>
      <c r="L698" s="13" t="n">
        <v>5</v>
      </c>
      <c r="M698" s="13" t="inlineStr">
        <is>
          <t>Completed</t>
        </is>
      </c>
      <c r="N698" s="13" t="inlineStr">
        <is>
          <t>K. Mensah</t>
        </is>
      </c>
      <c r="O698" s="13" t="inlineStr">
        <is>
          <t>No</t>
        </is>
      </c>
      <c r="P698" s="14">
        <f>H698*I698</f>
        <v/>
      </c>
      <c r="Q698" s="14">
        <f>P698*(1-J698)</f>
        <v/>
      </c>
      <c r="R698" s="14">
        <f>H698*K698</f>
        <v/>
      </c>
      <c r="S698" s="15">
        <f>IF(Q698=0,"",(Q698-R698)/Q698)</f>
        <v/>
      </c>
      <c r="T698" s="13">
        <f>YEAR(B698)</f>
        <v/>
      </c>
      <c r="U698" s="13">
        <f>YEAR(B698)&amp;"-Q"&amp;ROUNDUP(MONTH(B698)/3,0)</f>
        <v/>
      </c>
      <c r="V698" s="13">
        <f>TEXT(B698,"YYYY-MM")</f>
        <v/>
      </c>
      <c r="W698" s="13">
        <f>IF(L698="","",IF(L698&gt;pLateDays,1,0))</f>
        <v/>
      </c>
      <c r="X698" s="13">
        <f>IF(Q698&gt;=pHighCutoff,1,0)</f>
        <v/>
      </c>
      <c r="Y698" s="13">
        <f>IF(M698="Returned",1,0)</f>
        <v/>
      </c>
    </row>
    <row r="699">
      <c r="A699" s="13" t="inlineStr">
        <is>
          <t>HC-100697</t>
        </is>
      </c>
      <c r="B699" s="18" t="n">
        <v>45869</v>
      </c>
      <c r="C699" s="13" t="inlineStr">
        <is>
          <t>South</t>
        </is>
      </c>
      <c r="D699" s="13" t="inlineStr">
        <is>
          <t>Online</t>
        </is>
      </c>
      <c r="E699" s="13" t="inlineStr">
        <is>
          <t>Lighting</t>
        </is>
      </c>
      <c r="F699" s="13" t="inlineStr">
        <is>
          <t>Brass Sconce</t>
        </is>
      </c>
      <c r="G699" s="13" t="inlineStr">
        <is>
          <t>Unknown</t>
        </is>
      </c>
      <c r="H699" s="13" t="n">
        <v>2</v>
      </c>
      <c r="I699" s="14" t="n">
        <v>142.28</v>
      </c>
      <c r="J699" s="15" t="n">
        <v>0.15</v>
      </c>
      <c r="K699" s="14" t="n">
        <v>65.45</v>
      </c>
      <c r="L699" s="13" t="n">
        <v>6</v>
      </c>
      <c r="M699" s="13" t="inlineStr">
        <is>
          <t>Completed</t>
        </is>
      </c>
      <c r="N699" s="13" t="inlineStr">
        <is>
          <t>A. Shah</t>
        </is>
      </c>
      <c r="O699" s="13" t="inlineStr">
        <is>
          <t>No</t>
        </is>
      </c>
      <c r="P699" s="14">
        <f>H699*I699</f>
        <v/>
      </c>
      <c r="Q699" s="14">
        <f>P699*(1-J699)</f>
        <v/>
      </c>
      <c r="R699" s="14">
        <f>H699*K699</f>
        <v/>
      </c>
      <c r="S699" s="15">
        <f>IF(Q699=0,"",(Q699-R699)/Q699)</f>
        <v/>
      </c>
      <c r="T699" s="13">
        <f>YEAR(B699)</f>
        <v/>
      </c>
      <c r="U699" s="13">
        <f>YEAR(B699)&amp;"-Q"&amp;ROUNDUP(MONTH(B699)/3,0)</f>
        <v/>
      </c>
      <c r="V699" s="13">
        <f>TEXT(B699,"YYYY-MM")</f>
        <v/>
      </c>
      <c r="W699" s="13">
        <f>IF(L699="","",IF(L699&gt;pLateDays,1,0))</f>
        <v/>
      </c>
      <c r="X699" s="13">
        <f>IF(Q699&gt;=pHighCutoff,1,0)</f>
        <v/>
      </c>
      <c r="Y699" s="13">
        <f>IF(M699="Returned",1,0)</f>
        <v/>
      </c>
    </row>
    <row r="700">
      <c r="A700" s="13" t="inlineStr">
        <is>
          <t>HC-100698</t>
        </is>
      </c>
      <c r="B700" s="18" t="n">
        <v>45310</v>
      </c>
      <c r="C700" s="13" t="inlineStr">
        <is>
          <t>North</t>
        </is>
      </c>
      <c r="D700" s="13" t="inlineStr">
        <is>
          <t>Store</t>
        </is>
      </c>
      <c r="E700" s="13" t="inlineStr">
        <is>
          <t>Textiles</t>
        </is>
      </c>
      <c r="F700" s="13" t="inlineStr">
        <is>
          <t>Wool Throw</t>
        </is>
      </c>
      <c r="G700" s="13" t="inlineStr">
        <is>
          <t>Consumer</t>
        </is>
      </c>
      <c r="H700" s="13" t="n">
        <v>4</v>
      </c>
      <c r="I700" s="14" t="n">
        <v>73.27</v>
      </c>
      <c r="J700" s="15" t="n">
        <v>0.06</v>
      </c>
      <c r="K700" s="14" t="n">
        <v>30.77</v>
      </c>
      <c r="L700" s="13" t="n">
        <v>3</v>
      </c>
      <c r="M700" s="13" t="inlineStr">
        <is>
          <t>Completed</t>
        </is>
      </c>
      <c r="N700" s="13" t="inlineStr">
        <is>
          <t>R. Ibarra</t>
        </is>
      </c>
      <c r="O700" s="13" t="inlineStr">
        <is>
          <t>No</t>
        </is>
      </c>
      <c r="P700" s="14">
        <f>H700*I700</f>
        <v/>
      </c>
      <c r="Q700" s="14">
        <f>P700*(1-J700)</f>
        <v/>
      </c>
      <c r="R700" s="14">
        <f>H700*K700</f>
        <v/>
      </c>
      <c r="S700" s="15">
        <f>IF(Q700=0,"",(Q700-R700)/Q700)</f>
        <v/>
      </c>
      <c r="T700" s="13">
        <f>YEAR(B700)</f>
        <v/>
      </c>
      <c r="U700" s="13">
        <f>YEAR(B700)&amp;"-Q"&amp;ROUNDUP(MONTH(B700)/3,0)</f>
        <v/>
      </c>
      <c r="V700" s="13">
        <f>TEXT(B700,"YYYY-MM")</f>
        <v/>
      </c>
      <c r="W700" s="13">
        <f>IF(L700="","",IF(L700&gt;pLateDays,1,0))</f>
        <v/>
      </c>
      <c r="X700" s="13">
        <f>IF(Q700&gt;=pHighCutoff,1,0)</f>
        <v/>
      </c>
      <c r="Y700" s="13">
        <f>IF(M700="Returned",1,0)</f>
        <v/>
      </c>
    </row>
    <row r="701">
      <c r="A701" s="13" t="inlineStr">
        <is>
          <t>HC-100699</t>
        </is>
      </c>
      <c r="B701" s="18" t="n">
        <v>45867</v>
      </c>
      <c r="C701" s="13" t="inlineStr">
        <is>
          <t>South</t>
        </is>
      </c>
      <c r="D701" s="13" t="inlineStr">
        <is>
          <t>Online</t>
        </is>
      </c>
      <c r="E701" s="13" t="inlineStr">
        <is>
          <t>Furniture</t>
        </is>
      </c>
      <c r="F701" s="13" t="inlineStr">
        <is>
          <t>Lounge Chair</t>
        </is>
      </c>
      <c r="G701" s="13" t="inlineStr">
        <is>
          <t>Consumer</t>
        </is>
      </c>
      <c r="H701" s="13" t="n">
        <v>2</v>
      </c>
      <c r="I701" s="14" t="n">
        <v>446.61</v>
      </c>
      <c r="J701" s="15" t="n">
        <v>0.03</v>
      </c>
      <c r="K701" s="14" t="n">
        <v>267.97</v>
      </c>
      <c r="L701" s="13" t="n">
        <v>4</v>
      </c>
      <c r="M701" s="13" t="inlineStr">
        <is>
          <t>Completed</t>
        </is>
      </c>
      <c r="N701" s="13" t="inlineStr">
        <is>
          <t>P. Rossi</t>
        </is>
      </c>
      <c r="O701" s="13" t="inlineStr">
        <is>
          <t>No</t>
        </is>
      </c>
      <c r="P701" s="14">
        <f>H701*I701</f>
        <v/>
      </c>
      <c r="Q701" s="14">
        <f>P701*(1-J701)</f>
        <v/>
      </c>
      <c r="R701" s="14">
        <f>H701*K701</f>
        <v/>
      </c>
      <c r="S701" s="15">
        <f>IF(Q701=0,"",(Q701-R701)/Q701)</f>
        <v/>
      </c>
      <c r="T701" s="13">
        <f>YEAR(B701)</f>
        <v/>
      </c>
      <c r="U701" s="13">
        <f>YEAR(B701)&amp;"-Q"&amp;ROUNDUP(MONTH(B701)/3,0)</f>
        <v/>
      </c>
      <c r="V701" s="13">
        <f>TEXT(B701,"YYYY-MM")</f>
        <v/>
      </c>
      <c r="W701" s="13">
        <f>IF(L701="","",IF(L701&gt;pLateDays,1,0))</f>
        <v/>
      </c>
      <c r="X701" s="13">
        <f>IF(Q701&gt;=pHighCutoff,1,0)</f>
        <v/>
      </c>
      <c r="Y701" s="13">
        <f>IF(M701="Returned",1,0)</f>
        <v/>
      </c>
    </row>
    <row r="702">
      <c r="A702" s="13" t="inlineStr">
        <is>
          <t>HC-100700</t>
        </is>
      </c>
      <c r="B702" s="18" t="n">
        <v>45671</v>
      </c>
      <c r="C702" s="13" t="inlineStr">
        <is>
          <t>North</t>
        </is>
      </c>
      <c r="D702" s="13" t="inlineStr">
        <is>
          <t>Store</t>
        </is>
      </c>
      <c r="E702" s="13" t="inlineStr">
        <is>
          <t>Lighting</t>
        </is>
      </c>
      <c r="F702" s="13" t="inlineStr">
        <is>
          <t>Pendant Light</t>
        </is>
      </c>
      <c r="G702" s="13" t="inlineStr">
        <is>
          <t>Consumer</t>
        </is>
      </c>
      <c r="H702" s="13" t="n">
        <v>1</v>
      </c>
      <c r="I702" s="14" t="n">
        <v>174.49</v>
      </c>
      <c r="J702" s="15" t="n">
        <v>0.08</v>
      </c>
      <c r="K702" s="14" t="n">
        <v>87.23999999999999</v>
      </c>
      <c r="L702" s="13" t="n">
        <v>5</v>
      </c>
      <c r="M702" s="13" t="inlineStr">
        <is>
          <t>Completed</t>
        </is>
      </c>
      <c r="N702" s="13" t="inlineStr">
        <is>
          <t>S. Nguyen</t>
        </is>
      </c>
      <c r="O702" s="13" t="inlineStr">
        <is>
          <t>No</t>
        </is>
      </c>
      <c r="P702" s="14">
        <f>H702*I702</f>
        <v/>
      </c>
      <c r="Q702" s="14">
        <f>P702*(1-J702)</f>
        <v/>
      </c>
      <c r="R702" s="14">
        <f>H702*K702</f>
        <v/>
      </c>
      <c r="S702" s="15">
        <f>IF(Q702=0,"",(Q702-R702)/Q702)</f>
        <v/>
      </c>
      <c r="T702" s="13">
        <f>YEAR(B702)</f>
        <v/>
      </c>
      <c r="U702" s="13">
        <f>YEAR(B702)&amp;"-Q"&amp;ROUNDUP(MONTH(B702)/3,0)</f>
        <v/>
      </c>
      <c r="V702" s="13">
        <f>TEXT(B702,"YYYY-MM")</f>
        <v/>
      </c>
      <c r="W702" s="13">
        <f>IF(L702="","",IF(L702&gt;pLateDays,1,0))</f>
        <v/>
      </c>
      <c r="X702" s="13">
        <f>IF(Q702&gt;=pHighCutoff,1,0)</f>
        <v/>
      </c>
      <c r="Y702" s="13">
        <f>IF(M702="Returned",1,0)</f>
        <v/>
      </c>
    </row>
    <row r="703">
      <c r="A703" s="13" t="inlineStr">
        <is>
          <t>HC-100701</t>
        </is>
      </c>
      <c r="B703" s="18" t="n">
        <v>45602</v>
      </c>
      <c r="C703" s="13" t="inlineStr">
        <is>
          <t>West</t>
        </is>
      </c>
      <c r="D703" s="13" t="inlineStr">
        <is>
          <t>Store</t>
        </is>
      </c>
      <c r="E703" s="13" t="inlineStr">
        <is>
          <t>Textiles</t>
        </is>
      </c>
      <c r="F703" s="13" t="inlineStr">
        <is>
          <t>Wool Throw</t>
        </is>
      </c>
      <c r="G703" s="13" t="inlineStr">
        <is>
          <t>Corporate</t>
        </is>
      </c>
      <c r="H703" s="13" t="n">
        <v>4</v>
      </c>
      <c r="I703" s="14" t="n">
        <v>78.38</v>
      </c>
      <c r="J703" s="15" t="n">
        <v>0.01</v>
      </c>
      <c r="K703" s="14" t="n">
        <v>32.92</v>
      </c>
      <c r="L703" s="13" t="n">
        <v>7</v>
      </c>
      <c r="M703" s="13" t="inlineStr">
        <is>
          <t>Completed</t>
        </is>
      </c>
      <c r="N703" s="13" t="inlineStr">
        <is>
          <t>A. Shah</t>
        </is>
      </c>
      <c r="O703" s="13" t="inlineStr">
        <is>
          <t>No</t>
        </is>
      </c>
      <c r="P703" s="14">
        <f>H703*I703</f>
        <v/>
      </c>
      <c r="Q703" s="14">
        <f>P703*(1-J703)</f>
        <v/>
      </c>
      <c r="R703" s="14">
        <f>H703*K703</f>
        <v/>
      </c>
      <c r="S703" s="15">
        <f>IF(Q703=0,"",(Q703-R703)/Q703)</f>
        <v/>
      </c>
      <c r="T703" s="13">
        <f>YEAR(B703)</f>
        <v/>
      </c>
      <c r="U703" s="13">
        <f>YEAR(B703)&amp;"-Q"&amp;ROUNDUP(MONTH(B703)/3,0)</f>
        <v/>
      </c>
      <c r="V703" s="13">
        <f>TEXT(B703,"YYYY-MM")</f>
        <v/>
      </c>
      <c r="W703" s="13">
        <f>IF(L703="","",IF(L703&gt;pLateDays,1,0))</f>
        <v/>
      </c>
      <c r="X703" s="13">
        <f>IF(Q703&gt;=pHighCutoff,1,0)</f>
        <v/>
      </c>
      <c r="Y703" s="13">
        <f>IF(M703="Returned",1,0)</f>
        <v/>
      </c>
    </row>
    <row r="704">
      <c r="A704" s="13" t="inlineStr">
        <is>
          <t>HC-100702</t>
        </is>
      </c>
      <c r="B704" s="18" t="n">
        <v>45332</v>
      </c>
      <c r="C704" s="13" t="inlineStr">
        <is>
          <t>West</t>
        </is>
      </c>
      <c r="D704" s="13" t="inlineStr">
        <is>
          <t>Store</t>
        </is>
      </c>
      <c r="E704" s="13" t="inlineStr">
        <is>
          <t>Furniture</t>
        </is>
      </c>
      <c r="F704" s="13" t="inlineStr">
        <is>
          <t>Walnut Shelf</t>
        </is>
      </c>
      <c r="G704" s="13" t="inlineStr">
        <is>
          <t>Consumer</t>
        </is>
      </c>
      <c r="H704" s="13" t="n">
        <v>4</v>
      </c>
      <c r="I704" s="14" t="n">
        <v>225.05</v>
      </c>
      <c r="J704" s="15" t="n">
        <v>0.04</v>
      </c>
      <c r="K704" s="14" t="n">
        <v>123.78</v>
      </c>
      <c r="L704" s="13" t="n">
        <v>9</v>
      </c>
      <c r="M704" s="13" t="inlineStr">
        <is>
          <t>Completed</t>
        </is>
      </c>
      <c r="N704" s="13" t="inlineStr">
        <is>
          <t>L. Berger</t>
        </is>
      </c>
      <c r="O704" s="13" t="inlineStr">
        <is>
          <t>No</t>
        </is>
      </c>
      <c r="P704" s="14">
        <f>H704*I704</f>
        <v/>
      </c>
      <c r="Q704" s="14">
        <f>P704*(1-J704)</f>
        <v/>
      </c>
      <c r="R704" s="14">
        <f>H704*K704</f>
        <v/>
      </c>
      <c r="S704" s="15">
        <f>IF(Q704=0,"",(Q704-R704)/Q704)</f>
        <v/>
      </c>
      <c r="T704" s="13">
        <f>YEAR(B704)</f>
        <v/>
      </c>
      <c r="U704" s="13">
        <f>YEAR(B704)&amp;"-Q"&amp;ROUNDUP(MONTH(B704)/3,0)</f>
        <v/>
      </c>
      <c r="V704" s="13">
        <f>TEXT(B704,"YYYY-MM")</f>
        <v/>
      </c>
      <c r="W704" s="13">
        <f>IF(L704="","",IF(L704&gt;pLateDays,1,0))</f>
        <v/>
      </c>
      <c r="X704" s="13">
        <f>IF(Q704&gt;=pHighCutoff,1,0)</f>
        <v/>
      </c>
      <c r="Y704" s="13">
        <f>IF(M704="Returned",1,0)</f>
        <v/>
      </c>
    </row>
    <row r="705">
      <c r="A705" s="13" t="inlineStr">
        <is>
          <t>HC-100703</t>
        </is>
      </c>
      <c r="B705" s="18" t="n">
        <v>45622</v>
      </c>
      <c r="C705" s="13" t="inlineStr">
        <is>
          <t>West</t>
        </is>
      </c>
      <c r="D705" s="13" t="inlineStr">
        <is>
          <t>Store</t>
        </is>
      </c>
      <c r="E705" s="13" t="inlineStr">
        <is>
          <t>Furniture</t>
        </is>
      </c>
      <c r="F705" s="13" t="inlineStr">
        <is>
          <t>Linen Sofa</t>
        </is>
      </c>
      <c r="G705" s="13" t="inlineStr">
        <is>
          <t>Consumer</t>
        </is>
      </c>
      <c r="H705" s="13" t="n">
        <v>2</v>
      </c>
      <c r="I705" s="14" t="n">
        <v>1243.99</v>
      </c>
      <c r="J705" s="15" t="n">
        <v>0.08</v>
      </c>
      <c r="K705" s="14" t="n">
        <v>821.03</v>
      </c>
      <c r="L705" s="13" t="n">
        <v>8</v>
      </c>
      <c r="M705" s="13" t="inlineStr">
        <is>
          <t>Completed</t>
        </is>
      </c>
      <c r="N705" s="13" t="inlineStr">
        <is>
          <t>A. Shah</t>
        </is>
      </c>
      <c r="O705" s="13" t="inlineStr">
        <is>
          <t>No</t>
        </is>
      </c>
      <c r="P705" s="14">
        <f>H705*I705</f>
        <v/>
      </c>
      <c r="Q705" s="14">
        <f>P705*(1-J705)</f>
        <v/>
      </c>
      <c r="R705" s="14">
        <f>H705*K705</f>
        <v/>
      </c>
      <c r="S705" s="15">
        <f>IF(Q705=0,"",(Q705-R705)/Q705)</f>
        <v/>
      </c>
      <c r="T705" s="13">
        <f>YEAR(B705)</f>
        <v/>
      </c>
      <c r="U705" s="13">
        <f>YEAR(B705)&amp;"-Q"&amp;ROUNDUP(MONTH(B705)/3,0)</f>
        <v/>
      </c>
      <c r="V705" s="13">
        <f>TEXT(B705,"YYYY-MM")</f>
        <v/>
      </c>
      <c r="W705" s="13">
        <f>IF(L705="","",IF(L705&gt;pLateDays,1,0))</f>
        <v/>
      </c>
      <c r="X705" s="13">
        <f>IF(Q705&gt;=pHighCutoff,1,0)</f>
        <v/>
      </c>
      <c r="Y705" s="13">
        <f>IF(M705="Returned",1,0)</f>
        <v/>
      </c>
    </row>
    <row r="706">
      <c r="A706" s="13" t="inlineStr">
        <is>
          <t>HC-100704</t>
        </is>
      </c>
      <c r="B706" s="18" t="n">
        <v>45872</v>
      </c>
      <c r="C706" s="13" t="inlineStr">
        <is>
          <t>North</t>
        </is>
      </c>
      <c r="D706" s="13" t="inlineStr">
        <is>
          <t>Online</t>
        </is>
      </c>
      <c r="E706" s="13" t="inlineStr">
        <is>
          <t>Lighting</t>
        </is>
      </c>
      <c r="F706" s="13" t="inlineStr">
        <is>
          <t>Pendant Light</t>
        </is>
      </c>
      <c r="G706" s="13" t="inlineStr">
        <is>
          <t>Corporate</t>
        </is>
      </c>
      <c r="H706" s="13" t="n">
        <v>1</v>
      </c>
      <c r="I706" s="14" t="n">
        <v>189</v>
      </c>
      <c r="J706" s="15" t="n">
        <v>0.1</v>
      </c>
      <c r="K706" s="14" t="n">
        <v>94.5</v>
      </c>
      <c r="L706" s="13" t="n">
        <v>6</v>
      </c>
      <c r="M706" s="13" t="inlineStr">
        <is>
          <t>Completed</t>
        </is>
      </c>
      <c r="N706" s="13" t="inlineStr">
        <is>
          <t>A. Shah</t>
        </is>
      </c>
      <c r="O706" s="13" t="inlineStr">
        <is>
          <t>No</t>
        </is>
      </c>
      <c r="P706" s="14">
        <f>H706*I706</f>
        <v/>
      </c>
      <c r="Q706" s="14">
        <f>P706*(1-J706)</f>
        <v/>
      </c>
      <c r="R706" s="14">
        <f>H706*K706</f>
        <v/>
      </c>
      <c r="S706" s="15">
        <f>IF(Q706=0,"",(Q706-R706)/Q706)</f>
        <v/>
      </c>
      <c r="T706" s="13">
        <f>YEAR(B706)</f>
        <v/>
      </c>
      <c r="U706" s="13">
        <f>YEAR(B706)&amp;"-Q"&amp;ROUNDUP(MONTH(B706)/3,0)</f>
        <v/>
      </c>
      <c r="V706" s="13">
        <f>TEXT(B706,"YYYY-MM")</f>
        <v/>
      </c>
      <c r="W706" s="13">
        <f>IF(L706="","",IF(L706&gt;pLateDays,1,0))</f>
        <v/>
      </c>
      <c r="X706" s="13">
        <f>IF(Q706&gt;=pHighCutoff,1,0)</f>
        <v/>
      </c>
      <c r="Y706" s="13">
        <f>IF(M706="Returned",1,0)</f>
        <v/>
      </c>
    </row>
    <row r="707">
      <c r="A707" s="13" t="inlineStr">
        <is>
          <t>HC-100705</t>
        </is>
      </c>
      <c r="B707" s="18" t="n">
        <v>45338</v>
      </c>
      <c r="C707" s="13" t="inlineStr">
        <is>
          <t>South</t>
        </is>
      </c>
      <c r="D707" s="13" t="inlineStr">
        <is>
          <t>Online</t>
        </is>
      </c>
      <c r="E707" s="13" t="inlineStr">
        <is>
          <t>Textiles</t>
        </is>
      </c>
      <c r="F707" s="13" t="inlineStr">
        <is>
          <t>Linen Curtain</t>
        </is>
      </c>
      <c r="G707" s="13" t="inlineStr">
        <is>
          <t>Consumer</t>
        </is>
      </c>
      <c r="H707" s="13" t="n">
        <v>1</v>
      </c>
      <c r="I707" s="14" t="n">
        <v>102.01</v>
      </c>
      <c r="J707" s="15" t="n">
        <v>0.15</v>
      </c>
      <c r="K707" s="14" t="n">
        <v>45.91</v>
      </c>
      <c r="L707" s="13" t="n">
        <v>4</v>
      </c>
      <c r="M707" s="13" t="inlineStr">
        <is>
          <t>Completed</t>
        </is>
      </c>
      <c r="N707" s="13" t="inlineStr">
        <is>
          <t>L. Berger</t>
        </is>
      </c>
      <c r="O707" s="13" t="inlineStr">
        <is>
          <t>No</t>
        </is>
      </c>
      <c r="P707" s="14">
        <f>H707*I707</f>
        <v/>
      </c>
      <c r="Q707" s="14">
        <f>P707*(1-J707)</f>
        <v/>
      </c>
      <c r="R707" s="14">
        <f>H707*K707</f>
        <v/>
      </c>
      <c r="S707" s="15">
        <f>IF(Q707=0,"",(Q707-R707)/Q707)</f>
        <v/>
      </c>
      <c r="T707" s="13">
        <f>YEAR(B707)</f>
        <v/>
      </c>
      <c r="U707" s="13">
        <f>YEAR(B707)&amp;"-Q"&amp;ROUNDUP(MONTH(B707)/3,0)</f>
        <v/>
      </c>
      <c r="V707" s="13">
        <f>TEXT(B707,"YYYY-MM")</f>
        <v/>
      </c>
      <c r="W707" s="13">
        <f>IF(L707="","",IF(L707&gt;pLateDays,1,0))</f>
        <v/>
      </c>
      <c r="X707" s="13">
        <f>IF(Q707&gt;=pHighCutoff,1,0)</f>
        <v/>
      </c>
      <c r="Y707" s="13">
        <f>IF(M707="Returned",1,0)</f>
        <v/>
      </c>
    </row>
    <row r="708">
      <c r="A708" s="13" t="inlineStr">
        <is>
          <t>HC-100706</t>
        </is>
      </c>
      <c r="B708" s="18" t="n">
        <v>45862</v>
      </c>
      <c r="C708" s="13" t="inlineStr">
        <is>
          <t>West</t>
        </is>
      </c>
      <c r="D708" s="13" t="inlineStr">
        <is>
          <t>Wholesale</t>
        </is>
      </c>
      <c r="E708" s="13" t="inlineStr">
        <is>
          <t>Lighting</t>
        </is>
      </c>
      <c r="F708" s="13" t="inlineStr">
        <is>
          <t>Brass Sconce</t>
        </is>
      </c>
      <c r="G708" s="13" t="inlineStr">
        <is>
          <t>Consumer</t>
        </is>
      </c>
      <c r="H708" s="13" t="n">
        <v>21</v>
      </c>
      <c r="I708" s="14" t="n">
        <v>149.19</v>
      </c>
      <c r="J708" s="15" t="n">
        <v>0.29</v>
      </c>
      <c r="K708" s="14" t="n">
        <v>68.63</v>
      </c>
      <c r="L708" s="13" t="n">
        <v>6</v>
      </c>
      <c r="M708" s="13" t="inlineStr">
        <is>
          <t>Completed</t>
        </is>
      </c>
      <c r="N708" s="13" t="inlineStr">
        <is>
          <t>M. Okonkwo</t>
        </is>
      </c>
      <c r="O708" s="13" t="inlineStr">
        <is>
          <t>No</t>
        </is>
      </c>
      <c r="P708" s="14">
        <f>H708*I708</f>
        <v/>
      </c>
      <c r="Q708" s="14">
        <f>P708*(1-J708)</f>
        <v/>
      </c>
      <c r="R708" s="14">
        <f>H708*K708</f>
        <v/>
      </c>
      <c r="S708" s="15">
        <f>IF(Q708=0,"",(Q708-R708)/Q708)</f>
        <v/>
      </c>
      <c r="T708" s="13">
        <f>YEAR(B708)</f>
        <v/>
      </c>
      <c r="U708" s="13">
        <f>YEAR(B708)&amp;"-Q"&amp;ROUNDUP(MONTH(B708)/3,0)</f>
        <v/>
      </c>
      <c r="V708" s="13">
        <f>TEXT(B708,"YYYY-MM")</f>
        <v/>
      </c>
      <c r="W708" s="13">
        <f>IF(L708="","",IF(L708&gt;pLateDays,1,0))</f>
        <v/>
      </c>
      <c r="X708" s="13">
        <f>IF(Q708&gt;=pHighCutoff,1,0)</f>
        <v/>
      </c>
      <c r="Y708" s="13">
        <f>IF(M708="Returned",1,0)</f>
        <v/>
      </c>
    </row>
    <row r="709">
      <c r="A709" s="13" t="inlineStr">
        <is>
          <t>HC-100707</t>
        </is>
      </c>
      <c r="B709" s="18" t="n">
        <v>45623</v>
      </c>
      <c r="C709" s="13" t="inlineStr">
        <is>
          <t>South</t>
        </is>
      </c>
      <c r="D709" s="13" t="inlineStr">
        <is>
          <t>Wholesale</t>
        </is>
      </c>
      <c r="E709" s="13" t="inlineStr">
        <is>
          <t>Lighting</t>
        </is>
      </c>
      <c r="F709" s="13" t="inlineStr">
        <is>
          <t>Arc Lamp</t>
        </is>
      </c>
      <c r="G709" s="13" t="inlineStr">
        <is>
          <t>Unknown</t>
        </is>
      </c>
      <c r="H709" s="13" t="n">
        <v>21</v>
      </c>
      <c r="I709" s="14" t="n">
        <v>300.31</v>
      </c>
      <c r="J709" s="15" t="n">
        <v>0.15</v>
      </c>
      <c r="K709" s="14" t="n">
        <v>144.15</v>
      </c>
      <c r="L709" s="13" t="n">
        <v>5</v>
      </c>
      <c r="M709" s="13" t="inlineStr">
        <is>
          <t>Completed</t>
        </is>
      </c>
      <c r="N709" s="13" t="inlineStr">
        <is>
          <t>R. Ibarra</t>
        </is>
      </c>
      <c r="O709" s="13" t="inlineStr">
        <is>
          <t>No</t>
        </is>
      </c>
      <c r="P709" s="14">
        <f>H709*I709</f>
        <v/>
      </c>
      <c r="Q709" s="14">
        <f>P709*(1-J709)</f>
        <v/>
      </c>
      <c r="R709" s="14">
        <f>H709*K709</f>
        <v/>
      </c>
      <c r="S709" s="15">
        <f>IF(Q709=0,"",(Q709-R709)/Q709)</f>
        <v/>
      </c>
      <c r="T709" s="13">
        <f>YEAR(B709)</f>
        <v/>
      </c>
      <c r="U709" s="13">
        <f>YEAR(B709)&amp;"-Q"&amp;ROUNDUP(MONTH(B709)/3,0)</f>
        <v/>
      </c>
      <c r="V709" s="13">
        <f>TEXT(B709,"YYYY-MM")</f>
        <v/>
      </c>
      <c r="W709" s="13">
        <f>IF(L709="","",IF(L709&gt;pLateDays,1,0))</f>
        <v/>
      </c>
      <c r="X709" s="13">
        <f>IF(Q709&gt;=pHighCutoff,1,0)</f>
        <v/>
      </c>
      <c r="Y709" s="13">
        <f>IF(M709="Returned",1,0)</f>
        <v/>
      </c>
    </row>
    <row r="710">
      <c r="A710" s="13" t="inlineStr">
        <is>
          <t>HC-100708</t>
        </is>
      </c>
      <c r="B710" s="18" t="n">
        <v>45713</v>
      </c>
      <c r="C710" s="13" t="inlineStr">
        <is>
          <t>West</t>
        </is>
      </c>
      <c r="D710" s="13" t="inlineStr">
        <is>
          <t>Store</t>
        </is>
      </c>
      <c r="E710" s="13" t="inlineStr">
        <is>
          <t>Lighting</t>
        </is>
      </c>
      <c r="F710" s="13" t="inlineStr">
        <is>
          <t>Brass Sconce</t>
        </is>
      </c>
      <c r="G710" s="13" t="inlineStr">
        <is>
          <t>Consumer</t>
        </is>
      </c>
      <c r="H710" s="13" t="n">
        <v>1</v>
      </c>
      <c r="I710" s="14" t="n">
        <v>148.63</v>
      </c>
      <c r="J710" s="15" t="n">
        <v>0.07000000000000001</v>
      </c>
      <c r="K710" s="14" t="n">
        <v>68.37</v>
      </c>
      <c r="L710" s="13" t="n">
        <v>4</v>
      </c>
      <c r="M710" s="13" t="inlineStr">
        <is>
          <t>Completed</t>
        </is>
      </c>
      <c r="N710" s="13" t="inlineStr">
        <is>
          <t>P. Rossi</t>
        </is>
      </c>
      <c r="O710" s="13" t="inlineStr">
        <is>
          <t>No</t>
        </is>
      </c>
      <c r="P710" s="14">
        <f>H710*I710</f>
        <v/>
      </c>
      <c r="Q710" s="14">
        <f>P710*(1-J710)</f>
        <v/>
      </c>
      <c r="R710" s="14">
        <f>H710*K710</f>
        <v/>
      </c>
      <c r="S710" s="15">
        <f>IF(Q710=0,"",(Q710-R710)/Q710)</f>
        <v/>
      </c>
      <c r="T710" s="13">
        <f>YEAR(B710)</f>
        <v/>
      </c>
      <c r="U710" s="13">
        <f>YEAR(B710)&amp;"-Q"&amp;ROUNDUP(MONTH(B710)/3,0)</f>
        <v/>
      </c>
      <c r="V710" s="13">
        <f>TEXT(B710,"YYYY-MM")</f>
        <v/>
      </c>
      <c r="W710" s="13">
        <f>IF(L710="","",IF(L710&gt;pLateDays,1,0))</f>
        <v/>
      </c>
      <c r="X710" s="13">
        <f>IF(Q710&gt;=pHighCutoff,1,0)</f>
        <v/>
      </c>
      <c r="Y710" s="13">
        <f>IF(M710="Returned",1,0)</f>
        <v/>
      </c>
    </row>
    <row r="711">
      <c r="A711" s="13" t="inlineStr">
        <is>
          <t>HC-100709</t>
        </is>
      </c>
      <c r="B711" s="18" t="n">
        <v>45852</v>
      </c>
      <c r="C711" s="13" t="inlineStr">
        <is>
          <t>South</t>
        </is>
      </c>
      <c r="D711" s="13" t="inlineStr">
        <is>
          <t>Online</t>
        </is>
      </c>
      <c r="E711" s="13" t="inlineStr">
        <is>
          <t>Kitchen</t>
        </is>
      </c>
      <c r="F711" s="13" t="inlineStr">
        <is>
          <t>Ceramic Set</t>
        </is>
      </c>
      <c r="G711" s="13" t="inlineStr">
        <is>
          <t>Home Office</t>
        </is>
      </c>
      <c r="H711" s="13" t="n">
        <v>2</v>
      </c>
      <c r="I711" s="14" t="n">
        <v>86.23999999999999</v>
      </c>
      <c r="J711" s="15" t="n">
        <v>0.16</v>
      </c>
      <c r="K711" s="14" t="n">
        <v>32.77</v>
      </c>
      <c r="L711" s="13" t="n">
        <v>9</v>
      </c>
      <c r="M711" s="13" t="inlineStr">
        <is>
          <t>Completed</t>
        </is>
      </c>
      <c r="N711" s="13" t="inlineStr">
        <is>
          <t>K. Mensah</t>
        </is>
      </c>
      <c r="O711" s="13" t="inlineStr">
        <is>
          <t>No</t>
        </is>
      </c>
      <c r="P711" s="14">
        <f>H711*I711</f>
        <v/>
      </c>
      <c r="Q711" s="14">
        <f>P711*(1-J711)</f>
        <v/>
      </c>
      <c r="R711" s="14">
        <f>H711*K711</f>
        <v/>
      </c>
      <c r="S711" s="15">
        <f>IF(Q711=0,"",(Q711-R711)/Q711)</f>
        <v/>
      </c>
      <c r="T711" s="13">
        <f>YEAR(B711)</f>
        <v/>
      </c>
      <c r="U711" s="13">
        <f>YEAR(B711)&amp;"-Q"&amp;ROUNDUP(MONTH(B711)/3,0)</f>
        <v/>
      </c>
      <c r="V711" s="13">
        <f>TEXT(B711,"YYYY-MM")</f>
        <v/>
      </c>
      <c r="W711" s="13">
        <f>IF(L711="","",IF(L711&gt;pLateDays,1,0))</f>
        <v/>
      </c>
      <c r="X711" s="13">
        <f>IF(Q711&gt;=pHighCutoff,1,0)</f>
        <v/>
      </c>
      <c r="Y711" s="13">
        <f>IF(M711="Returned",1,0)</f>
        <v/>
      </c>
    </row>
    <row r="712">
      <c r="A712" s="13" t="inlineStr">
        <is>
          <t>HC-100710</t>
        </is>
      </c>
      <c r="B712" s="18" t="n">
        <v>45834</v>
      </c>
      <c r="C712" s="13" t="inlineStr">
        <is>
          <t>North</t>
        </is>
      </c>
      <c r="D712" s="13" t="inlineStr">
        <is>
          <t>Store</t>
        </is>
      </c>
      <c r="E712" s="13" t="inlineStr">
        <is>
          <t>Furniture</t>
        </is>
      </c>
      <c r="F712" s="13" t="inlineStr">
        <is>
          <t>Lounge Chair</t>
        </is>
      </c>
      <c r="G712" s="13" t="inlineStr">
        <is>
          <t>Consumer</t>
        </is>
      </c>
      <c r="H712" s="13" t="n">
        <v>4</v>
      </c>
      <c r="I712" s="14" t="n">
        <v>489.59</v>
      </c>
      <c r="J712" s="15" t="n">
        <v>0.02</v>
      </c>
      <c r="K712" s="14" t="n">
        <v>293.75</v>
      </c>
      <c r="L712" s="13" t="n">
        <v>6</v>
      </c>
      <c r="M712" s="13" t="inlineStr">
        <is>
          <t>Completed</t>
        </is>
      </c>
      <c r="N712" s="13" t="inlineStr">
        <is>
          <t>J. Patel</t>
        </is>
      </c>
      <c r="O712" s="13" t="inlineStr">
        <is>
          <t>No</t>
        </is>
      </c>
      <c r="P712" s="14">
        <f>H712*I712</f>
        <v/>
      </c>
      <c r="Q712" s="14">
        <f>P712*(1-J712)</f>
        <v/>
      </c>
      <c r="R712" s="14">
        <f>H712*K712</f>
        <v/>
      </c>
      <c r="S712" s="15">
        <f>IF(Q712=0,"",(Q712-R712)/Q712)</f>
        <v/>
      </c>
      <c r="T712" s="13">
        <f>YEAR(B712)</f>
        <v/>
      </c>
      <c r="U712" s="13">
        <f>YEAR(B712)&amp;"-Q"&amp;ROUNDUP(MONTH(B712)/3,0)</f>
        <v/>
      </c>
      <c r="V712" s="13">
        <f>TEXT(B712,"YYYY-MM")</f>
        <v/>
      </c>
      <c r="W712" s="13">
        <f>IF(L712="","",IF(L712&gt;pLateDays,1,0))</f>
        <v/>
      </c>
      <c r="X712" s="13">
        <f>IF(Q712&gt;=pHighCutoff,1,0)</f>
        <v/>
      </c>
      <c r="Y712" s="13">
        <f>IF(M712="Returned",1,0)</f>
        <v/>
      </c>
    </row>
    <row r="713">
      <c r="A713" s="13" t="inlineStr">
        <is>
          <t>HC-100711</t>
        </is>
      </c>
      <c r="B713" s="18" t="n">
        <v>45424</v>
      </c>
      <c r="C713" s="13" t="inlineStr">
        <is>
          <t>South</t>
        </is>
      </c>
      <c r="D713" s="13" t="inlineStr">
        <is>
          <t>Store</t>
        </is>
      </c>
      <c r="E713" s="13" t="inlineStr">
        <is>
          <t>Textiles</t>
        </is>
      </c>
      <c r="F713" s="13" t="inlineStr">
        <is>
          <t>Linen Curtain</t>
        </is>
      </c>
      <c r="G713" s="13" t="inlineStr">
        <is>
          <t>Consumer</t>
        </is>
      </c>
      <c r="H713" s="13" t="n">
        <v>1</v>
      </c>
      <c r="I713" s="14" t="n">
        <v>96.12</v>
      </c>
      <c r="J713" s="15" t="n">
        <v>0.1</v>
      </c>
      <c r="K713" s="14" t="n">
        <v>43.25</v>
      </c>
      <c r="L713" s="13" t="n">
        <v>9</v>
      </c>
      <c r="M713" s="13" t="inlineStr">
        <is>
          <t>Returned</t>
        </is>
      </c>
      <c r="N713" s="13" t="inlineStr">
        <is>
          <t>P. Rossi</t>
        </is>
      </c>
      <c r="O713" s="13" t="inlineStr">
        <is>
          <t>No</t>
        </is>
      </c>
      <c r="P713" s="14">
        <f>H713*I713</f>
        <v/>
      </c>
      <c r="Q713" s="14">
        <f>P713*(1-J713)</f>
        <v/>
      </c>
      <c r="R713" s="14">
        <f>H713*K713</f>
        <v/>
      </c>
      <c r="S713" s="15">
        <f>IF(Q713=0,"",(Q713-R713)/Q713)</f>
        <v/>
      </c>
      <c r="T713" s="13">
        <f>YEAR(B713)</f>
        <v/>
      </c>
      <c r="U713" s="13">
        <f>YEAR(B713)&amp;"-Q"&amp;ROUNDUP(MONTH(B713)/3,0)</f>
        <v/>
      </c>
      <c r="V713" s="13">
        <f>TEXT(B713,"YYYY-MM")</f>
        <v/>
      </c>
      <c r="W713" s="13">
        <f>IF(L713="","",IF(L713&gt;pLateDays,1,0))</f>
        <v/>
      </c>
      <c r="X713" s="13">
        <f>IF(Q713&gt;=pHighCutoff,1,0)</f>
        <v/>
      </c>
      <c r="Y713" s="13">
        <f>IF(M713="Returned",1,0)</f>
        <v/>
      </c>
    </row>
    <row r="714">
      <c r="A714" s="13" t="inlineStr">
        <is>
          <t>HC-100712</t>
        </is>
      </c>
      <c r="B714" s="18" t="n">
        <v>45833</v>
      </c>
      <c r="C714" s="13" t="inlineStr">
        <is>
          <t>South</t>
        </is>
      </c>
      <c r="D714" s="13" t="inlineStr">
        <is>
          <t>Wholesale</t>
        </is>
      </c>
      <c r="E714" s="13" t="inlineStr">
        <is>
          <t>Kitchen</t>
        </is>
      </c>
      <c r="F714" s="13" t="inlineStr">
        <is>
          <t>Ceramic Set</t>
        </is>
      </c>
      <c r="G714" s="13" t="inlineStr">
        <is>
          <t>Consumer</t>
        </is>
      </c>
      <c r="H714" s="13" t="n">
        <v>22</v>
      </c>
      <c r="I714" s="14" t="n">
        <v>80.02</v>
      </c>
      <c r="J714" s="15" t="n">
        <v>0.23</v>
      </c>
      <c r="K714" s="14" t="n">
        <v>30.41</v>
      </c>
      <c r="L714" s="13" t="n">
        <v>3</v>
      </c>
      <c r="M714" s="13" t="inlineStr">
        <is>
          <t>Completed</t>
        </is>
      </c>
      <c r="N714" s="13" t="inlineStr">
        <is>
          <t>A. Shah</t>
        </is>
      </c>
      <c r="O714" s="13" t="inlineStr">
        <is>
          <t>No</t>
        </is>
      </c>
      <c r="P714" s="14">
        <f>H714*I714</f>
        <v/>
      </c>
      <c r="Q714" s="14">
        <f>P714*(1-J714)</f>
        <v/>
      </c>
      <c r="R714" s="14">
        <f>H714*K714</f>
        <v/>
      </c>
      <c r="S714" s="15">
        <f>IF(Q714=0,"",(Q714-R714)/Q714)</f>
        <v/>
      </c>
      <c r="T714" s="13">
        <f>YEAR(B714)</f>
        <v/>
      </c>
      <c r="U714" s="13">
        <f>YEAR(B714)&amp;"-Q"&amp;ROUNDUP(MONTH(B714)/3,0)</f>
        <v/>
      </c>
      <c r="V714" s="13">
        <f>TEXT(B714,"YYYY-MM")</f>
        <v/>
      </c>
      <c r="W714" s="13">
        <f>IF(L714="","",IF(L714&gt;pLateDays,1,0))</f>
        <v/>
      </c>
      <c r="X714" s="13">
        <f>IF(Q714&gt;=pHighCutoff,1,0)</f>
        <v/>
      </c>
      <c r="Y714" s="13">
        <f>IF(M714="Returned",1,0)</f>
        <v/>
      </c>
    </row>
    <row r="715">
      <c r="A715" s="13" t="inlineStr">
        <is>
          <t>HC-100713</t>
        </is>
      </c>
      <c r="B715" s="18" t="n">
        <v>45799</v>
      </c>
      <c r="C715" s="13" t="inlineStr">
        <is>
          <t>West</t>
        </is>
      </c>
      <c r="D715" s="13" t="inlineStr">
        <is>
          <t>Online</t>
        </is>
      </c>
      <c r="E715" s="13" t="inlineStr">
        <is>
          <t>Textiles</t>
        </is>
      </c>
      <c r="F715" s="13" t="inlineStr">
        <is>
          <t>Wool Throw</t>
        </is>
      </c>
      <c r="G715" s="13" t="inlineStr">
        <is>
          <t>Consumer</t>
        </is>
      </c>
      <c r="H715" s="13" t="n">
        <v>1</v>
      </c>
      <c r="I715" s="14" t="n">
        <v>72</v>
      </c>
      <c r="J715" s="15" t="n">
        <v>0.03</v>
      </c>
      <c r="K715" s="14" t="n">
        <v>30.24</v>
      </c>
      <c r="L715" s="13" t="n">
        <v>5</v>
      </c>
      <c r="M715" s="13" t="inlineStr">
        <is>
          <t>Completed</t>
        </is>
      </c>
      <c r="N715" s="13" t="inlineStr">
        <is>
          <t>S. Nguyen</t>
        </is>
      </c>
      <c r="O715" s="13" t="inlineStr">
        <is>
          <t>No</t>
        </is>
      </c>
      <c r="P715" s="14">
        <f>H715*I715</f>
        <v/>
      </c>
      <c r="Q715" s="14">
        <f>P715*(1-J715)</f>
        <v/>
      </c>
      <c r="R715" s="14">
        <f>H715*K715</f>
        <v/>
      </c>
      <c r="S715" s="15">
        <f>IF(Q715=0,"",(Q715-R715)/Q715)</f>
        <v/>
      </c>
      <c r="T715" s="13">
        <f>YEAR(B715)</f>
        <v/>
      </c>
      <c r="U715" s="13">
        <f>YEAR(B715)&amp;"-Q"&amp;ROUNDUP(MONTH(B715)/3,0)</f>
        <v/>
      </c>
      <c r="V715" s="13">
        <f>TEXT(B715,"YYYY-MM")</f>
        <v/>
      </c>
      <c r="W715" s="13">
        <f>IF(L715="","",IF(L715&gt;pLateDays,1,0))</f>
        <v/>
      </c>
      <c r="X715" s="13">
        <f>IF(Q715&gt;=pHighCutoff,1,0)</f>
        <v/>
      </c>
      <c r="Y715" s="13">
        <f>IF(M715="Returned",1,0)</f>
        <v/>
      </c>
    </row>
    <row r="716">
      <c r="A716" s="13" t="inlineStr">
        <is>
          <t>HC-100714</t>
        </is>
      </c>
      <c r="B716" s="18" t="n">
        <v>45822</v>
      </c>
      <c r="C716" s="13" t="inlineStr">
        <is>
          <t>North</t>
        </is>
      </c>
      <c r="D716" s="13" t="inlineStr">
        <is>
          <t>Online</t>
        </is>
      </c>
      <c r="E716" s="13" t="inlineStr">
        <is>
          <t>Kitchen</t>
        </is>
      </c>
      <c r="F716" s="13" t="inlineStr">
        <is>
          <t>Ceramic Set</t>
        </is>
      </c>
      <c r="G716" s="13" t="inlineStr">
        <is>
          <t>Consumer</t>
        </is>
      </c>
      <c r="H716" s="13" t="n">
        <v>1</v>
      </c>
      <c r="I716" s="14" t="n">
        <v>87.77</v>
      </c>
      <c r="J716" s="15" t="n">
        <v>0.08</v>
      </c>
      <c r="K716" s="14" t="n">
        <v>33.35</v>
      </c>
      <c r="L716" s="13" t="n">
        <v>4</v>
      </c>
      <c r="M716" s="13" t="inlineStr">
        <is>
          <t>Completed</t>
        </is>
      </c>
      <c r="N716" s="13" t="inlineStr">
        <is>
          <t>L. Berger</t>
        </is>
      </c>
      <c r="O716" s="13" t="inlineStr">
        <is>
          <t>No</t>
        </is>
      </c>
      <c r="P716" s="14">
        <f>H716*I716</f>
        <v/>
      </c>
      <c r="Q716" s="14">
        <f>P716*(1-J716)</f>
        <v/>
      </c>
      <c r="R716" s="14">
        <f>H716*K716</f>
        <v/>
      </c>
      <c r="S716" s="15">
        <f>IF(Q716=0,"",(Q716-R716)/Q716)</f>
        <v/>
      </c>
      <c r="T716" s="13">
        <f>YEAR(B716)</f>
        <v/>
      </c>
      <c r="U716" s="13">
        <f>YEAR(B716)&amp;"-Q"&amp;ROUNDUP(MONTH(B716)/3,0)</f>
        <v/>
      </c>
      <c r="V716" s="13">
        <f>TEXT(B716,"YYYY-MM")</f>
        <v/>
      </c>
      <c r="W716" s="13">
        <f>IF(L716="","",IF(L716&gt;pLateDays,1,0))</f>
        <v/>
      </c>
      <c r="X716" s="13">
        <f>IF(Q716&gt;=pHighCutoff,1,0)</f>
        <v/>
      </c>
      <c r="Y716" s="13">
        <f>IF(M716="Returned",1,0)</f>
        <v/>
      </c>
    </row>
    <row r="717">
      <c r="A717" s="13" t="inlineStr">
        <is>
          <t>HC-100715</t>
        </is>
      </c>
      <c r="B717" s="18" t="n">
        <v>45489</v>
      </c>
      <c r="C717" s="13" t="inlineStr">
        <is>
          <t>East</t>
        </is>
      </c>
      <c r="D717" s="13" t="inlineStr">
        <is>
          <t>Store</t>
        </is>
      </c>
      <c r="E717" s="13" t="inlineStr">
        <is>
          <t>Lighting</t>
        </is>
      </c>
      <c r="F717" s="13" t="inlineStr">
        <is>
          <t>Arc Lamp</t>
        </is>
      </c>
      <c r="G717" s="13" t="inlineStr">
        <is>
          <t>Consumer</t>
        </is>
      </c>
      <c r="H717" s="13" t="n">
        <v>1</v>
      </c>
      <c r="I717" s="14" t="n">
        <v>283.48</v>
      </c>
      <c r="J717" s="15" t="n">
        <v>0.09</v>
      </c>
      <c r="K717" s="14" t="n">
        <v>136.07</v>
      </c>
      <c r="L717" s="13" t="n">
        <v>11</v>
      </c>
      <c r="M717" s="13" t="inlineStr">
        <is>
          <t>Cancelled</t>
        </is>
      </c>
      <c r="N717" s="13" t="inlineStr">
        <is>
          <t>K. Mensah</t>
        </is>
      </c>
      <c r="O717" s="13" t="inlineStr">
        <is>
          <t>No</t>
        </is>
      </c>
      <c r="P717" s="14">
        <f>H717*I717</f>
        <v/>
      </c>
      <c r="Q717" s="14">
        <f>P717*(1-J717)</f>
        <v/>
      </c>
      <c r="R717" s="14">
        <f>H717*K717</f>
        <v/>
      </c>
      <c r="S717" s="15">
        <f>IF(Q717=0,"",(Q717-R717)/Q717)</f>
        <v/>
      </c>
      <c r="T717" s="13">
        <f>YEAR(B717)</f>
        <v/>
      </c>
      <c r="U717" s="13">
        <f>YEAR(B717)&amp;"-Q"&amp;ROUNDUP(MONTH(B717)/3,0)</f>
        <v/>
      </c>
      <c r="V717" s="13">
        <f>TEXT(B717,"YYYY-MM")</f>
        <v/>
      </c>
      <c r="W717" s="13">
        <f>IF(L717="","",IF(L717&gt;pLateDays,1,0))</f>
        <v/>
      </c>
      <c r="X717" s="13">
        <f>IF(Q717&gt;=pHighCutoff,1,0)</f>
        <v/>
      </c>
      <c r="Y717" s="13">
        <f>IF(M717="Returned",1,0)</f>
        <v/>
      </c>
    </row>
    <row r="718">
      <c r="A718" s="13" t="inlineStr">
        <is>
          <t>HC-100716</t>
        </is>
      </c>
      <c r="B718" s="18" t="n">
        <v>45385</v>
      </c>
      <c r="C718" s="13" t="inlineStr">
        <is>
          <t>East</t>
        </is>
      </c>
      <c r="D718" s="13" t="inlineStr">
        <is>
          <t>Store</t>
        </is>
      </c>
      <c r="E718" s="13" t="inlineStr">
        <is>
          <t>Lighting</t>
        </is>
      </c>
      <c r="F718" s="13" t="inlineStr">
        <is>
          <t>Brass Sconce</t>
        </is>
      </c>
      <c r="G718" s="13" t="inlineStr">
        <is>
          <t>Corporate</t>
        </is>
      </c>
      <c r="H718" s="13" t="n">
        <v>3</v>
      </c>
      <c r="I718" s="14" t="n">
        <v>120.31</v>
      </c>
      <c r="J718" s="15" t="n">
        <v>0.09</v>
      </c>
      <c r="K718" s="14" t="n">
        <v>55.34</v>
      </c>
      <c r="L718" s="13" t="n">
        <v>8</v>
      </c>
      <c r="M718" s="13" t="inlineStr">
        <is>
          <t>Completed</t>
        </is>
      </c>
      <c r="N718" s="13" t="inlineStr">
        <is>
          <t>S. Nguyen</t>
        </is>
      </c>
      <c r="O718" s="13" t="inlineStr">
        <is>
          <t>No</t>
        </is>
      </c>
      <c r="P718" s="14">
        <f>H718*I718</f>
        <v/>
      </c>
      <c r="Q718" s="14">
        <f>P718*(1-J718)</f>
        <v/>
      </c>
      <c r="R718" s="14">
        <f>H718*K718</f>
        <v/>
      </c>
      <c r="S718" s="15">
        <f>IF(Q718=0,"",(Q718-R718)/Q718)</f>
        <v/>
      </c>
      <c r="T718" s="13">
        <f>YEAR(B718)</f>
        <v/>
      </c>
      <c r="U718" s="13">
        <f>YEAR(B718)&amp;"-Q"&amp;ROUNDUP(MONTH(B718)/3,0)</f>
        <v/>
      </c>
      <c r="V718" s="13">
        <f>TEXT(B718,"YYYY-MM")</f>
        <v/>
      </c>
      <c r="W718" s="13">
        <f>IF(L718="","",IF(L718&gt;pLateDays,1,0))</f>
        <v/>
      </c>
      <c r="X718" s="13">
        <f>IF(Q718&gt;=pHighCutoff,1,0)</f>
        <v/>
      </c>
      <c r="Y718" s="13">
        <f>IF(M718="Returned",1,0)</f>
        <v/>
      </c>
    </row>
    <row r="719">
      <c r="A719" s="13" t="inlineStr">
        <is>
          <t>HC-100717</t>
        </is>
      </c>
      <c r="B719" s="18" t="n">
        <v>45606</v>
      </c>
      <c r="C719" s="13" t="inlineStr">
        <is>
          <t>North</t>
        </is>
      </c>
      <c r="D719" s="13" t="inlineStr">
        <is>
          <t>Online</t>
        </is>
      </c>
      <c r="E719" s="13" t="inlineStr">
        <is>
          <t>Textiles</t>
        </is>
      </c>
      <c r="F719" s="13" t="inlineStr">
        <is>
          <t>Linen Curtain</t>
        </is>
      </c>
      <c r="G719" s="13" t="inlineStr">
        <is>
          <t>Unknown</t>
        </is>
      </c>
      <c r="H719" s="13" t="n">
        <v>3</v>
      </c>
      <c r="I719" s="14" t="n">
        <v>92.19</v>
      </c>
      <c r="J719" s="15" t="n">
        <v>0.11</v>
      </c>
      <c r="K719" s="14" t="n">
        <v>41.48</v>
      </c>
      <c r="L719" s="13" t="n">
        <v>6</v>
      </c>
      <c r="M719" s="13" t="inlineStr">
        <is>
          <t>Completed</t>
        </is>
      </c>
      <c r="N719" s="13" t="inlineStr">
        <is>
          <t>R. Ibarra</t>
        </is>
      </c>
      <c r="O719" s="13" t="inlineStr">
        <is>
          <t>No</t>
        </is>
      </c>
      <c r="P719" s="14">
        <f>H719*I719</f>
        <v/>
      </c>
      <c r="Q719" s="14">
        <f>P719*(1-J719)</f>
        <v/>
      </c>
      <c r="R719" s="14">
        <f>H719*K719</f>
        <v/>
      </c>
      <c r="S719" s="15">
        <f>IF(Q719=0,"",(Q719-R719)/Q719)</f>
        <v/>
      </c>
      <c r="T719" s="13">
        <f>YEAR(B719)</f>
        <v/>
      </c>
      <c r="U719" s="13">
        <f>YEAR(B719)&amp;"-Q"&amp;ROUNDUP(MONTH(B719)/3,0)</f>
        <v/>
      </c>
      <c r="V719" s="13">
        <f>TEXT(B719,"YYYY-MM")</f>
        <v/>
      </c>
      <c r="W719" s="13">
        <f>IF(L719="","",IF(L719&gt;pLateDays,1,0))</f>
        <v/>
      </c>
      <c r="X719" s="13">
        <f>IF(Q719&gt;=pHighCutoff,1,0)</f>
        <v/>
      </c>
      <c r="Y719" s="13">
        <f>IF(M719="Returned",1,0)</f>
        <v/>
      </c>
    </row>
    <row r="720">
      <c r="A720" s="13" t="inlineStr">
        <is>
          <t>HC-100718</t>
        </is>
      </c>
      <c r="B720" s="18" t="n">
        <v>45647</v>
      </c>
      <c r="C720" s="13" t="inlineStr">
        <is>
          <t>West</t>
        </is>
      </c>
      <c r="D720" s="13" t="inlineStr">
        <is>
          <t>Store</t>
        </is>
      </c>
      <c r="E720" s="13" t="inlineStr">
        <is>
          <t>Kitchen</t>
        </is>
      </c>
      <c r="F720" s="13" t="inlineStr">
        <is>
          <t>Chef Knife</t>
        </is>
      </c>
      <c r="G720" s="13" t="inlineStr">
        <is>
          <t>Consumer</t>
        </is>
      </c>
      <c r="H720" s="13" t="n">
        <v>5</v>
      </c>
      <c r="I720" s="14" t="n">
        <v>67.16</v>
      </c>
      <c r="J720" s="15" t="n">
        <v>0.12</v>
      </c>
      <c r="K720" s="14" t="n">
        <v>24.18</v>
      </c>
      <c r="L720" s="13" t="n">
        <v>7</v>
      </c>
      <c r="M720" s="13" t="inlineStr">
        <is>
          <t>Completed</t>
        </is>
      </c>
      <c r="N720" s="13" t="inlineStr">
        <is>
          <t>M. Okonkwo</t>
        </is>
      </c>
      <c r="O720" s="13" t="inlineStr">
        <is>
          <t>No</t>
        </is>
      </c>
      <c r="P720" s="14">
        <f>H720*I720</f>
        <v/>
      </c>
      <c r="Q720" s="14">
        <f>P720*(1-J720)</f>
        <v/>
      </c>
      <c r="R720" s="14">
        <f>H720*K720</f>
        <v/>
      </c>
      <c r="S720" s="15">
        <f>IF(Q720=0,"",(Q720-R720)/Q720)</f>
        <v/>
      </c>
      <c r="T720" s="13">
        <f>YEAR(B720)</f>
        <v/>
      </c>
      <c r="U720" s="13">
        <f>YEAR(B720)&amp;"-Q"&amp;ROUNDUP(MONTH(B720)/3,0)</f>
        <v/>
      </c>
      <c r="V720" s="13">
        <f>TEXT(B720,"YYYY-MM")</f>
        <v/>
      </c>
      <c r="W720" s="13">
        <f>IF(L720="","",IF(L720&gt;pLateDays,1,0))</f>
        <v/>
      </c>
      <c r="X720" s="13">
        <f>IF(Q720&gt;=pHighCutoff,1,0)</f>
        <v/>
      </c>
      <c r="Y720" s="13">
        <f>IF(M720="Returned",1,0)</f>
        <v/>
      </c>
    </row>
    <row r="721">
      <c r="A721" s="13" t="inlineStr">
        <is>
          <t>HC-100719</t>
        </is>
      </c>
      <c r="B721" s="18" t="n">
        <v>45876</v>
      </c>
      <c r="C721" s="13" t="inlineStr">
        <is>
          <t>North</t>
        </is>
      </c>
      <c r="D721" s="13" t="inlineStr">
        <is>
          <t>Store</t>
        </is>
      </c>
      <c r="E721" s="13" t="inlineStr">
        <is>
          <t>Furniture</t>
        </is>
      </c>
      <c r="F721" s="13" t="inlineStr">
        <is>
          <t>Linen Sofa</t>
        </is>
      </c>
      <c r="G721" s="13" t="inlineStr">
        <is>
          <t>Corporate</t>
        </is>
      </c>
      <c r="H721" s="13" t="n">
        <v>2</v>
      </c>
      <c r="I721" s="14" t="n">
        <v>1155.4</v>
      </c>
      <c r="J721" s="15" t="n">
        <v>0.01</v>
      </c>
      <c r="K721" s="14" t="n">
        <v>762.5700000000001</v>
      </c>
      <c r="L721" s="13" t="n">
        <v>3</v>
      </c>
      <c r="M721" s="13" t="inlineStr">
        <is>
          <t>Completed</t>
        </is>
      </c>
      <c r="N721" s="13" t="inlineStr">
        <is>
          <t>L. Berger</t>
        </is>
      </c>
      <c r="O721" s="13" t="inlineStr">
        <is>
          <t>No</t>
        </is>
      </c>
      <c r="P721" s="14">
        <f>H721*I721</f>
        <v/>
      </c>
      <c r="Q721" s="14">
        <f>P721*(1-J721)</f>
        <v/>
      </c>
      <c r="R721" s="14">
        <f>H721*K721</f>
        <v/>
      </c>
      <c r="S721" s="15">
        <f>IF(Q721=0,"",(Q721-R721)/Q721)</f>
        <v/>
      </c>
      <c r="T721" s="13">
        <f>YEAR(B721)</f>
        <v/>
      </c>
      <c r="U721" s="13">
        <f>YEAR(B721)&amp;"-Q"&amp;ROUNDUP(MONTH(B721)/3,0)</f>
        <v/>
      </c>
      <c r="V721" s="13">
        <f>TEXT(B721,"YYYY-MM")</f>
        <v/>
      </c>
      <c r="W721" s="13">
        <f>IF(L721="","",IF(L721&gt;pLateDays,1,0))</f>
        <v/>
      </c>
      <c r="X721" s="13">
        <f>IF(Q721&gt;=pHighCutoff,1,0)</f>
        <v/>
      </c>
      <c r="Y721" s="13">
        <f>IF(M721="Returned",1,0)</f>
        <v/>
      </c>
    </row>
    <row r="722">
      <c r="A722" s="13" t="inlineStr">
        <is>
          <t>HC-100720</t>
        </is>
      </c>
      <c r="B722" s="18" t="n">
        <v>45829</v>
      </c>
      <c r="C722" s="13" t="inlineStr">
        <is>
          <t>North</t>
        </is>
      </c>
      <c r="D722" s="13" t="inlineStr">
        <is>
          <t>Store</t>
        </is>
      </c>
      <c r="E722" s="13" t="inlineStr">
        <is>
          <t>Kitchen</t>
        </is>
      </c>
      <c r="F722" s="13" t="inlineStr">
        <is>
          <t>Ceramic Set</t>
        </is>
      </c>
      <c r="G722" s="13" t="inlineStr">
        <is>
          <t>Corporate</t>
        </is>
      </c>
      <c r="H722" s="13" t="n">
        <v>1</v>
      </c>
      <c r="I722" s="14" t="n">
        <v>84.7</v>
      </c>
      <c r="J722" s="15" t="n">
        <v>0.09</v>
      </c>
      <c r="K722" s="14" t="n">
        <v>32.18</v>
      </c>
      <c r="L722" s="13" t="n">
        <v>8</v>
      </c>
      <c r="M722" s="13" t="inlineStr">
        <is>
          <t>Completed</t>
        </is>
      </c>
      <c r="N722" s="13" t="inlineStr">
        <is>
          <t>A. Shah</t>
        </is>
      </c>
      <c r="O722" s="13" t="inlineStr">
        <is>
          <t>No</t>
        </is>
      </c>
      <c r="P722" s="14">
        <f>H722*I722</f>
        <v/>
      </c>
      <c r="Q722" s="14">
        <f>P722*(1-J722)</f>
        <v/>
      </c>
      <c r="R722" s="14">
        <f>H722*K722</f>
        <v/>
      </c>
      <c r="S722" s="15">
        <f>IF(Q722=0,"",(Q722-R722)/Q722)</f>
        <v/>
      </c>
      <c r="T722" s="13">
        <f>YEAR(B722)</f>
        <v/>
      </c>
      <c r="U722" s="13">
        <f>YEAR(B722)&amp;"-Q"&amp;ROUNDUP(MONTH(B722)/3,0)</f>
        <v/>
      </c>
      <c r="V722" s="13">
        <f>TEXT(B722,"YYYY-MM")</f>
        <v/>
      </c>
      <c r="W722" s="13">
        <f>IF(L722="","",IF(L722&gt;pLateDays,1,0))</f>
        <v/>
      </c>
      <c r="X722" s="13">
        <f>IF(Q722&gt;=pHighCutoff,1,0)</f>
        <v/>
      </c>
      <c r="Y722" s="13">
        <f>IF(M722="Returned",1,0)</f>
        <v/>
      </c>
    </row>
    <row r="723">
      <c r="A723" s="13" t="inlineStr">
        <is>
          <t>HC-100721</t>
        </is>
      </c>
      <c r="B723" s="18" t="n">
        <v>45723</v>
      </c>
      <c r="C723" s="13" t="inlineStr">
        <is>
          <t>South</t>
        </is>
      </c>
      <c r="D723" s="13" t="inlineStr">
        <is>
          <t>Online</t>
        </is>
      </c>
      <c r="E723" s="13" t="inlineStr">
        <is>
          <t>Textiles</t>
        </is>
      </c>
      <c r="F723" s="13" t="inlineStr">
        <is>
          <t>Wool Throw</t>
        </is>
      </c>
      <c r="G723" s="13" t="inlineStr">
        <is>
          <t>Consumer</t>
        </is>
      </c>
      <c r="H723" s="13" t="n">
        <v>1</v>
      </c>
      <c r="I723" s="14" t="n">
        <v>79.40000000000001</v>
      </c>
      <c r="J723" s="15" t="n">
        <v>0.12</v>
      </c>
      <c r="K723" s="14" t="n">
        <v>33.35</v>
      </c>
      <c r="L723" s="13" t="n">
        <v>2</v>
      </c>
      <c r="M723" s="13" t="inlineStr">
        <is>
          <t>Completed</t>
        </is>
      </c>
      <c r="N723" s="13" t="inlineStr">
        <is>
          <t>K. Mensah</t>
        </is>
      </c>
      <c r="O723" s="13" t="inlineStr">
        <is>
          <t>No</t>
        </is>
      </c>
      <c r="P723" s="14">
        <f>H723*I723</f>
        <v/>
      </c>
      <c r="Q723" s="14">
        <f>P723*(1-J723)</f>
        <v/>
      </c>
      <c r="R723" s="14">
        <f>H723*K723</f>
        <v/>
      </c>
      <c r="S723" s="15">
        <f>IF(Q723=0,"",(Q723-R723)/Q723)</f>
        <v/>
      </c>
      <c r="T723" s="13">
        <f>YEAR(B723)</f>
        <v/>
      </c>
      <c r="U723" s="13">
        <f>YEAR(B723)&amp;"-Q"&amp;ROUNDUP(MONTH(B723)/3,0)</f>
        <v/>
      </c>
      <c r="V723" s="13">
        <f>TEXT(B723,"YYYY-MM")</f>
        <v/>
      </c>
      <c r="W723" s="13">
        <f>IF(L723="","",IF(L723&gt;pLateDays,1,0))</f>
        <v/>
      </c>
      <c r="X723" s="13">
        <f>IF(Q723&gt;=pHighCutoff,1,0)</f>
        <v/>
      </c>
      <c r="Y723" s="13">
        <f>IF(M723="Returned",1,0)</f>
        <v/>
      </c>
    </row>
    <row r="724">
      <c r="A724" s="13" t="inlineStr">
        <is>
          <t>HC-100722</t>
        </is>
      </c>
      <c r="B724" s="18" t="n">
        <v>45499</v>
      </c>
      <c r="C724" s="13" t="inlineStr">
        <is>
          <t>East</t>
        </is>
      </c>
      <c r="D724" s="13" t="inlineStr">
        <is>
          <t>Store</t>
        </is>
      </c>
      <c r="E724" s="13" t="inlineStr">
        <is>
          <t>Kitchen</t>
        </is>
      </c>
      <c r="F724" s="13" t="inlineStr">
        <is>
          <t>Ceramic Set</t>
        </is>
      </c>
      <c r="G724" s="13" t="inlineStr">
        <is>
          <t>Consumer</t>
        </is>
      </c>
      <c r="H724" s="13" t="n">
        <v>2</v>
      </c>
      <c r="I724" s="14" t="n">
        <v>78.20999999999999</v>
      </c>
      <c r="J724" s="15" t="n">
        <v>0</v>
      </c>
      <c r="K724" s="14" t="n">
        <v>29.72</v>
      </c>
      <c r="L724" s="13" t="n">
        <v>8</v>
      </c>
      <c r="M724" s="13" t="inlineStr">
        <is>
          <t>Completed</t>
        </is>
      </c>
      <c r="N724" s="13" t="inlineStr">
        <is>
          <t>P. Rossi</t>
        </is>
      </c>
      <c r="O724" s="13" t="inlineStr">
        <is>
          <t>No</t>
        </is>
      </c>
      <c r="P724" s="14">
        <f>H724*I724</f>
        <v/>
      </c>
      <c r="Q724" s="14">
        <f>P724*(1-J724)</f>
        <v/>
      </c>
      <c r="R724" s="14">
        <f>H724*K724</f>
        <v/>
      </c>
      <c r="S724" s="15">
        <f>IF(Q724=0,"",(Q724-R724)/Q724)</f>
        <v/>
      </c>
      <c r="T724" s="13">
        <f>YEAR(B724)</f>
        <v/>
      </c>
      <c r="U724" s="13">
        <f>YEAR(B724)&amp;"-Q"&amp;ROUNDUP(MONTH(B724)/3,0)</f>
        <v/>
      </c>
      <c r="V724" s="13">
        <f>TEXT(B724,"YYYY-MM")</f>
        <v/>
      </c>
      <c r="W724" s="13">
        <f>IF(L724="","",IF(L724&gt;pLateDays,1,0))</f>
        <v/>
      </c>
      <c r="X724" s="13">
        <f>IF(Q724&gt;=pHighCutoff,1,0)</f>
        <v/>
      </c>
      <c r="Y724" s="13">
        <f>IF(M724="Returned",1,0)</f>
        <v/>
      </c>
    </row>
    <row r="725">
      <c r="A725" s="13" t="inlineStr">
        <is>
          <t>HC-100723</t>
        </is>
      </c>
      <c r="B725" s="18" t="n">
        <v>45623</v>
      </c>
      <c r="C725" s="13" t="inlineStr">
        <is>
          <t>South</t>
        </is>
      </c>
      <c r="D725" s="13" t="inlineStr">
        <is>
          <t>Store</t>
        </is>
      </c>
      <c r="E725" s="13" t="inlineStr">
        <is>
          <t>Textiles</t>
        </is>
      </c>
      <c r="F725" s="13" t="inlineStr">
        <is>
          <t>Linen Curtain</t>
        </is>
      </c>
      <c r="G725" s="13" t="inlineStr">
        <is>
          <t>Consumer</t>
        </is>
      </c>
      <c r="H725" s="13" t="n">
        <v>5</v>
      </c>
      <c r="I725" s="14" t="n">
        <v>88.86</v>
      </c>
      <c r="J725" s="15" t="n">
        <v>0.09</v>
      </c>
      <c r="K725" s="14" t="n">
        <v>39.99</v>
      </c>
      <c r="L725" s="13" t="n">
        <v>6</v>
      </c>
      <c r="M725" s="13" t="inlineStr">
        <is>
          <t>Completed</t>
        </is>
      </c>
      <c r="N725" s="13" t="inlineStr">
        <is>
          <t>J. Patel</t>
        </is>
      </c>
      <c r="O725" s="13" t="inlineStr">
        <is>
          <t>No</t>
        </is>
      </c>
      <c r="P725" s="14">
        <f>H725*I725</f>
        <v/>
      </c>
      <c r="Q725" s="14">
        <f>P725*(1-J725)</f>
        <v/>
      </c>
      <c r="R725" s="14">
        <f>H725*K725</f>
        <v/>
      </c>
      <c r="S725" s="15">
        <f>IF(Q725=0,"",(Q725-R725)/Q725)</f>
        <v/>
      </c>
      <c r="T725" s="13">
        <f>YEAR(B725)</f>
        <v/>
      </c>
      <c r="U725" s="13">
        <f>YEAR(B725)&amp;"-Q"&amp;ROUNDUP(MONTH(B725)/3,0)</f>
        <v/>
      </c>
      <c r="V725" s="13">
        <f>TEXT(B725,"YYYY-MM")</f>
        <v/>
      </c>
      <c r="W725" s="13">
        <f>IF(L725="","",IF(L725&gt;pLateDays,1,0))</f>
        <v/>
      </c>
      <c r="X725" s="13">
        <f>IF(Q725&gt;=pHighCutoff,1,0)</f>
        <v/>
      </c>
      <c r="Y725" s="13">
        <f>IF(M725="Returned",1,0)</f>
        <v/>
      </c>
    </row>
    <row r="726">
      <c r="A726" s="13" t="inlineStr">
        <is>
          <t>HC-100724</t>
        </is>
      </c>
      <c r="B726" s="18" t="n">
        <v>45477</v>
      </c>
      <c r="C726" s="13" t="inlineStr">
        <is>
          <t>North</t>
        </is>
      </c>
      <c r="D726" s="13" t="inlineStr">
        <is>
          <t>Wholesale</t>
        </is>
      </c>
      <c r="E726" s="13" t="inlineStr">
        <is>
          <t>Furniture</t>
        </is>
      </c>
      <c r="F726" s="13" t="inlineStr">
        <is>
          <t>Lounge Chair</t>
        </is>
      </c>
      <c r="G726" s="13" t="inlineStr">
        <is>
          <t>Consumer</t>
        </is>
      </c>
      <c r="H726" s="13" t="n">
        <v>32</v>
      </c>
      <c r="I726" s="14" t="n">
        <v>514.8099999999999</v>
      </c>
      <c r="J726" s="15" t="n">
        <v>0.19</v>
      </c>
      <c r="K726" s="14" t="n">
        <v>308.89</v>
      </c>
      <c r="L726" s="13" t="n">
        <v>6</v>
      </c>
      <c r="M726" s="13" t="inlineStr">
        <is>
          <t>Completed</t>
        </is>
      </c>
      <c r="N726" s="13" t="inlineStr">
        <is>
          <t>P. Rossi</t>
        </is>
      </c>
      <c r="O726" s="13" t="inlineStr">
        <is>
          <t>No</t>
        </is>
      </c>
      <c r="P726" s="14">
        <f>H726*I726</f>
        <v/>
      </c>
      <c r="Q726" s="14">
        <f>P726*(1-J726)</f>
        <v/>
      </c>
      <c r="R726" s="14">
        <f>H726*K726</f>
        <v/>
      </c>
      <c r="S726" s="15">
        <f>IF(Q726=0,"",(Q726-R726)/Q726)</f>
        <v/>
      </c>
      <c r="T726" s="13">
        <f>YEAR(B726)</f>
        <v/>
      </c>
      <c r="U726" s="13">
        <f>YEAR(B726)&amp;"-Q"&amp;ROUNDUP(MONTH(B726)/3,0)</f>
        <v/>
      </c>
      <c r="V726" s="13">
        <f>TEXT(B726,"YYYY-MM")</f>
        <v/>
      </c>
      <c r="W726" s="13">
        <f>IF(L726="","",IF(L726&gt;pLateDays,1,0))</f>
        <v/>
      </c>
      <c r="X726" s="13">
        <f>IF(Q726&gt;=pHighCutoff,1,0)</f>
        <v/>
      </c>
      <c r="Y726" s="13">
        <f>IF(M726="Returned",1,0)</f>
        <v/>
      </c>
    </row>
    <row r="727">
      <c r="A727" s="13" t="inlineStr">
        <is>
          <t>HC-100725</t>
        </is>
      </c>
      <c r="B727" s="18" t="n">
        <v>45826</v>
      </c>
      <c r="C727" s="13" t="inlineStr">
        <is>
          <t>East</t>
        </is>
      </c>
      <c r="D727" s="13" t="inlineStr">
        <is>
          <t>Store</t>
        </is>
      </c>
      <c r="E727" s="13" t="inlineStr">
        <is>
          <t>Kitchen</t>
        </is>
      </c>
      <c r="F727" s="13" t="inlineStr">
        <is>
          <t>Ceramic Set</t>
        </is>
      </c>
      <c r="G727" s="13" t="inlineStr">
        <is>
          <t>Consumer</t>
        </is>
      </c>
      <c r="H727" s="13" t="n">
        <v>4</v>
      </c>
      <c r="I727" s="14" t="n">
        <v>83.11</v>
      </c>
      <c r="J727" s="15" t="n">
        <v>0.03</v>
      </c>
      <c r="K727" s="14" t="n">
        <v>31.58</v>
      </c>
      <c r="L727" s="13" t="n">
        <v>10</v>
      </c>
      <c r="M727" s="13" t="inlineStr">
        <is>
          <t>Completed</t>
        </is>
      </c>
      <c r="N727" s="13" t="inlineStr">
        <is>
          <t>A. Shah</t>
        </is>
      </c>
      <c r="O727" s="13" t="inlineStr">
        <is>
          <t>No</t>
        </is>
      </c>
      <c r="P727" s="14">
        <f>H727*I727</f>
        <v/>
      </c>
      <c r="Q727" s="14">
        <f>P727*(1-J727)</f>
        <v/>
      </c>
      <c r="R727" s="14">
        <f>H727*K727</f>
        <v/>
      </c>
      <c r="S727" s="15">
        <f>IF(Q727=0,"",(Q727-R727)/Q727)</f>
        <v/>
      </c>
      <c r="T727" s="13">
        <f>YEAR(B727)</f>
        <v/>
      </c>
      <c r="U727" s="13">
        <f>YEAR(B727)&amp;"-Q"&amp;ROUNDUP(MONTH(B727)/3,0)</f>
        <v/>
      </c>
      <c r="V727" s="13">
        <f>TEXT(B727,"YYYY-MM")</f>
        <v/>
      </c>
      <c r="W727" s="13">
        <f>IF(L727="","",IF(L727&gt;pLateDays,1,0))</f>
        <v/>
      </c>
      <c r="X727" s="13">
        <f>IF(Q727&gt;=pHighCutoff,1,0)</f>
        <v/>
      </c>
      <c r="Y727" s="13">
        <f>IF(M727="Returned",1,0)</f>
        <v/>
      </c>
    </row>
    <row r="728">
      <c r="A728" s="13" t="inlineStr">
        <is>
          <t>HC-100726</t>
        </is>
      </c>
      <c r="B728" s="18" t="n">
        <v>45752</v>
      </c>
      <c r="C728" s="13" t="inlineStr">
        <is>
          <t>North</t>
        </is>
      </c>
      <c r="D728" s="13" t="inlineStr">
        <is>
          <t>Store</t>
        </is>
      </c>
      <c r="E728" s="13" t="inlineStr">
        <is>
          <t>Lighting</t>
        </is>
      </c>
      <c r="F728" s="13" t="inlineStr">
        <is>
          <t>Brass Sconce</t>
        </is>
      </c>
      <c r="G728" s="13" t="inlineStr">
        <is>
          <t>Consumer</t>
        </is>
      </c>
      <c r="H728" s="13" t="n">
        <v>4</v>
      </c>
      <c r="I728" s="14" t="n">
        <v>129.01</v>
      </c>
      <c r="J728" s="15" t="n">
        <v>0.04</v>
      </c>
      <c r="K728" s="14" t="n">
        <v>59.35</v>
      </c>
      <c r="L728" s="13" t="n">
        <v>8</v>
      </c>
      <c r="M728" s="13" t="inlineStr">
        <is>
          <t>Completed</t>
        </is>
      </c>
      <c r="N728" s="13" t="inlineStr">
        <is>
          <t>M. Okonkwo</t>
        </is>
      </c>
      <c r="O728" s="13" t="inlineStr">
        <is>
          <t>No</t>
        </is>
      </c>
      <c r="P728" s="14">
        <f>H728*I728</f>
        <v/>
      </c>
      <c r="Q728" s="14">
        <f>P728*(1-J728)</f>
        <v/>
      </c>
      <c r="R728" s="14">
        <f>H728*K728</f>
        <v/>
      </c>
      <c r="S728" s="15">
        <f>IF(Q728=0,"",(Q728-R728)/Q728)</f>
        <v/>
      </c>
      <c r="T728" s="13">
        <f>YEAR(B728)</f>
        <v/>
      </c>
      <c r="U728" s="13">
        <f>YEAR(B728)&amp;"-Q"&amp;ROUNDUP(MONTH(B728)/3,0)</f>
        <v/>
      </c>
      <c r="V728" s="13">
        <f>TEXT(B728,"YYYY-MM")</f>
        <v/>
      </c>
      <c r="W728" s="13">
        <f>IF(L728="","",IF(L728&gt;pLateDays,1,0))</f>
        <v/>
      </c>
      <c r="X728" s="13">
        <f>IF(Q728&gt;=pHighCutoff,1,0)</f>
        <v/>
      </c>
      <c r="Y728" s="13">
        <f>IF(M728="Returned",1,0)</f>
        <v/>
      </c>
    </row>
    <row r="729">
      <c r="A729" s="13" t="inlineStr">
        <is>
          <t>HC-100727</t>
        </is>
      </c>
      <c r="B729" s="18" t="n">
        <v>45444</v>
      </c>
      <c r="C729" s="13" t="inlineStr">
        <is>
          <t>South</t>
        </is>
      </c>
      <c r="D729" s="13" t="inlineStr">
        <is>
          <t>Store</t>
        </is>
      </c>
      <c r="E729" s="13" t="inlineStr">
        <is>
          <t>Lighting</t>
        </is>
      </c>
      <c r="F729" s="13" t="inlineStr">
        <is>
          <t>Pendant Light</t>
        </is>
      </c>
      <c r="G729" s="13" t="inlineStr">
        <is>
          <t>Consumer</t>
        </is>
      </c>
      <c r="H729" s="13" t="n">
        <v>4</v>
      </c>
      <c r="I729" s="14" t="n">
        <v>174.61</v>
      </c>
      <c r="J729" s="15" t="n">
        <v>0.07000000000000001</v>
      </c>
      <c r="K729" s="14" t="n">
        <v>87.31</v>
      </c>
      <c r="L729" s="13" t="n">
        <v>8</v>
      </c>
      <c r="M729" s="13" t="inlineStr">
        <is>
          <t>Returned</t>
        </is>
      </c>
      <c r="N729" s="13" t="inlineStr">
        <is>
          <t>R. Ibarra</t>
        </is>
      </c>
      <c r="O729" s="13" t="inlineStr">
        <is>
          <t>No</t>
        </is>
      </c>
      <c r="P729" s="14">
        <f>H729*I729</f>
        <v/>
      </c>
      <c r="Q729" s="14">
        <f>P729*(1-J729)</f>
        <v/>
      </c>
      <c r="R729" s="14">
        <f>H729*K729</f>
        <v/>
      </c>
      <c r="S729" s="15">
        <f>IF(Q729=0,"",(Q729-R729)/Q729)</f>
        <v/>
      </c>
      <c r="T729" s="13">
        <f>YEAR(B729)</f>
        <v/>
      </c>
      <c r="U729" s="13">
        <f>YEAR(B729)&amp;"-Q"&amp;ROUNDUP(MONTH(B729)/3,0)</f>
        <v/>
      </c>
      <c r="V729" s="13">
        <f>TEXT(B729,"YYYY-MM")</f>
        <v/>
      </c>
      <c r="W729" s="13">
        <f>IF(L729="","",IF(L729&gt;pLateDays,1,0))</f>
        <v/>
      </c>
      <c r="X729" s="13">
        <f>IF(Q729&gt;=pHighCutoff,1,0)</f>
        <v/>
      </c>
      <c r="Y729" s="13">
        <f>IF(M729="Returned",1,0)</f>
        <v/>
      </c>
    </row>
    <row r="730">
      <c r="A730" s="13" t="inlineStr">
        <is>
          <t>HC-100728</t>
        </is>
      </c>
      <c r="B730" s="18" t="n">
        <v>45898</v>
      </c>
      <c r="C730" s="13" t="inlineStr">
        <is>
          <t>West</t>
        </is>
      </c>
      <c r="D730" s="13" t="inlineStr">
        <is>
          <t>Store</t>
        </is>
      </c>
      <c r="E730" s="13" t="inlineStr">
        <is>
          <t>Lighting</t>
        </is>
      </c>
      <c r="F730" s="13" t="inlineStr">
        <is>
          <t>Brass Sconce</t>
        </is>
      </c>
      <c r="G730" s="13" t="inlineStr">
        <is>
          <t>Corporate</t>
        </is>
      </c>
      <c r="H730" s="13" t="n">
        <v>2</v>
      </c>
      <c r="I730" s="14" t="n">
        <v>141.37</v>
      </c>
      <c r="J730" s="15" t="n">
        <v>0.08</v>
      </c>
      <c r="K730" s="14" t="n">
        <v>65.03</v>
      </c>
      <c r="L730" s="13" t="n">
        <v>7</v>
      </c>
      <c r="M730" s="13" t="inlineStr">
        <is>
          <t>Completed</t>
        </is>
      </c>
      <c r="N730" s="13" t="inlineStr">
        <is>
          <t>L. Berger</t>
        </is>
      </c>
      <c r="O730" s="13" t="inlineStr">
        <is>
          <t>No</t>
        </is>
      </c>
      <c r="P730" s="14">
        <f>H730*I730</f>
        <v/>
      </c>
      <c r="Q730" s="14">
        <f>P730*(1-J730)</f>
        <v/>
      </c>
      <c r="R730" s="14">
        <f>H730*K730</f>
        <v/>
      </c>
      <c r="S730" s="15">
        <f>IF(Q730=0,"",(Q730-R730)/Q730)</f>
        <v/>
      </c>
      <c r="T730" s="13">
        <f>YEAR(B730)</f>
        <v/>
      </c>
      <c r="U730" s="13">
        <f>YEAR(B730)&amp;"-Q"&amp;ROUNDUP(MONTH(B730)/3,0)</f>
        <v/>
      </c>
      <c r="V730" s="13">
        <f>TEXT(B730,"YYYY-MM")</f>
        <v/>
      </c>
      <c r="W730" s="13">
        <f>IF(L730="","",IF(L730&gt;pLateDays,1,0))</f>
        <v/>
      </c>
      <c r="X730" s="13">
        <f>IF(Q730&gt;=pHighCutoff,1,0)</f>
        <v/>
      </c>
      <c r="Y730" s="13">
        <f>IF(M730="Returned",1,0)</f>
        <v/>
      </c>
    </row>
    <row r="731">
      <c r="A731" s="13" t="inlineStr">
        <is>
          <t>HC-100729</t>
        </is>
      </c>
      <c r="B731" s="18" t="n">
        <v>45783</v>
      </c>
      <c r="C731" s="13" t="inlineStr">
        <is>
          <t>North</t>
        </is>
      </c>
      <c r="D731" s="13" t="inlineStr">
        <is>
          <t>Store</t>
        </is>
      </c>
      <c r="E731" s="13" t="inlineStr">
        <is>
          <t>Furniture</t>
        </is>
      </c>
      <c r="F731" s="13" t="inlineStr">
        <is>
          <t>Linen Sofa</t>
        </is>
      </c>
      <c r="G731" s="13" t="inlineStr">
        <is>
          <t>Consumer</t>
        </is>
      </c>
      <c r="H731" s="13" t="n">
        <v>1</v>
      </c>
      <c r="I731" s="14" t="n">
        <v>1175.19</v>
      </c>
      <c r="J731" s="15" t="n">
        <v>0.07000000000000001</v>
      </c>
      <c r="K731" s="14" t="n">
        <v>775.63</v>
      </c>
      <c r="L731" s="13" t="n">
        <v>7</v>
      </c>
      <c r="M731" s="13" t="inlineStr">
        <is>
          <t>Completed</t>
        </is>
      </c>
      <c r="N731" s="13" t="inlineStr">
        <is>
          <t>A. Shah</t>
        </is>
      </c>
      <c r="O731" s="13" t="inlineStr">
        <is>
          <t>No</t>
        </is>
      </c>
      <c r="P731" s="14">
        <f>H731*I731</f>
        <v/>
      </c>
      <c r="Q731" s="14">
        <f>P731*(1-J731)</f>
        <v/>
      </c>
      <c r="R731" s="14">
        <f>H731*K731</f>
        <v/>
      </c>
      <c r="S731" s="15">
        <f>IF(Q731=0,"",(Q731-R731)/Q731)</f>
        <v/>
      </c>
      <c r="T731" s="13">
        <f>YEAR(B731)</f>
        <v/>
      </c>
      <c r="U731" s="13">
        <f>YEAR(B731)&amp;"-Q"&amp;ROUNDUP(MONTH(B731)/3,0)</f>
        <v/>
      </c>
      <c r="V731" s="13">
        <f>TEXT(B731,"YYYY-MM")</f>
        <v/>
      </c>
      <c r="W731" s="13">
        <f>IF(L731="","",IF(L731&gt;pLateDays,1,0))</f>
        <v/>
      </c>
      <c r="X731" s="13">
        <f>IF(Q731&gt;=pHighCutoff,1,0)</f>
        <v/>
      </c>
      <c r="Y731" s="13">
        <f>IF(M731="Returned",1,0)</f>
        <v/>
      </c>
    </row>
    <row r="732">
      <c r="A732" s="13" t="inlineStr">
        <is>
          <t>HC-100730</t>
        </is>
      </c>
      <c r="B732" s="18" t="n">
        <v>45554</v>
      </c>
      <c r="C732" s="13" t="inlineStr">
        <is>
          <t>North</t>
        </is>
      </c>
      <c r="D732" s="13" t="inlineStr">
        <is>
          <t>Online</t>
        </is>
      </c>
      <c r="E732" s="13" t="inlineStr">
        <is>
          <t>Kitchen</t>
        </is>
      </c>
      <c r="F732" s="13" t="inlineStr">
        <is>
          <t>Chef Knife</t>
        </is>
      </c>
      <c r="G732" s="13" t="inlineStr">
        <is>
          <t>Corporate</t>
        </is>
      </c>
      <c r="H732" s="13" t="n">
        <v>2</v>
      </c>
      <c r="I732" s="14" t="n">
        <v>60.69</v>
      </c>
      <c r="J732" s="15" t="n">
        <v>0.18</v>
      </c>
      <c r="K732" s="14" t="n">
        <v>21.85</v>
      </c>
      <c r="L732" s="13" t="n">
        <v>5</v>
      </c>
      <c r="M732" s="13" t="inlineStr">
        <is>
          <t>Completed</t>
        </is>
      </c>
      <c r="N732" s="13" t="inlineStr">
        <is>
          <t>M. Okonkwo</t>
        </is>
      </c>
      <c r="O732" s="13" t="inlineStr">
        <is>
          <t>No</t>
        </is>
      </c>
      <c r="P732" s="14">
        <f>H732*I732</f>
        <v/>
      </c>
      <c r="Q732" s="14">
        <f>P732*(1-J732)</f>
        <v/>
      </c>
      <c r="R732" s="14">
        <f>H732*K732</f>
        <v/>
      </c>
      <c r="S732" s="15">
        <f>IF(Q732=0,"",(Q732-R732)/Q732)</f>
        <v/>
      </c>
      <c r="T732" s="13">
        <f>YEAR(B732)</f>
        <v/>
      </c>
      <c r="U732" s="13">
        <f>YEAR(B732)&amp;"-Q"&amp;ROUNDUP(MONTH(B732)/3,0)</f>
        <v/>
      </c>
      <c r="V732" s="13">
        <f>TEXT(B732,"YYYY-MM")</f>
        <v/>
      </c>
      <c r="W732" s="13">
        <f>IF(L732="","",IF(L732&gt;pLateDays,1,0))</f>
        <v/>
      </c>
      <c r="X732" s="13">
        <f>IF(Q732&gt;=pHighCutoff,1,0)</f>
        <v/>
      </c>
      <c r="Y732" s="13">
        <f>IF(M732="Returned",1,0)</f>
        <v/>
      </c>
    </row>
    <row r="733">
      <c r="A733" s="13" t="inlineStr">
        <is>
          <t>HC-100731</t>
        </is>
      </c>
      <c r="B733" s="18" t="n">
        <v>45766</v>
      </c>
      <c r="C733" s="13" t="inlineStr">
        <is>
          <t>East</t>
        </is>
      </c>
      <c r="D733" s="13" t="inlineStr">
        <is>
          <t>Store</t>
        </is>
      </c>
      <c r="E733" s="13" t="inlineStr">
        <is>
          <t>Furniture</t>
        </is>
      </c>
      <c r="F733" s="13" t="inlineStr">
        <is>
          <t>Oak Desk</t>
        </is>
      </c>
      <c r="G733" s="13" t="inlineStr">
        <is>
          <t>Consumer</t>
        </is>
      </c>
      <c r="H733" s="13" t="n">
        <v>2</v>
      </c>
      <c r="I733" s="14" t="n">
        <v>748.74</v>
      </c>
      <c r="J733" s="15" t="n">
        <v>0.08</v>
      </c>
      <c r="K733" s="14" t="n">
        <v>464.22</v>
      </c>
      <c r="L733" s="13" t="n">
        <v>9</v>
      </c>
      <c r="M733" s="13" t="inlineStr">
        <is>
          <t>Completed</t>
        </is>
      </c>
      <c r="N733" s="13" t="inlineStr">
        <is>
          <t>P. Rossi</t>
        </is>
      </c>
      <c r="O733" s="13" t="inlineStr">
        <is>
          <t>No</t>
        </is>
      </c>
      <c r="P733" s="14">
        <f>H733*I733</f>
        <v/>
      </c>
      <c r="Q733" s="14">
        <f>P733*(1-J733)</f>
        <v/>
      </c>
      <c r="R733" s="14">
        <f>H733*K733</f>
        <v/>
      </c>
      <c r="S733" s="15">
        <f>IF(Q733=0,"",(Q733-R733)/Q733)</f>
        <v/>
      </c>
      <c r="T733" s="13">
        <f>YEAR(B733)</f>
        <v/>
      </c>
      <c r="U733" s="13">
        <f>YEAR(B733)&amp;"-Q"&amp;ROUNDUP(MONTH(B733)/3,0)</f>
        <v/>
      </c>
      <c r="V733" s="13">
        <f>TEXT(B733,"YYYY-MM")</f>
        <v/>
      </c>
      <c r="W733" s="13">
        <f>IF(L733="","",IF(L733&gt;pLateDays,1,0))</f>
        <v/>
      </c>
      <c r="X733" s="13">
        <f>IF(Q733&gt;=pHighCutoff,1,0)</f>
        <v/>
      </c>
      <c r="Y733" s="13">
        <f>IF(M733="Returned",1,0)</f>
        <v/>
      </c>
    </row>
    <row r="734">
      <c r="A734" s="13" t="inlineStr">
        <is>
          <t>HC-100732</t>
        </is>
      </c>
      <c r="B734" s="18" t="n">
        <v>45625</v>
      </c>
      <c r="C734" s="13" t="inlineStr">
        <is>
          <t>North</t>
        </is>
      </c>
      <c r="D734" s="13" t="inlineStr">
        <is>
          <t>Online</t>
        </is>
      </c>
      <c r="E734" s="13" t="inlineStr">
        <is>
          <t>Kitchen</t>
        </is>
      </c>
      <c r="F734" s="13" t="inlineStr">
        <is>
          <t>Cast Skillet</t>
        </is>
      </c>
      <c r="G734" s="13" t="inlineStr">
        <is>
          <t>Corporate</t>
        </is>
      </c>
      <c r="H734" s="13" t="n">
        <v>2</v>
      </c>
      <c r="I734" s="14" t="n">
        <v>52.74</v>
      </c>
      <c r="J734" s="15" t="n">
        <v>0.11</v>
      </c>
      <c r="K734" s="14" t="n">
        <v>21.1</v>
      </c>
      <c r="L734" s="13" t="n">
        <v>4</v>
      </c>
      <c r="M734" s="13" t="inlineStr">
        <is>
          <t>Completed</t>
        </is>
      </c>
      <c r="N734" s="13" t="inlineStr">
        <is>
          <t>P. Rossi</t>
        </is>
      </c>
      <c r="O734" s="13" t="inlineStr">
        <is>
          <t>No</t>
        </is>
      </c>
      <c r="P734" s="14">
        <f>H734*I734</f>
        <v/>
      </c>
      <c r="Q734" s="14">
        <f>P734*(1-J734)</f>
        <v/>
      </c>
      <c r="R734" s="14">
        <f>H734*K734</f>
        <v/>
      </c>
      <c r="S734" s="15">
        <f>IF(Q734=0,"",(Q734-R734)/Q734)</f>
        <v/>
      </c>
      <c r="T734" s="13">
        <f>YEAR(B734)</f>
        <v/>
      </c>
      <c r="U734" s="13">
        <f>YEAR(B734)&amp;"-Q"&amp;ROUNDUP(MONTH(B734)/3,0)</f>
        <v/>
      </c>
      <c r="V734" s="13">
        <f>TEXT(B734,"YYYY-MM")</f>
        <v/>
      </c>
      <c r="W734" s="13">
        <f>IF(L734="","",IF(L734&gt;pLateDays,1,0))</f>
        <v/>
      </c>
      <c r="X734" s="13">
        <f>IF(Q734&gt;=pHighCutoff,1,0)</f>
        <v/>
      </c>
      <c r="Y734" s="13">
        <f>IF(M734="Returned",1,0)</f>
        <v/>
      </c>
    </row>
    <row r="735">
      <c r="A735" s="13" t="inlineStr">
        <is>
          <t>HC-100733</t>
        </is>
      </c>
      <c r="B735" s="18" t="n">
        <v>45669</v>
      </c>
      <c r="C735" s="13" t="inlineStr">
        <is>
          <t>West</t>
        </is>
      </c>
      <c r="D735" s="13" t="inlineStr">
        <is>
          <t>Online</t>
        </is>
      </c>
      <c r="E735" s="13" t="inlineStr">
        <is>
          <t>Kitchen</t>
        </is>
      </c>
      <c r="F735" s="13" t="inlineStr">
        <is>
          <t>Chef Knife</t>
        </is>
      </c>
      <c r="G735" s="13" t="inlineStr">
        <is>
          <t>Home Office</t>
        </is>
      </c>
      <c r="H735" s="13" t="n">
        <v>3</v>
      </c>
      <c r="I735" s="14" t="n">
        <v>62.6</v>
      </c>
      <c r="J735" s="15" t="n">
        <v>0.1</v>
      </c>
      <c r="K735" s="14" t="n">
        <v>22.54</v>
      </c>
      <c r="L735" s="13" t="n">
        <v>6</v>
      </c>
      <c r="M735" s="13" t="inlineStr">
        <is>
          <t>Completed</t>
        </is>
      </c>
      <c r="N735" s="13" t="inlineStr">
        <is>
          <t>J. Patel</t>
        </is>
      </c>
      <c r="O735" s="13" t="inlineStr">
        <is>
          <t>No</t>
        </is>
      </c>
      <c r="P735" s="14">
        <f>H735*I735</f>
        <v/>
      </c>
      <c r="Q735" s="14">
        <f>P735*(1-J735)</f>
        <v/>
      </c>
      <c r="R735" s="14">
        <f>H735*K735</f>
        <v/>
      </c>
      <c r="S735" s="15">
        <f>IF(Q735=0,"",(Q735-R735)/Q735)</f>
        <v/>
      </c>
      <c r="T735" s="13">
        <f>YEAR(B735)</f>
        <v/>
      </c>
      <c r="U735" s="13">
        <f>YEAR(B735)&amp;"-Q"&amp;ROUNDUP(MONTH(B735)/3,0)</f>
        <v/>
      </c>
      <c r="V735" s="13">
        <f>TEXT(B735,"YYYY-MM")</f>
        <v/>
      </c>
      <c r="W735" s="13">
        <f>IF(L735="","",IF(L735&gt;pLateDays,1,0))</f>
        <v/>
      </c>
      <c r="X735" s="13">
        <f>IF(Q735&gt;=pHighCutoff,1,0)</f>
        <v/>
      </c>
      <c r="Y735" s="13">
        <f>IF(M735="Returned",1,0)</f>
        <v/>
      </c>
    </row>
    <row r="736">
      <c r="A736" s="13" t="inlineStr">
        <is>
          <t>HC-100734</t>
        </is>
      </c>
      <c r="B736" s="18" t="n">
        <v>45360</v>
      </c>
      <c r="C736" s="13" t="inlineStr">
        <is>
          <t>West</t>
        </is>
      </c>
      <c r="D736" s="13" t="inlineStr">
        <is>
          <t>Online</t>
        </is>
      </c>
      <c r="E736" s="13" t="inlineStr">
        <is>
          <t>Furniture</t>
        </is>
      </c>
      <c r="F736" s="13" t="inlineStr">
        <is>
          <t>Walnut Shelf</t>
        </is>
      </c>
      <c r="G736" s="13" t="inlineStr">
        <is>
          <t>Consumer</t>
        </is>
      </c>
      <c r="H736" s="13" t="n">
        <v>1</v>
      </c>
      <c r="I736" s="14" t="n">
        <v>230.48</v>
      </c>
      <c r="J736" s="15" t="n">
        <v>0.04</v>
      </c>
      <c r="K736" s="14" t="n">
        <v>126.76</v>
      </c>
      <c r="L736" s="13" t="n"/>
      <c r="M736" s="13" t="inlineStr">
        <is>
          <t>Completed</t>
        </is>
      </c>
      <c r="N736" s="13" t="inlineStr">
        <is>
          <t>L. Berger</t>
        </is>
      </c>
      <c r="O736" s="13" t="inlineStr">
        <is>
          <t>No</t>
        </is>
      </c>
      <c r="P736" s="14">
        <f>H736*I736</f>
        <v/>
      </c>
      <c r="Q736" s="14">
        <f>P736*(1-J736)</f>
        <v/>
      </c>
      <c r="R736" s="14">
        <f>H736*K736</f>
        <v/>
      </c>
      <c r="S736" s="15">
        <f>IF(Q736=0,"",(Q736-R736)/Q736)</f>
        <v/>
      </c>
      <c r="T736" s="13">
        <f>YEAR(B736)</f>
        <v/>
      </c>
      <c r="U736" s="13">
        <f>YEAR(B736)&amp;"-Q"&amp;ROUNDUP(MONTH(B736)/3,0)</f>
        <v/>
      </c>
      <c r="V736" s="13">
        <f>TEXT(B736,"YYYY-MM")</f>
        <v/>
      </c>
      <c r="W736" s="13">
        <f>IF(L736="","",IF(L736&gt;pLateDays,1,0))</f>
        <v/>
      </c>
      <c r="X736" s="13">
        <f>IF(Q736&gt;=pHighCutoff,1,0)</f>
        <v/>
      </c>
      <c r="Y736" s="13">
        <f>IF(M736="Returned",1,0)</f>
        <v/>
      </c>
    </row>
    <row r="737">
      <c r="A737" s="13" t="inlineStr">
        <is>
          <t>HC-100735</t>
        </is>
      </c>
      <c r="B737" s="18" t="n">
        <v>45576</v>
      </c>
      <c r="C737" s="13" t="inlineStr">
        <is>
          <t>North</t>
        </is>
      </c>
      <c r="D737" s="13" t="inlineStr">
        <is>
          <t>Online</t>
        </is>
      </c>
      <c r="E737" s="13" t="inlineStr">
        <is>
          <t>Furniture</t>
        </is>
      </c>
      <c r="F737" s="13" t="inlineStr">
        <is>
          <t>Linen Sofa</t>
        </is>
      </c>
      <c r="G737" s="13" t="inlineStr">
        <is>
          <t>Consumer</t>
        </is>
      </c>
      <c r="H737" s="13" t="n">
        <v>2</v>
      </c>
      <c r="I737" s="14" t="n">
        <v>1231.14</v>
      </c>
      <c r="J737" s="15" t="n">
        <v>0.04</v>
      </c>
      <c r="K737" s="14" t="n">
        <v>812.55</v>
      </c>
      <c r="L737" s="13" t="n">
        <v>6</v>
      </c>
      <c r="M737" s="13" t="inlineStr">
        <is>
          <t>Completed</t>
        </is>
      </c>
      <c r="N737" s="13" t="inlineStr">
        <is>
          <t>L. Berger</t>
        </is>
      </c>
      <c r="O737" s="13" t="inlineStr">
        <is>
          <t>No</t>
        </is>
      </c>
      <c r="P737" s="14">
        <f>H737*I737</f>
        <v/>
      </c>
      <c r="Q737" s="14">
        <f>P737*(1-J737)</f>
        <v/>
      </c>
      <c r="R737" s="14">
        <f>H737*K737</f>
        <v/>
      </c>
      <c r="S737" s="15">
        <f>IF(Q737=0,"",(Q737-R737)/Q737)</f>
        <v/>
      </c>
      <c r="T737" s="13">
        <f>YEAR(B737)</f>
        <v/>
      </c>
      <c r="U737" s="13">
        <f>YEAR(B737)&amp;"-Q"&amp;ROUNDUP(MONTH(B737)/3,0)</f>
        <v/>
      </c>
      <c r="V737" s="13">
        <f>TEXT(B737,"YYYY-MM")</f>
        <v/>
      </c>
      <c r="W737" s="13">
        <f>IF(L737="","",IF(L737&gt;pLateDays,1,0))</f>
        <v/>
      </c>
      <c r="X737" s="13">
        <f>IF(Q737&gt;=pHighCutoff,1,0)</f>
        <v/>
      </c>
      <c r="Y737" s="13">
        <f>IF(M737="Returned",1,0)</f>
        <v/>
      </c>
    </row>
    <row r="738">
      <c r="A738" s="13" t="inlineStr">
        <is>
          <t>HC-100736</t>
        </is>
      </c>
      <c r="B738" s="18" t="n">
        <v>45620</v>
      </c>
      <c r="C738" s="13" t="inlineStr">
        <is>
          <t>West</t>
        </is>
      </c>
      <c r="D738" s="13" t="inlineStr">
        <is>
          <t>Store</t>
        </is>
      </c>
      <c r="E738" s="13" t="inlineStr">
        <is>
          <t>Textiles</t>
        </is>
      </c>
      <c r="F738" s="13" t="inlineStr">
        <is>
          <t>Cotton Duvet</t>
        </is>
      </c>
      <c r="G738" s="13" t="inlineStr">
        <is>
          <t>Corporate</t>
        </is>
      </c>
      <c r="H738" s="13" t="n">
        <v>4</v>
      </c>
      <c r="I738" s="14" t="n">
        <v>127.33</v>
      </c>
      <c r="J738" s="15" t="n">
        <v>0.02</v>
      </c>
      <c r="K738" s="14" t="n">
        <v>56.02</v>
      </c>
      <c r="L738" s="13" t="n">
        <v>6</v>
      </c>
      <c r="M738" s="13" t="inlineStr">
        <is>
          <t>Completed</t>
        </is>
      </c>
      <c r="N738" s="13" t="inlineStr">
        <is>
          <t>S. Nguyen</t>
        </is>
      </c>
      <c r="O738" s="13" t="inlineStr">
        <is>
          <t>No</t>
        </is>
      </c>
      <c r="P738" s="14">
        <f>H738*I738</f>
        <v/>
      </c>
      <c r="Q738" s="14">
        <f>P738*(1-J738)</f>
        <v/>
      </c>
      <c r="R738" s="14">
        <f>H738*K738</f>
        <v/>
      </c>
      <c r="S738" s="15">
        <f>IF(Q738=0,"",(Q738-R738)/Q738)</f>
        <v/>
      </c>
      <c r="T738" s="13">
        <f>YEAR(B738)</f>
        <v/>
      </c>
      <c r="U738" s="13">
        <f>YEAR(B738)&amp;"-Q"&amp;ROUNDUP(MONTH(B738)/3,0)</f>
        <v/>
      </c>
      <c r="V738" s="13">
        <f>TEXT(B738,"YYYY-MM")</f>
        <v/>
      </c>
      <c r="W738" s="13">
        <f>IF(L738="","",IF(L738&gt;pLateDays,1,0))</f>
        <v/>
      </c>
      <c r="X738" s="13">
        <f>IF(Q738&gt;=pHighCutoff,1,0)</f>
        <v/>
      </c>
      <c r="Y738" s="13">
        <f>IF(M738="Returned",1,0)</f>
        <v/>
      </c>
    </row>
    <row r="739">
      <c r="A739" s="13" t="inlineStr">
        <is>
          <t>HC-100737</t>
        </is>
      </c>
      <c r="B739" s="18" t="n">
        <v>45436</v>
      </c>
      <c r="C739" s="13" t="inlineStr">
        <is>
          <t>West</t>
        </is>
      </c>
      <c r="D739" s="13" t="inlineStr">
        <is>
          <t>Wholesale</t>
        </is>
      </c>
      <c r="E739" s="13" t="inlineStr">
        <is>
          <t>Furniture</t>
        </is>
      </c>
      <c r="F739" s="13" t="inlineStr">
        <is>
          <t>Walnut Shelf</t>
        </is>
      </c>
      <c r="G739" s="13" t="inlineStr">
        <is>
          <t>Corporate</t>
        </is>
      </c>
      <c r="H739" s="13" t="n">
        <v>34</v>
      </c>
      <c r="I739" s="14" t="n">
        <v>210.35</v>
      </c>
      <c r="J739" s="15" t="n">
        <v>0.24</v>
      </c>
      <c r="K739" s="14" t="n">
        <v>115.69</v>
      </c>
      <c r="L739" s="13" t="n">
        <v>7</v>
      </c>
      <c r="M739" s="13" t="inlineStr">
        <is>
          <t>Completed</t>
        </is>
      </c>
      <c r="N739" s="13" t="inlineStr">
        <is>
          <t>A. Shah</t>
        </is>
      </c>
      <c r="O739" s="13" t="inlineStr">
        <is>
          <t>No</t>
        </is>
      </c>
      <c r="P739" s="14">
        <f>H739*I739</f>
        <v/>
      </c>
      <c r="Q739" s="14">
        <f>P739*(1-J739)</f>
        <v/>
      </c>
      <c r="R739" s="14">
        <f>H739*K739</f>
        <v/>
      </c>
      <c r="S739" s="15">
        <f>IF(Q739=0,"",(Q739-R739)/Q739)</f>
        <v/>
      </c>
      <c r="T739" s="13">
        <f>YEAR(B739)</f>
        <v/>
      </c>
      <c r="U739" s="13">
        <f>YEAR(B739)&amp;"-Q"&amp;ROUNDUP(MONTH(B739)/3,0)</f>
        <v/>
      </c>
      <c r="V739" s="13">
        <f>TEXT(B739,"YYYY-MM")</f>
        <v/>
      </c>
      <c r="W739" s="13">
        <f>IF(L739="","",IF(L739&gt;pLateDays,1,0))</f>
        <v/>
      </c>
      <c r="X739" s="13">
        <f>IF(Q739&gt;=pHighCutoff,1,0)</f>
        <v/>
      </c>
      <c r="Y739" s="13">
        <f>IF(M739="Returned",1,0)</f>
        <v/>
      </c>
    </row>
    <row r="740">
      <c r="A740" s="13" t="inlineStr">
        <is>
          <t>HC-100738</t>
        </is>
      </c>
      <c r="B740" s="18" t="n">
        <v>45511</v>
      </c>
      <c r="C740" s="13" t="inlineStr">
        <is>
          <t>North</t>
        </is>
      </c>
      <c r="D740" s="13" t="inlineStr">
        <is>
          <t>Online</t>
        </is>
      </c>
      <c r="E740" s="13" t="inlineStr">
        <is>
          <t>Textiles</t>
        </is>
      </c>
      <c r="F740" s="13" t="inlineStr">
        <is>
          <t>Linen Curtain</t>
        </is>
      </c>
      <c r="G740" s="13" t="inlineStr">
        <is>
          <t>Corporate</t>
        </is>
      </c>
      <c r="H740" s="13" t="n">
        <v>1</v>
      </c>
      <c r="I740" s="14" t="n">
        <v>99.72</v>
      </c>
      <c r="J740" s="15" t="n">
        <v>0.05</v>
      </c>
      <c r="K740" s="14" t="n">
        <v>44.87</v>
      </c>
      <c r="L740" s="13" t="n">
        <v>1</v>
      </c>
      <c r="M740" s="13" t="inlineStr">
        <is>
          <t>Completed</t>
        </is>
      </c>
      <c r="N740" s="13" t="inlineStr">
        <is>
          <t>M. Okonkwo</t>
        </is>
      </c>
      <c r="O740" s="13" t="inlineStr">
        <is>
          <t>No</t>
        </is>
      </c>
      <c r="P740" s="14">
        <f>H740*I740</f>
        <v/>
      </c>
      <c r="Q740" s="14">
        <f>P740*(1-J740)</f>
        <v/>
      </c>
      <c r="R740" s="14">
        <f>H740*K740</f>
        <v/>
      </c>
      <c r="S740" s="15">
        <f>IF(Q740=0,"",(Q740-R740)/Q740)</f>
        <v/>
      </c>
      <c r="T740" s="13">
        <f>YEAR(B740)</f>
        <v/>
      </c>
      <c r="U740" s="13">
        <f>YEAR(B740)&amp;"-Q"&amp;ROUNDUP(MONTH(B740)/3,0)</f>
        <v/>
      </c>
      <c r="V740" s="13">
        <f>TEXT(B740,"YYYY-MM")</f>
        <v/>
      </c>
      <c r="W740" s="13">
        <f>IF(L740="","",IF(L740&gt;pLateDays,1,0))</f>
        <v/>
      </c>
      <c r="X740" s="13">
        <f>IF(Q740&gt;=pHighCutoff,1,0)</f>
        <v/>
      </c>
      <c r="Y740" s="13">
        <f>IF(M740="Returned",1,0)</f>
        <v/>
      </c>
    </row>
    <row r="741">
      <c r="A741" s="13" t="inlineStr">
        <is>
          <t>HC-100739</t>
        </is>
      </c>
      <c r="B741" s="18" t="n">
        <v>45437</v>
      </c>
      <c r="C741" s="13" t="inlineStr">
        <is>
          <t>South</t>
        </is>
      </c>
      <c r="D741" s="13" t="inlineStr">
        <is>
          <t>Online</t>
        </is>
      </c>
      <c r="E741" s="13" t="inlineStr">
        <is>
          <t>Kitchen</t>
        </is>
      </c>
      <c r="F741" s="13" t="inlineStr">
        <is>
          <t>Chef Knife</t>
        </is>
      </c>
      <c r="G741" s="13" t="inlineStr">
        <is>
          <t>Home Office</t>
        </is>
      </c>
      <c r="H741" s="13" t="n">
        <v>3</v>
      </c>
      <c r="I741" s="14" t="n">
        <v>59.05</v>
      </c>
      <c r="J741" s="15" t="n">
        <v>0.18</v>
      </c>
      <c r="K741" s="14" t="n">
        <v>21.26</v>
      </c>
      <c r="L741" s="13" t="n">
        <v>1</v>
      </c>
      <c r="M741" s="13" t="inlineStr">
        <is>
          <t>Completed</t>
        </is>
      </c>
      <c r="N741" s="13" t="inlineStr">
        <is>
          <t>L. Berger</t>
        </is>
      </c>
      <c r="O741" s="13" t="inlineStr">
        <is>
          <t>No</t>
        </is>
      </c>
      <c r="P741" s="14">
        <f>H741*I741</f>
        <v/>
      </c>
      <c r="Q741" s="14">
        <f>P741*(1-J741)</f>
        <v/>
      </c>
      <c r="R741" s="14">
        <f>H741*K741</f>
        <v/>
      </c>
      <c r="S741" s="15">
        <f>IF(Q741=0,"",(Q741-R741)/Q741)</f>
        <v/>
      </c>
      <c r="T741" s="13">
        <f>YEAR(B741)</f>
        <v/>
      </c>
      <c r="U741" s="13">
        <f>YEAR(B741)&amp;"-Q"&amp;ROUNDUP(MONTH(B741)/3,0)</f>
        <v/>
      </c>
      <c r="V741" s="13">
        <f>TEXT(B741,"YYYY-MM")</f>
        <v/>
      </c>
      <c r="W741" s="13">
        <f>IF(L741="","",IF(L741&gt;pLateDays,1,0))</f>
        <v/>
      </c>
      <c r="X741" s="13">
        <f>IF(Q741&gt;=pHighCutoff,1,0)</f>
        <v/>
      </c>
      <c r="Y741" s="13">
        <f>IF(M741="Returned",1,0)</f>
        <v/>
      </c>
    </row>
    <row r="742">
      <c r="A742" s="13" t="inlineStr">
        <is>
          <t>HC-100740</t>
        </is>
      </c>
      <c r="B742" s="18" t="n">
        <v>45594</v>
      </c>
      <c r="C742" s="13" t="inlineStr">
        <is>
          <t>West</t>
        </is>
      </c>
      <c r="D742" s="13" t="inlineStr">
        <is>
          <t>Online</t>
        </is>
      </c>
      <c r="E742" s="13" t="inlineStr">
        <is>
          <t>Furniture</t>
        </is>
      </c>
      <c r="F742" s="13" t="inlineStr">
        <is>
          <t>Oak Desk</t>
        </is>
      </c>
      <c r="G742" s="13" t="inlineStr">
        <is>
          <t>Consumer</t>
        </is>
      </c>
      <c r="H742" s="13" t="n">
        <v>1</v>
      </c>
      <c r="I742" s="14" t="n">
        <v>837.77</v>
      </c>
      <c r="J742" s="15" t="n">
        <v>0.15</v>
      </c>
      <c r="K742" s="14" t="n">
        <v>519.41</v>
      </c>
      <c r="L742" s="13" t="n">
        <v>11</v>
      </c>
      <c r="M742" s="13" t="inlineStr">
        <is>
          <t>Completed</t>
        </is>
      </c>
      <c r="N742" s="13" t="inlineStr">
        <is>
          <t>M. Okonkwo</t>
        </is>
      </c>
      <c r="O742" s="13" t="inlineStr">
        <is>
          <t>No</t>
        </is>
      </c>
      <c r="P742" s="14">
        <f>H742*I742</f>
        <v/>
      </c>
      <c r="Q742" s="14">
        <f>P742*(1-J742)</f>
        <v/>
      </c>
      <c r="R742" s="14">
        <f>H742*K742</f>
        <v/>
      </c>
      <c r="S742" s="15">
        <f>IF(Q742=0,"",(Q742-R742)/Q742)</f>
        <v/>
      </c>
      <c r="T742" s="13">
        <f>YEAR(B742)</f>
        <v/>
      </c>
      <c r="U742" s="13">
        <f>YEAR(B742)&amp;"-Q"&amp;ROUNDUP(MONTH(B742)/3,0)</f>
        <v/>
      </c>
      <c r="V742" s="13">
        <f>TEXT(B742,"YYYY-MM")</f>
        <v/>
      </c>
      <c r="W742" s="13">
        <f>IF(L742="","",IF(L742&gt;pLateDays,1,0))</f>
        <v/>
      </c>
      <c r="X742" s="13">
        <f>IF(Q742&gt;=pHighCutoff,1,0)</f>
        <v/>
      </c>
      <c r="Y742" s="13">
        <f>IF(M742="Returned",1,0)</f>
        <v/>
      </c>
    </row>
    <row r="743">
      <c r="A743" s="13" t="inlineStr">
        <is>
          <t>HC-100741</t>
        </is>
      </c>
      <c r="B743" s="18" t="n">
        <v>45743</v>
      </c>
      <c r="C743" s="13" t="inlineStr">
        <is>
          <t>West</t>
        </is>
      </c>
      <c r="D743" s="13" t="inlineStr">
        <is>
          <t>Online</t>
        </is>
      </c>
      <c r="E743" s="13" t="inlineStr">
        <is>
          <t>Lighting</t>
        </is>
      </c>
      <c r="F743" s="13" t="inlineStr">
        <is>
          <t>Brass Sconce</t>
        </is>
      </c>
      <c r="G743" s="13" t="inlineStr">
        <is>
          <t>Corporate</t>
        </is>
      </c>
      <c r="H743" s="13" t="n">
        <v>3</v>
      </c>
      <c r="I743" s="14" t="n">
        <v>139.86</v>
      </c>
      <c r="J743" s="15" t="n">
        <v>0.04</v>
      </c>
      <c r="K743" s="14" t="n">
        <v>64.34</v>
      </c>
      <c r="L743" s="13" t="n">
        <v>5</v>
      </c>
      <c r="M743" s="13" t="inlineStr">
        <is>
          <t>Completed</t>
        </is>
      </c>
      <c r="N743" s="13" t="inlineStr">
        <is>
          <t>J. Patel</t>
        </is>
      </c>
      <c r="O743" s="13" t="inlineStr">
        <is>
          <t>No</t>
        </is>
      </c>
      <c r="P743" s="14">
        <f>H743*I743</f>
        <v/>
      </c>
      <c r="Q743" s="14">
        <f>P743*(1-J743)</f>
        <v/>
      </c>
      <c r="R743" s="14">
        <f>H743*K743</f>
        <v/>
      </c>
      <c r="S743" s="15">
        <f>IF(Q743=0,"",(Q743-R743)/Q743)</f>
        <v/>
      </c>
      <c r="T743" s="13">
        <f>YEAR(B743)</f>
        <v/>
      </c>
      <c r="U743" s="13">
        <f>YEAR(B743)&amp;"-Q"&amp;ROUNDUP(MONTH(B743)/3,0)</f>
        <v/>
      </c>
      <c r="V743" s="13">
        <f>TEXT(B743,"YYYY-MM")</f>
        <v/>
      </c>
      <c r="W743" s="13">
        <f>IF(L743="","",IF(L743&gt;pLateDays,1,0))</f>
        <v/>
      </c>
      <c r="X743" s="13">
        <f>IF(Q743&gt;=pHighCutoff,1,0)</f>
        <v/>
      </c>
      <c r="Y743" s="13">
        <f>IF(M743="Returned",1,0)</f>
        <v/>
      </c>
    </row>
    <row r="744">
      <c r="A744" s="13" t="inlineStr">
        <is>
          <t>HC-100742</t>
        </is>
      </c>
      <c r="B744" s="18" t="n">
        <v>45490</v>
      </c>
      <c r="C744" s="13" t="inlineStr">
        <is>
          <t>North</t>
        </is>
      </c>
      <c r="D744" s="13" t="inlineStr">
        <is>
          <t>Store</t>
        </is>
      </c>
      <c r="E744" s="13" t="inlineStr">
        <is>
          <t>Textiles</t>
        </is>
      </c>
      <c r="F744" s="13" t="inlineStr">
        <is>
          <t>Linen Curtain</t>
        </is>
      </c>
      <c r="G744" s="13" t="inlineStr">
        <is>
          <t>Consumer</t>
        </is>
      </c>
      <c r="H744" s="13" t="n">
        <v>2</v>
      </c>
      <c r="I744" s="14" t="n">
        <v>102.5</v>
      </c>
      <c r="J744" s="15" t="n">
        <v>0.04</v>
      </c>
      <c r="K744" s="14" t="n">
        <v>46.13</v>
      </c>
      <c r="L744" s="13" t="n">
        <v>5</v>
      </c>
      <c r="M744" s="13" t="inlineStr">
        <is>
          <t>Completed</t>
        </is>
      </c>
      <c r="N744" s="13" t="inlineStr">
        <is>
          <t>J. Patel</t>
        </is>
      </c>
      <c r="O744" s="13" t="inlineStr">
        <is>
          <t>No</t>
        </is>
      </c>
      <c r="P744" s="14">
        <f>H744*I744</f>
        <v/>
      </c>
      <c r="Q744" s="14">
        <f>P744*(1-J744)</f>
        <v/>
      </c>
      <c r="R744" s="14">
        <f>H744*K744</f>
        <v/>
      </c>
      <c r="S744" s="15">
        <f>IF(Q744=0,"",(Q744-R744)/Q744)</f>
        <v/>
      </c>
      <c r="T744" s="13">
        <f>YEAR(B744)</f>
        <v/>
      </c>
      <c r="U744" s="13">
        <f>YEAR(B744)&amp;"-Q"&amp;ROUNDUP(MONTH(B744)/3,0)</f>
        <v/>
      </c>
      <c r="V744" s="13">
        <f>TEXT(B744,"YYYY-MM")</f>
        <v/>
      </c>
      <c r="W744" s="13">
        <f>IF(L744="","",IF(L744&gt;pLateDays,1,0))</f>
        <v/>
      </c>
      <c r="X744" s="13">
        <f>IF(Q744&gt;=pHighCutoff,1,0)</f>
        <v/>
      </c>
      <c r="Y744" s="13">
        <f>IF(M744="Returned",1,0)</f>
        <v/>
      </c>
    </row>
    <row r="745">
      <c r="A745" s="13" t="inlineStr">
        <is>
          <t>HC-100743</t>
        </is>
      </c>
      <c r="B745" s="18" t="n">
        <v>45904</v>
      </c>
      <c r="C745" s="13" t="inlineStr">
        <is>
          <t>South</t>
        </is>
      </c>
      <c r="D745" s="13" t="inlineStr">
        <is>
          <t>Store</t>
        </is>
      </c>
      <c r="E745" s="13" t="inlineStr">
        <is>
          <t>Textiles</t>
        </is>
      </c>
      <c r="F745" s="13" t="inlineStr">
        <is>
          <t>Cotton Duvet</t>
        </is>
      </c>
      <c r="G745" s="13" t="inlineStr">
        <is>
          <t>Consumer</t>
        </is>
      </c>
      <c r="H745" s="13" t="n">
        <v>1</v>
      </c>
      <c r="I745" s="14" t="n">
        <v>119.82</v>
      </c>
      <c r="J745" s="15" t="n">
        <v>0.03</v>
      </c>
      <c r="K745" s="14" t="n">
        <v>52.72</v>
      </c>
      <c r="L745" s="13" t="n">
        <v>3</v>
      </c>
      <c r="M745" s="13" t="inlineStr">
        <is>
          <t>Completed</t>
        </is>
      </c>
      <c r="N745" s="13" t="inlineStr">
        <is>
          <t>R. Ibarra</t>
        </is>
      </c>
      <c r="O745" s="13" t="inlineStr">
        <is>
          <t>No</t>
        </is>
      </c>
      <c r="P745" s="14">
        <f>H745*I745</f>
        <v/>
      </c>
      <c r="Q745" s="14">
        <f>P745*(1-J745)</f>
        <v/>
      </c>
      <c r="R745" s="14">
        <f>H745*K745</f>
        <v/>
      </c>
      <c r="S745" s="15">
        <f>IF(Q745=0,"",(Q745-R745)/Q745)</f>
        <v/>
      </c>
      <c r="T745" s="13">
        <f>YEAR(B745)</f>
        <v/>
      </c>
      <c r="U745" s="13">
        <f>YEAR(B745)&amp;"-Q"&amp;ROUNDUP(MONTH(B745)/3,0)</f>
        <v/>
      </c>
      <c r="V745" s="13">
        <f>TEXT(B745,"YYYY-MM")</f>
        <v/>
      </c>
      <c r="W745" s="13">
        <f>IF(L745="","",IF(L745&gt;pLateDays,1,0))</f>
        <v/>
      </c>
      <c r="X745" s="13">
        <f>IF(Q745&gt;=pHighCutoff,1,0)</f>
        <v/>
      </c>
      <c r="Y745" s="13">
        <f>IF(M745="Returned",1,0)</f>
        <v/>
      </c>
    </row>
    <row r="746">
      <c r="A746" s="13" t="inlineStr">
        <is>
          <t>HC-100744</t>
        </is>
      </c>
      <c r="B746" s="18" t="n">
        <v>45889</v>
      </c>
      <c r="C746" s="13" t="inlineStr">
        <is>
          <t>East</t>
        </is>
      </c>
      <c r="D746" s="13" t="inlineStr">
        <is>
          <t>Store</t>
        </is>
      </c>
      <c r="E746" s="13" t="inlineStr">
        <is>
          <t>Kitchen</t>
        </is>
      </c>
      <c r="F746" s="13" t="inlineStr">
        <is>
          <t>Cast Skillet</t>
        </is>
      </c>
      <c r="G746" s="13" t="inlineStr">
        <is>
          <t>Consumer</t>
        </is>
      </c>
      <c r="H746" s="13" t="n">
        <v>4</v>
      </c>
      <c r="I746" s="14" t="n">
        <v>51.13</v>
      </c>
      <c r="J746" s="15" t="n">
        <v>0.1</v>
      </c>
      <c r="K746" s="14" t="n">
        <v>20.45</v>
      </c>
      <c r="L746" s="13" t="n"/>
      <c r="M746" s="13" t="inlineStr">
        <is>
          <t>Completed</t>
        </is>
      </c>
      <c r="N746" s="13" t="inlineStr">
        <is>
          <t>P. Rossi</t>
        </is>
      </c>
      <c r="O746" s="13" t="inlineStr">
        <is>
          <t>No</t>
        </is>
      </c>
      <c r="P746" s="14">
        <f>H746*I746</f>
        <v/>
      </c>
      <c r="Q746" s="14">
        <f>P746*(1-J746)</f>
        <v/>
      </c>
      <c r="R746" s="14">
        <f>H746*K746</f>
        <v/>
      </c>
      <c r="S746" s="15">
        <f>IF(Q746=0,"",(Q746-R746)/Q746)</f>
        <v/>
      </c>
      <c r="T746" s="13">
        <f>YEAR(B746)</f>
        <v/>
      </c>
      <c r="U746" s="13">
        <f>YEAR(B746)&amp;"-Q"&amp;ROUNDUP(MONTH(B746)/3,0)</f>
        <v/>
      </c>
      <c r="V746" s="13">
        <f>TEXT(B746,"YYYY-MM")</f>
        <v/>
      </c>
      <c r="W746" s="13">
        <f>IF(L746="","",IF(L746&gt;pLateDays,1,0))</f>
        <v/>
      </c>
      <c r="X746" s="13">
        <f>IF(Q746&gt;=pHighCutoff,1,0)</f>
        <v/>
      </c>
      <c r="Y746" s="13">
        <f>IF(M746="Returned",1,0)</f>
        <v/>
      </c>
    </row>
    <row r="747">
      <c r="A747" s="13" t="inlineStr">
        <is>
          <t>HC-100745</t>
        </is>
      </c>
      <c r="B747" s="18" t="n">
        <v>45794</v>
      </c>
      <c r="C747" s="13" t="inlineStr">
        <is>
          <t>South</t>
        </is>
      </c>
      <c r="D747" s="13" t="inlineStr">
        <is>
          <t>Online</t>
        </is>
      </c>
      <c r="E747" s="13" t="inlineStr">
        <is>
          <t>Lighting</t>
        </is>
      </c>
      <c r="F747" s="13" t="inlineStr">
        <is>
          <t>Arc Lamp</t>
        </is>
      </c>
      <c r="G747" s="13" t="inlineStr">
        <is>
          <t>Unknown</t>
        </is>
      </c>
      <c r="H747" s="13" t="n">
        <v>2</v>
      </c>
      <c r="I747" s="14" t="n">
        <v>328.75</v>
      </c>
      <c r="J747" s="15" t="n">
        <v>0.09</v>
      </c>
      <c r="K747" s="14" t="n">
        <v>157.8</v>
      </c>
      <c r="L747" s="13" t="n">
        <v>4</v>
      </c>
      <c r="M747" s="13" t="inlineStr">
        <is>
          <t>Completed</t>
        </is>
      </c>
      <c r="N747" s="13" t="inlineStr">
        <is>
          <t>S. Nguyen</t>
        </is>
      </c>
      <c r="O747" s="13" t="inlineStr">
        <is>
          <t>No</t>
        </is>
      </c>
      <c r="P747" s="14">
        <f>H747*I747</f>
        <v/>
      </c>
      <c r="Q747" s="14">
        <f>P747*(1-J747)</f>
        <v/>
      </c>
      <c r="R747" s="14">
        <f>H747*K747</f>
        <v/>
      </c>
      <c r="S747" s="15">
        <f>IF(Q747=0,"",(Q747-R747)/Q747)</f>
        <v/>
      </c>
      <c r="T747" s="13">
        <f>YEAR(B747)</f>
        <v/>
      </c>
      <c r="U747" s="13">
        <f>YEAR(B747)&amp;"-Q"&amp;ROUNDUP(MONTH(B747)/3,0)</f>
        <v/>
      </c>
      <c r="V747" s="13">
        <f>TEXT(B747,"YYYY-MM")</f>
        <v/>
      </c>
      <c r="W747" s="13">
        <f>IF(L747="","",IF(L747&gt;pLateDays,1,0))</f>
        <v/>
      </c>
      <c r="X747" s="13">
        <f>IF(Q747&gt;=pHighCutoff,1,0)</f>
        <v/>
      </c>
      <c r="Y747" s="13">
        <f>IF(M747="Returned",1,0)</f>
        <v/>
      </c>
    </row>
    <row r="748">
      <c r="A748" s="13" t="inlineStr">
        <is>
          <t>HC-100746</t>
        </is>
      </c>
      <c r="B748" s="18" t="n">
        <v>45650</v>
      </c>
      <c r="C748" s="13" t="inlineStr">
        <is>
          <t>South</t>
        </is>
      </c>
      <c r="D748" s="13" t="inlineStr">
        <is>
          <t>Store</t>
        </is>
      </c>
      <c r="E748" s="13" t="inlineStr">
        <is>
          <t>Kitchen</t>
        </is>
      </c>
      <c r="F748" s="13" t="inlineStr">
        <is>
          <t>Chef Knife</t>
        </is>
      </c>
      <c r="G748" s="13" t="inlineStr">
        <is>
          <t>Consumer</t>
        </is>
      </c>
      <c r="H748" s="13" t="n">
        <v>2</v>
      </c>
      <c r="I748" s="14" t="n">
        <v>60.84</v>
      </c>
      <c r="J748" s="15" t="n">
        <v>0.04</v>
      </c>
      <c r="K748" s="14" t="n">
        <v>21.9</v>
      </c>
      <c r="L748" s="13" t="n">
        <v>3</v>
      </c>
      <c r="M748" s="13" t="inlineStr">
        <is>
          <t>Cancelled</t>
        </is>
      </c>
      <c r="N748" s="13" t="inlineStr">
        <is>
          <t>L. Berger</t>
        </is>
      </c>
      <c r="O748" s="13" t="inlineStr">
        <is>
          <t>No</t>
        </is>
      </c>
      <c r="P748" s="14">
        <f>H748*I748</f>
        <v/>
      </c>
      <c r="Q748" s="14">
        <f>P748*(1-J748)</f>
        <v/>
      </c>
      <c r="R748" s="14">
        <f>H748*K748</f>
        <v/>
      </c>
      <c r="S748" s="15">
        <f>IF(Q748=0,"",(Q748-R748)/Q748)</f>
        <v/>
      </c>
      <c r="T748" s="13">
        <f>YEAR(B748)</f>
        <v/>
      </c>
      <c r="U748" s="13">
        <f>YEAR(B748)&amp;"-Q"&amp;ROUNDUP(MONTH(B748)/3,0)</f>
        <v/>
      </c>
      <c r="V748" s="13">
        <f>TEXT(B748,"YYYY-MM")</f>
        <v/>
      </c>
      <c r="W748" s="13">
        <f>IF(L748="","",IF(L748&gt;pLateDays,1,0))</f>
        <v/>
      </c>
      <c r="X748" s="13">
        <f>IF(Q748&gt;=pHighCutoff,1,0)</f>
        <v/>
      </c>
      <c r="Y748" s="13">
        <f>IF(M748="Returned",1,0)</f>
        <v/>
      </c>
    </row>
    <row r="749">
      <c r="A749" s="13" t="inlineStr">
        <is>
          <t>HC-100747</t>
        </is>
      </c>
      <c r="B749" s="18" t="n">
        <v>45590</v>
      </c>
      <c r="C749" s="13" t="inlineStr">
        <is>
          <t>West</t>
        </is>
      </c>
      <c r="D749" s="13" t="inlineStr">
        <is>
          <t>Online</t>
        </is>
      </c>
      <c r="E749" s="13" t="inlineStr">
        <is>
          <t>Furniture</t>
        </is>
      </c>
      <c r="F749" s="13" t="inlineStr">
        <is>
          <t>Linen Sofa</t>
        </is>
      </c>
      <c r="G749" s="13" t="inlineStr">
        <is>
          <t>Home Office</t>
        </is>
      </c>
      <c r="H749" s="13" t="n">
        <v>2</v>
      </c>
      <c r="I749" s="14" t="n">
        <v>1229.02</v>
      </c>
      <c r="J749" s="15" t="n">
        <v>0.03</v>
      </c>
      <c r="K749" s="14" t="n">
        <v>811.15</v>
      </c>
      <c r="L749" s="13" t="n">
        <v>8</v>
      </c>
      <c r="M749" s="13" t="inlineStr">
        <is>
          <t>Completed</t>
        </is>
      </c>
      <c r="N749" s="13" t="inlineStr">
        <is>
          <t>K. Mensah</t>
        </is>
      </c>
      <c r="O749" s="13" t="inlineStr">
        <is>
          <t>No</t>
        </is>
      </c>
      <c r="P749" s="14">
        <f>H749*I749</f>
        <v/>
      </c>
      <c r="Q749" s="14">
        <f>P749*(1-J749)</f>
        <v/>
      </c>
      <c r="R749" s="14">
        <f>H749*K749</f>
        <v/>
      </c>
      <c r="S749" s="15">
        <f>IF(Q749=0,"",(Q749-R749)/Q749)</f>
        <v/>
      </c>
      <c r="T749" s="13">
        <f>YEAR(B749)</f>
        <v/>
      </c>
      <c r="U749" s="13">
        <f>YEAR(B749)&amp;"-Q"&amp;ROUNDUP(MONTH(B749)/3,0)</f>
        <v/>
      </c>
      <c r="V749" s="13">
        <f>TEXT(B749,"YYYY-MM")</f>
        <v/>
      </c>
      <c r="W749" s="13">
        <f>IF(L749="","",IF(L749&gt;pLateDays,1,0))</f>
        <v/>
      </c>
      <c r="X749" s="13">
        <f>IF(Q749&gt;=pHighCutoff,1,0)</f>
        <v/>
      </c>
      <c r="Y749" s="13">
        <f>IF(M749="Returned",1,0)</f>
        <v/>
      </c>
    </row>
    <row r="750">
      <c r="A750" s="13" t="inlineStr">
        <is>
          <t>HC-100748</t>
        </is>
      </c>
      <c r="B750" s="18" t="n">
        <v>45811</v>
      </c>
      <c r="C750" s="13" t="inlineStr">
        <is>
          <t>East</t>
        </is>
      </c>
      <c r="D750" s="13" t="inlineStr">
        <is>
          <t>Online</t>
        </is>
      </c>
      <c r="E750" s="13" t="inlineStr">
        <is>
          <t>Kitchen</t>
        </is>
      </c>
      <c r="F750" s="13" t="inlineStr">
        <is>
          <t>Chef Knife</t>
        </is>
      </c>
      <c r="G750" s="13" t="inlineStr">
        <is>
          <t>Consumer</t>
        </is>
      </c>
      <c r="H750" s="13" t="n">
        <v>1</v>
      </c>
      <c r="I750" s="14" t="n">
        <v>53.92</v>
      </c>
      <c r="J750" s="15" t="n">
        <v>0.17</v>
      </c>
      <c r="K750" s="14" t="n">
        <v>19.41</v>
      </c>
      <c r="L750" s="13" t="n">
        <v>8</v>
      </c>
      <c r="M750" s="13" t="inlineStr">
        <is>
          <t>Completed</t>
        </is>
      </c>
      <c r="N750" s="13" t="inlineStr">
        <is>
          <t>S. Nguyen</t>
        </is>
      </c>
      <c r="O750" s="13" t="inlineStr">
        <is>
          <t>No</t>
        </is>
      </c>
      <c r="P750" s="14">
        <f>H750*I750</f>
        <v/>
      </c>
      <c r="Q750" s="14">
        <f>P750*(1-J750)</f>
        <v/>
      </c>
      <c r="R750" s="14">
        <f>H750*K750</f>
        <v/>
      </c>
      <c r="S750" s="15">
        <f>IF(Q750=0,"",(Q750-R750)/Q750)</f>
        <v/>
      </c>
      <c r="T750" s="13">
        <f>YEAR(B750)</f>
        <v/>
      </c>
      <c r="U750" s="13">
        <f>YEAR(B750)&amp;"-Q"&amp;ROUNDUP(MONTH(B750)/3,0)</f>
        <v/>
      </c>
      <c r="V750" s="13">
        <f>TEXT(B750,"YYYY-MM")</f>
        <v/>
      </c>
      <c r="W750" s="13">
        <f>IF(L750="","",IF(L750&gt;pLateDays,1,0))</f>
        <v/>
      </c>
      <c r="X750" s="13">
        <f>IF(Q750&gt;=pHighCutoff,1,0)</f>
        <v/>
      </c>
      <c r="Y750" s="13">
        <f>IF(M750="Returned",1,0)</f>
        <v/>
      </c>
    </row>
    <row r="751">
      <c r="A751" s="13" t="inlineStr">
        <is>
          <t>HC-100749</t>
        </is>
      </c>
      <c r="B751" s="18" t="n">
        <v>45823</v>
      </c>
      <c r="C751" s="13" t="inlineStr">
        <is>
          <t>East</t>
        </is>
      </c>
      <c r="D751" s="13" t="inlineStr">
        <is>
          <t>Store</t>
        </is>
      </c>
      <c r="E751" s="13" t="inlineStr">
        <is>
          <t>Lighting</t>
        </is>
      </c>
      <c r="F751" s="13" t="inlineStr">
        <is>
          <t>Arc Lamp</t>
        </is>
      </c>
      <c r="G751" s="13" t="inlineStr">
        <is>
          <t>Unknown</t>
        </is>
      </c>
      <c r="H751" s="13" t="n">
        <v>2</v>
      </c>
      <c r="I751" s="14" t="n">
        <v>284.97</v>
      </c>
      <c r="J751" s="15" t="n">
        <v>0.11</v>
      </c>
      <c r="K751" s="14" t="n">
        <v>136.79</v>
      </c>
      <c r="L751" s="13" t="n">
        <v>8</v>
      </c>
      <c r="M751" s="13" t="inlineStr">
        <is>
          <t>Completed</t>
        </is>
      </c>
      <c r="N751" s="13" t="inlineStr">
        <is>
          <t>R. Ibarra</t>
        </is>
      </c>
      <c r="O751" s="13" t="inlineStr">
        <is>
          <t>No</t>
        </is>
      </c>
      <c r="P751" s="14">
        <f>H751*I751</f>
        <v/>
      </c>
      <c r="Q751" s="14">
        <f>P751*(1-J751)</f>
        <v/>
      </c>
      <c r="R751" s="14">
        <f>H751*K751</f>
        <v/>
      </c>
      <c r="S751" s="15">
        <f>IF(Q751=0,"",(Q751-R751)/Q751)</f>
        <v/>
      </c>
      <c r="T751" s="13">
        <f>YEAR(B751)</f>
        <v/>
      </c>
      <c r="U751" s="13">
        <f>YEAR(B751)&amp;"-Q"&amp;ROUNDUP(MONTH(B751)/3,0)</f>
        <v/>
      </c>
      <c r="V751" s="13">
        <f>TEXT(B751,"YYYY-MM")</f>
        <v/>
      </c>
      <c r="W751" s="13">
        <f>IF(L751="","",IF(L751&gt;pLateDays,1,0))</f>
        <v/>
      </c>
      <c r="X751" s="13">
        <f>IF(Q751&gt;=pHighCutoff,1,0)</f>
        <v/>
      </c>
      <c r="Y751" s="13">
        <f>IF(M751="Returned",1,0)</f>
        <v/>
      </c>
    </row>
    <row r="752">
      <c r="A752" s="13" t="inlineStr">
        <is>
          <t>HC-100750</t>
        </is>
      </c>
      <c r="B752" s="18" t="n">
        <v>45835</v>
      </c>
      <c r="C752" s="13" t="inlineStr">
        <is>
          <t>East</t>
        </is>
      </c>
      <c r="D752" s="13" t="inlineStr">
        <is>
          <t>Store</t>
        </is>
      </c>
      <c r="E752" s="13" t="inlineStr">
        <is>
          <t>Furniture</t>
        </is>
      </c>
      <c r="F752" s="13" t="inlineStr">
        <is>
          <t>Oak Desk</t>
        </is>
      </c>
      <c r="G752" s="13" t="inlineStr">
        <is>
          <t>Consumer</t>
        </is>
      </c>
      <c r="H752" s="13" t="n">
        <v>3</v>
      </c>
      <c r="I752" s="14" t="n">
        <v>704.95</v>
      </c>
      <c r="J752" s="15" t="n">
        <v>0.06</v>
      </c>
      <c r="K752" s="14" t="n">
        <v>437.07</v>
      </c>
      <c r="L752" s="13" t="n">
        <v>7</v>
      </c>
      <c r="M752" s="13" t="inlineStr">
        <is>
          <t>Returned</t>
        </is>
      </c>
      <c r="N752" s="13" t="inlineStr">
        <is>
          <t>A. Shah</t>
        </is>
      </c>
      <c r="O752" s="13" t="inlineStr">
        <is>
          <t>No</t>
        </is>
      </c>
      <c r="P752" s="14">
        <f>H752*I752</f>
        <v/>
      </c>
      <c r="Q752" s="14">
        <f>P752*(1-J752)</f>
        <v/>
      </c>
      <c r="R752" s="14">
        <f>H752*K752</f>
        <v/>
      </c>
      <c r="S752" s="15">
        <f>IF(Q752=0,"",(Q752-R752)/Q752)</f>
        <v/>
      </c>
      <c r="T752" s="13">
        <f>YEAR(B752)</f>
        <v/>
      </c>
      <c r="U752" s="13">
        <f>YEAR(B752)&amp;"-Q"&amp;ROUNDUP(MONTH(B752)/3,0)</f>
        <v/>
      </c>
      <c r="V752" s="13">
        <f>TEXT(B752,"YYYY-MM")</f>
        <v/>
      </c>
      <c r="W752" s="13">
        <f>IF(L752="","",IF(L752&gt;pLateDays,1,0))</f>
        <v/>
      </c>
      <c r="X752" s="13">
        <f>IF(Q752&gt;=pHighCutoff,1,0)</f>
        <v/>
      </c>
      <c r="Y752" s="13">
        <f>IF(M752="Returned",1,0)</f>
        <v/>
      </c>
    </row>
    <row r="753">
      <c r="A753" s="13" t="inlineStr">
        <is>
          <t>HC-100751</t>
        </is>
      </c>
      <c r="B753" s="18" t="n">
        <v>45489</v>
      </c>
      <c r="C753" s="13" t="inlineStr">
        <is>
          <t>West</t>
        </is>
      </c>
      <c r="D753" s="13" t="inlineStr">
        <is>
          <t>Online</t>
        </is>
      </c>
      <c r="E753" s="13" t="inlineStr">
        <is>
          <t>Furniture</t>
        </is>
      </c>
      <c r="F753" s="13" t="inlineStr">
        <is>
          <t>Oak Desk</t>
        </is>
      </c>
      <c r="G753" s="13" t="inlineStr">
        <is>
          <t>Corporate</t>
        </is>
      </c>
      <c r="H753" s="13" t="n">
        <v>3</v>
      </c>
      <c r="I753" s="14" t="n">
        <v>829.99</v>
      </c>
      <c r="J753" s="15" t="n">
        <v>0.06</v>
      </c>
      <c r="K753" s="14" t="n">
        <v>514.59</v>
      </c>
      <c r="L753" s="13" t="n">
        <v>7</v>
      </c>
      <c r="M753" s="13" t="inlineStr">
        <is>
          <t>Completed</t>
        </is>
      </c>
      <c r="N753" s="13" t="inlineStr">
        <is>
          <t>S. Nguyen</t>
        </is>
      </c>
      <c r="O753" s="13" t="inlineStr">
        <is>
          <t>No</t>
        </is>
      </c>
      <c r="P753" s="14">
        <f>H753*I753</f>
        <v/>
      </c>
      <c r="Q753" s="14">
        <f>P753*(1-J753)</f>
        <v/>
      </c>
      <c r="R753" s="14">
        <f>H753*K753</f>
        <v/>
      </c>
      <c r="S753" s="15">
        <f>IF(Q753=0,"",(Q753-R753)/Q753)</f>
        <v/>
      </c>
      <c r="T753" s="13">
        <f>YEAR(B753)</f>
        <v/>
      </c>
      <c r="U753" s="13">
        <f>YEAR(B753)&amp;"-Q"&amp;ROUNDUP(MONTH(B753)/3,0)</f>
        <v/>
      </c>
      <c r="V753" s="13">
        <f>TEXT(B753,"YYYY-MM")</f>
        <v/>
      </c>
      <c r="W753" s="13">
        <f>IF(L753="","",IF(L753&gt;pLateDays,1,0))</f>
        <v/>
      </c>
      <c r="X753" s="13">
        <f>IF(Q753&gt;=pHighCutoff,1,0)</f>
        <v/>
      </c>
      <c r="Y753" s="13">
        <f>IF(M753="Returned",1,0)</f>
        <v/>
      </c>
    </row>
    <row r="754">
      <c r="A754" s="13" t="inlineStr">
        <is>
          <t>HC-100752</t>
        </is>
      </c>
      <c r="B754" s="18" t="n">
        <v>45661</v>
      </c>
      <c r="C754" s="13" t="inlineStr">
        <is>
          <t>South</t>
        </is>
      </c>
      <c r="D754" s="13" t="inlineStr">
        <is>
          <t>Online</t>
        </is>
      </c>
      <c r="E754" s="13" t="inlineStr">
        <is>
          <t>Textiles</t>
        </is>
      </c>
      <c r="F754" s="13" t="inlineStr">
        <is>
          <t>Linen Curtain</t>
        </is>
      </c>
      <c r="G754" s="13" t="inlineStr">
        <is>
          <t>Consumer</t>
        </is>
      </c>
      <c r="H754" s="13" t="n">
        <v>2</v>
      </c>
      <c r="I754" s="14" t="n">
        <v>96.92</v>
      </c>
      <c r="J754" s="15" t="n">
        <v>0.11</v>
      </c>
      <c r="K754" s="14" t="n">
        <v>43.62</v>
      </c>
      <c r="L754" s="13" t="n">
        <v>6</v>
      </c>
      <c r="M754" s="13" t="inlineStr">
        <is>
          <t>Completed</t>
        </is>
      </c>
      <c r="N754" s="13" t="inlineStr">
        <is>
          <t>K. Mensah</t>
        </is>
      </c>
      <c r="O754" s="13" t="inlineStr">
        <is>
          <t>No</t>
        </is>
      </c>
      <c r="P754" s="14">
        <f>H754*I754</f>
        <v/>
      </c>
      <c r="Q754" s="14">
        <f>P754*(1-J754)</f>
        <v/>
      </c>
      <c r="R754" s="14">
        <f>H754*K754</f>
        <v/>
      </c>
      <c r="S754" s="15">
        <f>IF(Q754=0,"",(Q754-R754)/Q754)</f>
        <v/>
      </c>
      <c r="T754" s="13">
        <f>YEAR(B754)</f>
        <v/>
      </c>
      <c r="U754" s="13">
        <f>YEAR(B754)&amp;"-Q"&amp;ROUNDUP(MONTH(B754)/3,0)</f>
        <v/>
      </c>
      <c r="V754" s="13">
        <f>TEXT(B754,"YYYY-MM")</f>
        <v/>
      </c>
      <c r="W754" s="13">
        <f>IF(L754="","",IF(L754&gt;pLateDays,1,0))</f>
        <v/>
      </c>
      <c r="X754" s="13">
        <f>IF(Q754&gt;=pHighCutoff,1,0)</f>
        <v/>
      </c>
      <c r="Y754" s="13">
        <f>IF(M754="Returned",1,0)</f>
        <v/>
      </c>
    </row>
    <row r="755">
      <c r="A755" s="13" t="inlineStr">
        <is>
          <t>HC-100753</t>
        </is>
      </c>
      <c r="B755" s="18" t="n">
        <v>45911</v>
      </c>
      <c r="C755" s="13" t="inlineStr">
        <is>
          <t>East</t>
        </is>
      </c>
      <c r="D755" s="13" t="inlineStr">
        <is>
          <t>Online</t>
        </is>
      </c>
      <c r="E755" s="13" t="inlineStr">
        <is>
          <t>Textiles</t>
        </is>
      </c>
      <c r="F755" s="13" t="inlineStr">
        <is>
          <t>Wool Throw</t>
        </is>
      </c>
      <c r="G755" s="13" t="inlineStr">
        <is>
          <t>Consumer</t>
        </is>
      </c>
      <c r="H755" s="13" t="n">
        <v>2</v>
      </c>
      <c r="I755" s="14" t="n">
        <v>70.19</v>
      </c>
      <c r="J755" s="15" t="n">
        <v>0.07000000000000001</v>
      </c>
      <c r="K755" s="14" t="n">
        <v>29.48</v>
      </c>
      <c r="L755" s="13" t="n">
        <v>8</v>
      </c>
      <c r="M755" s="13" t="inlineStr">
        <is>
          <t>Completed</t>
        </is>
      </c>
      <c r="N755" s="13" t="inlineStr">
        <is>
          <t>J. Patel</t>
        </is>
      </c>
      <c r="O755" s="13" t="inlineStr">
        <is>
          <t>No</t>
        </is>
      </c>
      <c r="P755" s="14">
        <f>H755*I755</f>
        <v/>
      </c>
      <c r="Q755" s="14">
        <f>P755*(1-J755)</f>
        <v/>
      </c>
      <c r="R755" s="14">
        <f>H755*K755</f>
        <v/>
      </c>
      <c r="S755" s="15">
        <f>IF(Q755=0,"",(Q755-R755)/Q755)</f>
        <v/>
      </c>
      <c r="T755" s="13">
        <f>YEAR(B755)</f>
        <v/>
      </c>
      <c r="U755" s="13">
        <f>YEAR(B755)&amp;"-Q"&amp;ROUNDUP(MONTH(B755)/3,0)</f>
        <v/>
      </c>
      <c r="V755" s="13">
        <f>TEXT(B755,"YYYY-MM")</f>
        <v/>
      </c>
      <c r="W755" s="13">
        <f>IF(L755="","",IF(L755&gt;pLateDays,1,0))</f>
        <v/>
      </c>
      <c r="X755" s="13">
        <f>IF(Q755&gt;=pHighCutoff,1,0)</f>
        <v/>
      </c>
      <c r="Y755" s="13">
        <f>IF(M755="Returned",1,0)</f>
        <v/>
      </c>
    </row>
    <row r="756">
      <c r="A756" s="13" t="inlineStr">
        <is>
          <t>HC-100754</t>
        </is>
      </c>
      <c r="B756" s="18" t="n">
        <v>45445</v>
      </c>
      <c r="C756" s="13" t="inlineStr">
        <is>
          <t>North</t>
        </is>
      </c>
      <c r="D756" s="13" t="inlineStr">
        <is>
          <t>Store</t>
        </is>
      </c>
      <c r="E756" s="13" t="inlineStr">
        <is>
          <t>Textiles</t>
        </is>
      </c>
      <c r="F756" s="13" t="inlineStr">
        <is>
          <t>Cotton Duvet</t>
        </is>
      </c>
      <c r="G756" s="13" t="inlineStr">
        <is>
          <t>Corporate</t>
        </is>
      </c>
      <c r="H756" s="13" t="n">
        <v>3</v>
      </c>
      <c r="I756" s="14" t="n">
        <v>113.88</v>
      </c>
      <c r="J756" s="15" t="n">
        <v>0.12</v>
      </c>
      <c r="K756" s="14" t="n">
        <v>50.11</v>
      </c>
      <c r="L756" s="13" t="n">
        <v>9</v>
      </c>
      <c r="M756" s="13" t="inlineStr">
        <is>
          <t>Completed</t>
        </is>
      </c>
      <c r="N756" s="13" t="inlineStr">
        <is>
          <t>P. Rossi</t>
        </is>
      </c>
      <c r="O756" s="13" t="inlineStr">
        <is>
          <t>No</t>
        </is>
      </c>
      <c r="P756" s="14">
        <f>H756*I756</f>
        <v/>
      </c>
      <c r="Q756" s="14">
        <f>P756*(1-J756)</f>
        <v/>
      </c>
      <c r="R756" s="14">
        <f>H756*K756</f>
        <v/>
      </c>
      <c r="S756" s="15">
        <f>IF(Q756=0,"",(Q756-R756)/Q756)</f>
        <v/>
      </c>
      <c r="T756" s="13">
        <f>YEAR(B756)</f>
        <v/>
      </c>
      <c r="U756" s="13">
        <f>YEAR(B756)&amp;"-Q"&amp;ROUNDUP(MONTH(B756)/3,0)</f>
        <v/>
      </c>
      <c r="V756" s="13">
        <f>TEXT(B756,"YYYY-MM")</f>
        <v/>
      </c>
      <c r="W756" s="13">
        <f>IF(L756="","",IF(L756&gt;pLateDays,1,0))</f>
        <v/>
      </c>
      <c r="X756" s="13">
        <f>IF(Q756&gt;=pHighCutoff,1,0)</f>
        <v/>
      </c>
      <c r="Y756" s="13">
        <f>IF(M756="Returned",1,0)</f>
        <v/>
      </c>
    </row>
    <row r="757">
      <c r="A757" s="13" t="inlineStr">
        <is>
          <t>HC-100755</t>
        </is>
      </c>
      <c r="B757" s="18" t="n">
        <v>45491</v>
      </c>
      <c r="C757" s="13" t="inlineStr">
        <is>
          <t>North</t>
        </is>
      </c>
      <c r="D757" s="13" t="inlineStr">
        <is>
          <t>Store</t>
        </is>
      </c>
      <c r="E757" s="13" t="inlineStr">
        <is>
          <t>Lighting</t>
        </is>
      </c>
      <c r="F757" s="13" t="inlineStr">
        <is>
          <t>Brass Sconce</t>
        </is>
      </c>
      <c r="G757" s="13" t="inlineStr">
        <is>
          <t>Corporate</t>
        </is>
      </c>
      <c r="H757" s="13" t="n">
        <v>1</v>
      </c>
      <c r="I757" s="14" t="n">
        <v>139.8</v>
      </c>
      <c r="J757" s="15" t="n">
        <v>0.12</v>
      </c>
      <c r="K757" s="14" t="n">
        <v>64.31</v>
      </c>
      <c r="L757" s="13" t="n">
        <v>5</v>
      </c>
      <c r="M757" s="13" t="inlineStr">
        <is>
          <t>Completed</t>
        </is>
      </c>
      <c r="N757" s="13" t="inlineStr">
        <is>
          <t>A. Shah</t>
        </is>
      </c>
      <c r="O757" s="13" t="inlineStr">
        <is>
          <t>No</t>
        </is>
      </c>
      <c r="P757" s="14">
        <f>H757*I757</f>
        <v/>
      </c>
      <c r="Q757" s="14">
        <f>P757*(1-J757)</f>
        <v/>
      </c>
      <c r="R757" s="14">
        <f>H757*K757</f>
        <v/>
      </c>
      <c r="S757" s="15">
        <f>IF(Q757=0,"",(Q757-R757)/Q757)</f>
        <v/>
      </c>
      <c r="T757" s="13">
        <f>YEAR(B757)</f>
        <v/>
      </c>
      <c r="U757" s="13">
        <f>YEAR(B757)&amp;"-Q"&amp;ROUNDUP(MONTH(B757)/3,0)</f>
        <v/>
      </c>
      <c r="V757" s="13">
        <f>TEXT(B757,"YYYY-MM")</f>
        <v/>
      </c>
      <c r="W757" s="13">
        <f>IF(L757="","",IF(L757&gt;pLateDays,1,0))</f>
        <v/>
      </c>
      <c r="X757" s="13">
        <f>IF(Q757&gt;=pHighCutoff,1,0)</f>
        <v/>
      </c>
      <c r="Y757" s="13">
        <f>IF(M757="Returned",1,0)</f>
        <v/>
      </c>
    </row>
    <row r="758">
      <c r="A758" s="13" t="inlineStr">
        <is>
          <t>HC-100756</t>
        </is>
      </c>
      <c r="B758" s="18" t="n">
        <v>45910</v>
      </c>
      <c r="C758" s="13" t="inlineStr">
        <is>
          <t>West</t>
        </is>
      </c>
      <c r="D758" s="13" t="inlineStr">
        <is>
          <t>Online</t>
        </is>
      </c>
      <c r="E758" s="13" t="inlineStr">
        <is>
          <t>Lighting</t>
        </is>
      </c>
      <c r="F758" s="13" t="inlineStr">
        <is>
          <t>Brass Sconce</t>
        </is>
      </c>
      <c r="G758" s="13" t="inlineStr">
        <is>
          <t>Home Office</t>
        </is>
      </c>
      <c r="H758" s="13" t="n">
        <v>3</v>
      </c>
      <c r="I758" s="14" t="n">
        <v>142.14</v>
      </c>
      <c r="J758" s="15" t="n">
        <v>0.05</v>
      </c>
      <c r="K758" s="14" t="n">
        <v>65.38</v>
      </c>
      <c r="L758" s="13" t="n">
        <v>3</v>
      </c>
      <c r="M758" s="13" t="inlineStr">
        <is>
          <t>Completed</t>
        </is>
      </c>
      <c r="N758" s="13" t="inlineStr">
        <is>
          <t>S. Nguyen</t>
        </is>
      </c>
      <c r="O758" s="13" t="inlineStr">
        <is>
          <t>No</t>
        </is>
      </c>
      <c r="P758" s="14">
        <f>H758*I758</f>
        <v/>
      </c>
      <c r="Q758" s="14">
        <f>P758*(1-J758)</f>
        <v/>
      </c>
      <c r="R758" s="14">
        <f>H758*K758</f>
        <v/>
      </c>
      <c r="S758" s="15">
        <f>IF(Q758=0,"",(Q758-R758)/Q758)</f>
        <v/>
      </c>
      <c r="T758" s="13">
        <f>YEAR(B758)</f>
        <v/>
      </c>
      <c r="U758" s="13">
        <f>YEAR(B758)&amp;"-Q"&amp;ROUNDUP(MONTH(B758)/3,0)</f>
        <v/>
      </c>
      <c r="V758" s="13">
        <f>TEXT(B758,"YYYY-MM")</f>
        <v/>
      </c>
      <c r="W758" s="13">
        <f>IF(L758="","",IF(L758&gt;pLateDays,1,0))</f>
        <v/>
      </c>
      <c r="X758" s="13">
        <f>IF(Q758&gt;=pHighCutoff,1,0)</f>
        <v/>
      </c>
      <c r="Y758" s="13">
        <f>IF(M758="Returned",1,0)</f>
        <v/>
      </c>
    </row>
    <row r="759">
      <c r="A759" s="13" t="inlineStr">
        <is>
          <t>HC-100757</t>
        </is>
      </c>
      <c r="B759" s="18" t="n">
        <v>45514</v>
      </c>
      <c r="C759" s="13" t="inlineStr">
        <is>
          <t>North</t>
        </is>
      </c>
      <c r="D759" s="13" t="inlineStr">
        <is>
          <t>Store</t>
        </is>
      </c>
      <c r="E759" s="13" t="inlineStr">
        <is>
          <t>Textiles</t>
        </is>
      </c>
      <c r="F759" s="13" t="inlineStr">
        <is>
          <t>Wool Throw</t>
        </is>
      </c>
      <c r="G759" s="13" t="inlineStr">
        <is>
          <t>Consumer</t>
        </is>
      </c>
      <c r="H759" s="13" t="n">
        <v>2</v>
      </c>
      <c r="I759" s="14" t="n">
        <v>78.08</v>
      </c>
      <c r="J759" s="15" t="n">
        <v>0.1</v>
      </c>
      <c r="K759" s="14" t="n">
        <v>32.79</v>
      </c>
      <c r="L759" s="13" t="n">
        <v>5</v>
      </c>
      <c r="M759" s="13" t="inlineStr">
        <is>
          <t>Completed</t>
        </is>
      </c>
      <c r="N759" s="13" t="inlineStr">
        <is>
          <t>P. Rossi</t>
        </is>
      </c>
      <c r="O759" s="13" t="inlineStr">
        <is>
          <t>No</t>
        </is>
      </c>
      <c r="P759" s="14">
        <f>H759*I759</f>
        <v/>
      </c>
      <c r="Q759" s="14">
        <f>P759*(1-J759)</f>
        <v/>
      </c>
      <c r="R759" s="14">
        <f>H759*K759</f>
        <v/>
      </c>
      <c r="S759" s="15">
        <f>IF(Q759=0,"",(Q759-R759)/Q759)</f>
        <v/>
      </c>
      <c r="T759" s="13">
        <f>YEAR(B759)</f>
        <v/>
      </c>
      <c r="U759" s="13">
        <f>YEAR(B759)&amp;"-Q"&amp;ROUNDUP(MONTH(B759)/3,0)</f>
        <v/>
      </c>
      <c r="V759" s="13">
        <f>TEXT(B759,"YYYY-MM")</f>
        <v/>
      </c>
      <c r="W759" s="13">
        <f>IF(L759="","",IF(L759&gt;pLateDays,1,0))</f>
        <v/>
      </c>
      <c r="X759" s="13">
        <f>IF(Q759&gt;=pHighCutoff,1,0)</f>
        <v/>
      </c>
      <c r="Y759" s="13">
        <f>IF(M759="Returned",1,0)</f>
        <v/>
      </c>
    </row>
    <row r="760">
      <c r="A760" s="13" t="inlineStr">
        <is>
          <t>HC-100758</t>
        </is>
      </c>
      <c r="B760" s="18" t="n">
        <v>45576</v>
      </c>
      <c r="C760" s="13" t="inlineStr">
        <is>
          <t>East</t>
        </is>
      </c>
      <c r="D760" s="13" t="inlineStr">
        <is>
          <t>Online</t>
        </is>
      </c>
      <c r="E760" s="13" t="inlineStr">
        <is>
          <t>Furniture</t>
        </is>
      </c>
      <c r="F760" s="13" t="inlineStr">
        <is>
          <t>Lounge Chair</t>
        </is>
      </c>
      <c r="G760" s="13" t="inlineStr">
        <is>
          <t>Home Office</t>
        </is>
      </c>
      <c r="H760" s="13" t="n">
        <v>1</v>
      </c>
      <c r="I760" s="14" t="n">
        <v>415.03</v>
      </c>
      <c r="J760" s="15" t="n">
        <v>0.12</v>
      </c>
      <c r="K760" s="14" t="n">
        <v>249.02</v>
      </c>
      <c r="L760" s="13" t="n">
        <v>10</v>
      </c>
      <c r="M760" s="13" t="inlineStr">
        <is>
          <t>Completed</t>
        </is>
      </c>
      <c r="N760" s="13" t="inlineStr">
        <is>
          <t>L. Berger</t>
        </is>
      </c>
      <c r="O760" s="13" t="inlineStr">
        <is>
          <t>No</t>
        </is>
      </c>
      <c r="P760" s="14">
        <f>H760*I760</f>
        <v/>
      </c>
      <c r="Q760" s="14">
        <f>P760*(1-J760)</f>
        <v/>
      </c>
      <c r="R760" s="14">
        <f>H760*K760</f>
        <v/>
      </c>
      <c r="S760" s="15">
        <f>IF(Q760=0,"",(Q760-R760)/Q760)</f>
        <v/>
      </c>
      <c r="T760" s="13">
        <f>YEAR(B760)</f>
        <v/>
      </c>
      <c r="U760" s="13">
        <f>YEAR(B760)&amp;"-Q"&amp;ROUNDUP(MONTH(B760)/3,0)</f>
        <v/>
      </c>
      <c r="V760" s="13">
        <f>TEXT(B760,"YYYY-MM")</f>
        <v/>
      </c>
      <c r="W760" s="13">
        <f>IF(L760="","",IF(L760&gt;pLateDays,1,0))</f>
        <v/>
      </c>
      <c r="X760" s="13">
        <f>IF(Q760&gt;=pHighCutoff,1,0)</f>
        <v/>
      </c>
      <c r="Y760" s="13">
        <f>IF(M760="Returned",1,0)</f>
        <v/>
      </c>
    </row>
    <row r="761">
      <c r="A761" s="13" t="inlineStr">
        <is>
          <t>HC-100759</t>
        </is>
      </c>
      <c r="B761" s="18" t="n">
        <v>45494</v>
      </c>
      <c r="C761" s="13" t="inlineStr">
        <is>
          <t>North</t>
        </is>
      </c>
      <c r="D761" s="13" t="inlineStr">
        <is>
          <t>Store</t>
        </is>
      </c>
      <c r="E761" s="13" t="inlineStr">
        <is>
          <t>Textiles</t>
        </is>
      </c>
      <c r="F761" s="13" t="inlineStr">
        <is>
          <t>Linen Curtain</t>
        </is>
      </c>
      <c r="G761" s="13" t="inlineStr">
        <is>
          <t>Consumer</t>
        </is>
      </c>
      <c r="H761" s="13" t="n">
        <v>4</v>
      </c>
      <c r="I761" s="14" t="n">
        <v>91.97</v>
      </c>
      <c r="J761" s="15" t="n">
        <v>0.11</v>
      </c>
      <c r="K761" s="14" t="n">
        <v>41.39</v>
      </c>
      <c r="L761" s="13" t="n">
        <v>4</v>
      </c>
      <c r="M761" s="13" t="inlineStr">
        <is>
          <t>Completed</t>
        </is>
      </c>
      <c r="N761" s="13" t="inlineStr">
        <is>
          <t>K. Mensah</t>
        </is>
      </c>
      <c r="O761" s="13" t="inlineStr">
        <is>
          <t>No</t>
        </is>
      </c>
      <c r="P761" s="14">
        <f>H761*I761</f>
        <v/>
      </c>
      <c r="Q761" s="14">
        <f>P761*(1-J761)</f>
        <v/>
      </c>
      <c r="R761" s="14">
        <f>H761*K761</f>
        <v/>
      </c>
      <c r="S761" s="15">
        <f>IF(Q761=0,"",(Q761-R761)/Q761)</f>
        <v/>
      </c>
      <c r="T761" s="13">
        <f>YEAR(B761)</f>
        <v/>
      </c>
      <c r="U761" s="13">
        <f>YEAR(B761)&amp;"-Q"&amp;ROUNDUP(MONTH(B761)/3,0)</f>
        <v/>
      </c>
      <c r="V761" s="13">
        <f>TEXT(B761,"YYYY-MM")</f>
        <v/>
      </c>
      <c r="W761" s="13">
        <f>IF(L761="","",IF(L761&gt;pLateDays,1,0))</f>
        <v/>
      </c>
      <c r="X761" s="13">
        <f>IF(Q761&gt;=pHighCutoff,1,0)</f>
        <v/>
      </c>
      <c r="Y761" s="13">
        <f>IF(M761="Returned",1,0)</f>
        <v/>
      </c>
    </row>
    <row r="762">
      <c r="A762" s="13" t="inlineStr">
        <is>
          <t>HC-100760</t>
        </is>
      </c>
      <c r="B762" s="18" t="n">
        <v>45456</v>
      </c>
      <c r="C762" s="13" t="inlineStr">
        <is>
          <t>West</t>
        </is>
      </c>
      <c r="D762" s="13" t="inlineStr">
        <is>
          <t>Online</t>
        </is>
      </c>
      <c r="E762" s="13" t="inlineStr">
        <is>
          <t>Furniture</t>
        </is>
      </c>
      <c r="F762" s="13" t="inlineStr">
        <is>
          <t>Lounge Chair</t>
        </is>
      </c>
      <c r="G762" s="13" t="inlineStr">
        <is>
          <t>Consumer</t>
        </is>
      </c>
      <c r="H762" s="13" t="n">
        <v>1</v>
      </c>
      <c r="I762" s="14" t="n">
        <v>460.63</v>
      </c>
      <c r="J762" s="15" t="n">
        <v>0.05</v>
      </c>
      <c r="K762" s="14" t="n">
        <v>276.38</v>
      </c>
      <c r="L762" s="13" t="n">
        <v>7</v>
      </c>
      <c r="M762" s="13" t="inlineStr">
        <is>
          <t>Completed</t>
        </is>
      </c>
      <c r="N762" s="13" t="inlineStr">
        <is>
          <t>J. Patel</t>
        </is>
      </c>
      <c r="O762" s="13" t="inlineStr">
        <is>
          <t>No</t>
        </is>
      </c>
      <c r="P762" s="14">
        <f>H762*I762</f>
        <v/>
      </c>
      <c r="Q762" s="14">
        <f>P762*(1-J762)</f>
        <v/>
      </c>
      <c r="R762" s="14">
        <f>H762*K762</f>
        <v/>
      </c>
      <c r="S762" s="15">
        <f>IF(Q762=0,"",(Q762-R762)/Q762)</f>
        <v/>
      </c>
      <c r="T762" s="13">
        <f>YEAR(B762)</f>
        <v/>
      </c>
      <c r="U762" s="13">
        <f>YEAR(B762)&amp;"-Q"&amp;ROUNDUP(MONTH(B762)/3,0)</f>
        <v/>
      </c>
      <c r="V762" s="13">
        <f>TEXT(B762,"YYYY-MM")</f>
        <v/>
      </c>
      <c r="W762" s="13">
        <f>IF(L762="","",IF(L762&gt;pLateDays,1,0))</f>
        <v/>
      </c>
      <c r="X762" s="13">
        <f>IF(Q762&gt;=pHighCutoff,1,0)</f>
        <v/>
      </c>
      <c r="Y762" s="13">
        <f>IF(M762="Returned",1,0)</f>
        <v/>
      </c>
    </row>
    <row r="763">
      <c r="A763" s="13" t="inlineStr">
        <is>
          <t>HC-100761</t>
        </is>
      </c>
      <c r="B763" s="18" t="n">
        <v>45394</v>
      </c>
      <c r="C763" s="13" t="inlineStr">
        <is>
          <t>North</t>
        </is>
      </c>
      <c r="D763" s="13" t="inlineStr">
        <is>
          <t>Store</t>
        </is>
      </c>
      <c r="E763" s="13" t="inlineStr">
        <is>
          <t>Textiles</t>
        </is>
      </c>
      <c r="F763" s="13" t="inlineStr">
        <is>
          <t>Linen Curtain</t>
        </is>
      </c>
      <c r="G763" s="13" t="inlineStr">
        <is>
          <t>Consumer</t>
        </is>
      </c>
      <c r="H763" s="13" t="n">
        <v>4</v>
      </c>
      <c r="I763" s="14" t="n">
        <v>101.59</v>
      </c>
      <c r="J763" s="15" t="n">
        <v>0.03</v>
      </c>
      <c r="K763" s="14" t="n">
        <v>45.72</v>
      </c>
      <c r="L763" s="13" t="n">
        <v>8</v>
      </c>
      <c r="M763" s="13" t="inlineStr">
        <is>
          <t>Completed</t>
        </is>
      </c>
      <c r="N763" s="13" t="inlineStr">
        <is>
          <t>L. Berger</t>
        </is>
      </c>
      <c r="O763" s="13" t="inlineStr">
        <is>
          <t>No</t>
        </is>
      </c>
      <c r="P763" s="14">
        <f>H763*I763</f>
        <v/>
      </c>
      <c r="Q763" s="14">
        <f>P763*(1-J763)</f>
        <v/>
      </c>
      <c r="R763" s="14">
        <f>H763*K763</f>
        <v/>
      </c>
      <c r="S763" s="15">
        <f>IF(Q763=0,"",(Q763-R763)/Q763)</f>
        <v/>
      </c>
      <c r="T763" s="13">
        <f>YEAR(B763)</f>
        <v/>
      </c>
      <c r="U763" s="13">
        <f>YEAR(B763)&amp;"-Q"&amp;ROUNDUP(MONTH(B763)/3,0)</f>
        <v/>
      </c>
      <c r="V763" s="13">
        <f>TEXT(B763,"YYYY-MM")</f>
        <v/>
      </c>
      <c r="W763" s="13">
        <f>IF(L763="","",IF(L763&gt;pLateDays,1,0))</f>
        <v/>
      </c>
      <c r="X763" s="13">
        <f>IF(Q763&gt;=pHighCutoff,1,0)</f>
        <v/>
      </c>
      <c r="Y763" s="13">
        <f>IF(M763="Returned",1,0)</f>
        <v/>
      </c>
    </row>
    <row r="764">
      <c r="A764" s="13" t="inlineStr">
        <is>
          <t>HC-100762</t>
        </is>
      </c>
      <c r="B764" s="18" t="n">
        <v>45294</v>
      </c>
      <c r="C764" s="13" t="inlineStr">
        <is>
          <t>North</t>
        </is>
      </c>
      <c r="D764" s="13" t="inlineStr">
        <is>
          <t>Online</t>
        </is>
      </c>
      <c r="E764" s="13" t="inlineStr">
        <is>
          <t>Kitchen</t>
        </is>
      </c>
      <c r="F764" s="13" t="inlineStr">
        <is>
          <t>Cast Skillet</t>
        </is>
      </c>
      <c r="G764" s="13" t="inlineStr">
        <is>
          <t>Corporate</t>
        </is>
      </c>
      <c r="H764" s="13" t="n">
        <v>3</v>
      </c>
      <c r="I764" s="14" t="n">
        <v>52.06</v>
      </c>
      <c r="J764" s="15" t="n">
        <v>0.05</v>
      </c>
      <c r="K764" s="14" t="n">
        <v>20.82</v>
      </c>
      <c r="L764" s="13" t="n">
        <v>2</v>
      </c>
      <c r="M764" s="13" t="inlineStr">
        <is>
          <t>Completed</t>
        </is>
      </c>
      <c r="N764" s="13" t="inlineStr">
        <is>
          <t>S. Nguyen</t>
        </is>
      </c>
      <c r="O764" s="13" t="inlineStr">
        <is>
          <t>No</t>
        </is>
      </c>
      <c r="P764" s="14">
        <f>H764*I764</f>
        <v/>
      </c>
      <c r="Q764" s="14">
        <f>P764*(1-J764)</f>
        <v/>
      </c>
      <c r="R764" s="14">
        <f>H764*K764</f>
        <v/>
      </c>
      <c r="S764" s="15">
        <f>IF(Q764=0,"",(Q764-R764)/Q764)</f>
        <v/>
      </c>
      <c r="T764" s="13">
        <f>YEAR(B764)</f>
        <v/>
      </c>
      <c r="U764" s="13">
        <f>YEAR(B764)&amp;"-Q"&amp;ROUNDUP(MONTH(B764)/3,0)</f>
        <v/>
      </c>
      <c r="V764" s="13">
        <f>TEXT(B764,"YYYY-MM")</f>
        <v/>
      </c>
      <c r="W764" s="13">
        <f>IF(L764="","",IF(L764&gt;pLateDays,1,0))</f>
        <v/>
      </c>
      <c r="X764" s="13">
        <f>IF(Q764&gt;=pHighCutoff,1,0)</f>
        <v/>
      </c>
      <c r="Y764" s="13">
        <f>IF(M764="Returned",1,0)</f>
        <v/>
      </c>
    </row>
    <row r="765">
      <c r="A765" s="13" t="inlineStr">
        <is>
          <t>HC-100763</t>
        </is>
      </c>
      <c r="B765" s="18" t="n">
        <v>45641</v>
      </c>
      <c r="C765" s="13" t="inlineStr">
        <is>
          <t>West</t>
        </is>
      </c>
      <c r="D765" s="13" t="inlineStr">
        <is>
          <t>Store</t>
        </is>
      </c>
      <c r="E765" s="13" t="inlineStr">
        <is>
          <t>Textiles</t>
        </is>
      </c>
      <c r="F765" s="13" t="inlineStr">
        <is>
          <t>Cotton Duvet</t>
        </is>
      </c>
      <c r="G765" s="13" t="inlineStr">
        <is>
          <t>Corporate</t>
        </is>
      </c>
      <c r="H765" s="13" t="n">
        <v>2</v>
      </c>
      <c r="I765" s="14" t="n">
        <v>120.05</v>
      </c>
      <c r="J765" s="15" t="n">
        <v>0.09</v>
      </c>
      <c r="K765" s="14" t="n">
        <v>52.82</v>
      </c>
      <c r="L765" s="13" t="n">
        <v>6</v>
      </c>
      <c r="M765" s="13" t="inlineStr">
        <is>
          <t>Completed</t>
        </is>
      </c>
      <c r="N765" s="13" t="inlineStr">
        <is>
          <t>K. Mensah</t>
        </is>
      </c>
      <c r="O765" s="13" t="inlineStr">
        <is>
          <t>No</t>
        </is>
      </c>
      <c r="P765" s="14">
        <f>H765*I765</f>
        <v/>
      </c>
      <c r="Q765" s="14">
        <f>P765*(1-J765)</f>
        <v/>
      </c>
      <c r="R765" s="14">
        <f>H765*K765</f>
        <v/>
      </c>
      <c r="S765" s="15">
        <f>IF(Q765=0,"",(Q765-R765)/Q765)</f>
        <v/>
      </c>
      <c r="T765" s="13">
        <f>YEAR(B765)</f>
        <v/>
      </c>
      <c r="U765" s="13">
        <f>YEAR(B765)&amp;"-Q"&amp;ROUNDUP(MONTH(B765)/3,0)</f>
        <v/>
      </c>
      <c r="V765" s="13">
        <f>TEXT(B765,"YYYY-MM")</f>
        <v/>
      </c>
      <c r="W765" s="13">
        <f>IF(L765="","",IF(L765&gt;pLateDays,1,0))</f>
        <v/>
      </c>
      <c r="X765" s="13">
        <f>IF(Q765&gt;=pHighCutoff,1,0)</f>
        <v/>
      </c>
      <c r="Y765" s="13">
        <f>IF(M765="Returned",1,0)</f>
        <v/>
      </c>
    </row>
    <row r="766">
      <c r="A766" s="13" t="inlineStr">
        <is>
          <t>HC-100764</t>
        </is>
      </c>
      <c r="B766" s="18" t="n">
        <v>45920</v>
      </c>
      <c r="C766" s="13" t="inlineStr">
        <is>
          <t>West</t>
        </is>
      </c>
      <c r="D766" s="13" t="inlineStr">
        <is>
          <t>Store</t>
        </is>
      </c>
      <c r="E766" s="13" t="inlineStr">
        <is>
          <t>Kitchen</t>
        </is>
      </c>
      <c r="F766" s="13" t="inlineStr">
        <is>
          <t>Cast Skillet</t>
        </is>
      </c>
      <c r="G766" s="13" t="inlineStr">
        <is>
          <t>Consumer</t>
        </is>
      </c>
      <c r="H766" s="13" t="n">
        <v>1</v>
      </c>
      <c r="I766" s="14" t="n">
        <v>51.26</v>
      </c>
      <c r="J766" s="15" t="n">
        <v>0.1</v>
      </c>
      <c r="K766" s="14" t="n">
        <v>20.51</v>
      </c>
      <c r="L766" s="13" t="n">
        <v>9</v>
      </c>
      <c r="M766" s="13" t="inlineStr">
        <is>
          <t>Completed</t>
        </is>
      </c>
      <c r="N766" s="13" t="inlineStr">
        <is>
          <t>L. Berger</t>
        </is>
      </c>
      <c r="O766" s="13" t="inlineStr">
        <is>
          <t>No</t>
        </is>
      </c>
      <c r="P766" s="14">
        <f>H766*I766</f>
        <v/>
      </c>
      <c r="Q766" s="14">
        <f>P766*(1-J766)</f>
        <v/>
      </c>
      <c r="R766" s="14">
        <f>H766*K766</f>
        <v/>
      </c>
      <c r="S766" s="15">
        <f>IF(Q766=0,"",(Q766-R766)/Q766)</f>
        <v/>
      </c>
      <c r="T766" s="13">
        <f>YEAR(B766)</f>
        <v/>
      </c>
      <c r="U766" s="13">
        <f>YEAR(B766)&amp;"-Q"&amp;ROUNDUP(MONTH(B766)/3,0)</f>
        <v/>
      </c>
      <c r="V766" s="13">
        <f>TEXT(B766,"YYYY-MM")</f>
        <v/>
      </c>
      <c r="W766" s="13">
        <f>IF(L766="","",IF(L766&gt;pLateDays,1,0))</f>
        <v/>
      </c>
      <c r="X766" s="13">
        <f>IF(Q766&gt;=pHighCutoff,1,0)</f>
        <v/>
      </c>
      <c r="Y766" s="13">
        <f>IF(M766="Returned",1,0)</f>
        <v/>
      </c>
    </row>
    <row r="767">
      <c r="A767" s="13" t="inlineStr">
        <is>
          <t>HC-100765</t>
        </is>
      </c>
      <c r="B767" s="18" t="n">
        <v>45369</v>
      </c>
      <c r="C767" s="13" t="inlineStr">
        <is>
          <t>West</t>
        </is>
      </c>
      <c r="D767" s="13" t="inlineStr">
        <is>
          <t>Store</t>
        </is>
      </c>
      <c r="E767" s="13" t="inlineStr">
        <is>
          <t>Textiles</t>
        </is>
      </c>
      <c r="F767" s="13" t="inlineStr">
        <is>
          <t>Cotton Duvet</t>
        </is>
      </c>
      <c r="G767" s="13" t="inlineStr">
        <is>
          <t>Consumer</t>
        </is>
      </c>
      <c r="H767" s="13" t="n">
        <v>3</v>
      </c>
      <c r="I767" s="14" t="n">
        <v>113.81</v>
      </c>
      <c r="J767" s="15" t="n">
        <v>0.01</v>
      </c>
      <c r="K767" s="14" t="n">
        <v>50.07</v>
      </c>
      <c r="L767" s="13" t="n">
        <v>9</v>
      </c>
      <c r="M767" s="13" t="inlineStr">
        <is>
          <t>Completed</t>
        </is>
      </c>
      <c r="N767" s="13" t="inlineStr">
        <is>
          <t>R. Ibarra</t>
        </is>
      </c>
      <c r="O767" s="13" t="inlineStr">
        <is>
          <t>No</t>
        </is>
      </c>
      <c r="P767" s="14">
        <f>H767*I767</f>
        <v/>
      </c>
      <c r="Q767" s="14">
        <f>P767*(1-J767)</f>
        <v/>
      </c>
      <c r="R767" s="14">
        <f>H767*K767</f>
        <v/>
      </c>
      <c r="S767" s="15">
        <f>IF(Q767=0,"",(Q767-R767)/Q767)</f>
        <v/>
      </c>
      <c r="T767" s="13">
        <f>YEAR(B767)</f>
        <v/>
      </c>
      <c r="U767" s="13">
        <f>YEAR(B767)&amp;"-Q"&amp;ROUNDUP(MONTH(B767)/3,0)</f>
        <v/>
      </c>
      <c r="V767" s="13">
        <f>TEXT(B767,"YYYY-MM")</f>
        <v/>
      </c>
      <c r="W767" s="13">
        <f>IF(L767="","",IF(L767&gt;pLateDays,1,0))</f>
        <v/>
      </c>
      <c r="X767" s="13">
        <f>IF(Q767&gt;=pHighCutoff,1,0)</f>
        <v/>
      </c>
      <c r="Y767" s="13">
        <f>IF(M767="Returned",1,0)</f>
        <v/>
      </c>
    </row>
    <row r="768">
      <c r="A768" s="13" t="inlineStr">
        <is>
          <t>HC-100766</t>
        </is>
      </c>
      <c r="B768" s="18" t="n">
        <v>45835</v>
      </c>
      <c r="C768" s="13" t="inlineStr">
        <is>
          <t>West</t>
        </is>
      </c>
      <c r="D768" s="13" t="inlineStr">
        <is>
          <t>Wholesale</t>
        </is>
      </c>
      <c r="E768" s="13" t="inlineStr">
        <is>
          <t>Furniture</t>
        </is>
      </c>
      <c r="F768" s="13" t="inlineStr">
        <is>
          <t>Linen Sofa</t>
        </is>
      </c>
      <c r="G768" s="13" t="inlineStr">
        <is>
          <t>Corporate</t>
        </is>
      </c>
      <c r="H768" s="13" t="n">
        <v>26</v>
      </c>
      <c r="I768" s="14" t="n">
        <v>1175.12</v>
      </c>
      <c r="J768" s="15" t="n">
        <v>0.17</v>
      </c>
      <c r="K768" s="14" t="n">
        <v>775.58</v>
      </c>
      <c r="L768" s="13" t="n">
        <v>3</v>
      </c>
      <c r="M768" s="13" t="inlineStr">
        <is>
          <t>Completed</t>
        </is>
      </c>
      <c r="N768" s="13" t="inlineStr">
        <is>
          <t>M. Okonkwo</t>
        </is>
      </c>
      <c r="O768" s="13" t="inlineStr">
        <is>
          <t>No</t>
        </is>
      </c>
      <c r="P768" s="14">
        <f>H768*I768</f>
        <v/>
      </c>
      <c r="Q768" s="14">
        <f>P768*(1-J768)</f>
        <v/>
      </c>
      <c r="R768" s="14">
        <f>H768*K768</f>
        <v/>
      </c>
      <c r="S768" s="15">
        <f>IF(Q768=0,"",(Q768-R768)/Q768)</f>
        <v/>
      </c>
      <c r="T768" s="13">
        <f>YEAR(B768)</f>
        <v/>
      </c>
      <c r="U768" s="13">
        <f>YEAR(B768)&amp;"-Q"&amp;ROUNDUP(MONTH(B768)/3,0)</f>
        <v/>
      </c>
      <c r="V768" s="13">
        <f>TEXT(B768,"YYYY-MM")</f>
        <v/>
      </c>
      <c r="W768" s="13">
        <f>IF(L768="","",IF(L768&gt;pLateDays,1,0))</f>
        <v/>
      </c>
      <c r="X768" s="13">
        <f>IF(Q768&gt;=pHighCutoff,1,0)</f>
        <v/>
      </c>
      <c r="Y768" s="13">
        <f>IF(M768="Returned",1,0)</f>
        <v/>
      </c>
    </row>
    <row r="769">
      <c r="A769" s="13" t="inlineStr">
        <is>
          <t>HC-100767</t>
        </is>
      </c>
      <c r="B769" s="18" t="n">
        <v>45598</v>
      </c>
      <c r="C769" s="13" t="inlineStr">
        <is>
          <t>South</t>
        </is>
      </c>
      <c r="D769" s="13" t="inlineStr">
        <is>
          <t>Store</t>
        </is>
      </c>
      <c r="E769" s="13" t="inlineStr">
        <is>
          <t>Furniture</t>
        </is>
      </c>
      <c r="F769" s="13" t="inlineStr">
        <is>
          <t>Lounge Chair</t>
        </is>
      </c>
      <c r="G769" s="13" t="inlineStr">
        <is>
          <t>Consumer</t>
        </is>
      </c>
      <c r="H769" s="13" t="n">
        <v>4</v>
      </c>
      <c r="I769" s="14" t="n">
        <v>474.3</v>
      </c>
      <c r="J769" s="15" t="n">
        <v>0.05</v>
      </c>
      <c r="K769" s="14" t="n">
        <v>284.58</v>
      </c>
      <c r="L769" s="13" t="n">
        <v>5</v>
      </c>
      <c r="M769" s="13" t="inlineStr">
        <is>
          <t>Completed</t>
        </is>
      </c>
      <c r="N769" s="13" t="inlineStr">
        <is>
          <t>J. Patel</t>
        </is>
      </c>
      <c r="O769" s="13" t="inlineStr">
        <is>
          <t>No</t>
        </is>
      </c>
      <c r="P769" s="14">
        <f>H769*I769</f>
        <v/>
      </c>
      <c r="Q769" s="14">
        <f>P769*(1-J769)</f>
        <v/>
      </c>
      <c r="R769" s="14">
        <f>H769*K769</f>
        <v/>
      </c>
      <c r="S769" s="15">
        <f>IF(Q769=0,"",(Q769-R769)/Q769)</f>
        <v/>
      </c>
      <c r="T769" s="13">
        <f>YEAR(B769)</f>
        <v/>
      </c>
      <c r="U769" s="13">
        <f>YEAR(B769)&amp;"-Q"&amp;ROUNDUP(MONTH(B769)/3,0)</f>
        <v/>
      </c>
      <c r="V769" s="13">
        <f>TEXT(B769,"YYYY-MM")</f>
        <v/>
      </c>
      <c r="W769" s="13">
        <f>IF(L769="","",IF(L769&gt;pLateDays,1,0))</f>
        <v/>
      </c>
      <c r="X769" s="13">
        <f>IF(Q769&gt;=pHighCutoff,1,0)</f>
        <v/>
      </c>
      <c r="Y769" s="13">
        <f>IF(M769="Returned",1,0)</f>
        <v/>
      </c>
    </row>
    <row r="770">
      <c r="A770" s="13" t="inlineStr">
        <is>
          <t>HC-100768</t>
        </is>
      </c>
      <c r="B770" s="18" t="n">
        <v>45728</v>
      </c>
      <c r="C770" s="13" t="inlineStr">
        <is>
          <t>West</t>
        </is>
      </c>
      <c r="D770" s="13" t="inlineStr">
        <is>
          <t>Wholesale</t>
        </is>
      </c>
      <c r="E770" s="13" t="inlineStr">
        <is>
          <t>Furniture</t>
        </is>
      </c>
      <c r="F770" s="13" t="inlineStr">
        <is>
          <t>Lounge Chair</t>
        </is>
      </c>
      <c r="G770" s="13" t="inlineStr">
        <is>
          <t>Corporate</t>
        </is>
      </c>
      <c r="H770" s="13" t="n">
        <v>21</v>
      </c>
      <c r="I770" s="14" t="n">
        <v>487.12</v>
      </c>
      <c r="J770" s="15" t="n">
        <v>0.26</v>
      </c>
      <c r="K770" s="14" t="n">
        <v>292.27</v>
      </c>
      <c r="L770" s="13" t="n">
        <v>4</v>
      </c>
      <c r="M770" s="13" t="inlineStr">
        <is>
          <t>Completed</t>
        </is>
      </c>
      <c r="N770" s="13" t="inlineStr">
        <is>
          <t>J. Patel</t>
        </is>
      </c>
      <c r="O770" s="13" t="inlineStr">
        <is>
          <t>No</t>
        </is>
      </c>
      <c r="P770" s="14">
        <f>H770*I770</f>
        <v/>
      </c>
      <c r="Q770" s="14">
        <f>P770*(1-J770)</f>
        <v/>
      </c>
      <c r="R770" s="14">
        <f>H770*K770</f>
        <v/>
      </c>
      <c r="S770" s="15">
        <f>IF(Q770=0,"",(Q770-R770)/Q770)</f>
        <v/>
      </c>
      <c r="T770" s="13">
        <f>YEAR(B770)</f>
        <v/>
      </c>
      <c r="U770" s="13">
        <f>YEAR(B770)&amp;"-Q"&amp;ROUNDUP(MONTH(B770)/3,0)</f>
        <v/>
      </c>
      <c r="V770" s="13">
        <f>TEXT(B770,"YYYY-MM")</f>
        <v/>
      </c>
      <c r="W770" s="13">
        <f>IF(L770="","",IF(L770&gt;pLateDays,1,0))</f>
        <v/>
      </c>
      <c r="X770" s="13">
        <f>IF(Q770&gt;=pHighCutoff,1,0)</f>
        <v/>
      </c>
      <c r="Y770" s="13">
        <f>IF(M770="Returned",1,0)</f>
        <v/>
      </c>
    </row>
    <row r="771">
      <c r="A771" s="13" t="inlineStr">
        <is>
          <t>HC-100769</t>
        </is>
      </c>
      <c r="B771" s="18" t="n">
        <v>45665</v>
      </c>
      <c r="C771" s="13" t="inlineStr">
        <is>
          <t>West</t>
        </is>
      </c>
      <c r="D771" s="13" t="inlineStr">
        <is>
          <t>Online</t>
        </is>
      </c>
      <c r="E771" s="13" t="inlineStr">
        <is>
          <t>Furniture</t>
        </is>
      </c>
      <c r="F771" s="13" t="inlineStr">
        <is>
          <t>Lounge Chair</t>
        </is>
      </c>
      <c r="G771" s="13" t="inlineStr">
        <is>
          <t>Corporate</t>
        </is>
      </c>
      <c r="H771" s="13" t="n">
        <v>3</v>
      </c>
      <c r="I771" s="14" t="n">
        <v>480.07</v>
      </c>
      <c r="J771" s="15" t="n">
        <v>0.16</v>
      </c>
      <c r="K771" s="14" t="n">
        <v>288.04</v>
      </c>
      <c r="L771" s="13" t="n">
        <v>5</v>
      </c>
      <c r="M771" s="13" t="inlineStr">
        <is>
          <t>Completed</t>
        </is>
      </c>
      <c r="N771" s="13" t="inlineStr">
        <is>
          <t>A. Shah</t>
        </is>
      </c>
      <c r="O771" s="13" t="inlineStr">
        <is>
          <t>No</t>
        </is>
      </c>
      <c r="P771" s="14">
        <f>H771*I771</f>
        <v/>
      </c>
      <c r="Q771" s="14">
        <f>P771*(1-J771)</f>
        <v/>
      </c>
      <c r="R771" s="14">
        <f>H771*K771</f>
        <v/>
      </c>
      <c r="S771" s="15">
        <f>IF(Q771=0,"",(Q771-R771)/Q771)</f>
        <v/>
      </c>
      <c r="T771" s="13">
        <f>YEAR(B771)</f>
        <v/>
      </c>
      <c r="U771" s="13">
        <f>YEAR(B771)&amp;"-Q"&amp;ROUNDUP(MONTH(B771)/3,0)</f>
        <v/>
      </c>
      <c r="V771" s="13">
        <f>TEXT(B771,"YYYY-MM")</f>
        <v/>
      </c>
      <c r="W771" s="13">
        <f>IF(L771="","",IF(L771&gt;pLateDays,1,0))</f>
        <v/>
      </c>
      <c r="X771" s="13">
        <f>IF(Q771&gt;=pHighCutoff,1,0)</f>
        <v/>
      </c>
      <c r="Y771" s="13">
        <f>IF(M771="Returned",1,0)</f>
        <v/>
      </c>
    </row>
    <row r="772">
      <c r="A772" s="13" t="inlineStr">
        <is>
          <t>HC-100770</t>
        </is>
      </c>
      <c r="B772" s="18" t="n">
        <v>45859</v>
      </c>
      <c r="C772" s="13" t="inlineStr">
        <is>
          <t>South</t>
        </is>
      </c>
      <c r="D772" s="13" t="inlineStr">
        <is>
          <t>Online</t>
        </is>
      </c>
      <c r="E772" s="13" t="inlineStr">
        <is>
          <t>Lighting</t>
        </is>
      </c>
      <c r="F772" s="13" t="inlineStr">
        <is>
          <t>Brass Sconce</t>
        </is>
      </c>
      <c r="G772" s="13" t="inlineStr">
        <is>
          <t>Consumer</t>
        </is>
      </c>
      <c r="H772" s="13" t="n">
        <v>1</v>
      </c>
      <c r="I772" s="14" t="n">
        <v>133.28</v>
      </c>
      <c r="J772" s="15" t="n">
        <v>0.17</v>
      </c>
      <c r="K772" s="14" t="n">
        <v>61.31</v>
      </c>
      <c r="L772" s="13" t="n">
        <v>6</v>
      </c>
      <c r="M772" s="13" t="inlineStr">
        <is>
          <t>Completed</t>
        </is>
      </c>
      <c r="N772" s="13" t="inlineStr">
        <is>
          <t>S. Nguyen</t>
        </is>
      </c>
      <c r="O772" s="13" t="inlineStr">
        <is>
          <t>No</t>
        </is>
      </c>
      <c r="P772" s="14">
        <f>H772*I772</f>
        <v/>
      </c>
      <c r="Q772" s="14">
        <f>P772*(1-J772)</f>
        <v/>
      </c>
      <c r="R772" s="14">
        <f>H772*K772</f>
        <v/>
      </c>
      <c r="S772" s="15">
        <f>IF(Q772=0,"",(Q772-R772)/Q772)</f>
        <v/>
      </c>
      <c r="T772" s="13">
        <f>YEAR(B772)</f>
        <v/>
      </c>
      <c r="U772" s="13">
        <f>YEAR(B772)&amp;"-Q"&amp;ROUNDUP(MONTH(B772)/3,0)</f>
        <v/>
      </c>
      <c r="V772" s="13">
        <f>TEXT(B772,"YYYY-MM")</f>
        <v/>
      </c>
      <c r="W772" s="13">
        <f>IF(L772="","",IF(L772&gt;pLateDays,1,0))</f>
        <v/>
      </c>
      <c r="X772" s="13">
        <f>IF(Q772&gt;=pHighCutoff,1,0)</f>
        <v/>
      </c>
      <c r="Y772" s="13">
        <f>IF(M772="Returned",1,0)</f>
        <v/>
      </c>
    </row>
    <row r="773">
      <c r="A773" s="13" t="inlineStr">
        <is>
          <t>HC-100771</t>
        </is>
      </c>
      <c r="B773" s="18" t="n">
        <v>45821</v>
      </c>
      <c r="C773" s="13" t="inlineStr">
        <is>
          <t>North</t>
        </is>
      </c>
      <c r="D773" s="13" t="inlineStr">
        <is>
          <t>Store</t>
        </is>
      </c>
      <c r="E773" s="13" t="inlineStr">
        <is>
          <t>Furniture</t>
        </is>
      </c>
      <c r="F773" s="13" t="inlineStr">
        <is>
          <t>Oak Desk</t>
        </is>
      </c>
      <c r="G773" s="13" t="inlineStr">
        <is>
          <t>Consumer</t>
        </is>
      </c>
      <c r="H773" s="13" t="n">
        <v>2</v>
      </c>
      <c r="I773" s="14" t="n">
        <v>817.0599999999999</v>
      </c>
      <c r="J773" s="15" t="n">
        <v>0.12</v>
      </c>
      <c r="K773" s="14" t="n">
        <v>506.58</v>
      </c>
      <c r="L773" s="13" t="n">
        <v>1</v>
      </c>
      <c r="M773" s="13" t="inlineStr">
        <is>
          <t>Completed</t>
        </is>
      </c>
      <c r="N773" s="13" t="inlineStr">
        <is>
          <t>S. Nguyen</t>
        </is>
      </c>
      <c r="O773" s="13" t="inlineStr">
        <is>
          <t>No</t>
        </is>
      </c>
      <c r="P773" s="14">
        <f>H773*I773</f>
        <v/>
      </c>
      <c r="Q773" s="14">
        <f>P773*(1-J773)</f>
        <v/>
      </c>
      <c r="R773" s="14">
        <f>H773*K773</f>
        <v/>
      </c>
      <c r="S773" s="15">
        <f>IF(Q773=0,"",(Q773-R773)/Q773)</f>
        <v/>
      </c>
      <c r="T773" s="13">
        <f>YEAR(B773)</f>
        <v/>
      </c>
      <c r="U773" s="13">
        <f>YEAR(B773)&amp;"-Q"&amp;ROUNDUP(MONTH(B773)/3,0)</f>
        <v/>
      </c>
      <c r="V773" s="13">
        <f>TEXT(B773,"YYYY-MM")</f>
        <v/>
      </c>
      <c r="W773" s="13">
        <f>IF(L773="","",IF(L773&gt;pLateDays,1,0))</f>
        <v/>
      </c>
      <c r="X773" s="13">
        <f>IF(Q773&gt;=pHighCutoff,1,0)</f>
        <v/>
      </c>
      <c r="Y773" s="13">
        <f>IF(M773="Returned",1,0)</f>
        <v/>
      </c>
    </row>
    <row r="774">
      <c r="A774" s="13" t="inlineStr">
        <is>
          <t>HC-100772</t>
        </is>
      </c>
      <c r="B774" s="18" t="n">
        <v>45575</v>
      </c>
      <c r="C774" s="13" t="inlineStr">
        <is>
          <t>East</t>
        </is>
      </c>
      <c r="D774" s="13" t="inlineStr">
        <is>
          <t>Online</t>
        </is>
      </c>
      <c r="E774" s="13" t="inlineStr">
        <is>
          <t>Kitchen</t>
        </is>
      </c>
      <c r="F774" s="13" t="inlineStr">
        <is>
          <t>Chef Knife</t>
        </is>
      </c>
      <c r="G774" s="13" t="inlineStr">
        <is>
          <t>Consumer</t>
        </is>
      </c>
      <c r="H774" s="13" t="n">
        <v>3</v>
      </c>
      <c r="I774" s="14" t="n">
        <v>58.13</v>
      </c>
      <c r="J774" s="15" t="n">
        <v>0.15</v>
      </c>
      <c r="K774" s="14" t="n">
        <v>20.93</v>
      </c>
      <c r="L774" s="13" t="n">
        <v>8</v>
      </c>
      <c r="M774" s="13" t="inlineStr">
        <is>
          <t>Completed</t>
        </is>
      </c>
      <c r="N774" s="13" t="inlineStr">
        <is>
          <t>L. Berger</t>
        </is>
      </c>
      <c r="O774" s="13" t="inlineStr">
        <is>
          <t>No</t>
        </is>
      </c>
      <c r="P774" s="14">
        <f>H774*I774</f>
        <v/>
      </c>
      <c r="Q774" s="14">
        <f>P774*(1-J774)</f>
        <v/>
      </c>
      <c r="R774" s="14">
        <f>H774*K774</f>
        <v/>
      </c>
      <c r="S774" s="15">
        <f>IF(Q774=0,"",(Q774-R774)/Q774)</f>
        <v/>
      </c>
      <c r="T774" s="13">
        <f>YEAR(B774)</f>
        <v/>
      </c>
      <c r="U774" s="13">
        <f>YEAR(B774)&amp;"-Q"&amp;ROUNDUP(MONTH(B774)/3,0)</f>
        <v/>
      </c>
      <c r="V774" s="13">
        <f>TEXT(B774,"YYYY-MM")</f>
        <v/>
      </c>
      <c r="W774" s="13">
        <f>IF(L774="","",IF(L774&gt;pLateDays,1,0))</f>
        <v/>
      </c>
      <c r="X774" s="13">
        <f>IF(Q774&gt;=pHighCutoff,1,0)</f>
        <v/>
      </c>
      <c r="Y774" s="13">
        <f>IF(M774="Returned",1,0)</f>
        <v/>
      </c>
    </row>
    <row r="775">
      <c r="A775" s="13" t="inlineStr">
        <is>
          <t>HC-100773</t>
        </is>
      </c>
      <c r="B775" s="18" t="n">
        <v>45737</v>
      </c>
      <c r="C775" s="13" t="inlineStr">
        <is>
          <t>North</t>
        </is>
      </c>
      <c r="D775" s="13" t="inlineStr">
        <is>
          <t>Wholesale</t>
        </is>
      </c>
      <c r="E775" s="13" t="inlineStr">
        <is>
          <t>Textiles</t>
        </is>
      </c>
      <c r="F775" s="13" t="inlineStr">
        <is>
          <t>Cotton Duvet</t>
        </is>
      </c>
      <c r="G775" s="13" t="inlineStr">
        <is>
          <t>Consumer</t>
        </is>
      </c>
      <c r="H775" s="13" t="n">
        <v>32</v>
      </c>
      <c r="I775" s="14" t="n">
        <v>124.06</v>
      </c>
      <c r="J775" s="15" t="n">
        <v>0.22</v>
      </c>
      <c r="K775" s="14" t="n">
        <v>54.59</v>
      </c>
      <c r="L775" s="13" t="n">
        <v>6</v>
      </c>
      <c r="M775" s="13" t="inlineStr">
        <is>
          <t>Completed</t>
        </is>
      </c>
      <c r="N775" s="13" t="inlineStr">
        <is>
          <t>S. Nguyen</t>
        </is>
      </c>
      <c r="O775" s="13" t="inlineStr">
        <is>
          <t>No</t>
        </is>
      </c>
      <c r="P775" s="14">
        <f>H775*I775</f>
        <v/>
      </c>
      <c r="Q775" s="14">
        <f>P775*(1-J775)</f>
        <v/>
      </c>
      <c r="R775" s="14">
        <f>H775*K775</f>
        <v/>
      </c>
      <c r="S775" s="15">
        <f>IF(Q775=0,"",(Q775-R775)/Q775)</f>
        <v/>
      </c>
      <c r="T775" s="13">
        <f>YEAR(B775)</f>
        <v/>
      </c>
      <c r="U775" s="13">
        <f>YEAR(B775)&amp;"-Q"&amp;ROUNDUP(MONTH(B775)/3,0)</f>
        <v/>
      </c>
      <c r="V775" s="13">
        <f>TEXT(B775,"YYYY-MM")</f>
        <v/>
      </c>
      <c r="W775" s="13">
        <f>IF(L775="","",IF(L775&gt;pLateDays,1,0))</f>
        <v/>
      </c>
      <c r="X775" s="13">
        <f>IF(Q775&gt;=pHighCutoff,1,0)</f>
        <v/>
      </c>
      <c r="Y775" s="13">
        <f>IF(M775="Returned",1,0)</f>
        <v/>
      </c>
    </row>
    <row r="776">
      <c r="A776" s="13" t="inlineStr">
        <is>
          <t>HC-100774</t>
        </is>
      </c>
      <c r="B776" s="18" t="n">
        <v>45597</v>
      </c>
      <c r="C776" s="13" t="inlineStr">
        <is>
          <t>South</t>
        </is>
      </c>
      <c r="D776" s="13" t="inlineStr">
        <is>
          <t>Store</t>
        </is>
      </c>
      <c r="E776" s="13" t="inlineStr">
        <is>
          <t>Kitchen</t>
        </is>
      </c>
      <c r="F776" s="13" t="inlineStr">
        <is>
          <t>Ceramic Set</t>
        </is>
      </c>
      <c r="G776" s="13" t="inlineStr">
        <is>
          <t>Consumer</t>
        </is>
      </c>
      <c r="H776" s="13" t="n">
        <v>2</v>
      </c>
      <c r="I776" s="14" t="n">
        <v>81.79000000000001</v>
      </c>
      <c r="J776" s="15" t="n">
        <v>0.1</v>
      </c>
      <c r="K776" s="14" t="n">
        <v>31.08</v>
      </c>
      <c r="L776" s="13" t="n">
        <v>6</v>
      </c>
      <c r="M776" s="13" t="inlineStr">
        <is>
          <t>Completed</t>
        </is>
      </c>
      <c r="N776" s="13" t="inlineStr">
        <is>
          <t>A. Shah</t>
        </is>
      </c>
      <c r="O776" s="13" t="inlineStr">
        <is>
          <t>No</t>
        </is>
      </c>
      <c r="P776" s="14">
        <f>H776*I776</f>
        <v/>
      </c>
      <c r="Q776" s="14">
        <f>P776*(1-J776)</f>
        <v/>
      </c>
      <c r="R776" s="14">
        <f>H776*K776</f>
        <v/>
      </c>
      <c r="S776" s="15">
        <f>IF(Q776=0,"",(Q776-R776)/Q776)</f>
        <v/>
      </c>
      <c r="T776" s="13">
        <f>YEAR(B776)</f>
        <v/>
      </c>
      <c r="U776" s="13">
        <f>YEAR(B776)&amp;"-Q"&amp;ROUNDUP(MONTH(B776)/3,0)</f>
        <v/>
      </c>
      <c r="V776" s="13">
        <f>TEXT(B776,"YYYY-MM")</f>
        <v/>
      </c>
      <c r="W776" s="13">
        <f>IF(L776="","",IF(L776&gt;pLateDays,1,0))</f>
        <v/>
      </c>
      <c r="X776" s="13">
        <f>IF(Q776&gt;=pHighCutoff,1,0)</f>
        <v/>
      </c>
      <c r="Y776" s="13">
        <f>IF(M776="Returned",1,0)</f>
        <v/>
      </c>
    </row>
    <row r="777">
      <c r="A777" s="13" t="inlineStr">
        <is>
          <t>HC-100775</t>
        </is>
      </c>
      <c r="B777" s="18" t="n">
        <v>45515</v>
      </c>
      <c r="C777" s="13" t="inlineStr">
        <is>
          <t>West</t>
        </is>
      </c>
      <c r="D777" s="13" t="inlineStr">
        <is>
          <t>Store</t>
        </is>
      </c>
      <c r="E777" s="13" t="inlineStr">
        <is>
          <t>Furniture</t>
        </is>
      </c>
      <c r="F777" s="13" t="inlineStr">
        <is>
          <t>Linen Sofa</t>
        </is>
      </c>
      <c r="G777" s="13" t="inlineStr">
        <is>
          <t>Consumer</t>
        </is>
      </c>
      <c r="H777" s="13" t="n">
        <v>3</v>
      </c>
      <c r="I777" s="14" t="n">
        <v>1288.84</v>
      </c>
      <c r="J777" s="15" t="n">
        <v>0.09</v>
      </c>
      <c r="K777" s="14" t="n">
        <v>850.63</v>
      </c>
      <c r="L777" s="13" t="n">
        <v>8</v>
      </c>
      <c r="M777" s="13" t="inlineStr">
        <is>
          <t>Cancelled</t>
        </is>
      </c>
      <c r="N777" s="13" t="inlineStr">
        <is>
          <t>L. Berger</t>
        </is>
      </c>
      <c r="O777" s="13" t="inlineStr">
        <is>
          <t>No</t>
        </is>
      </c>
      <c r="P777" s="14">
        <f>H777*I777</f>
        <v/>
      </c>
      <c r="Q777" s="14">
        <f>P777*(1-J777)</f>
        <v/>
      </c>
      <c r="R777" s="14">
        <f>H777*K777</f>
        <v/>
      </c>
      <c r="S777" s="15">
        <f>IF(Q777=0,"",(Q777-R777)/Q777)</f>
        <v/>
      </c>
      <c r="T777" s="13">
        <f>YEAR(B777)</f>
        <v/>
      </c>
      <c r="U777" s="13">
        <f>YEAR(B777)&amp;"-Q"&amp;ROUNDUP(MONTH(B777)/3,0)</f>
        <v/>
      </c>
      <c r="V777" s="13">
        <f>TEXT(B777,"YYYY-MM")</f>
        <v/>
      </c>
      <c r="W777" s="13">
        <f>IF(L777="","",IF(L777&gt;pLateDays,1,0))</f>
        <v/>
      </c>
      <c r="X777" s="13">
        <f>IF(Q777&gt;=pHighCutoff,1,0)</f>
        <v/>
      </c>
      <c r="Y777" s="13">
        <f>IF(M777="Returned",1,0)</f>
        <v/>
      </c>
    </row>
    <row r="778">
      <c r="A778" s="13" t="inlineStr">
        <is>
          <t>HC-100776</t>
        </is>
      </c>
      <c r="B778" s="18" t="n">
        <v>45811</v>
      </c>
      <c r="C778" s="13" t="inlineStr">
        <is>
          <t>East</t>
        </is>
      </c>
      <c r="D778" s="13" t="inlineStr">
        <is>
          <t>Store</t>
        </is>
      </c>
      <c r="E778" s="13" t="inlineStr">
        <is>
          <t>Kitchen</t>
        </is>
      </c>
      <c r="F778" s="13" t="inlineStr">
        <is>
          <t>Cast Skillet</t>
        </is>
      </c>
      <c r="G778" s="13" t="inlineStr">
        <is>
          <t>Consumer</t>
        </is>
      </c>
      <c r="H778" s="13" t="n">
        <v>2</v>
      </c>
      <c r="I778" s="14" t="n">
        <v>52.36</v>
      </c>
      <c r="J778" s="15" t="n">
        <v>0.07000000000000001</v>
      </c>
      <c r="K778" s="14" t="n">
        <v>20.95</v>
      </c>
      <c r="L778" s="13" t="n">
        <v>8</v>
      </c>
      <c r="M778" s="13" t="inlineStr">
        <is>
          <t>Completed</t>
        </is>
      </c>
      <c r="N778" s="13" t="inlineStr">
        <is>
          <t>J. Patel</t>
        </is>
      </c>
      <c r="O778" s="13" t="inlineStr">
        <is>
          <t>No</t>
        </is>
      </c>
      <c r="P778" s="14">
        <f>H778*I778</f>
        <v/>
      </c>
      <c r="Q778" s="14">
        <f>P778*(1-J778)</f>
        <v/>
      </c>
      <c r="R778" s="14">
        <f>H778*K778</f>
        <v/>
      </c>
      <c r="S778" s="15">
        <f>IF(Q778=0,"",(Q778-R778)/Q778)</f>
        <v/>
      </c>
      <c r="T778" s="13">
        <f>YEAR(B778)</f>
        <v/>
      </c>
      <c r="U778" s="13">
        <f>YEAR(B778)&amp;"-Q"&amp;ROUNDUP(MONTH(B778)/3,0)</f>
        <v/>
      </c>
      <c r="V778" s="13">
        <f>TEXT(B778,"YYYY-MM")</f>
        <v/>
      </c>
      <c r="W778" s="13">
        <f>IF(L778="","",IF(L778&gt;pLateDays,1,0))</f>
        <v/>
      </c>
      <c r="X778" s="13">
        <f>IF(Q778&gt;=pHighCutoff,1,0)</f>
        <v/>
      </c>
      <c r="Y778" s="13">
        <f>IF(M778="Returned",1,0)</f>
        <v/>
      </c>
    </row>
    <row r="779">
      <c r="A779" s="13" t="inlineStr">
        <is>
          <t>HC-100777</t>
        </is>
      </c>
      <c r="B779" s="18" t="n">
        <v>45391</v>
      </c>
      <c r="C779" s="13" t="inlineStr">
        <is>
          <t>South</t>
        </is>
      </c>
      <c r="D779" s="13" t="inlineStr">
        <is>
          <t>Online</t>
        </is>
      </c>
      <c r="E779" s="13" t="inlineStr">
        <is>
          <t>Furniture</t>
        </is>
      </c>
      <c r="F779" s="13" t="inlineStr">
        <is>
          <t>Walnut Shelf</t>
        </is>
      </c>
      <c r="G779" s="13" t="inlineStr">
        <is>
          <t>Consumer</t>
        </is>
      </c>
      <c r="H779" s="13" t="n">
        <v>3</v>
      </c>
      <c r="I779" s="14" t="n">
        <v>206.46</v>
      </c>
      <c r="J779" s="15" t="n">
        <v>0.11</v>
      </c>
      <c r="K779" s="14" t="n">
        <v>113.55</v>
      </c>
      <c r="L779" s="13" t="n">
        <v>5</v>
      </c>
      <c r="M779" s="13" t="inlineStr">
        <is>
          <t>Completed</t>
        </is>
      </c>
      <c r="N779" s="13" t="inlineStr">
        <is>
          <t>M. Okonkwo</t>
        </is>
      </c>
      <c r="O779" s="13" t="inlineStr">
        <is>
          <t>No</t>
        </is>
      </c>
      <c r="P779" s="14">
        <f>H779*I779</f>
        <v/>
      </c>
      <c r="Q779" s="14">
        <f>P779*(1-J779)</f>
        <v/>
      </c>
      <c r="R779" s="14">
        <f>H779*K779</f>
        <v/>
      </c>
      <c r="S779" s="15">
        <f>IF(Q779=0,"",(Q779-R779)/Q779)</f>
        <v/>
      </c>
      <c r="T779" s="13">
        <f>YEAR(B779)</f>
        <v/>
      </c>
      <c r="U779" s="13">
        <f>YEAR(B779)&amp;"-Q"&amp;ROUNDUP(MONTH(B779)/3,0)</f>
        <v/>
      </c>
      <c r="V779" s="13">
        <f>TEXT(B779,"YYYY-MM")</f>
        <v/>
      </c>
      <c r="W779" s="13">
        <f>IF(L779="","",IF(L779&gt;pLateDays,1,0))</f>
        <v/>
      </c>
      <c r="X779" s="13">
        <f>IF(Q779&gt;=pHighCutoff,1,0)</f>
        <v/>
      </c>
      <c r="Y779" s="13">
        <f>IF(M779="Returned",1,0)</f>
        <v/>
      </c>
    </row>
    <row r="780">
      <c r="A780" s="13" t="inlineStr">
        <is>
          <t>HC-100778</t>
        </is>
      </c>
      <c r="B780" s="18" t="n">
        <v>45615</v>
      </c>
      <c r="C780" s="13" t="inlineStr">
        <is>
          <t>South</t>
        </is>
      </c>
      <c r="D780" s="13" t="inlineStr">
        <is>
          <t>Store</t>
        </is>
      </c>
      <c r="E780" s="13" t="inlineStr">
        <is>
          <t>Furniture</t>
        </is>
      </c>
      <c r="F780" s="13" t="inlineStr">
        <is>
          <t>Walnut Shelf</t>
        </is>
      </c>
      <c r="G780" s="13" t="inlineStr">
        <is>
          <t>Home Office</t>
        </is>
      </c>
      <c r="H780" s="13" t="n">
        <v>2</v>
      </c>
      <c r="I780" s="14" t="n">
        <v>222.59</v>
      </c>
      <c r="J780" s="15" t="n">
        <v>0</v>
      </c>
      <c r="K780" s="14" t="n">
        <v>122.42</v>
      </c>
      <c r="L780" s="13" t="n">
        <v>8</v>
      </c>
      <c r="M780" s="13" t="inlineStr">
        <is>
          <t>Completed</t>
        </is>
      </c>
      <c r="N780" s="13" t="inlineStr">
        <is>
          <t>M. Okonkwo</t>
        </is>
      </c>
      <c r="O780" s="13" t="inlineStr">
        <is>
          <t>No</t>
        </is>
      </c>
      <c r="P780" s="14">
        <f>H780*I780</f>
        <v/>
      </c>
      <c r="Q780" s="14">
        <f>P780*(1-J780)</f>
        <v/>
      </c>
      <c r="R780" s="14">
        <f>H780*K780</f>
        <v/>
      </c>
      <c r="S780" s="15">
        <f>IF(Q780=0,"",(Q780-R780)/Q780)</f>
        <v/>
      </c>
      <c r="T780" s="13">
        <f>YEAR(B780)</f>
        <v/>
      </c>
      <c r="U780" s="13">
        <f>YEAR(B780)&amp;"-Q"&amp;ROUNDUP(MONTH(B780)/3,0)</f>
        <v/>
      </c>
      <c r="V780" s="13">
        <f>TEXT(B780,"YYYY-MM")</f>
        <v/>
      </c>
      <c r="W780" s="13">
        <f>IF(L780="","",IF(L780&gt;pLateDays,1,0))</f>
        <v/>
      </c>
      <c r="X780" s="13">
        <f>IF(Q780&gt;=pHighCutoff,1,0)</f>
        <v/>
      </c>
      <c r="Y780" s="13">
        <f>IF(M780="Returned",1,0)</f>
        <v/>
      </c>
    </row>
    <row r="781">
      <c r="A781" s="13" t="inlineStr">
        <is>
          <t>HC-100779</t>
        </is>
      </c>
      <c r="B781" s="18" t="n">
        <v>45611</v>
      </c>
      <c r="C781" s="13" t="inlineStr">
        <is>
          <t>South</t>
        </is>
      </c>
      <c r="D781" s="13" t="inlineStr">
        <is>
          <t>Store</t>
        </is>
      </c>
      <c r="E781" s="13" t="inlineStr">
        <is>
          <t>Lighting</t>
        </is>
      </c>
      <c r="F781" s="13" t="inlineStr">
        <is>
          <t>Arc Lamp</t>
        </is>
      </c>
      <c r="G781" s="13" t="inlineStr">
        <is>
          <t>Consumer</t>
        </is>
      </c>
      <c r="H781" s="13" t="n">
        <v>4</v>
      </c>
      <c r="I781" s="14" t="n">
        <v>322.89</v>
      </c>
      <c r="J781" s="15" t="n">
        <v>0.07000000000000001</v>
      </c>
      <c r="K781" s="14" t="n">
        <v>154.99</v>
      </c>
      <c r="L781" s="13" t="n">
        <v>3</v>
      </c>
      <c r="M781" s="13" t="inlineStr">
        <is>
          <t>Returned</t>
        </is>
      </c>
      <c r="N781" s="13" t="inlineStr">
        <is>
          <t>M. Okonkwo</t>
        </is>
      </c>
      <c r="O781" s="13" t="inlineStr">
        <is>
          <t>No</t>
        </is>
      </c>
      <c r="P781" s="14">
        <f>H781*I781</f>
        <v/>
      </c>
      <c r="Q781" s="14">
        <f>P781*(1-J781)</f>
        <v/>
      </c>
      <c r="R781" s="14">
        <f>H781*K781</f>
        <v/>
      </c>
      <c r="S781" s="15">
        <f>IF(Q781=0,"",(Q781-R781)/Q781)</f>
        <v/>
      </c>
      <c r="T781" s="13">
        <f>YEAR(B781)</f>
        <v/>
      </c>
      <c r="U781" s="13">
        <f>YEAR(B781)&amp;"-Q"&amp;ROUNDUP(MONTH(B781)/3,0)</f>
        <v/>
      </c>
      <c r="V781" s="13">
        <f>TEXT(B781,"YYYY-MM")</f>
        <v/>
      </c>
      <c r="W781" s="13">
        <f>IF(L781="","",IF(L781&gt;pLateDays,1,0))</f>
        <v/>
      </c>
      <c r="X781" s="13">
        <f>IF(Q781&gt;=pHighCutoff,1,0)</f>
        <v/>
      </c>
      <c r="Y781" s="13">
        <f>IF(M781="Returned",1,0)</f>
        <v/>
      </c>
    </row>
    <row r="782">
      <c r="A782" s="13" t="inlineStr">
        <is>
          <t>HC-100780</t>
        </is>
      </c>
      <c r="B782" s="18" t="n">
        <v>45622</v>
      </c>
      <c r="C782" s="13" t="inlineStr">
        <is>
          <t>North</t>
        </is>
      </c>
      <c r="D782" s="13" t="inlineStr">
        <is>
          <t>Online</t>
        </is>
      </c>
      <c r="E782" s="13" t="inlineStr">
        <is>
          <t>Textiles</t>
        </is>
      </c>
      <c r="F782" s="13" t="inlineStr">
        <is>
          <t>Linen Curtain</t>
        </is>
      </c>
      <c r="G782" s="13" t="inlineStr">
        <is>
          <t>Unknown</t>
        </is>
      </c>
      <c r="H782" s="13" t="n">
        <v>3</v>
      </c>
      <c r="I782" s="14" t="n">
        <v>101.19</v>
      </c>
      <c r="J782" s="15" t="n">
        <v>0.04</v>
      </c>
      <c r="K782" s="14" t="n">
        <v>45.54</v>
      </c>
      <c r="L782" s="13" t="n">
        <v>4</v>
      </c>
      <c r="M782" s="13" t="inlineStr">
        <is>
          <t>Completed</t>
        </is>
      </c>
      <c r="N782" s="13" t="inlineStr">
        <is>
          <t>P. Rossi</t>
        </is>
      </c>
      <c r="O782" s="13" t="inlineStr">
        <is>
          <t>No</t>
        </is>
      </c>
      <c r="P782" s="14">
        <f>H782*I782</f>
        <v/>
      </c>
      <c r="Q782" s="14">
        <f>P782*(1-J782)</f>
        <v/>
      </c>
      <c r="R782" s="14">
        <f>H782*K782</f>
        <v/>
      </c>
      <c r="S782" s="15">
        <f>IF(Q782=0,"",(Q782-R782)/Q782)</f>
        <v/>
      </c>
      <c r="T782" s="13">
        <f>YEAR(B782)</f>
        <v/>
      </c>
      <c r="U782" s="13">
        <f>YEAR(B782)&amp;"-Q"&amp;ROUNDUP(MONTH(B782)/3,0)</f>
        <v/>
      </c>
      <c r="V782" s="13">
        <f>TEXT(B782,"YYYY-MM")</f>
        <v/>
      </c>
      <c r="W782" s="13">
        <f>IF(L782="","",IF(L782&gt;pLateDays,1,0))</f>
        <v/>
      </c>
      <c r="X782" s="13">
        <f>IF(Q782&gt;=pHighCutoff,1,0)</f>
        <v/>
      </c>
      <c r="Y782" s="13">
        <f>IF(M782="Returned",1,0)</f>
        <v/>
      </c>
    </row>
    <row r="783">
      <c r="A783" s="13" t="inlineStr">
        <is>
          <t>HC-100781</t>
        </is>
      </c>
      <c r="B783" s="18" t="n">
        <v>45802</v>
      </c>
      <c r="C783" s="13" t="inlineStr">
        <is>
          <t>South</t>
        </is>
      </c>
      <c r="D783" s="13" t="inlineStr">
        <is>
          <t>Wholesale</t>
        </is>
      </c>
      <c r="E783" s="13" t="inlineStr">
        <is>
          <t>Textiles</t>
        </is>
      </c>
      <c r="F783" s="13" t="inlineStr">
        <is>
          <t>Cotton Duvet</t>
        </is>
      </c>
      <c r="G783" s="13" t="inlineStr">
        <is>
          <t>Consumer</t>
        </is>
      </c>
      <c r="H783" s="13" t="n">
        <v>16</v>
      </c>
      <c r="I783" s="14" t="n">
        <v>120.24</v>
      </c>
      <c r="J783" s="15" t="n">
        <v>0.16</v>
      </c>
      <c r="K783" s="14" t="n">
        <v>52.91</v>
      </c>
      <c r="L783" s="13" t="n">
        <v>4</v>
      </c>
      <c r="M783" s="13" t="inlineStr">
        <is>
          <t>Completed</t>
        </is>
      </c>
      <c r="N783" s="13" t="inlineStr">
        <is>
          <t>R. Ibarra</t>
        </is>
      </c>
      <c r="O783" s="13" t="inlineStr">
        <is>
          <t>No</t>
        </is>
      </c>
      <c r="P783" s="14">
        <f>H783*I783</f>
        <v/>
      </c>
      <c r="Q783" s="14">
        <f>P783*(1-J783)</f>
        <v/>
      </c>
      <c r="R783" s="14">
        <f>H783*K783</f>
        <v/>
      </c>
      <c r="S783" s="15">
        <f>IF(Q783=0,"",(Q783-R783)/Q783)</f>
        <v/>
      </c>
      <c r="T783" s="13">
        <f>YEAR(B783)</f>
        <v/>
      </c>
      <c r="U783" s="13">
        <f>YEAR(B783)&amp;"-Q"&amp;ROUNDUP(MONTH(B783)/3,0)</f>
        <v/>
      </c>
      <c r="V783" s="13">
        <f>TEXT(B783,"YYYY-MM")</f>
        <v/>
      </c>
      <c r="W783" s="13">
        <f>IF(L783="","",IF(L783&gt;pLateDays,1,0))</f>
        <v/>
      </c>
      <c r="X783" s="13">
        <f>IF(Q783&gt;=pHighCutoff,1,0)</f>
        <v/>
      </c>
      <c r="Y783" s="13">
        <f>IF(M783="Returned",1,0)</f>
        <v/>
      </c>
    </row>
    <row r="784">
      <c r="A784" s="13" t="inlineStr">
        <is>
          <t>HC-100782</t>
        </is>
      </c>
      <c r="B784" s="18" t="n">
        <v>45318</v>
      </c>
      <c r="C784" s="13" t="inlineStr">
        <is>
          <t>West</t>
        </is>
      </c>
      <c r="D784" s="13" t="inlineStr">
        <is>
          <t>Store</t>
        </is>
      </c>
      <c r="E784" s="13" t="inlineStr">
        <is>
          <t>Lighting</t>
        </is>
      </c>
      <c r="F784" s="13" t="inlineStr">
        <is>
          <t>Pendant Light</t>
        </is>
      </c>
      <c r="G784" s="13" t="inlineStr">
        <is>
          <t>Home Office</t>
        </is>
      </c>
      <c r="H784" s="13" t="n">
        <v>1</v>
      </c>
      <c r="I784" s="14" t="n">
        <v>175.93</v>
      </c>
      <c r="J784" s="15" t="n">
        <v>0.08</v>
      </c>
      <c r="K784" s="14" t="n">
        <v>87.97</v>
      </c>
      <c r="L784" s="13" t="n">
        <v>5</v>
      </c>
      <c r="M784" s="13" t="inlineStr">
        <is>
          <t>Completed</t>
        </is>
      </c>
      <c r="N784" s="13" t="inlineStr">
        <is>
          <t>L. Berger</t>
        </is>
      </c>
      <c r="O784" s="13" t="inlineStr">
        <is>
          <t>No</t>
        </is>
      </c>
      <c r="P784" s="14">
        <f>H784*I784</f>
        <v/>
      </c>
      <c r="Q784" s="14">
        <f>P784*(1-J784)</f>
        <v/>
      </c>
      <c r="R784" s="14">
        <f>H784*K784</f>
        <v/>
      </c>
      <c r="S784" s="15">
        <f>IF(Q784=0,"",(Q784-R784)/Q784)</f>
        <v/>
      </c>
      <c r="T784" s="13">
        <f>YEAR(B784)</f>
        <v/>
      </c>
      <c r="U784" s="13">
        <f>YEAR(B784)&amp;"-Q"&amp;ROUNDUP(MONTH(B784)/3,0)</f>
        <v/>
      </c>
      <c r="V784" s="13">
        <f>TEXT(B784,"YYYY-MM")</f>
        <v/>
      </c>
      <c r="W784" s="13">
        <f>IF(L784="","",IF(L784&gt;pLateDays,1,0))</f>
        <v/>
      </c>
      <c r="X784" s="13">
        <f>IF(Q784&gt;=pHighCutoff,1,0)</f>
        <v/>
      </c>
      <c r="Y784" s="13">
        <f>IF(M784="Returned",1,0)</f>
        <v/>
      </c>
    </row>
    <row r="785">
      <c r="A785" s="13" t="inlineStr">
        <is>
          <t>HC-100783</t>
        </is>
      </c>
      <c r="B785" s="18" t="n">
        <v>45311</v>
      </c>
      <c r="C785" s="13" t="inlineStr">
        <is>
          <t>North</t>
        </is>
      </c>
      <c r="D785" s="13" t="inlineStr">
        <is>
          <t>Store</t>
        </is>
      </c>
      <c r="E785" s="13" t="inlineStr">
        <is>
          <t>Furniture</t>
        </is>
      </c>
      <c r="F785" s="13" t="inlineStr">
        <is>
          <t>Lounge Chair</t>
        </is>
      </c>
      <c r="G785" s="13" t="inlineStr">
        <is>
          <t>Consumer</t>
        </is>
      </c>
      <c r="H785" s="13" t="n">
        <v>3</v>
      </c>
      <c r="I785" s="14" t="n">
        <v>516.92</v>
      </c>
      <c r="J785" s="15" t="n">
        <v>0.05</v>
      </c>
      <c r="K785" s="14" t="n">
        <v>310.15</v>
      </c>
      <c r="L785" s="13" t="n">
        <v>6</v>
      </c>
      <c r="M785" s="13" t="inlineStr">
        <is>
          <t>Completed</t>
        </is>
      </c>
      <c r="N785" s="13" t="inlineStr">
        <is>
          <t>K. Mensah</t>
        </is>
      </c>
      <c r="O785" s="13" t="inlineStr">
        <is>
          <t>No</t>
        </is>
      </c>
      <c r="P785" s="14">
        <f>H785*I785</f>
        <v/>
      </c>
      <c r="Q785" s="14">
        <f>P785*(1-J785)</f>
        <v/>
      </c>
      <c r="R785" s="14">
        <f>H785*K785</f>
        <v/>
      </c>
      <c r="S785" s="15">
        <f>IF(Q785=0,"",(Q785-R785)/Q785)</f>
        <v/>
      </c>
      <c r="T785" s="13">
        <f>YEAR(B785)</f>
        <v/>
      </c>
      <c r="U785" s="13">
        <f>YEAR(B785)&amp;"-Q"&amp;ROUNDUP(MONTH(B785)/3,0)</f>
        <v/>
      </c>
      <c r="V785" s="13">
        <f>TEXT(B785,"YYYY-MM")</f>
        <v/>
      </c>
      <c r="W785" s="13">
        <f>IF(L785="","",IF(L785&gt;pLateDays,1,0))</f>
        <v/>
      </c>
      <c r="X785" s="13">
        <f>IF(Q785&gt;=pHighCutoff,1,0)</f>
        <v/>
      </c>
      <c r="Y785" s="13">
        <f>IF(M785="Returned",1,0)</f>
        <v/>
      </c>
    </row>
    <row r="786">
      <c r="A786" s="13" t="inlineStr">
        <is>
          <t>HC-100784</t>
        </is>
      </c>
      <c r="B786" s="18" t="n">
        <v>45791</v>
      </c>
      <c r="C786" s="13" t="inlineStr">
        <is>
          <t>West</t>
        </is>
      </c>
      <c r="D786" s="13" t="inlineStr">
        <is>
          <t>Online</t>
        </is>
      </c>
      <c r="E786" s="13" t="inlineStr">
        <is>
          <t>Furniture</t>
        </is>
      </c>
      <c r="F786" s="13" t="inlineStr">
        <is>
          <t>Walnut Shelf</t>
        </is>
      </c>
      <c r="G786" s="13" t="inlineStr">
        <is>
          <t>Consumer</t>
        </is>
      </c>
      <c r="H786" s="13" t="n">
        <v>3</v>
      </c>
      <c r="I786" s="14" t="n">
        <v>209.72</v>
      </c>
      <c r="J786" s="15" t="n">
        <v>0.09</v>
      </c>
      <c r="K786" s="14" t="n">
        <v>115.35</v>
      </c>
      <c r="L786" s="13" t="n">
        <v>3</v>
      </c>
      <c r="M786" s="13" t="inlineStr">
        <is>
          <t>Completed</t>
        </is>
      </c>
      <c r="N786" s="13" t="inlineStr">
        <is>
          <t>P. Rossi</t>
        </is>
      </c>
      <c r="O786" s="13" t="inlineStr">
        <is>
          <t>No</t>
        </is>
      </c>
      <c r="P786" s="14">
        <f>H786*I786</f>
        <v/>
      </c>
      <c r="Q786" s="14">
        <f>P786*(1-J786)</f>
        <v/>
      </c>
      <c r="R786" s="14">
        <f>H786*K786</f>
        <v/>
      </c>
      <c r="S786" s="15">
        <f>IF(Q786=0,"",(Q786-R786)/Q786)</f>
        <v/>
      </c>
      <c r="T786" s="13">
        <f>YEAR(B786)</f>
        <v/>
      </c>
      <c r="U786" s="13">
        <f>YEAR(B786)&amp;"-Q"&amp;ROUNDUP(MONTH(B786)/3,0)</f>
        <v/>
      </c>
      <c r="V786" s="13">
        <f>TEXT(B786,"YYYY-MM")</f>
        <v/>
      </c>
      <c r="W786" s="13">
        <f>IF(L786="","",IF(L786&gt;pLateDays,1,0))</f>
        <v/>
      </c>
      <c r="X786" s="13">
        <f>IF(Q786&gt;=pHighCutoff,1,0)</f>
        <v/>
      </c>
      <c r="Y786" s="13">
        <f>IF(M786="Returned",1,0)</f>
        <v/>
      </c>
    </row>
    <row r="787">
      <c r="A787" s="13" t="inlineStr">
        <is>
          <t>HC-100785</t>
        </is>
      </c>
      <c r="B787" s="18" t="n">
        <v>45390</v>
      </c>
      <c r="C787" s="13" t="inlineStr">
        <is>
          <t>South</t>
        </is>
      </c>
      <c r="D787" s="13" t="inlineStr">
        <is>
          <t>Wholesale</t>
        </is>
      </c>
      <c r="E787" s="13" t="inlineStr">
        <is>
          <t>Kitchen</t>
        </is>
      </c>
      <c r="F787" s="13" t="inlineStr">
        <is>
          <t>Chef Knife</t>
        </is>
      </c>
      <c r="G787" s="13" t="inlineStr">
        <is>
          <t>Consumer</t>
        </is>
      </c>
      <c r="H787" s="13" t="n">
        <v>31</v>
      </c>
      <c r="I787" s="14" t="n">
        <v>62.75</v>
      </c>
      <c r="J787" s="15" t="n">
        <v>0.3</v>
      </c>
      <c r="K787" s="14" t="n">
        <v>22.59</v>
      </c>
      <c r="L787" s="13" t="n">
        <v>3</v>
      </c>
      <c r="M787" s="13" t="inlineStr">
        <is>
          <t>Completed</t>
        </is>
      </c>
      <c r="N787" s="13" t="inlineStr">
        <is>
          <t>R. Ibarra</t>
        </is>
      </c>
      <c r="O787" s="13" t="inlineStr">
        <is>
          <t>No</t>
        </is>
      </c>
      <c r="P787" s="14">
        <f>H787*I787</f>
        <v/>
      </c>
      <c r="Q787" s="14">
        <f>P787*(1-J787)</f>
        <v/>
      </c>
      <c r="R787" s="14">
        <f>H787*K787</f>
        <v/>
      </c>
      <c r="S787" s="15">
        <f>IF(Q787=0,"",(Q787-R787)/Q787)</f>
        <v/>
      </c>
      <c r="T787" s="13">
        <f>YEAR(B787)</f>
        <v/>
      </c>
      <c r="U787" s="13">
        <f>YEAR(B787)&amp;"-Q"&amp;ROUNDUP(MONTH(B787)/3,0)</f>
        <v/>
      </c>
      <c r="V787" s="13">
        <f>TEXT(B787,"YYYY-MM")</f>
        <v/>
      </c>
      <c r="W787" s="13">
        <f>IF(L787="","",IF(L787&gt;pLateDays,1,0))</f>
        <v/>
      </c>
      <c r="X787" s="13">
        <f>IF(Q787&gt;=pHighCutoff,1,0)</f>
        <v/>
      </c>
      <c r="Y787" s="13">
        <f>IF(M787="Returned",1,0)</f>
        <v/>
      </c>
    </row>
    <row r="788">
      <c r="A788" s="13" t="inlineStr">
        <is>
          <t>HC-100786</t>
        </is>
      </c>
      <c r="B788" s="18" t="n">
        <v>45629</v>
      </c>
      <c r="C788" s="13" t="inlineStr">
        <is>
          <t>West</t>
        </is>
      </c>
      <c r="D788" s="13" t="inlineStr">
        <is>
          <t>Store</t>
        </is>
      </c>
      <c r="E788" s="13" t="inlineStr">
        <is>
          <t>Furniture</t>
        </is>
      </c>
      <c r="F788" s="13" t="inlineStr">
        <is>
          <t>Oak Desk</t>
        </is>
      </c>
      <c r="G788" s="13" t="inlineStr">
        <is>
          <t>Consumer</t>
        </is>
      </c>
      <c r="H788" s="13" t="n">
        <v>4</v>
      </c>
      <c r="I788" s="14" t="n">
        <v>898.5599999999999</v>
      </c>
      <c r="J788" s="15" t="n">
        <v>0.09</v>
      </c>
      <c r="K788" s="14" t="n">
        <v>557.11</v>
      </c>
      <c r="L788" s="13" t="n">
        <v>7</v>
      </c>
      <c r="M788" s="13" t="inlineStr">
        <is>
          <t>Completed</t>
        </is>
      </c>
      <c r="N788" s="13" t="inlineStr">
        <is>
          <t>M. Okonkwo</t>
        </is>
      </c>
      <c r="O788" s="13" t="inlineStr">
        <is>
          <t>No</t>
        </is>
      </c>
      <c r="P788" s="14">
        <f>H788*I788</f>
        <v/>
      </c>
      <c r="Q788" s="14">
        <f>P788*(1-J788)</f>
        <v/>
      </c>
      <c r="R788" s="14">
        <f>H788*K788</f>
        <v/>
      </c>
      <c r="S788" s="15">
        <f>IF(Q788=0,"",(Q788-R788)/Q788)</f>
        <v/>
      </c>
      <c r="T788" s="13">
        <f>YEAR(B788)</f>
        <v/>
      </c>
      <c r="U788" s="13">
        <f>YEAR(B788)&amp;"-Q"&amp;ROUNDUP(MONTH(B788)/3,0)</f>
        <v/>
      </c>
      <c r="V788" s="13">
        <f>TEXT(B788,"YYYY-MM")</f>
        <v/>
      </c>
      <c r="W788" s="13">
        <f>IF(L788="","",IF(L788&gt;pLateDays,1,0))</f>
        <v/>
      </c>
      <c r="X788" s="13">
        <f>IF(Q788&gt;=pHighCutoff,1,0)</f>
        <v/>
      </c>
      <c r="Y788" s="13">
        <f>IF(M788="Returned",1,0)</f>
        <v/>
      </c>
    </row>
    <row r="789">
      <c r="A789" s="13" t="inlineStr">
        <is>
          <t>HC-100787</t>
        </is>
      </c>
      <c r="B789" s="18" t="n">
        <v>45656</v>
      </c>
      <c r="C789" s="13" t="inlineStr">
        <is>
          <t>North</t>
        </is>
      </c>
      <c r="D789" s="13" t="inlineStr">
        <is>
          <t>Online</t>
        </is>
      </c>
      <c r="E789" s="13" t="inlineStr">
        <is>
          <t>Furniture</t>
        </is>
      </c>
      <c r="F789" s="13" t="inlineStr">
        <is>
          <t>Oak Desk</t>
        </is>
      </c>
      <c r="G789" s="13" t="inlineStr">
        <is>
          <t>Consumer</t>
        </is>
      </c>
      <c r="H789" s="13" t="n">
        <v>2</v>
      </c>
      <c r="I789" s="14" t="n">
        <v>802.47</v>
      </c>
      <c r="J789" s="15" t="n">
        <v>0.08</v>
      </c>
      <c r="K789" s="14" t="n">
        <v>497.53</v>
      </c>
      <c r="L789" s="13" t="n">
        <v>6</v>
      </c>
      <c r="M789" s="13" t="inlineStr">
        <is>
          <t>Completed</t>
        </is>
      </c>
      <c r="N789" s="13" t="inlineStr">
        <is>
          <t>P. Rossi</t>
        </is>
      </c>
      <c r="O789" s="13" t="inlineStr">
        <is>
          <t>No</t>
        </is>
      </c>
      <c r="P789" s="14">
        <f>H789*I789</f>
        <v/>
      </c>
      <c r="Q789" s="14">
        <f>P789*(1-J789)</f>
        <v/>
      </c>
      <c r="R789" s="14">
        <f>H789*K789</f>
        <v/>
      </c>
      <c r="S789" s="15">
        <f>IF(Q789=0,"",(Q789-R789)/Q789)</f>
        <v/>
      </c>
      <c r="T789" s="13">
        <f>YEAR(B789)</f>
        <v/>
      </c>
      <c r="U789" s="13">
        <f>YEAR(B789)&amp;"-Q"&amp;ROUNDUP(MONTH(B789)/3,0)</f>
        <v/>
      </c>
      <c r="V789" s="13">
        <f>TEXT(B789,"YYYY-MM")</f>
        <v/>
      </c>
      <c r="W789" s="13">
        <f>IF(L789="","",IF(L789&gt;pLateDays,1,0))</f>
        <v/>
      </c>
      <c r="X789" s="13">
        <f>IF(Q789&gt;=pHighCutoff,1,0)</f>
        <v/>
      </c>
      <c r="Y789" s="13">
        <f>IF(M789="Returned",1,0)</f>
        <v/>
      </c>
    </row>
    <row r="790">
      <c r="A790" s="13" t="inlineStr">
        <is>
          <t>HC-100788</t>
        </is>
      </c>
      <c r="B790" s="18" t="n">
        <v>45554</v>
      </c>
      <c r="C790" s="13" t="inlineStr">
        <is>
          <t>West</t>
        </is>
      </c>
      <c r="D790" s="13" t="inlineStr">
        <is>
          <t>Wholesale</t>
        </is>
      </c>
      <c r="E790" s="13" t="inlineStr">
        <is>
          <t>Kitchen</t>
        </is>
      </c>
      <c r="F790" s="13" t="inlineStr">
        <is>
          <t>Cast Skillet</t>
        </is>
      </c>
      <c r="G790" s="13" t="inlineStr">
        <is>
          <t>Consumer</t>
        </is>
      </c>
      <c r="H790" s="13" t="n">
        <v>32</v>
      </c>
      <c r="I790" s="14" t="n">
        <v>55.26</v>
      </c>
      <c r="J790" s="15" t="n">
        <v>0.27</v>
      </c>
      <c r="K790" s="14" t="n">
        <v>22.1</v>
      </c>
      <c r="L790" s="13" t="n">
        <v>8</v>
      </c>
      <c r="M790" s="13" t="inlineStr">
        <is>
          <t>Completed</t>
        </is>
      </c>
      <c r="N790" s="13" t="inlineStr">
        <is>
          <t>K. Mensah</t>
        </is>
      </c>
      <c r="O790" s="13" t="inlineStr">
        <is>
          <t>No</t>
        </is>
      </c>
      <c r="P790" s="14">
        <f>H790*I790</f>
        <v/>
      </c>
      <c r="Q790" s="14">
        <f>P790*(1-J790)</f>
        <v/>
      </c>
      <c r="R790" s="14">
        <f>H790*K790</f>
        <v/>
      </c>
      <c r="S790" s="15">
        <f>IF(Q790=0,"",(Q790-R790)/Q790)</f>
        <v/>
      </c>
      <c r="T790" s="13">
        <f>YEAR(B790)</f>
        <v/>
      </c>
      <c r="U790" s="13">
        <f>YEAR(B790)&amp;"-Q"&amp;ROUNDUP(MONTH(B790)/3,0)</f>
        <v/>
      </c>
      <c r="V790" s="13">
        <f>TEXT(B790,"YYYY-MM")</f>
        <v/>
      </c>
      <c r="W790" s="13">
        <f>IF(L790="","",IF(L790&gt;pLateDays,1,0))</f>
        <v/>
      </c>
      <c r="X790" s="13">
        <f>IF(Q790&gt;=pHighCutoff,1,0)</f>
        <v/>
      </c>
      <c r="Y790" s="13">
        <f>IF(M790="Returned",1,0)</f>
        <v/>
      </c>
    </row>
    <row r="791">
      <c r="A791" s="13" t="inlineStr">
        <is>
          <t>HC-100789</t>
        </is>
      </c>
      <c r="B791" s="18" t="n">
        <v>45625</v>
      </c>
      <c r="C791" s="13" t="inlineStr">
        <is>
          <t>North</t>
        </is>
      </c>
      <c r="D791" s="13" t="inlineStr">
        <is>
          <t>Online</t>
        </is>
      </c>
      <c r="E791" s="13" t="inlineStr">
        <is>
          <t>Lighting</t>
        </is>
      </c>
      <c r="F791" s="13" t="inlineStr">
        <is>
          <t>Brass Sconce</t>
        </is>
      </c>
      <c r="G791" s="13" t="inlineStr">
        <is>
          <t>Home Office</t>
        </is>
      </c>
      <c r="H791" s="13" t="n">
        <v>4</v>
      </c>
      <c r="I791" s="14" t="n">
        <v>145.81</v>
      </c>
      <c r="J791" s="15" t="n">
        <v>0.16</v>
      </c>
      <c r="K791" s="14" t="n">
        <v>67.06999999999999</v>
      </c>
      <c r="L791" s="13" t="n">
        <v>7</v>
      </c>
      <c r="M791" s="13" t="inlineStr">
        <is>
          <t>Completed</t>
        </is>
      </c>
      <c r="N791" s="13" t="inlineStr">
        <is>
          <t>A. Shah</t>
        </is>
      </c>
      <c r="O791" s="13" t="inlineStr">
        <is>
          <t>No</t>
        </is>
      </c>
      <c r="P791" s="14">
        <f>H791*I791</f>
        <v/>
      </c>
      <c r="Q791" s="14">
        <f>P791*(1-J791)</f>
        <v/>
      </c>
      <c r="R791" s="14">
        <f>H791*K791</f>
        <v/>
      </c>
      <c r="S791" s="15">
        <f>IF(Q791=0,"",(Q791-R791)/Q791)</f>
        <v/>
      </c>
      <c r="T791" s="13">
        <f>YEAR(B791)</f>
        <v/>
      </c>
      <c r="U791" s="13">
        <f>YEAR(B791)&amp;"-Q"&amp;ROUNDUP(MONTH(B791)/3,0)</f>
        <v/>
      </c>
      <c r="V791" s="13">
        <f>TEXT(B791,"YYYY-MM")</f>
        <v/>
      </c>
      <c r="W791" s="13">
        <f>IF(L791="","",IF(L791&gt;pLateDays,1,0))</f>
        <v/>
      </c>
      <c r="X791" s="13">
        <f>IF(Q791&gt;=pHighCutoff,1,0)</f>
        <v/>
      </c>
      <c r="Y791" s="13">
        <f>IF(M791="Returned",1,0)</f>
        <v/>
      </c>
    </row>
    <row r="792">
      <c r="A792" s="13" t="inlineStr">
        <is>
          <t>HC-100790</t>
        </is>
      </c>
      <c r="B792" s="18" t="n">
        <v>45745</v>
      </c>
      <c r="C792" s="13" t="inlineStr">
        <is>
          <t>South</t>
        </is>
      </c>
      <c r="D792" s="13" t="inlineStr">
        <is>
          <t>Store</t>
        </is>
      </c>
      <c r="E792" s="13" t="inlineStr">
        <is>
          <t>Textiles</t>
        </is>
      </c>
      <c r="F792" s="13" t="inlineStr">
        <is>
          <t>Cotton Duvet</t>
        </is>
      </c>
      <c r="G792" s="13" t="inlineStr">
        <is>
          <t>Consumer</t>
        </is>
      </c>
      <c r="H792" s="13" t="n">
        <v>1</v>
      </c>
      <c r="I792" s="14" t="n">
        <v>113.47</v>
      </c>
      <c r="J792" s="15" t="n">
        <v>0</v>
      </c>
      <c r="K792" s="14" t="n">
        <v>49.93</v>
      </c>
      <c r="L792" s="13" t="n">
        <v>7</v>
      </c>
      <c r="M792" s="13" t="inlineStr">
        <is>
          <t>Completed</t>
        </is>
      </c>
      <c r="N792" s="13" t="inlineStr">
        <is>
          <t>K. Mensah</t>
        </is>
      </c>
      <c r="O792" s="13" t="inlineStr">
        <is>
          <t>No</t>
        </is>
      </c>
      <c r="P792" s="14">
        <f>H792*I792</f>
        <v/>
      </c>
      <c r="Q792" s="14">
        <f>P792*(1-J792)</f>
        <v/>
      </c>
      <c r="R792" s="14">
        <f>H792*K792</f>
        <v/>
      </c>
      <c r="S792" s="15">
        <f>IF(Q792=0,"",(Q792-R792)/Q792)</f>
        <v/>
      </c>
      <c r="T792" s="13">
        <f>YEAR(B792)</f>
        <v/>
      </c>
      <c r="U792" s="13">
        <f>YEAR(B792)&amp;"-Q"&amp;ROUNDUP(MONTH(B792)/3,0)</f>
        <v/>
      </c>
      <c r="V792" s="13">
        <f>TEXT(B792,"YYYY-MM")</f>
        <v/>
      </c>
      <c r="W792" s="13">
        <f>IF(L792="","",IF(L792&gt;pLateDays,1,0))</f>
        <v/>
      </c>
      <c r="X792" s="13">
        <f>IF(Q792&gt;=pHighCutoff,1,0)</f>
        <v/>
      </c>
      <c r="Y792" s="13">
        <f>IF(M792="Returned",1,0)</f>
        <v/>
      </c>
    </row>
    <row r="793">
      <c r="A793" s="13" t="inlineStr">
        <is>
          <t>HC-100791</t>
        </is>
      </c>
      <c r="B793" s="18" t="n">
        <v>45589</v>
      </c>
      <c r="C793" s="13" t="inlineStr">
        <is>
          <t>South</t>
        </is>
      </c>
      <c r="D793" s="13" t="inlineStr">
        <is>
          <t>Store</t>
        </is>
      </c>
      <c r="E793" s="13" t="inlineStr">
        <is>
          <t>Lighting</t>
        </is>
      </c>
      <c r="F793" s="13" t="inlineStr">
        <is>
          <t>Brass Sconce</t>
        </is>
      </c>
      <c r="G793" s="13" t="inlineStr">
        <is>
          <t>Corporate</t>
        </is>
      </c>
      <c r="H793" s="13" t="n">
        <v>1</v>
      </c>
      <c r="I793" s="14" t="n">
        <v>131.78</v>
      </c>
      <c r="J793" s="15" t="n">
        <v>0.09</v>
      </c>
      <c r="K793" s="14" t="n">
        <v>60.62</v>
      </c>
      <c r="L793" s="13" t="n">
        <v>9</v>
      </c>
      <c r="M793" s="13" t="inlineStr">
        <is>
          <t>Completed</t>
        </is>
      </c>
      <c r="N793" s="13" t="inlineStr">
        <is>
          <t>M. Okonkwo</t>
        </is>
      </c>
      <c r="O793" s="13" t="inlineStr">
        <is>
          <t>No</t>
        </is>
      </c>
      <c r="P793" s="14">
        <f>H793*I793</f>
        <v/>
      </c>
      <c r="Q793" s="14">
        <f>P793*(1-J793)</f>
        <v/>
      </c>
      <c r="R793" s="14">
        <f>H793*K793</f>
        <v/>
      </c>
      <c r="S793" s="15">
        <f>IF(Q793=0,"",(Q793-R793)/Q793)</f>
        <v/>
      </c>
      <c r="T793" s="13">
        <f>YEAR(B793)</f>
        <v/>
      </c>
      <c r="U793" s="13">
        <f>YEAR(B793)&amp;"-Q"&amp;ROUNDUP(MONTH(B793)/3,0)</f>
        <v/>
      </c>
      <c r="V793" s="13">
        <f>TEXT(B793,"YYYY-MM")</f>
        <v/>
      </c>
      <c r="W793" s="13">
        <f>IF(L793="","",IF(L793&gt;pLateDays,1,0))</f>
        <v/>
      </c>
      <c r="X793" s="13">
        <f>IF(Q793&gt;=pHighCutoff,1,0)</f>
        <v/>
      </c>
      <c r="Y793" s="13">
        <f>IF(M793="Returned",1,0)</f>
        <v/>
      </c>
    </row>
    <row r="794">
      <c r="A794" s="13" t="inlineStr">
        <is>
          <t>HC-100792</t>
        </is>
      </c>
      <c r="B794" s="18" t="n">
        <v>45485</v>
      </c>
      <c r="C794" s="13" t="inlineStr">
        <is>
          <t>West</t>
        </is>
      </c>
      <c r="D794" s="13" t="inlineStr">
        <is>
          <t>Online</t>
        </is>
      </c>
      <c r="E794" s="13" t="inlineStr">
        <is>
          <t>Kitchen</t>
        </is>
      </c>
      <c r="F794" s="13" t="inlineStr">
        <is>
          <t>Cast Skillet</t>
        </is>
      </c>
      <c r="G794" s="13" t="inlineStr">
        <is>
          <t>Corporate</t>
        </is>
      </c>
      <c r="H794" s="13" t="n">
        <v>1</v>
      </c>
      <c r="I794" s="14" t="n">
        <v>55.84</v>
      </c>
      <c r="J794" s="15" t="n">
        <v>0.11</v>
      </c>
      <c r="K794" s="14" t="n">
        <v>22.33</v>
      </c>
      <c r="L794" s="13" t="n">
        <v>5</v>
      </c>
      <c r="M794" s="13" t="inlineStr">
        <is>
          <t>Completed</t>
        </is>
      </c>
      <c r="N794" s="13" t="inlineStr">
        <is>
          <t>R. Ibarra</t>
        </is>
      </c>
      <c r="O794" s="13" t="inlineStr">
        <is>
          <t>No</t>
        </is>
      </c>
      <c r="P794" s="14">
        <f>H794*I794</f>
        <v/>
      </c>
      <c r="Q794" s="14">
        <f>P794*(1-J794)</f>
        <v/>
      </c>
      <c r="R794" s="14">
        <f>H794*K794</f>
        <v/>
      </c>
      <c r="S794" s="15">
        <f>IF(Q794=0,"",(Q794-R794)/Q794)</f>
        <v/>
      </c>
      <c r="T794" s="13">
        <f>YEAR(B794)</f>
        <v/>
      </c>
      <c r="U794" s="13">
        <f>YEAR(B794)&amp;"-Q"&amp;ROUNDUP(MONTH(B794)/3,0)</f>
        <v/>
      </c>
      <c r="V794" s="13">
        <f>TEXT(B794,"YYYY-MM")</f>
        <v/>
      </c>
      <c r="W794" s="13">
        <f>IF(L794="","",IF(L794&gt;pLateDays,1,0))</f>
        <v/>
      </c>
      <c r="X794" s="13">
        <f>IF(Q794&gt;=pHighCutoff,1,0)</f>
        <v/>
      </c>
      <c r="Y794" s="13">
        <f>IF(M794="Returned",1,0)</f>
        <v/>
      </c>
    </row>
    <row r="795">
      <c r="A795" s="13" t="inlineStr">
        <is>
          <t>HC-100793</t>
        </is>
      </c>
      <c r="B795" s="18" t="n">
        <v>45589</v>
      </c>
      <c r="C795" s="13" t="inlineStr">
        <is>
          <t>East</t>
        </is>
      </c>
      <c r="D795" s="13" t="inlineStr">
        <is>
          <t>Online</t>
        </is>
      </c>
      <c r="E795" s="13" t="inlineStr">
        <is>
          <t>Furniture</t>
        </is>
      </c>
      <c r="F795" s="13" t="inlineStr">
        <is>
          <t>Linen Sofa</t>
        </is>
      </c>
      <c r="G795" s="13" t="inlineStr">
        <is>
          <t>Consumer</t>
        </is>
      </c>
      <c r="H795" s="13" t="n">
        <v>3</v>
      </c>
      <c r="I795" s="14" t="n">
        <v>1063.83</v>
      </c>
      <c r="J795" s="15" t="n">
        <v>0.04</v>
      </c>
      <c r="K795" s="14" t="n">
        <v>702.13</v>
      </c>
      <c r="L795" s="13" t="n">
        <v>9</v>
      </c>
      <c r="M795" s="13" t="inlineStr">
        <is>
          <t>Completed</t>
        </is>
      </c>
      <c r="N795" s="13" t="inlineStr">
        <is>
          <t>L. Berger</t>
        </is>
      </c>
      <c r="O795" s="13" t="inlineStr">
        <is>
          <t>No</t>
        </is>
      </c>
      <c r="P795" s="14">
        <f>H795*I795</f>
        <v/>
      </c>
      <c r="Q795" s="14">
        <f>P795*(1-J795)</f>
        <v/>
      </c>
      <c r="R795" s="14">
        <f>H795*K795</f>
        <v/>
      </c>
      <c r="S795" s="15">
        <f>IF(Q795=0,"",(Q795-R795)/Q795)</f>
        <v/>
      </c>
      <c r="T795" s="13">
        <f>YEAR(B795)</f>
        <v/>
      </c>
      <c r="U795" s="13">
        <f>YEAR(B795)&amp;"-Q"&amp;ROUNDUP(MONTH(B795)/3,0)</f>
        <v/>
      </c>
      <c r="V795" s="13">
        <f>TEXT(B795,"YYYY-MM")</f>
        <v/>
      </c>
      <c r="W795" s="13">
        <f>IF(L795="","",IF(L795&gt;pLateDays,1,0))</f>
        <v/>
      </c>
      <c r="X795" s="13">
        <f>IF(Q795&gt;=pHighCutoff,1,0)</f>
        <v/>
      </c>
      <c r="Y795" s="13">
        <f>IF(M795="Returned",1,0)</f>
        <v/>
      </c>
    </row>
    <row r="796">
      <c r="A796" s="13" t="inlineStr">
        <is>
          <t>HC-100794</t>
        </is>
      </c>
      <c r="B796" s="18" t="n">
        <v>45858</v>
      </c>
      <c r="C796" s="13" t="inlineStr">
        <is>
          <t>South</t>
        </is>
      </c>
      <c r="D796" s="13" t="inlineStr">
        <is>
          <t>Store</t>
        </is>
      </c>
      <c r="E796" s="13" t="inlineStr">
        <is>
          <t>Textiles</t>
        </is>
      </c>
      <c r="F796" s="13" t="inlineStr">
        <is>
          <t>Cotton Duvet</t>
        </is>
      </c>
      <c r="G796" s="13" t="inlineStr">
        <is>
          <t>Home Office</t>
        </is>
      </c>
      <c r="H796" s="13" t="n">
        <v>1</v>
      </c>
      <c r="I796" s="14" t="n">
        <v>128.55</v>
      </c>
      <c r="J796" s="15" t="n">
        <v>0.08</v>
      </c>
      <c r="K796" s="14" t="n">
        <v>56.56</v>
      </c>
      <c r="L796" s="13" t="n">
        <v>8</v>
      </c>
      <c r="M796" s="13" t="inlineStr">
        <is>
          <t>Completed</t>
        </is>
      </c>
      <c r="N796" s="13" t="inlineStr">
        <is>
          <t>R. Ibarra</t>
        </is>
      </c>
      <c r="O796" s="13" t="inlineStr">
        <is>
          <t>No</t>
        </is>
      </c>
      <c r="P796" s="14">
        <f>H796*I796</f>
        <v/>
      </c>
      <c r="Q796" s="14">
        <f>P796*(1-J796)</f>
        <v/>
      </c>
      <c r="R796" s="14">
        <f>H796*K796</f>
        <v/>
      </c>
      <c r="S796" s="15">
        <f>IF(Q796=0,"",(Q796-R796)/Q796)</f>
        <v/>
      </c>
      <c r="T796" s="13">
        <f>YEAR(B796)</f>
        <v/>
      </c>
      <c r="U796" s="13">
        <f>YEAR(B796)&amp;"-Q"&amp;ROUNDUP(MONTH(B796)/3,0)</f>
        <v/>
      </c>
      <c r="V796" s="13">
        <f>TEXT(B796,"YYYY-MM")</f>
        <v/>
      </c>
      <c r="W796" s="13">
        <f>IF(L796="","",IF(L796&gt;pLateDays,1,0))</f>
        <v/>
      </c>
      <c r="X796" s="13">
        <f>IF(Q796&gt;=pHighCutoff,1,0)</f>
        <v/>
      </c>
      <c r="Y796" s="13">
        <f>IF(M796="Returned",1,0)</f>
        <v/>
      </c>
    </row>
    <row r="797">
      <c r="A797" s="13" t="inlineStr">
        <is>
          <t>HC-100795</t>
        </is>
      </c>
      <c r="B797" s="18" t="n">
        <v>45726</v>
      </c>
      <c r="C797" s="13" t="inlineStr">
        <is>
          <t>West</t>
        </is>
      </c>
      <c r="D797" s="13" t="inlineStr">
        <is>
          <t>Store</t>
        </is>
      </c>
      <c r="E797" s="13" t="inlineStr">
        <is>
          <t>Textiles</t>
        </is>
      </c>
      <c r="F797" s="13" t="inlineStr">
        <is>
          <t>Linen Curtain</t>
        </is>
      </c>
      <c r="G797" s="13" t="inlineStr">
        <is>
          <t>Corporate</t>
        </is>
      </c>
      <c r="H797" s="13" t="n">
        <v>1</v>
      </c>
      <c r="I797" s="14" t="n">
        <v>92.83</v>
      </c>
      <c r="J797" s="15" t="n">
        <v>0.04</v>
      </c>
      <c r="K797" s="14" t="n">
        <v>41.77</v>
      </c>
      <c r="L797" s="13" t="n">
        <v>10</v>
      </c>
      <c r="M797" s="13" t="inlineStr">
        <is>
          <t>Completed</t>
        </is>
      </c>
      <c r="N797" s="13" t="inlineStr">
        <is>
          <t>R. Ibarra</t>
        </is>
      </c>
      <c r="O797" s="13" t="inlineStr">
        <is>
          <t>No</t>
        </is>
      </c>
      <c r="P797" s="14">
        <f>H797*I797</f>
        <v/>
      </c>
      <c r="Q797" s="14">
        <f>P797*(1-J797)</f>
        <v/>
      </c>
      <c r="R797" s="14">
        <f>H797*K797</f>
        <v/>
      </c>
      <c r="S797" s="15">
        <f>IF(Q797=0,"",(Q797-R797)/Q797)</f>
        <v/>
      </c>
      <c r="T797" s="13">
        <f>YEAR(B797)</f>
        <v/>
      </c>
      <c r="U797" s="13">
        <f>YEAR(B797)&amp;"-Q"&amp;ROUNDUP(MONTH(B797)/3,0)</f>
        <v/>
      </c>
      <c r="V797" s="13">
        <f>TEXT(B797,"YYYY-MM")</f>
        <v/>
      </c>
      <c r="W797" s="13">
        <f>IF(L797="","",IF(L797&gt;pLateDays,1,0))</f>
        <v/>
      </c>
      <c r="X797" s="13">
        <f>IF(Q797&gt;=pHighCutoff,1,0)</f>
        <v/>
      </c>
      <c r="Y797" s="13">
        <f>IF(M797="Returned",1,0)</f>
        <v/>
      </c>
    </row>
    <row r="798">
      <c r="A798" s="13" t="inlineStr">
        <is>
          <t>HC-100796</t>
        </is>
      </c>
      <c r="B798" s="18" t="n">
        <v>45863</v>
      </c>
      <c r="C798" s="13" t="inlineStr">
        <is>
          <t>South</t>
        </is>
      </c>
      <c r="D798" s="13" t="inlineStr">
        <is>
          <t>Online</t>
        </is>
      </c>
      <c r="E798" s="13" t="inlineStr">
        <is>
          <t>Lighting</t>
        </is>
      </c>
      <c r="F798" s="13" t="inlineStr">
        <is>
          <t>Pendant Light</t>
        </is>
      </c>
      <c r="G798" s="13" t="inlineStr">
        <is>
          <t>Consumer</t>
        </is>
      </c>
      <c r="H798" s="13" t="n">
        <v>2</v>
      </c>
      <c r="I798" s="14" t="n">
        <v>187.73</v>
      </c>
      <c r="J798" s="15" t="n">
        <v>0.09</v>
      </c>
      <c r="K798" s="14" t="n">
        <v>93.86</v>
      </c>
      <c r="L798" s="13" t="n">
        <v>4</v>
      </c>
      <c r="M798" s="13" t="inlineStr">
        <is>
          <t>Completed</t>
        </is>
      </c>
      <c r="N798" s="13" t="inlineStr">
        <is>
          <t>K. Mensah</t>
        </is>
      </c>
      <c r="O798" s="13" t="inlineStr">
        <is>
          <t>No</t>
        </is>
      </c>
      <c r="P798" s="14">
        <f>H798*I798</f>
        <v/>
      </c>
      <c r="Q798" s="14">
        <f>P798*(1-J798)</f>
        <v/>
      </c>
      <c r="R798" s="14">
        <f>H798*K798</f>
        <v/>
      </c>
      <c r="S798" s="15">
        <f>IF(Q798=0,"",(Q798-R798)/Q798)</f>
        <v/>
      </c>
      <c r="T798" s="13">
        <f>YEAR(B798)</f>
        <v/>
      </c>
      <c r="U798" s="13">
        <f>YEAR(B798)&amp;"-Q"&amp;ROUNDUP(MONTH(B798)/3,0)</f>
        <v/>
      </c>
      <c r="V798" s="13">
        <f>TEXT(B798,"YYYY-MM")</f>
        <v/>
      </c>
      <c r="W798" s="13">
        <f>IF(L798="","",IF(L798&gt;pLateDays,1,0))</f>
        <v/>
      </c>
      <c r="X798" s="13">
        <f>IF(Q798&gt;=pHighCutoff,1,0)</f>
        <v/>
      </c>
      <c r="Y798" s="13">
        <f>IF(M798="Returned",1,0)</f>
        <v/>
      </c>
    </row>
    <row r="799">
      <c r="A799" s="13" t="inlineStr">
        <is>
          <t>HC-100797</t>
        </is>
      </c>
      <c r="B799" s="18" t="n">
        <v>45387</v>
      </c>
      <c r="C799" s="13" t="inlineStr">
        <is>
          <t>West</t>
        </is>
      </c>
      <c r="D799" s="13" t="inlineStr">
        <is>
          <t>Store</t>
        </is>
      </c>
      <c r="E799" s="13" t="inlineStr">
        <is>
          <t>Lighting</t>
        </is>
      </c>
      <c r="F799" s="13" t="inlineStr">
        <is>
          <t>Arc Lamp</t>
        </is>
      </c>
      <c r="G799" s="13" t="inlineStr">
        <is>
          <t>Corporate</t>
        </is>
      </c>
      <c r="H799" s="13" t="n">
        <v>3</v>
      </c>
      <c r="I799" s="14" t="n">
        <v>314.75</v>
      </c>
      <c r="J799" s="15" t="n">
        <v>0.07000000000000001</v>
      </c>
      <c r="K799" s="14" t="n">
        <v>151.08</v>
      </c>
      <c r="L799" s="13" t="n">
        <v>7</v>
      </c>
      <c r="M799" s="13" t="inlineStr">
        <is>
          <t>Completed</t>
        </is>
      </c>
      <c r="N799" s="13" t="inlineStr">
        <is>
          <t>P. Rossi</t>
        </is>
      </c>
      <c r="O799" s="13" t="inlineStr">
        <is>
          <t>No</t>
        </is>
      </c>
      <c r="P799" s="14">
        <f>H799*I799</f>
        <v/>
      </c>
      <c r="Q799" s="14">
        <f>P799*(1-J799)</f>
        <v/>
      </c>
      <c r="R799" s="14">
        <f>H799*K799</f>
        <v/>
      </c>
      <c r="S799" s="15">
        <f>IF(Q799=0,"",(Q799-R799)/Q799)</f>
        <v/>
      </c>
      <c r="T799" s="13">
        <f>YEAR(B799)</f>
        <v/>
      </c>
      <c r="U799" s="13">
        <f>YEAR(B799)&amp;"-Q"&amp;ROUNDUP(MONTH(B799)/3,0)</f>
        <v/>
      </c>
      <c r="V799" s="13">
        <f>TEXT(B799,"YYYY-MM")</f>
        <v/>
      </c>
      <c r="W799" s="13">
        <f>IF(L799="","",IF(L799&gt;pLateDays,1,0))</f>
        <v/>
      </c>
      <c r="X799" s="13">
        <f>IF(Q799&gt;=pHighCutoff,1,0)</f>
        <v/>
      </c>
      <c r="Y799" s="13">
        <f>IF(M799="Returned",1,0)</f>
        <v/>
      </c>
    </row>
    <row r="800">
      <c r="A800" s="13" t="inlineStr">
        <is>
          <t>HC-100798</t>
        </is>
      </c>
      <c r="B800" s="18" t="n">
        <v>45841</v>
      </c>
      <c r="C800" s="13" t="inlineStr">
        <is>
          <t>West</t>
        </is>
      </c>
      <c r="D800" s="13" t="inlineStr">
        <is>
          <t>Wholesale</t>
        </is>
      </c>
      <c r="E800" s="13" t="inlineStr">
        <is>
          <t>Kitchen</t>
        </is>
      </c>
      <c r="F800" s="13" t="inlineStr">
        <is>
          <t>Chef Knife</t>
        </is>
      </c>
      <c r="G800" s="13" t="inlineStr">
        <is>
          <t>Consumer</t>
        </is>
      </c>
      <c r="H800" s="13" t="n">
        <v>25</v>
      </c>
      <c r="I800" s="14" t="n">
        <v>60.57</v>
      </c>
      <c r="J800" s="15" t="n">
        <v>0.15</v>
      </c>
      <c r="K800" s="14" t="n">
        <v>21.8</v>
      </c>
      <c r="L800" s="13" t="n"/>
      <c r="M800" s="13" t="inlineStr">
        <is>
          <t>Completed</t>
        </is>
      </c>
      <c r="N800" s="13" t="inlineStr">
        <is>
          <t>R. Ibarra</t>
        </is>
      </c>
      <c r="O800" s="13" t="inlineStr">
        <is>
          <t>No</t>
        </is>
      </c>
      <c r="P800" s="14">
        <f>H800*I800</f>
        <v/>
      </c>
      <c r="Q800" s="14">
        <f>P800*(1-J800)</f>
        <v/>
      </c>
      <c r="R800" s="14">
        <f>H800*K800</f>
        <v/>
      </c>
      <c r="S800" s="15">
        <f>IF(Q800=0,"",(Q800-R800)/Q800)</f>
        <v/>
      </c>
      <c r="T800" s="13">
        <f>YEAR(B800)</f>
        <v/>
      </c>
      <c r="U800" s="13">
        <f>YEAR(B800)&amp;"-Q"&amp;ROUNDUP(MONTH(B800)/3,0)</f>
        <v/>
      </c>
      <c r="V800" s="13">
        <f>TEXT(B800,"YYYY-MM")</f>
        <v/>
      </c>
      <c r="W800" s="13">
        <f>IF(L800="","",IF(L800&gt;pLateDays,1,0))</f>
        <v/>
      </c>
      <c r="X800" s="13">
        <f>IF(Q800&gt;=pHighCutoff,1,0)</f>
        <v/>
      </c>
      <c r="Y800" s="13">
        <f>IF(M800="Returned",1,0)</f>
        <v/>
      </c>
    </row>
    <row r="801">
      <c r="A801" s="13" t="inlineStr">
        <is>
          <t>HC-100799</t>
        </is>
      </c>
      <c r="B801" s="18" t="n">
        <v>45806</v>
      </c>
      <c r="C801" s="13" t="inlineStr">
        <is>
          <t>West</t>
        </is>
      </c>
      <c r="D801" s="13" t="inlineStr">
        <is>
          <t>Wholesale</t>
        </is>
      </c>
      <c r="E801" s="13" t="inlineStr">
        <is>
          <t>Furniture</t>
        </is>
      </c>
      <c r="F801" s="13" t="inlineStr">
        <is>
          <t>Oak Desk</t>
        </is>
      </c>
      <c r="G801" s="13" t="inlineStr">
        <is>
          <t>Home Office</t>
        </is>
      </c>
      <c r="H801" s="13" t="n">
        <v>35</v>
      </c>
      <c r="I801" s="14" t="n">
        <v>778.33</v>
      </c>
      <c r="J801" s="15" t="n">
        <v>0.15</v>
      </c>
      <c r="K801" s="14" t="n">
        <v>482.56</v>
      </c>
      <c r="L801" s="13" t="n">
        <v>5</v>
      </c>
      <c r="M801" s="13" t="inlineStr">
        <is>
          <t>Completed</t>
        </is>
      </c>
      <c r="N801" s="13" t="inlineStr">
        <is>
          <t>K. Mensah</t>
        </is>
      </c>
      <c r="O801" s="13" t="inlineStr">
        <is>
          <t>No</t>
        </is>
      </c>
      <c r="P801" s="14">
        <f>H801*I801</f>
        <v/>
      </c>
      <c r="Q801" s="14">
        <f>P801*(1-J801)</f>
        <v/>
      </c>
      <c r="R801" s="14">
        <f>H801*K801</f>
        <v/>
      </c>
      <c r="S801" s="15">
        <f>IF(Q801=0,"",(Q801-R801)/Q801)</f>
        <v/>
      </c>
      <c r="T801" s="13">
        <f>YEAR(B801)</f>
        <v/>
      </c>
      <c r="U801" s="13">
        <f>YEAR(B801)&amp;"-Q"&amp;ROUNDUP(MONTH(B801)/3,0)</f>
        <v/>
      </c>
      <c r="V801" s="13">
        <f>TEXT(B801,"YYYY-MM")</f>
        <v/>
      </c>
      <c r="W801" s="13">
        <f>IF(L801="","",IF(L801&gt;pLateDays,1,0))</f>
        <v/>
      </c>
      <c r="X801" s="13">
        <f>IF(Q801&gt;=pHighCutoff,1,0)</f>
        <v/>
      </c>
      <c r="Y801" s="13">
        <f>IF(M801="Returned",1,0)</f>
        <v/>
      </c>
    </row>
    <row r="802">
      <c r="A802" s="13" t="inlineStr">
        <is>
          <t>HC-100800</t>
        </is>
      </c>
      <c r="B802" s="18" t="n">
        <v>45506</v>
      </c>
      <c r="C802" s="13" t="inlineStr">
        <is>
          <t>East</t>
        </is>
      </c>
      <c r="D802" s="13" t="inlineStr">
        <is>
          <t>Online</t>
        </is>
      </c>
      <c r="E802" s="13" t="inlineStr">
        <is>
          <t>Furniture</t>
        </is>
      </c>
      <c r="F802" s="13" t="inlineStr">
        <is>
          <t>Lounge Chair</t>
        </is>
      </c>
      <c r="G802" s="13" t="inlineStr">
        <is>
          <t>Consumer</t>
        </is>
      </c>
      <c r="H802" s="13" t="n">
        <v>1</v>
      </c>
      <c r="I802" s="14" t="n">
        <v>449.65</v>
      </c>
      <c r="J802" s="15" t="n">
        <v>0.17</v>
      </c>
      <c r="K802" s="14" t="n">
        <v>269.79</v>
      </c>
      <c r="L802" s="13" t="n">
        <v>10</v>
      </c>
      <c r="M802" s="13" t="inlineStr">
        <is>
          <t>Completed</t>
        </is>
      </c>
      <c r="N802" s="13" t="inlineStr">
        <is>
          <t>A. Shah</t>
        </is>
      </c>
      <c r="O802" s="13" t="inlineStr">
        <is>
          <t>No</t>
        </is>
      </c>
      <c r="P802" s="14">
        <f>H802*I802</f>
        <v/>
      </c>
      <c r="Q802" s="14">
        <f>P802*(1-J802)</f>
        <v/>
      </c>
      <c r="R802" s="14">
        <f>H802*K802</f>
        <v/>
      </c>
      <c r="S802" s="15">
        <f>IF(Q802=0,"",(Q802-R802)/Q802)</f>
        <v/>
      </c>
      <c r="T802" s="13">
        <f>YEAR(B802)</f>
        <v/>
      </c>
      <c r="U802" s="13">
        <f>YEAR(B802)&amp;"-Q"&amp;ROUNDUP(MONTH(B802)/3,0)</f>
        <v/>
      </c>
      <c r="V802" s="13">
        <f>TEXT(B802,"YYYY-MM")</f>
        <v/>
      </c>
      <c r="W802" s="13">
        <f>IF(L802="","",IF(L802&gt;pLateDays,1,0))</f>
        <v/>
      </c>
      <c r="X802" s="13">
        <f>IF(Q802&gt;=pHighCutoff,1,0)</f>
        <v/>
      </c>
      <c r="Y802" s="13">
        <f>IF(M802="Returned",1,0)</f>
        <v/>
      </c>
    </row>
    <row r="803">
      <c r="A803" s="13" t="inlineStr">
        <is>
          <t>HC-100801</t>
        </is>
      </c>
      <c r="B803" s="18" t="n">
        <v>45902</v>
      </c>
      <c r="C803" s="13" t="inlineStr">
        <is>
          <t>West</t>
        </is>
      </c>
      <c r="D803" s="13" t="inlineStr">
        <is>
          <t>Store</t>
        </is>
      </c>
      <c r="E803" s="13" t="inlineStr">
        <is>
          <t>Textiles</t>
        </is>
      </c>
      <c r="F803" s="13" t="inlineStr">
        <is>
          <t>Cotton Duvet</t>
        </is>
      </c>
      <c r="G803" s="13" t="inlineStr">
        <is>
          <t>Consumer</t>
        </is>
      </c>
      <c r="H803" s="13" t="n">
        <v>4</v>
      </c>
      <c r="I803" s="14" t="n">
        <v>117.28</v>
      </c>
      <c r="J803" s="15" t="n">
        <v>0.08</v>
      </c>
      <c r="K803" s="14" t="n">
        <v>51.6</v>
      </c>
      <c r="L803" s="13" t="n">
        <v>5</v>
      </c>
      <c r="M803" s="13" t="inlineStr">
        <is>
          <t>Completed</t>
        </is>
      </c>
      <c r="N803" s="13" t="inlineStr">
        <is>
          <t>R. Ibarra</t>
        </is>
      </c>
      <c r="O803" s="13" t="inlineStr">
        <is>
          <t>No</t>
        </is>
      </c>
      <c r="P803" s="14">
        <f>H803*I803</f>
        <v/>
      </c>
      <c r="Q803" s="14">
        <f>P803*(1-J803)</f>
        <v/>
      </c>
      <c r="R803" s="14">
        <f>H803*K803</f>
        <v/>
      </c>
      <c r="S803" s="15">
        <f>IF(Q803=0,"",(Q803-R803)/Q803)</f>
        <v/>
      </c>
      <c r="T803" s="13">
        <f>YEAR(B803)</f>
        <v/>
      </c>
      <c r="U803" s="13">
        <f>YEAR(B803)&amp;"-Q"&amp;ROUNDUP(MONTH(B803)/3,0)</f>
        <v/>
      </c>
      <c r="V803" s="13">
        <f>TEXT(B803,"YYYY-MM")</f>
        <v/>
      </c>
      <c r="W803" s="13">
        <f>IF(L803="","",IF(L803&gt;pLateDays,1,0))</f>
        <v/>
      </c>
      <c r="X803" s="13">
        <f>IF(Q803&gt;=pHighCutoff,1,0)</f>
        <v/>
      </c>
      <c r="Y803" s="13">
        <f>IF(M803="Returned",1,0)</f>
        <v/>
      </c>
    </row>
    <row r="804">
      <c r="A804" s="13" t="inlineStr">
        <is>
          <t>HC-100802</t>
        </is>
      </c>
      <c r="B804" s="18" t="n">
        <v>45536</v>
      </c>
      <c r="C804" s="13" t="inlineStr">
        <is>
          <t>West</t>
        </is>
      </c>
      <c r="D804" s="13" t="inlineStr">
        <is>
          <t>Wholesale</t>
        </is>
      </c>
      <c r="E804" s="13" t="inlineStr">
        <is>
          <t>Furniture</t>
        </is>
      </c>
      <c r="F804" s="13" t="inlineStr">
        <is>
          <t>Walnut Shelf</t>
        </is>
      </c>
      <c r="G804" s="13" t="inlineStr">
        <is>
          <t>Consumer</t>
        </is>
      </c>
      <c r="H804" s="13" t="n">
        <v>12</v>
      </c>
      <c r="I804" s="14" t="n">
        <v>218.4</v>
      </c>
      <c r="J804" s="15" t="n">
        <v>0.27</v>
      </c>
      <c r="K804" s="14" t="n">
        <v>120.12</v>
      </c>
      <c r="L804" s="13" t="n">
        <v>5</v>
      </c>
      <c r="M804" s="13" t="inlineStr">
        <is>
          <t>Completed</t>
        </is>
      </c>
      <c r="N804" s="13" t="inlineStr">
        <is>
          <t>L. Berger</t>
        </is>
      </c>
      <c r="O804" s="13" t="inlineStr">
        <is>
          <t>No</t>
        </is>
      </c>
      <c r="P804" s="14">
        <f>H804*I804</f>
        <v/>
      </c>
      <c r="Q804" s="14">
        <f>P804*(1-J804)</f>
        <v/>
      </c>
      <c r="R804" s="14">
        <f>H804*K804</f>
        <v/>
      </c>
      <c r="S804" s="15">
        <f>IF(Q804=0,"",(Q804-R804)/Q804)</f>
        <v/>
      </c>
      <c r="T804" s="13">
        <f>YEAR(B804)</f>
        <v/>
      </c>
      <c r="U804" s="13">
        <f>YEAR(B804)&amp;"-Q"&amp;ROUNDUP(MONTH(B804)/3,0)</f>
        <v/>
      </c>
      <c r="V804" s="13">
        <f>TEXT(B804,"YYYY-MM")</f>
        <v/>
      </c>
      <c r="W804" s="13">
        <f>IF(L804="","",IF(L804&gt;pLateDays,1,0))</f>
        <v/>
      </c>
      <c r="X804" s="13">
        <f>IF(Q804&gt;=pHighCutoff,1,0)</f>
        <v/>
      </c>
      <c r="Y804" s="13">
        <f>IF(M804="Returned",1,0)</f>
        <v/>
      </c>
    </row>
    <row r="805">
      <c r="A805" s="13" t="inlineStr">
        <is>
          <t>HC-100803</t>
        </is>
      </c>
      <c r="B805" s="18" t="n">
        <v>45460</v>
      </c>
      <c r="C805" s="13" t="inlineStr">
        <is>
          <t>West</t>
        </is>
      </c>
      <c r="D805" s="13" t="inlineStr">
        <is>
          <t>Store</t>
        </is>
      </c>
      <c r="E805" s="13" t="inlineStr">
        <is>
          <t>Lighting</t>
        </is>
      </c>
      <c r="F805" s="13" t="inlineStr">
        <is>
          <t>Brass Sconce</t>
        </is>
      </c>
      <c r="G805" s="13" t="inlineStr">
        <is>
          <t>Consumer</t>
        </is>
      </c>
      <c r="H805" s="13" t="n">
        <v>4</v>
      </c>
      <c r="I805" s="14" t="n">
        <v>146.91</v>
      </c>
      <c r="J805" s="15" t="n">
        <v>0.02</v>
      </c>
      <c r="K805" s="14" t="n">
        <v>67.58</v>
      </c>
      <c r="L805" s="13" t="n">
        <v>5</v>
      </c>
      <c r="M805" s="13" t="inlineStr">
        <is>
          <t>Completed</t>
        </is>
      </c>
      <c r="N805" s="13" t="inlineStr">
        <is>
          <t>J. Patel</t>
        </is>
      </c>
      <c r="O805" s="13" t="inlineStr">
        <is>
          <t>No</t>
        </is>
      </c>
      <c r="P805" s="14">
        <f>H805*I805</f>
        <v/>
      </c>
      <c r="Q805" s="14">
        <f>P805*(1-J805)</f>
        <v/>
      </c>
      <c r="R805" s="14">
        <f>H805*K805</f>
        <v/>
      </c>
      <c r="S805" s="15">
        <f>IF(Q805=0,"",(Q805-R805)/Q805)</f>
        <v/>
      </c>
      <c r="T805" s="13">
        <f>YEAR(B805)</f>
        <v/>
      </c>
      <c r="U805" s="13">
        <f>YEAR(B805)&amp;"-Q"&amp;ROUNDUP(MONTH(B805)/3,0)</f>
        <v/>
      </c>
      <c r="V805" s="13">
        <f>TEXT(B805,"YYYY-MM")</f>
        <v/>
      </c>
      <c r="W805" s="13">
        <f>IF(L805="","",IF(L805&gt;pLateDays,1,0))</f>
        <v/>
      </c>
      <c r="X805" s="13">
        <f>IF(Q805&gt;=pHighCutoff,1,0)</f>
        <v/>
      </c>
      <c r="Y805" s="13">
        <f>IF(M805="Returned",1,0)</f>
        <v/>
      </c>
    </row>
    <row r="806">
      <c r="A806" s="13" t="inlineStr">
        <is>
          <t>HC-100804</t>
        </is>
      </c>
      <c r="B806" s="18" t="n">
        <v>45838</v>
      </c>
      <c r="C806" s="13" t="inlineStr">
        <is>
          <t>North</t>
        </is>
      </c>
      <c r="D806" s="13" t="inlineStr">
        <is>
          <t>Online</t>
        </is>
      </c>
      <c r="E806" s="13" t="inlineStr">
        <is>
          <t>Lighting</t>
        </is>
      </c>
      <c r="F806" s="13" t="inlineStr">
        <is>
          <t>Pendant Light</t>
        </is>
      </c>
      <c r="G806" s="13" t="inlineStr">
        <is>
          <t>Consumer</t>
        </is>
      </c>
      <c r="H806" s="13" t="n">
        <v>2</v>
      </c>
      <c r="I806" s="14" t="n">
        <v>191.29</v>
      </c>
      <c r="J806" s="15" t="n">
        <v>0.17</v>
      </c>
      <c r="K806" s="14" t="n">
        <v>95.64</v>
      </c>
      <c r="L806" s="13" t="n">
        <v>9</v>
      </c>
      <c r="M806" s="13" t="inlineStr">
        <is>
          <t>Completed</t>
        </is>
      </c>
      <c r="N806" s="13" t="inlineStr">
        <is>
          <t>K. Mensah</t>
        </is>
      </c>
      <c r="O806" s="13" t="inlineStr">
        <is>
          <t>No</t>
        </is>
      </c>
      <c r="P806" s="14">
        <f>H806*I806</f>
        <v/>
      </c>
      <c r="Q806" s="14">
        <f>P806*(1-J806)</f>
        <v/>
      </c>
      <c r="R806" s="14">
        <f>H806*K806</f>
        <v/>
      </c>
      <c r="S806" s="15">
        <f>IF(Q806=0,"",(Q806-R806)/Q806)</f>
        <v/>
      </c>
      <c r="T806" s="13">
        <f>YEAR(B806)</f>
        <v/>
      </c>
      <c r="U806" s="13">
        <f>YEAR(B806)&amp;"-Q"&amp;ROUNDUP(MONTH(B806)/3,0)</f>
        <v/>
      </c>
      <c r="V806" s="13">
        <f>TEXT(B806,"YYYY-MM")</f>
        <v/>
      </c>
      <c r="W806" s="13">
        <f>IF(L806="","",IF(L806&gt;pLateDays,1,0))</f>
        <v/>
      </c>
      <c r="X806" s="13">
        <f>IF(Q806&gt;=pHighCutoff,1,0)</f>
        <v/>
      </c>
      <c r="Y806" s="13">
        <f>IF(M806="Returned",1,0)</f>
        <v/>
      </c>
    </row>
    <row r="807">
      <c r="A807" s="13" t="inlineStr">
        <is>
          <t>HC-100805</t>
        </is>
      </c>
      <c r="B807" s="18" t="n">
        <v>45908</v>
      </c>
      <c r="C807" s="13" t="inlineStr">
        <is>
          <t>East</t>
        </is>
      </c>
      <c r="D807" s="13" t="inlineStr">
        <is>
          <t>Wholesale</t>
        </is>
      </c>
      <c r="E807" s="13" t="inlineStr">
        <is>
          <t>Kitchen</t>
        </is>
      </c>
      <c r="F807" s="13" t="inlineStr">
        <is>
          <t>Ceramic Set</t>
        </is>
      </c>
      <c r="G807" s="13" t="inlineStr">
        <is>
          <t>Consumer</t>
        </is>
      </c>
      <c r="H807" s="13" t="n">
        <v>34</v>
      </c>
      <c r="I807" s="14" t="n">
        <v>82.03</v>
      </c>
      <c r="J807" s="15" t="n">
        <v>0.22</v>
      </c>
      <c r="K807" s="14" t="n">
        <v>31.17</v>
      </c>
      <c r="L807" s="13" t="n">
        <v>8</v>
      </c>
      <c r="M807" s="13" t="inlineStr">
        <is>
          <t>Completed</t>
        </is>
      </c>
      <c r="N807" s="13" t="inlineStr">
        <is>
          <t>A. Shah</t>
        </is>
      </c>
      <c r="O807" s="13" t="inlineStr">
        <is>
          <t>No</t>
        </is>
      </c>
      <c r="P807" s="14">
        <f>H807*I807</f>
        <v/>
      </c>
      <c r="Q807" s="14">
        <f>P807*(1-J807)</f>
        <v/>
      </c>
      <c r="R807" s="14">
        <f>H807*K807</f>
        <v/>
      </c>
      <c r="S807" s="15">
        <f>IF(Q807=0,"",(Q807-R807)/Q807)</f>
        <v/>
      </c>
      <c r="T807" s="13">
        <f>YEAR(B807)</f>
        <v/>
      </c>
      <c r="U807" s="13">
        <f>YEAR(B807)&amp;"-Q"&amp;ROUNDUP(MONTH(B807)/3,0)</f>
        <v/>
      </c>
      <c r="V807" s="13">
        <f>TEXT(B807,"YYYY-MM")</f>
        <v/>
      </c>
      <c r="W807" s="13">
        <f>IF(L807="","",IF(L807&gt;pLateDays,1,0))</f>
        <v/>
      </c>
      <c r="X807" s="13">
        <f>IF(Q807&gt;=pHighCutoff,1,0)</f>
        <v/>
      </c>
      <c r="Y807" s="13">
        <f>IF(M807="Returned",1,0)</f>
        <v/>
      </c>
    </row>
    <row r="808">
      <c r="A808" s="13" t="inlineStr">
        <is>
          <t>HC-100806</t>
        </is>
      </c>
      <c r="B808" s="18" t="n">
        <v>45529</v>
      </c>
      <c r="C808" s="13" t="inlineStr">
        <is>
          <t>North</t>
        </is>
      </c>
      <c r="D808" s="13" t="inlineStr">
        <is>
          <t>Online</t>
        </is>
      </c>
      <c r="E808" s="13" t="inlineStr">
        <is>
          <t>Kitchen</t>
        </is>
      </c>
      <c r="F808" s="13" t="inlineStr">
        <is>
          <t>Ceramic Set</t>
        </is>
      </c>
      <c r="G808" s="13" t="inlineStr">
        <is>
          <t>Consumer</t>
        </is>
      </c>
      <c r="H808" s="13" t="n">
        <v>1</v>
      </c>
      <c r="I808" s="14" t="n">
        <v>83.67</v>
      </c>
      <c r="J808" s="15" t="n">
        <v>0.17</v>
      </c>
      <c r="K808" s="14" t="n">
        <v>31.79</v>
      </c>
      <c r="L808" s="13" t="n">
        <v>6</v>
      </c>
      <c r="M808" s="13" t="inlineStr">
        <is>
          <t>Completed</t>
        </is>
      </c>
      <c r="N808" s="13" t="inlineStr">
        <is>
          <t>M. Okonkwo</t>
        </is>
      </c>
      <c r="O808" s="13" t="inlineStr">
        <is>
          <t>No</t>
        </is>
      </c>
      <c r="P808" s="14">
        <f>H808*I808</f>
        <v/>
      </c>
      <c r="Q808" s="14">
        <f>P808*(1-J808)</f>
        <v/>
      </c>
      <c r="R808" s="14">
        <f>H808*K808</f>
        <v/>
      </c>
      <c r="S808" s="15">
        <f>IF(Q808=0,"",(Q808-R808)/Q808)</f>
        <v/>
      </c>
      <c r="T808" s="13">
        <f>YEAR(B808)</f>
        <v/>
      </c>
      <c r="U808" s="13">
        <f>YEAR(B808)&amp;"-Q"&amp;ROUNDUP(MONTH(B808)/3,0)</f>
        <v/>
      </c>
      <c r="V808" s="13">
        <f>TEXT(B808,"YYYY-MM")</f>
        <v/>
      </c>
      <c r="W808" s="13">
        <f>IF(L808="","",IF(L808&gt;pLateDays,1,0))</f>
        <v/>
      </c>
      <c r="X808" s="13">
        <f>IF(Q808&gt;=pHighCutoff,1,0)</f>
        <v/>
      </c>
      <c r="Y808" s="13">
        <f>IF(M808="Returned",1,0)</f>
        <v/>
      </c>
    </row>
    <row r="809">
      <c r="A809" s="13" t="inlineStr">
        <is>
          <t>HC-100807</t>
        </is>
      </c>
      <c r="B809" s="18" t="n">
        <v>45635</v>
      </c>
      <c r="C809" s="13" t="inlineStr">
        <is>
          <t>North</t>
        </is>
      </c>
      <c r="D809" s="13" t="inlineStr">
        <is>
          <t>Online</t>
        </is>
      </c>
      <c r="E809" s="13" t="inlineStr">
        <is>
          <t>Kitchen</t>
        </is>
      </c>
      <c r="F809" s="13" t="inlineStr">
        <is>
          <t>Ceramic Set</t>
        </is>
      </c>
      <c r="G809" s="13" t="inlineStr">
        <is>
          <t>Consumer</t>
        </is>
      </c>
      <c r="H809" s="13" t="n">
        <v>4</v>
      </c>
      <c r="I809" s="14" t="n">
        <v>82.38</v>
      </c>
      <c r="J809" s="15" t="n">
        <v>0.08</v>
      </c>
      <c r="K809" s="14" t="n">
        <v>31.3</v>
      </c>
      <c r="L809" s="13" t="n">
        <v>8</v>
      </c>
      <c r="M809" s="13" t="inlineStr">
        <is>
          <t>Completed</t>
        </is>
      </c>
      <c r="N809" s="13" t="inlineStr">
        <is>
          <t>S. Nguyen</t>
        </is>
      </c>
      <c r="O809" s="13" t="inlineStr">
        <is>
          <t>No</t>
        </is>
      </c>
      <c r="P809" s="14">
        <f>H809*I809</f>
        <v/>
      </c>
      <c r="Q809" s="14">
        <f>P809*(1-J809)</f>
        <v/>
      </c>
      <c r="R809" s="14">
        <f>H809*K809</f>
        <v/>
      </c>
      <c r="S809" s="15">
        <f>IF(Q809=0,"",(Q809-R809)/Q809)</f>
        <v/>
      </c>
      <c r="T809" s="13">
        <f>YEAR(B809)</f>
        <v/>
      </c>
      <c r="U809" s="13">
        <f>YEAR(B809)&amp;"-Q"&amp;ROUNDUP(MONTH(B809)/3,0)</f>
        <v/>
      </c>
      <c r="V809" s="13">
        <f>TEXT(B809,"YYYY-MM")</f>
        <v/>
      </c>
      <c r="W809" s="13">
        <f>IF(L809="","",IF(L809&gt;pLateDays,1,0))</f>
        <v/>
      </c>
      <c r="X809" s="13">
        <f>IF(Q809&gt;=pHighCutoff,1,0)</f>
        <v/>
      </c>
      <c r="Y809" s="13">
        <f>IF(M809="Returned",1,0)</f>
        <v/>
      </c>
    </row>
    <row r="810">
      <c r="A810" s="13" t="inlineStr">
        <is>
          <t>HC-100808</t>
        </is>
      </c>
      <c r="B810" s="18" t="n">
        <v>45341</v>
      </c>
      <c r="C810" s="13" t="inlineStr">
        <is>
          <t>West</t>
        </is>
      </c>
      <c r="D810" s="13" t="inlineStr">
        <is>
          <t>Online</t>
        </is>
      </c>
      <c r="E810" s="13" t="inlineStr">
        <is>
          <t>Furniture</t>
        </is>
      </c>
      <c r="F810" s="13" t="inlineStr">
        <is>
          <t>Lounge Chair</t>
        </is>
      </c>
      <c r="G810" s="13" t="inlineStr">
        <is>
          <t>Consumer</t>
        </is>
      </c>
      <c r="H810" s="13" t="n">
        <v>1</v>
      </c>
      <c r="I810" s="14" t="n">
        <v>453.1</v>
      </c>
      <c r="J810" s="15" t="n">
        <v>0.14</v>
      </c>
      <c r="K810" s="14" t="n">
        <v>271.86</v>
      </c>
      <c r="L810" s="13" t="n">
        <v>9</v>
      </c>
      <c r="M810" s="13" t="inlineStr">
        <is>
          <t>Completed</t>
        </is>
      </c>
      <c r="N810" s="13" t="inlineStr">
        <is>
          <t>M. Okonkwo</t>
        </is>
      </c>
      <c r="O810" s="13" t="inlineStr">
        <is>
          <t>No</t>
        </is>
      </c>
      <c r="P810" s="14">
        <f>H810*I810</f>
        <v/>
      </c>
      <c r="Q810" s="14">
        <f>P810*(1-J810)</f>
        <v/>
      </c>
      <c r="R810" s="14">
        <f>H810*K810</f>
        <v/>
      </c>
      <c r="S810" s="15">
        <f>IF(Q810=0,"",(Q810-R810)/Q810)</f>
        <v/>
      </c>
      <c r="T810" s="13">
        <f>YEAR(B810)</f>
        <v/>
      </c>
      <c r="U810" s="13">
        <f>YEAR(B810)&amp;"-Q"&amp;ROUNDUP(MONTH(B810)/3,0)</f>
        <v/>
      </c>
      <c r="V810" s="13">
        <f>TEXT(B810,"YYYY-MM")</f>
        <v/>
      </c>
      <c r="W810" s="13">
        <f>IF(L810="","",IF(L810&gt;pLateDays,1,0))</f>
        <v/>
      </c>
      <c r="X810" s="13">
        <f>IF(Q810&gt;=pHighCutoff,1,0)</f>
        <v/>
      </c>
      <c r="Y810" s="13">
        <f>IF(M810="Returned",1,0)</f>
        <v/>
      </c>
    </row>
    <row r="811">
      <c r="A811" s="13" t="inlineStr">
        <is>
          <t>HC-100809</t>
        </is>
      </c>
      <c r="B811" s="18" t="n">
        <v>45635</v>
      </c>
      <c r="C811" s="13" t="inlineStr">
        <is>
          <t>South</t>
        </is>
      </c>
      <c r="D811" s="13" t="inlineStr">
        <is>
          <t>Wholesale</t>
        </is>
      </c>
      <c r="E811" s="13" t="inlineStr">
        <is>
          <t>Furniture</t>
        </is>
      </c>
      <c r="F811" s="13" t="inlineStr">
        <is>
          <t>Linen Sofa</t>
        </is>
      </c>
      <c r="G811" s="13" t="inlineStr">
        <is>
          <t>Consumer</t>
        </is>
      </c>
      <c r="H811" s="13" t="n">
        <v>15</v>
      </c>
      <c r="I811" s="14" t="n">
        <v>1252.86</v>
      </c>
      <c r="J811" s="15" t="n">
        <v>0.25</v>
      </c>
      <c r="K811" s="14" t="n">
        <v>826.89</v>
      </c>
      <c r="L811" s="13" t="n">
        <v>9</v>
      </c>
      <c r="M811" s="13" t="inlineStr">
        <is>
          <t>Completed</t>
        </is>
      </c>
      <c r="N811" s="13" t="inlineStr">
        <is>
          <t>L. Berger</t>
        </is>
      </c>
      <c r="O811" s="13" t="inlineStr">
        <is>
          <t>No</t>
        </is>
      </c>
      <c r="P811" s="14">
        <f>H811*I811</f>
        <v/>
      </c>
      <c r="Q811" s="14">
        <f>P811*(1-J811)</f>
        <v/>
      </c>
      <c r="R811" s="14">
        <f>H811*K811</f>
        <v/>
      </c>
      <c r="S811" s="15">
        <f>IF(Q811=0,"",(Q811-R811)/Q811)</f>
        <v/>
      </c>
      <c r="T811" s="13">
        <f>YEAR(B811)</f>
        <v/>
      </c>
      <c r="U811" s="13">
        <f>YEAR(B811)&amp;"-Q"&amp;ROUNDUP(MONTH(B811)/3,0)</f>
        <v/>
      </c>
      <c r="V811" s="13">
        <f>TEXT(B811,"YYYY-MM")</f>
        <v/>
      </c>
      <c r="W811" s="13">
        <f>IF(L811="","",IF(L811&gt;pLateDays,1,0))</f>
        <v/>
      </c>
      <c r="X811" s="13">
        <f>IF(Q811&gt;=pHighCutoff,1,0)</f>
        <v/>
      </c>
      <c r="Y811" s="13">
        <f>IF(M811="Returned",1,0)</f>
        <v/>
      </c>
    </row>
    <row r="812">
      <c r="A812" s="13" t="inlineStr">
        <is>
          <t>HC-100810</t>
        </is>
      </c>
      <c r="B812" s="18" t="n">
        <v>45865</v>
      </c>
      <c r="C812" s="13" t="inlineStr">
        <is>
          <t>West</t>
        </is>
      </c>
      <c r="D812" s="13" t="inlineStr">
        <is>
          <t>Store</t>
        </is>
      </c>
      <c r="E812" s="13" t="inlineStr">
        <is>
          <t>Kitchen</t>
        </is>
      </c>
      <c r="F812" s="13" t="inlineStr">
        <is>
          <t>Cast Skillet</t>
        </is>
      </c>
      <c r="G812" s="13" t="inlineStr">
        <is>
          <t>Consumer</t>
        </is>
      </c>
      <c r="H812" s="13" t="n">
        <v>3</v>
      </c>
      <c r="I812" s="14" t="n">
        <v>56.52</v>
      </c>
      <c r="J812" s="15" t="n">
        <v>0.09</v>
      </c>
      <c r="K812" s="14" t="n">
        <v>22.61</v>
      </c>
      <c r="L812" s="13" t="n">
        <v>7</v>
      </c>
      <c r="M812" s="13" t="inlineStr">
        <is>
          <t>Completed</t>
        </is>
      </c>
      <c r="N812" s="13" t="inlineStr">
        <is>
          <t>R. Ibarra</t>
        </is>
      </c>
      <c r="O812" s="13" t="inlineStr">
        <is>
          <t>No</t>
        </is>
      </c>
      <c r="P812" s="14">
        <f>H812*I812</f>
        <v/>
      </c>
      <c r="Q812" s="14">
        <f>P812*(1-J812)</f>
        <v/>
      </c>
      <c r="R812" s="14">
        <f>H812*K812</f>
        <v/>
      </c>
      <c r="S812" s="15">
        <f>IF(Q812=0,"",(Q812-R812)/Q812)</f>
        <v/>
      </c>
      <c r="T812" s="13">
        <f>YEAR(B812)</f>
        <v/>
      </c>
      <c r="U812" s="13">
        <f>YEAR(B812)&amp;"-Q"&amp;ROUNDUP(MONTH(B812)/3,0)</f>
        <v/>
      </c>
      <c r="V812" s="13">
        <f>TEXT(B812,"YYYY-MM")</f>
        <v/>
      </c>
      <c r="W812" s="13">
        <f>IF(L812="","",IF(L812&gt;pLateDays,1,0))</f>
        <v/>
      </c>
      <c r="X812" s="13">
        <f>IF(Q812&gt;=pHighCutoff,1,0)</f>
        <v/>
      </c>
      <c r="Y812" s="13">
        <f>IF(M812="Returned",1,0)</f>
        <v/>
      </c>
    </row>
    <row r="813">
      <c r="A813" s="13" t="inlineStr">
        <is>
          <t>HC-100811</t>
        </is>
      </c>
      <c r="B813" s="18" t="n">
        <v>45566</v>
      </c>
      <c r="C813" s="13" t="inlineStr">
        <is>
          <t>West</t>
        </is>
      </c>
      <c r="D813" s="13" t="inlineStr">
        <is>
          <t>Online</t>
        </is>
      </c>
      <c r="E813" s="13" t="inlineStr">
        <is>
          <t>Furniture</t>
        </is>
      </c>
      <c r="F813" s="13" t="inlineStr">
        <is>
          <t>Walnut Shelf</t>
        </is>
      </c>
      <c r="G813" s="13" t="inlineStr">
        <is>
          <t>Corporate</t>
        </is>
      </c>
      <c r="H813" s="13" t="n">
        <v>2</v>
      </c>
      <c r="I813" s="14" t="n">
        <v>228.63</v>
      </c>
      <c r="J813" s="15" t="n">
        <v>0.16</v>
      </c>
      <c r="K813" s="14" t="n">
        <v>125.75</v>
      </c>
      <c r="L813" s="13" t="n">
        <v>8</v>
      </c>
      <c r="M813" s="13" t="inlineStr">
        <is>
          <t>Completed</t>
        </is>
      </c>
      <c r="N813" s="13" t="inlineStr">
        <is>
          <t>J. Patel</t>
        </is>
      </c>
      <c r="O813" s="13" t="inlineStr">
        <is>
          <t>No</t>
        </is>
      </c>
      <c r="P813" s="14">
        <f>H813*I813</f>
        <v/>
      </c>
      <c r="Q813" s="14">
        <f>P813*(1-J813)</f>
        <v/>
      </c>
      <c r="R813" s="14">
        <f>H813*K813</f>
        <v/>
      </c>
      <c r="S813" s="15">
        <f>IF(Q813=0,"",(Q813-R813)/Q813)</f>
        <v/>
      </c>
      <c r="T813" s="13">
        <f>YEAR(B813)</f>
        <v/>
      </c>
      <c r="U813" s="13">
        <f>YEAR(B813)&amp;"-Q"&amp;ROUNDUP(MONTH(B813)/3,0)</f>
        <v/>
      </c>
      <c r="V813" s="13">
        <f>TEXT(B813,"YYYY-MM")</f>
        <v/>
      </c>
      <c r="W813" s="13">
        <f>IF(L813="","",IF(L813&gt;pLateDays,1,0))</f>
        <v/>
      </c>
      <c r="X813" s="13">
        <f>IF(Q813&gt;=pHighCutoff,1,0)</f>
        <v/>
      </c>
      <c r="Y813" s="13">
        <f>IF(M813="Returned",1,0)</f>
        <v/>
      </c>
    </row>
    <row r="814">
      <c r="A814" s="13" t="inlineStr">
        <is>
          <t>HC-100812</t>
        </is>
      </c>
      <c r="B814" s="18" t="n">
        <v>45542</v>
      </c>
      <c r="C814" s="13" t="inlineStr">
        <is>
          <t>West</t>
        </is>
      </c>
      <c r="D814" s="13" t="inlineStr">
        <is>
          <t>Online</t>
        </is>
      </c>
      <c r="E814" s="13" t="inlineStr">
        <is>
          <t>Kitchen</t>
        </is>
      </c>
      <c r="F814" s="13" t="inlineStr">
        <is>
          <t>Ceramic Set</t>
        </is>
      </c>
      <c r="G814" s="13" t="inlineStr">
        <is>
          <t>Consumer</t>
        </is>
      </c>
      <c r="H814" s="13" t="n">
        <v>3</v>
      </c>
      <c r="I814" s="14" t="n">
        <v>88.68000000000001</v>
      </c>
      <c r="J814" s="15" t="n">
        <v>0.05</v>
      </c>
      <c r="K814" s="14" t="n">
        <v>33.7</v>
      </c>
      <c r="L814" s="13" t="n">
        <v>10</v>
      </c>
      <c r="M814" s="13" t="inlineStr">
        <is>
          <t>Completed</t>
        </is>
      </c>
      <c r="N814" s="13" t="inlineStr">
        <is>
          <t>J. Patel</t>
        </is>
      </c>
      <c r="O814" s="13" t="inlineStr">
        <is>
          <t>No</t>
        </is>
      </c>
      <c r="P814" s="14">
        <f>H814*I814</f>
        <v/>
      </c>
      <c r="Q814" s="14">
        <f>P814*(1-J814)</f>
        <v/>
      </c>
      <c r="R814" s="14">
        <f>H814*K814</f>
        <v/>
      </c>
      <c r="S814" s="15">
        <f>IF(Q814=0,"",(Q814-R814)/Q814)</f>
        <v/>
      </c>
      <c r="T814" s="13">
        <f>YEAR(B814)</f>
        <v/>
      </c>
      <c r="U814" s="13">
        <f>YEAR(B814)&amp;"-Q"&amp;ROUNDUP(MONTH(B814)/3,0)</f>
        <v/>
      </c>
      <c r="V814" s="13">
        <f>TEXT(B814,"YYYY-MM")</f>
        <v/>
      </c>
      <c r="W814" s="13">
        <f>IF(L814="","",IF(L814&gt;pLateDays,1,0))</f>
        <v/>
      </c>
      <c r="X814" s="13">
        <f>IF(Q814&gt;=pHighCutoff,1,0)</f>
        <v/>
      </c>
      <c r="Y814" s="13">
        <f>IF(M814="Returned",1,0)</f>
        <v/>
      </c>
    </row>
    <row r="815">
      <c r="A815" s="13" t="inlineStr">
        <is>
          <t>HC-100813</t>
        </is>
      </c>
      <c r="B815" s="18" t="n">
        <v>45758</v>
      </c>
      <c r="C815" s="13" t="inlineStr">
        <is>
          <t>North</t>
        </is>
      </c>
      <c r="D815" s="13" t="inlineStr">
        <is>
          <t>Online</t>
        </is>
      </c>
      <c r="E815" s="13" t="inlineStr">
        <is>
          <t>Lighting</t>
        </is>
      </c>
      <c r="F815" s="13" t="inlineStr">
        <is>
          <t>Brass Sconce</t>
        </is>
      </c>
      <c r="G815" s="13" t="inlineStr">
        <is>
          <t>Unknown</t>
        </is>
      </c>
      <c r="H815" s="13" t="n">
        <v>2</v>
      </c>
      <c r="I815" s="14" t="n">
        <v>142.72</v>
      </c>
      <c r="J815" s="15" t="n">
        <v>0.04</v>
      </c>
      <c r="K815" s="14" t="n">
        <v>65.65000000000001</v>
      </c>
      <c r="L815" s="13" t="n">
        <v>8</v>
      </c>
      <c r="M815" s="13" t="inlineStr">
        <is>
          <t>Returned</t>
        </is>
      </c>
      <c r="N815" s="13" t="inlineStr">
        <is>
          <t>S. Nguyen</t>
        </is>
      </c>
      <c r="O815" s="13" t="inlineStr">
        <is>
          <t>No</t>
        </is>
      </c>
      <c r="P815" s="14">
        <f>H815*I815</f>
        <v/>
      </c>
      <c r="Q815" s="14">
        <f>P815*(1-J815)</f>
        <v/>
      </c>
      <c r="R815" s="14">
        <f>H815*K815</f>
        <v/>
      </c>
      <c r="S815" s="15">
        <f>IF(Q815=0,"",(Q815-R815)/Q815)</f>
        <v/>
      </c>
      <c r="T815" s="13">
        <f>YEAR(B815)</f>
        <v/>
      </c>
      <c r="U815" s="13">
        <f>YEAR(B815)&amp;"-Q"&amp;ROUNDUP(MONTH(B815)/3,0)</f>
        <v/>
      </c>
      <c r="V815" s="13">
        <f>TEXT(B815,"YYYY-MM")</f>
        <v/>
      </c>
      <c r="W815" s="13">
        <f>IF(L815="","",IF(L815&gt;pLateDays,1,0))</f>
        <v/>
      </c>
      <c r="X815" s="13">
        <f>IF(Q815&gt;=pHighCutoff,1,0)</f>
        <v/>
      </c>
      <c r="Y815" s="13">
        <f>IF(M815="Returned",1,0)</f>
        <v/>
      </c>
    </row>
    <row r="816">
      <c r="A816" s="13" t="inlineStr">
        <is>
          <t>HC-100814</t>
        </is>
      </c>
      <c r="B816" s="18" t="n">
        <v>45657</v>
      </c>
      <c r="C816" s="13" t="inlineStr">
        <is>
          <t>North</t>
        </is>
      </c>
      <c r="D816" s="13" t="inlineStr">
        <is>
          <t>Wholesale</t>
        </is>
      </c>
      <c r="E816" s="13" t="inlineStr">
        <is>
          <t>Furniture</t>
        </is>
      </c>
      <c r="F816" s="13" t="inlineStr">
        <is>
          <t>Walnut Shelf</t>
        </is>
      </c>
      <c r="G816" s="13" t="inlineStr">
        <is>
          <t>Consumer</t>
        </is>
      </c>
      <c r="H816" s="13" t="n">
        <v>32</v>
      </c>
      <c r="I816" s="14" t="n">
        <v>217.51</v>
      </c>
      <c r="J816" s="15" t="n">
        <v>0.31</v>
      </c>
      <c r="K816" s="14" t="n">
        <v>119.63</v>
      </c>
      <c r="L816" s="13" t="n">
        <v>6</v>
      </c>
      <c r="M816" s="13" t="inlineStr">
        <is>
          <t>Completed</t>
        </is>
      </c>
      <c r="N816" s="13" t="inlineStr">
        <is>
          <t>A. Shah</t>
        </is>
      </c>
      <c r="O816" s="13" t="inlineStr">
        <is>
          <t>No</t>
        </is>
      </c>
      <c r="P816" s="14">
        <f>H816*I816</f>
        <v/>
      </c>
      <c r="Q816" s="14">
        <f>P816*(1-J816)</f>
        <v/>
      </c>
      <c r="R816" s="14">
        <f>H816*K816</f>
        <v/>
      </c>
      <c r="S816" s="15">
        <f>IF(Q816=0,"",(Q816-R816)/Q816)</f>
        <v/>
      </c>
      <c r="T816" s="13">
        <f>YEAR(B816)</f>
        <v/>
      </c>
      <c r="U816" s="13">
        <f>YEAR(B816)&amp;"-Q"&amp;ROUNDUP(MONTH(B816)/3,0)</f>
        <v/>
      </c>
      <c r="V816" s="13">
        <f>TEXT(B816,"YYYY-MM")</f>
        <v/>
      </c>
      <c r="W816" s="13">
        <f>IF(L816="","",IF(L816&gt;pLateDays,1,0))</f>
        <v/>
      </c>
      <c r="X816" s="13">
        <f>IF(Q816&gt;=pHighCutoff,1,0)</f>
        <v/>
      </c>
      <c r="Y816" s="13">
        <f>IF(M816="Returned",1,0)</f>
        <v/>
      </c>
    </row>
    <row r="817">
      <c r="A817" s="13" t="inlineStr">
        <is>
          <t>HC-100815</t>
        </is>
      </c>
      <c r="B817" s="18" t="n">
        <v>45729</v>
      </c>
      <c r="C817" s="13" t="inlineStr">
        <is>
          <t>North</t>
        </is>
      </c>
      <c r="D817" s="13" t="inlineStr">
        <is>
          <t>Store</t>
        </is>
      </c>
      <c r="E817" s="13" t="inlineStr">
        <is>
          <t>Kitchen</t>
        </is>
      </c>
      <c r="F817" s="13" t="inlineStr">
        <is>
          <t>Ceramic Set</t>
        </is>
      </c>
      <c r="G817" s="13" t="inlineStr">
        <is>
          <t>Home Office</t>
        </is>
      </c>
      <c r="H817" s="13" t="n">
        <v>3</v>
      </c>
      <c r="I817" s="14" t="n">
        <v>89.03</v>
      </c>
      <c r="J817" s="15" t="n">
        <v>0.11</v>
      </c>
      <c r="K817" s="14" t="n">
        <v>33.83</v>
      </c>
      <c r="L817" s="13" t="n">
        <v>5</v>
      </c>
      <c r="M817" s="13" t="inlineStr">
        <is>
          <t>Completed</t>
        </is>
      </c>
      <c r="N817" s="13" t="inlineStr">
        <is>
          <t>J. Patel</t>
        </is>
      </c>
      <c r="O817" s="13" t="inlineStr">
        <is>
          <t>No</t>
        </is>
      </c>
      <c r="P817" s="14">
        <f>H817*I817</f>
        <v/>
      </c>
      <c r="Q817" s="14">
        <f>P817*(1-J817)</f>
        <v/>
      </c>
      <c r="R817" s="14">
        <f>H817*K817</f>
        <v/>
      </c>
      <c r="S817" s="15">
        <f>IF(Q817=0,"",(Q817-R817)/Q817)</f>
        <v/>
      </c>
      <c r="T817" s="13">
        <f>YEAR(B817)</f>
        <v/>
      </c>
      <c r="U817" s="13">
        <f>YEAR(B817)&amp;"-Q"&amp;ROUNDUP(MONTH(B817)/3,0)</f>
        <v/>
      </c>
      <c r="V817" s="13">
        <f>TEXT(B817,"YYYY-MM")</f>
        <v/>
      </c>
      <c r="W817" s="13">
        <f>IF(L817="","",IF(L817&gt;pLateDays,1,0))</f>
        <v/>
      </c>
      <c r="X817" s="13">
        <f>IF(Q817&gt;=pHighCutoff,1,0)</f>
        <v/>
      </c>
      <c r="Y817" s="13">
        <f>IF(M817="Returned",1,0)</f>
        <v/>
      </c>
    </row>
    <row r="818">
      <c r="A818" s="13" t="inlineStr">
        <is>
          <t>HC-100816</t>
        </is>
      </c>
      <c r="B818" s="18" t="n">
        <v>45521</v>
      </c>
      <c r="C818" s="13" t="inlineStr">
        <is>
          <t>West</t>
        </is>
      </c>
      <c r="D818" s="13" t="inlineStr">
        <is>
          <t>Store</t>
        </is>
      </c>
      <c r="E818" s="13" t="inlineStr">
        <is>
          <t>Kitchen</t>
        </is>
      </c>
      <c r="F818" s="13" t="inlineStr">
        <is>
          <t>Ceramic Set</t>
        </is>
      </c>
      <c r="G818" s="13" t="inlineStr">
        <is>
          <t>Consumer</t>
        </is>
      </c>
      <c r="H818" s="13" t="n">
        <v>1</v>
      </c>
      <c r="I818" s="14" t="n">
        <v>87.72</v>
      </c>
      <c r="J818" s="15" t="n">
        <v>0.08</v>
      </c>
      <c r="K818" s="14" t="n">
        <v>33.34</v>
      </c>
      <c r="L818" s="13" t="n">
        <v>8</v>
      </c>
      <c r="M818" s="13" t="inlineStr">
        <is>
          <t>Completed</t>
        </is>
      </c>
      <c r="N818" s="13" t="inlineStr">
        <is>
          <t>J. Patel</t>
        </is>
      </c>
      <c r="O818" s="13" t="inlineStr">
        <is>
          <t>No</t>
        </is>
      </c>
      <c r="P818" s="14">
        <f>H818*I818</f>
        <v/>
      </c>
      <c r="Q818" s="14">
        <f>P818*(1-J818)</f>
        <v/>
      </c>
      <c r="R818" s="14">
        <f>H818*K818</f>
        <v/>
      </c>
      <c r="S818" s="15">
        <f>IF(Q818=0,"",(Q818-R818)/Q818)</f>
        <v/>
      </c>
      <c r="T818" s="13">
        <f>YEAR(B818)</f>
        <v/>
      </c>
      <c r="U818" s="13">
        <f>YEAR(B818)&amp;"-Q"&amp;ROUNDUP(MONTH(B818)/3,0)</f>
        <v/>
      </c>
      <c r="V818" s="13">
        <f>TEXT(B818,"YYYY-MM")</f>
        <v/>
      </c>
      <c r="W818" s="13">
        <f>IF(L818="","",IF(L818&gt;pLateDays,1,0))</f>
        <v/>
      </c>
      <c r="X818" s="13">
        <f>IF(Q818&gt;=pHighCutoff,1,0)</f>
        <v/>
      </c>
      <c r="Y818" s="13">
        <f>IF(M818="Returned",1,0)</f>
        <v/>
      </c>
    </row>
    <row r="819">
      <c r="A819" s="13" t="inlineStr">
        <is>
          <t>HC-100817</t>
        </is>
      </c>
      <c r="B819" s="18" t="n">
        <v>45410</v>
      </c>
      <c r="C819" s="13" t="inlineStr">
        <is>
          <t>West</t>
        </is>
      </c>
      <c r="D819" s="13" t="inlineStr">
        <is>
          <t>Online</t>
        </is>
      </c>
      <c r="E819" s="13" t="inlineStr">
        <is>
          <t>Textiles</t>
        </is>
      </c>
      <c r="F819" s="13" t="inlineStr">
        <is>
          <t>Cotton Duvet</t>
        </is>
      </c>
      <c r="G819" s="13" t="inlineStr">
        <is>
          <t>Consumer</t>
        </is>
      </c>
      <c r="H819" s="13" t="n">
        <v>1</v>
      </c>
      <c r="I819" s="14" t="n">
        <v>128.56</v>
      </c>
      <c r="J819" s="15" t="n">
        <v>0.16</v>
      </c>
      <c r="K819" s="14" t="n">
        <v>56.57</v>
      </c>
      <c r="L819" s="13" t="n">
        <v>8</v>
      </c>
      <c r="M819" s="13" t="inlineStr">
        <is>
          <t>Completed</t>
        </is>
      </c>
      <c r="N819" s="13" t="inlineStr">
        <is>
          <t>S. Nguyen</t>
        </is>
      </c>
      <c r="O819" s="13" t="inlineStr">
        <is>
          <t>No</t>
        </is>
      </c>
      <c r="P819" s="14">
        <f>H819*I819</f>
        <v/>
      </c>
      <c r="Q819" s="14">
        <f>P819*(1-J819)</f>
        <v/>
      </c>
      <c r="R819" s="14">
        <f>H819*K819</f>
        <v/>
      </c>
      <c r="S819" s="15">
        <f>IF(Q819=0,"",(Q819-R819)/Q819)</f>
        <v/>
      </c>
      <c r="T819" s="13">
        <f>YEAR(B819)</f>
        <v/>
      </c>
      <c r="U819" s="13">
        <f>YEAR(B819)&amp;"-Q"&amp;ROUNDUP(MONTH(B819)/3,0)</f>
        <v/>
      </c>
      <c r="V819" s="13">
        <f>TEXT(B819,"YYYY-MM")</f>
        <v/>
      </c>
      <c r="W819" s="13">
        <f>IF(L819="","",IF(L819&gt;pLateDays,1,0))</f>
        <v/>
      </c>
      <c r="X819" s="13">
        <f>IF(Q819&gt;=pHighCutoff,1,0)</f>
        <v/>
      </c>
      <c r="Y819" s="13">
        <f>IF(M819="Returned",1,0)</f>
        <v/>
      </c>
    </row>
    <row r="820">
      <c r="A820" s="13" t="inlineStr">
        <is>
          <t>HC-100818</t>
        </is>
      </c>
      <c r="B820" s="18" t="n">
        <v>45772</v>
      </c>
      <c r="C820" s="13" t="inlineStr">
        <is>
          <t>West</t>
        </is>
      </c>
      <c r="D820" s="13" t="inlineStr">
        <is>
          <t>Online</t>
        </is>
      </c>
      <c r="E820" s="13" t="inlineStr">
        <is>
          <t>Lighting</t>
        </is>
      </c>
      <c r="F820" s="13" t="inlineStr">
        <is>
          <t>Brass Sconce</t>
        </is>
      </c>
      <c r="G820" s="13" t="inlineStr">
        <is>
          <t>Consumer</t>
        </is>
      </c>
      <c r="H820" s="13" t="n">
        <v>3</v>
      </c>
      <c r="I820" s="14" t="n">
        <v>149.64</v>
      </c>
      <c r="J820" s="15" t="n">
        <v>0.1</v>
      </c>
      <c r="K820" s="14" t="n">
        <v>68.83</v>
      </c>
      <c r="L820" s="13" t="n">
        <v>5</v>
      </c>
      <c r="M820" s="13" t="inlineStr">
        <is>
          <t>Completed</t>
        </is>
      </c>
      <c r="N820" s="13" t="inlineStr">
        <is>
          <t>J. Patel</t>
        </is>
      </c>
      <c r="O820" s="13" t="inlineStr">
        <is>
          <t>No</t>
        </is>
      </c>
      <c r="P820" s="14">
        <f>H820*I820</f>
        <v/>
      </c>
      <c r="Q820" s="14">
        <f>P820*(1-J820)</f>
        <v/>
      </c>
      <c r="R820" s="14">
        <f>H820*K820</f>
        <v/>
      </c>
      <c r="S820" s="15">
        <f>IF(Q820=0,"",(Q820-R820)/Q820)</f>
        <v/>
      </c>
      <c r="T820" s="13">
        <f>YEAR(B820)</f>
        <v/>
      </c>
      <c r="U820" s="13">
        <f>YEAR(B820)&amp;"-Q"&amp;ROUNDUP(MONTH(B820)/3,0)</f>
        <v/>
      </c>
      <c r="V820" s="13">
        <f>TEXT(B820,"YYYY-MM")</f>
        <v/>
      </c>
      <c r="W820" s="13">
        <f>IF(L820="","",IF(L820&gt;pLateDays,1,0))</f>
        <v/>
      </c>
      <c r="X820" s="13">
        <f>IF(Q820&gt;=pHighCutoff,1,0)</f>
        <v/>
      </c>
      <c r="Y820" s="13">
        <f>IF(M820="Returned",1,0)</f>
        <v/>
      </c>
    </row>
    <row r="821">
      <c r="A821" s="13" t="inlineStr">
        <is>
          <t>HC-100819</t>
        </is>
      </c>
      <c r="B821" s="18" t="n">
        <v>45307</v>
      </c>
      <c r="C821" s="13" t="inlineStr">
        <is>
          <t>West</t>
        </is>
      </c>
      <c r="D821" s="13" t="inlineStr">
        <is>
          <t>Store</t>
        </is>
      </c>
      <c r="E821" s="13" t="inlineStr">
        <is>
          <t>Kitchen</t>
        </is>
      </c>
      <c r="F821" s="13" t="inlineStr">
        <is>
          <t>Cast Skillet</t>
        </is>
      </c>
      <c r="G821" s="13" t="inlineStr">
        <is>
          <t>Consumer</t>
        </is>
      </c>
      <c r="H821" s="13" t="n">
        <v>2</v>
      </c>
      <c r="I821" s="14" t="n">
        <v>51.8</v>
      </c>
      <c r="J821" s="15" t="n">
        <v>0.06</v>
      </c>
      <c r="K821" s="14" t="n">
        <v>20.72</v>
      </c>
      <c r="L821" s="13" t="n">
        <v>3</v>
      </c>
      <c r="M821" s="13" t="inlineStr">
        <is>
          <t>Completed</t>
        </is>
      </c>
      <c r="N821" s="13" t="inlineStr">
        <is>
          <t>K. Mensah</t>
        </is>
      </c>
      <c r="O821" s="13" t="inlineStr">
        <is>
          <t>No</t>
        </is>
      </c>
      <c r="P821" s="14">
        <f>H821*I821</f>
        <v/>
      </c>
      <c r="Q821" s="14">
        <f>P821*(1-J821)</f>
        <v/>
      </c>
      <c r="R821" s="14">
        <f>H821*K821</f>
        <v/>
      </c>
      <c r="S821" s="15">
        <f>IF(Q821=0,"",(Q821-R821)/Q821)</f>
        <v/>
      </c>
      <c r="T821" s="13">
        <f>YEAR(B821)</f>
        <v/>
      </c>
      <c r="U821" s="13">
        <f>YEAR(B821)&amp;"-Q"&amp;ROUNDUP(MONTH(B821)/3,0)</f>
        <v/>
      </c>
      <c r="V821" s="13">
        <f>TEXT(B821,"YYYY-MM")</f>
        <v/>
      </c>
      <c r="W821" s="13">
        <f>IF(L821="","",IF(L821&gt;pLateDays,1,0))</f>
        <v/>
      </c>
      <c r="X821" s="13">
        <f>IF(Q821&gt;=pHighCutoff,1,0)</f>
        <v/>
      </c>
      <c r="Y821" s="13">
        <f>IF(M821="Returned",1,0)</f>
        <v/>
      </c>
    </row>
    <row r="822">
      <c r="A822" s="13" t="inlineStr">
        <is>
          <t>HC-100820</t>
        </is>
      </c>
      <c r="B822" s="18" t="n">
        <v>45344</v>
      </c>
      <c r="C822" s="13" t="inlineStr">
        <is>
          <t>East</t>
        </is>
      </c>
      <c r="D822" s="13" t="inlineStr">
        <is>
          <t>Online</t>
        </is>
      </c>
      <c r="E822" s="13" t="inlineStr">
        <is>
          <t>Furniture</t>
        </is>
      </c>
      <c r="F822" s="13" t="inlineStr">
        <is>
          <t>Walnut Shelf</t>
        </is>
      </c>
      <c r="G822" s="13" t="inlineStr">
        <is>
          <t>Consumer</t>
        </is>
      </c>
      <c r="H822" s="13" t="n">
        <v>3</v>
      </c>
      <c r="I822" s="14" t="n">
        <v>211.6</v>
      </c>
      <c r="J822" s="15" t="n">
        <v>0.16</v>
      </c>
      <c r="K822" s="14" t="n">
        <v>116.38</v>
      </c>
      <c r="L822" s="13" t="n">
        <v>8</v>
      </c>
      <c r="M822" s="13" t="inlineStr">
        <is>
          <t>Completed</t>
        </is>
      </c>
      <c r="N822" s="13" t="inlineStr">
        <is>
          <t>A. Shah</t>
        </is>
      </c>
      <c r="O822" s="13" t="inlineStr">
        <is>
          <t>No</t>
        </is>
      </c>
      <c r="P822" s="14">
        <f>H822*I822</f>
        <v/>
      </c>
      <c r="Q822" s="14">
        <f>P822*(1-J822)</f>
        <v/>
      </c>
      <c r="R822" s="14">
        <f>H822*K822</f>
        <v/>
      </c>
      <c r="S822" s="15">
        <f>IF(Q822=0,"",(Q822-R822)/Q822)</f>
        <v/>
      </c>
      <c r="T822" s="13">
        <f>YEAR(B822)</f>
        <v/>
      </c>
      <c r="U822" s="13">
        <f>YEAR(B822)&amp;"-Q"&amp;ROUNDUP(MONTH(B822)/3,0)</f>
        <v/>
      </c>
      <c r="V822" s="13">
        <f>TEXT(B822,"YYYY-MM")</f>
        <v/>
      </c>
      <c r="W822" s="13">
        <f>IF(L822="","",IF(L822&gt;pLateDays,1,0))</f>
        <v/>
      </c>
      <c r="X822" s="13">
        <f>IF(Q822&gt;=pHighCutoff,1,0)</f>
        <v/>
      </c>
      <c r="Y822" s="13">
        <f>IF(M822="Returned",1,0)</f>
        <v/>
      </c>
    </row>
    <row r="823">
      <c r="A823" s="13" t="inlineStr">
        <is>
          <t>HC-100821</t>
        </is>
      </c>
      <c r="B823" s="18" t="n">
        <v>45344</v>
      </c>
      <c r="C823" s="13" t="inlineStr">
        <is>
          <t>East</t>
        </is>
      </c>
      <c r="D823" s="13" t="inlineStr">
        <is>
          <t>Online</t>
        </is>
      </c>
      <c r="E823" s="13" t="inlineStr">
        <is>
          <t>Kitchen</t>
        </is>
      </c>
      <c r="F823" s="13" t="inlineStr">
        <is>
          <t>Ceramic Set</t>
        </is>
      </c>
      <c r="G823" s="13" t="inlineStr">
        <is>
          <t>Consumer</t>
        </is>
      </c>
      <c r="H823" s="13" t="n">
        <v>2</v>
      </c>
      <c r="I823" s="14" t="n">
        <v>74.78</v>
      </c>
      <c r="J823" s="15" t="n">
        <v>0.08</v>
      </c>
      <c r="K823" s="14" t="n">
        <v>28.42</v>
      </c>
      <c r="L823" s="13" t="n">
        <v>11</v>
      </c>
      <c r="M823" s="13" t="inlineStr">
        <is>
          <t>Completed</t>
        </is>
      </c>
      <c r="N823" s="13" t="inlineStr">
        <is>
          <t>R. Ibarra</t>
        </is>
      </c>
      <c r="O823" s="13" t="inlineStr">
        <is>
          <t>No</t>
        </is>
      </c>
      <c r="P823" s="14">
        <f>H823*I823</f>
        <v/>
      </c>
      <c r="Q823" s="14">
        <f>P823*(1-J823)</f>
        <v/>
      </c>
      <c r="R823" s="14">
        <f>H823*K823</f>
        <v/>
      </c>
      <c r="S823" s="15">
        <f>IF(Q823=0,"",(Q823-R823)/Q823)</f>
        <v/>
      </c>
      <c r="T823" s="13">
        <f>YEAR(B823)</f>
        <v/>
      </c>
      <c r="U823" s="13">
        <f>YEAR(B823)&amp;"-Q"&amp;ROUNDUP(MONTH(B823)/3,0)</f>
        <v/>
      </c>
      <c r="V823" s="13">
        <f>TEXT(B823,"YYYY-MM")</f>
        <v/>
      </c>
      <c r="W823" s="13">
        <f>IF(L823="","",IF(L823&gt;pLateDays,1,0))</f>
        <v/>
      </c>
      <c r="X823" s="13">
        <f>IF(Q823&gt;=pHighCutoff,1,0)</f>
        <v/>
      </c>
      <c r="Y823" s="13">
        <f>IF(M823="Returned",1,0)</f>
        <v/>
      </c>
    </row>
    <row r="824">
      <c r="A824" s="13" t="inlineStr">
        <is>
          <t>HC-100822</t>
        </is>
      </c>
      <c r="B824" s="18" t="n">
        <v>45913</v>
      </c>
      <c r="C824" s="13" t="inlineStr">
        <is>
          <t>East</t>
        </is>
      </c>
      <c r="D824" s="13" t="inlineStr">
        <is>
          <t>Online</t>
        </is>
      </c>
      <c r="E824" s="13" t="inlineStr">
        <is>
          <t>Furniture</t>
        </is>
      </c>
      <c r="F824" s="13" t="inlineStr">
        <is>
          <t>Oak Desk</t>
        </is>
      </c>
      <c r="G824" s="13" t="inlineStr">
        <is>
          <t>Corporate</t>
        </is>
      </c>
      <c r="H824" s="13" t="n">
        <v>2</v>
      </c>
      <c r="I824" s="14" t="n">
        <v>721.23</v>
      </c>
      <c r="J824" s="15" t="n">
        <v>0.15</v>
      </c>
      <c r="K824" s="14" t="n">
        <v>447.17</v>
      </c>
      <c r="L824" s="13" t="n">
        <v>7</v>
      </c>
      <c r="M824" s="13" t="inlineStr">
        <is>
          <t>Returned</t>
        </is>
      </c>
      <c r="N824" s="13" t="inlineStr">
        <is>
          <t>L. Berger</t>
        </is>
      </c>
      <c r="O824" s="13" t="inlineStr">
        <is>
          <t>No</t>
        </is>
      </c>
      <c r="P824" s="14">
        <f>H824*I824</f>
        <v/>
      </c>
      <c r="Q824" s="14">
        <f>P824*(1-J824)</f>
        <v/>
      </c>
      <c r="R824" s="14">
        <f>H824*K824</f>
        <v/>
      </c>
      <c r="S824" s="15">
        <f>IF(Q824=0,"",(Q824-R824)/Q824)</f>
        <v/>
      </c>
      <c r="T824" s="13">
        <f>YEAR(B824)</f>
        <v/>
      </c>
      <c r="U824" s="13">
        <f>YEAR(B824)&amp;"-Q"&amp;ROUNDUP(MONTH(B824)/3,0)</f>
        <v/>
      </c>
      <c r="V824" s="13">
        <f>TEXT(B824,"YYYY-MM")</f>
        <v/>
      </c>
      <c r="W824" s="13">
        <f>IF(L824="","",IF(L824&gt;pLateDays,1,0))</f>
        <v/>
      </c>
      <c r="X824" s="13">
        <f>IF(Q824&gt;=pHighCutoff,1,0)</f>
        <v/>
      </c>
      <c r="Y824" s="13">
        <f>IF(M824="Returned",1,0)</f>
        <v/>
      </c>
    </row>
    <row r="825">
      <c r="A825" s="13" t="inlineStr">
        <is>
          <t>HC-100823</t>
        </is>
      </c>
      <c r="B825" s="18" t="n">
        <v>45677</v>
      </c>
      <c r="C825" s="13" t="inlineStr">
        <is>
          <t>North</t>
        </is>
      </c>
      <c r="D825" s="13" t="inlineStr">
        <is>
          <t>Online</t>
        </is>
      </c>
      <c r="E825" s="13" t="inlineStr">
        <is>
          <t>Furniture</t>
        </is>
      </c>
      <c r="F825" s="13" t="inlineStr">
        <is>
          <t>Lounge Chair</t>
        </is>
      </c>
      <c r="G825" s="13" t="inlineStr">
        <is>
          <t>Consumer</t>
        </is>
      </c>
      <c r="H825" s="13" t="n">
        <v>3</v>
      </c>
      <c r="I825" s="14" t="n">
        <v>498.08</v>
      </c>
      <c r="J825" s="15" t="n">
        <v>0.14</v>
      </c>
      <c r="K825" s="14" t="n">
        <v>298.85</v>
      </c>
      <c r="L825" s="13" t="n">
        <v>4</v>
      </c>
      <c r="M825" s="13" t="inlineStr">
        <is>
          <t>Completed</t>
        </is>
      </c>
      <c r="N825" s="13" t="inlineStr">
        <is>
          <t>S. Nguyen</t>
        </is>
      </c>
      <c r="O825" s="13" t="inlineStr">
        <is>
          <t>No</t>
        </is>
      </c>
      <c r="P825" s="14">
        <f>H825*I825</f>
        <v/>
      </c>
      <c r="Q825" s="14">
        <f>P825*(1-J825)</f>
        <v/>
      </c>
      <c r="R825" s="14">
        <f>H825*K825</f>
        <v/>
      </c>
      <c r="S825" s="15">
        <f>IF(Q825=0,"",(Q825-R825)/Q825)</f>
        <v/>
      </c>
      <c r="T825" s="13">
        <f>YEAR(B825)</f>
        <v/>
      </c>
      <c r="U825" s="13">
        <f>YEAR(B825)&amp;"-Q"&amp;ROUNDUP(MONTH(B825)/3,0)</f>
        <v/>
      </c>
      <c r="V825" s="13">
        <f>TEXT(B825,"YYYY-MM")</f>
        <v/>
      </c>
      <c r="W825" s="13">
        <f>IF(L825="","",IF(L825&gt;pLateDays,1,0))</f>
        <v/>
      </c>
      <c r="X825" s="13">
        <f>IF(Q825&gt;=pHighCutoff,1,0)</f>
        <v/>
      </c>
      <c r="Y825" s="13">
        <f>IF(M825="Returned",1,0)</f>
        <v/>
      </c>
    </row>
    <row r="826">
      <c r="A826" s="13" t="inlineStr">
        <is>
          <t>HC-100824</t>
        </is>
      </c>
      <c r="B826" s="18" t="n">
        <v>45530</v>
      </c>
      <c r="C826" s="13" t="inlineStr">
        <is>
          <t>East</t>
        </is>
      </c>
      <c r="D826" s="13" t="inlineStr">
        <is>
          <t>Store</t>
        </is>
      </c>
      <c r="E826" s="13" t="inlineStr">
        <is>
          <t>Textiles</t>
        </is>
      </c>
      <c r="F826" s="13" t="inlineStr">
        <is>
          <t>Cotton Duvet</t>
        </is>
      </c>
      <c r="G826" s="13" t="inlineStr">
        <is>
          <t>Consumer</t>
        </is>
      </c>
      <c r="H826" s="13" t="n">
        <v>3</v>
      </c>
      <c r="I826" s="14" t="n">
        <v>103.02</v>
      </c>
      <c r="J826" s="15" t="n">
        <v>0.1</v>
      </c>
      <c r="K826" s="14" t="n">
        <v>45.33</v>
      </c>
      <c r="L826" s="13" t="n">
        <v>7</v>
      </c>
      <c r="M826" s="13" t="inlineStr">
        <is>
          <t>Completed</t>
        </is>
      </c>
      <c r="N826" s="13" t="inlineStr">
        <is>
          <t>A. Shah</t>
        </is>
      </c>
      <c r="O826" s="13" t="inlineStr">
        <is>
          <t>No</t>
        </is>
      </c>
      <c r="P826" s="14">
        <f>H826*I826</f>
        <v/>
      </c>
      <c r="Q826" s="14">
        <f>P826*(1-J826)</f>
        <v/>
      </c>
      <c r="R826" s="14">
        <f>H826*K826</f>
        <v/>
      </c>
      <c r="S826" s="15">
        <f>IF(Q826=0,"",(Q826-R826)/Q826)</f>
        <v/>
      </c>
      <c r="T826" s="13">
        <f>YEAR(B826)</f>
        <v/>
      </c>
      <c r="U826" s="13">
        <f>YEAR(B826)&amp;"-Q"&amp;ROUNDUP(MONTH(B826)/3,0)</f>
        <v/>
      </c>
      <c r="V826" s="13">
        <f>TEXT(B826,"YYYY-MM")</f>
        <v/>
      </c>
      <c r="W826" s="13">
        <f>IF(L826="","",IF(L826&gt;pLateDays,1,0))</f>
        <v/>
      </c>
      <c r="X826" s="13">
        <f>IF(Q826&gt;=pHighCutoff,1,0)</f>
        <v/>
      </c>
      <c r="Y826" s="13">
        <f>IF(M826="Returned",1,0)</f>
        <v/>
      </c>
    </row>
    <row r="827">
      <c r="A827" s="13" t="inlineStr">
        <is>
          <t>HC-100825</t>
        </is>
      </c>
      <c r="B827" s="18" t="n">
        <v>45894</v>
      </c>
      <c r="C827" s="13" t="inlineStr">
        <is>
          <t>South</t>
        </is>
      </c>
      <c r="D827" s="13" t="inlineStr">
        <is>
          <t>Store</t>
        </is>
      </c>
      <c r="E827" s="13" t="inlineStr">
        <is>
          <t>Textiles</t>
        </is>
      </c>
      <c r="F827" s="13" t="inlineStr">
        <is>
          <t>Linen Curtain</t>
        </is>
      </c>
      <c r="G827" s="13" t="inlineStr">
        <is>
          <t>Corporate</t>
        </is>
      </c>
      <c r="H827" s="13" t="n">
        <v>1</v>
      </c>
      <c r="I827" s="14" t="n">
        <v>91.06</v>
      </c>
      <c r="J827" s="15" t="n">
        <v>0.02</v>
      </c>
      <c r="K827" s="14" t="n">
        <v>40.98</v>
      </c>
      <c r="L827" s="13" t="n">
        <v>5</v>
      </c>
      <c r="M827" s="13" t="inlineStr">
        <is>
          <t>Completed</t>
        </is>
      </c>
      <c r="N827" s="13" t="inlineStr">
        <is>
          <t>K. Mensah</t>
        </is>
      </c>
      <c r="O827" s="13" t="inlineStr">
        <is>
          <t>No</t>
        </is>
      </c>
      <c r="P827" s="14">
        <f>H827*I827</f>
        <v/>
      </c>
      <c r="Q827" s="14">
        <f>P827*(1-J827)</f>
        <v/>
      </c>
      <c r="R827" s="14">
        <f>H827*K827</f>
        <v/>
      </c>
      <c r="S827" s="15">
        <f>IF(Q827=0,"",(Q827-R827)/Q827)</f>
        <v/>
      </c>
      <c r="T827" s="13">
        <f>YEAR(B827)</f>
        <v/>
      </c>
      <c r="U827" s="13">
        <f>YEAR(B827)&amp;"-Q"&amp;ROUNDUP(MONTH(B827)/3,0)</f>
        <v/>
      </c>
      <c r="V827" s="13">
        <f>TEXT(B827,"YYYY-MM")</f>
        <v/>
      </c>
      <c r="W827" s="13">
        <f>IF(L827="","",IF(L827&gt;pLateDays,1,0))</f>
        <v/>
      </c>
      <c r="X827" s="13">
        <f>IF(Q827&gt;=pHighCutoff,1,0)</f>
        <v/>
      </c>
      <c r="Y827" s="13">
        <f>IF(M827="Returned",1,0)</f>
        <v/>
      </c>
    </row>
    <row r="828">
      <c r="A828" s="13" t="inlineStr">
        <is>
          <t>HC-100826</t>
        </is>
      </c>
      <c r="B828" s="18" t="n">
        <v>45643</v>
      </c>
      <c r="C828" s="13" t="inlineStr">
        <is>
          <t>North</t>
        </is>
      </c>
      <c r="D828" s="13" t="inlineStr">
        <is>
          <t>Store</t>
        </is>
      </c>
      <c r="E828" s="13" t="inlineStr">
        <is>
          <t>Furniture</t>
        </is>
      </c>
      <c r="F828" s="13" t="inlineStr">
        <is>
          <t>Lounge Chair</t>
        </is>
      </c>
      <c r="G828" s="13" t="inlineStr">
        <is>
          <t>Home Office</t>
        </is>
      </c>
      <c r="H828" s="13" t="n">
        <v>3</v>
      </c>
      <c r="I828" s="14" t="n">
        <v>450.21</v>
      </c>
      <c r="J828" s="15" t="n">
        <v>0.05</v>
      </c>
      <c r="K828" s="14" t="n">
        <v>270.13</v>
      </c>
      <c r="L828" s="13" t="n">
        <v>5</v>
      </c>
      <c r="M828" s="13" t="inlineStr">
        <is>
          <t>Completed</t>
        </is>
      </c>
      <c r="N828" s="13" t="inlineStr">
        <is>
          <t>P. Rossi</t>
        </is>
      </c>
      <c r="O828" s="13" t="inlineStr">
        <is>
          <t>No</t>
        </is>
      </c>
      <c r="P828" s="14">
        <f>H828*I828</f>
        <v/>
      </c>
      <c r="Q828" s="14">
        <f>P828*(1-J828)</f>
        <v/>
      </c>
      <c r="R828" s="14">
        <f>H828*K828</f>
        <v/>
      </c>
      <c r="S828" s="15">
        <f>IF(Q828=0,"",(Q828-R828)/Q828)</f>
        <v/>
      </c>
      <c r="T828" s="13">
        <f>YEAR(B828)</f>
        <v/>
      </c>
      <c r="U828" s="13">
        <f>YEAR(B828)&amp;"-Q"&amp;ROUNDUP(MONTH(B828)/3,0)</f>
        <v/>
      </c>
      <c r="V828" s="13">
        <f>TEXT(B828,"YYYY-MM")</f>
        <v/>
      </c>
      <c r="W828" s="13">
        <f>IF(L828="","",IF(L828&gt;pLateDays,1,0))</f>
        <v/>
      </c>
      <c r="X828" s="13">
        <f>IF(Q828&gt;=pHighCutoff,1,0)</f>
        <v/>
      </c>
      <c r="Y828" s="13">
        <f>IF(M828="Returned",1,0)</f>
        <v/>
      </c>
    </row>
    <row r="829">
      <c r="A829" s="13" t="inlineStr">
        <is>
          <t>HC-100827</t>
        </is>
      </c>
      <c r="B829" s="18" t="n">
        <v>45745</v>
      </c>
      <c r="C829" s="13" t="inlineStr">
        <is>
          <t>North</t>
        </is>
      </c>
      <c r="D829" s="13" t="inlineStr">
        <is>
          <t>Online</t>
        </is>
      </c>
      <c r="E829" s="13" t="inlineStr">
        <is>
          <t>Kitchen</t>
        </is>
      </c>
      <c r="F829" s="13" t="inlineStr">
        <is>
          <t>Chef Knife</t>
        </is>
      </c>
      <c r="G829" s="13" t="inlineStr">
        <is>
          <t>Consumer</t>
        </is>
      </c>
      <c r="H829" s="13" t="n">
        <v>3</v>
      </c>
      <c r="I829" s="14" t="n">
        <v>67.56</v>
      </c>
      <c r="J829" s="15" t="n">
        <v>0.1</v>
      </c>
      <c r="K829" s="14" t="n">
        <v>24.32</v>
      </c>
      <c r="L829" s="13" t="n">
        <v>10</v>
      </c>
      <c r="M829" s="13" t="inlineStr">
        <is>
          <t>Completed</t>
        </is>
      </c>
      <c r="N829" s="13" t="inlineStr">
        <is>
          <t>S. Nguyen</t>
        </is>
      </c>
      <c r="O829" s="13" t="inlineStr">
        <is>
          <t>No</t>
        </is>
      </c>
      <c r="P829" s="14">
        <f>H829*I829</f>
        <v/>
      </c>
      <c r="Q829" s="14">
        <f>P829*(1-J829)</f>
        <v/>
      </c>
      <c r="R829" s="14">
        <f>H829*K829</f>
        <v/>
      </c>
      <c r="S829" s="15">
        <f>IF(Q829=0,"",(Q829-R829)/Q829)</f>
        <v/>
      </c>
      <c r="T829" s="13">
        <f>YEAR(B829)</f>
        <v/>
      </c>
      <c r="U829" s="13">
        <f>YEAR(B829)&amp;"-Q"&amp;ROUNDUP(MONTH(B829)/3,0)</f>
        <v/>
      </c>
      <c r="V829" s="13">
        <f>TEXT(B829,"YYYY-MM")</f>
        <v/>
      </c>
      <c r="W829" s="13">
        <f>IF(L829="","",IF(L829&gt;pLateDays,1,0))</f>
        <v/>
      </c>
      <c r="X829" s="13">
        <f>IF(Q829&gt;=pHighCutoff,1,0)</f>
        <v/>
      </c>
      <c r="Y829" s="13">
        <f>IF(M829="Returned",1,0)</f>
        <v/>
      </c>
    </row>
    <row r="830">
      <c r="A830" s="13" t="inlineStr">
        <is>
          <t>HC-100828</t>
        </is>
      </c>
      <c r="B830" s="18" t="n">
        <v>45626</v>
      </c>
      <c r="C830" s="13" t="inlineStr">
        <is>
          <t>North</t>
        </is>
      </c>
      <c r="D830" s="13" t="inlineStr">
        <is>
          <t>Online</t>
        </is>
      </c>
      <c r="E830" s="13" t="inlineStr">
        <is>
          <t>Kitchen</t>
        </is>
      </c>
      <c r="F830" s="13" t="inlineStr">
        <is>
          <t>Ceramic Set</t>
        </is>
      </c>
      <c r="G830" s="13" t="inlineStr">
        <is>
          <t>Consumer</t>
        </is>
      </c>
      <c r="H830" s="13" t="n">
        <v>3</v>
      </c>
      <c r="I830" s="14" t="n">
        <v>92.13</v>
      </c>
      <c r="J830" s="15" t="n">
        <v>0.03</v>
      </c>
      <c r="K830" s="14" t="n">
        <v>35.01</v>
      </c>
      <c r="L830" s="13" t="n">
        <v>4</v>
      </c>
      <c r="M830" s="13" t="inlineStr">
        <is>
          <t>Completed</t>
        </is>
      </c>
      <c r="N830" s="13" t="inlineStr">
        <is>
          <t>P. Rossi</t>
        </is>
      </c>
      <c r="O830" s="13" t="inlineStr">
        <is>
          <t>No</t>
        </is>
      </c>
      <c r="P830" s="14">
        <f>H830*I830</f>
        <v/>
      </c>
      <c r="Q830" s="14">
        <f>P830*(1-J830)</f>
        <v/>
      </c>
      <c r="R830" s="14">
        <f>H830*K830</f>
        <v/>
      </c>
      <c r="S830" s="15">
        <f>IF(Q830=0,"",(Q830-R830)/Q830)</f>
        <v/>
      </c>
      <c r="T830" s="13">
        <f>YEAR(B830)</f>
        <v/>
      </c>
      <c r="U830" s="13">
        <f>YEAR(B830)&amp;"-Q"&amp;ROUNDUP(MONTH(B830)/3,0)</f>
        <v/>
      </c>
      <c r="V830" s="13">
        <f>TEXT(B830,"YYYY-MM")</f>
        <v/>
      </c>
      <c r="W830" s="13">
        <f>IF(L830="","",IF(L830&gt;pLateDays,1,0))</f>
        <v/>
      </c>
      <c r="X830" s="13">
        <f>IF(Q830&gt;=pHighCutoff,1,0)</f>
        <v/>
      </c>
      <c r="Y830" s="13">
        <f>IF(M830="Returned",1,0)</f>
        <v/>
      </c>
    </row>
    <row r="831">
      <c r="A831" s="13" t="inlineStr">
        <is>
          <t>HC-100829</t>
        </is>
      </c>
      <c r="B831" s="18" t="n">
        <v>45629</v>
      </c>
      <c r="C831" s="13" t="inlineStr">
        <is>
          <t>South</t>
        </is>
      </c>
      <c r="D831" s="13" t="inlineStr">
        <is>
          <t>Online</t>
        </is>
      </c>
      <c r="E831" s="13" t="inlineStr">
        <is>
          <t>Kitchen</t>
        </is>
      </c>
      <c r="F831" s="13" t="inlineStr">
        <is>
          <t>Chef Knife</t>
        </is>
      </c>
      <c r="G831" s="13" t="inlineStr">
        <is>
          <t>Corporate</t>
        </is>
      </c>
      <c r="H831" s="13" t="n">
        <v>2</v>
      </c>
      <c r="I831" s="14" t="n">
        <v>60.97</v>
      </c>
      <c r="J831" s="15" t="n">
        <v>0.17</v>
      </c>
      <c r="K831" s="14" t="n">
        <v>21.95</v>
      </c>
      <c r="L831" s="13" t="n">
        <v>5</v>
      </c>
      <c r="M831" s="13" t="inlineStr">
        <is>
          <t>Completed</t>
        </is>
      </c>
      <c r="N831" s="13" t="inlineStr">
        <is>
          <t>S. Nguyen</t>
        </is>
      </c>
      <c r="O831" s="13" t="inlineStr">
        <is>
          <t>No</t>
        </is>
      </c>
      <c r="P831" s="14">
        <f>H831*I831</f>
        <v/>
      </c>
      <c r="Q831" s="14">
        <f>P831*(1-J831)</f>
        <v/>
      </c>
      <c r="R831" s="14">
        <f>H831*K831</f>
        <v/>
      </c>
      <c r="S831" s="15">
        <f>IF(Q831=0,"",(Q831-R831)/Q831)</f>
        <v/>
      </c>
      <c r="T831" s="13">
        <f>YEAR(B831)</f>
        <v/>
      </c>
      <c r="U831" s="13">
        <f>YEAR(B831)&amp;"-Q"&amp;ROUNDUP(MONTH(B831)/3,0)</f>
        <v/>
      </c>
      <c r="V831" s="13">
        <f>TEXT(B831,"YYYY-MM")</f>
        <v/>
      </c>
      <c r="W831" s="13">
        <f>IF(L831="","",IF(L831&gt;pLateDays,1,0))</f>
        <v/>
      </c>
      <c r="X831" s="13">
        <f>IF(Q831&gt;=pHighCutoff,1,0)</f>
        <v/>
      </c>
      <c r="Y831" s="13">
        <f>IF(M831="Returned",1,0)</f>
        <v/>
      </c>
    </row>
    <row r="832">
      <c r="A832" s="13" t="inlineStr">
        <is>
          <t>HC-100830</t>
        </is>
      </c>
      <c r="B832" s="18" t="n">
        <v>45921</v>
      </c>
      <c r="C832" s="13" t="inlineStr">
        <is>
          <t>East</t>
        </is>
      </c>
      <c r="D832" s="13" t="inlineStr">
        <is>
          <t>Store</t>
        </is>
      </c>
      <c r="E832" s="13" t="inlineStr">
        <is>
          <t>Furniture</t>
        </is>
      </c>
      <c r="F832" s="13" t="inlineStr">
        <is>
          <t>Linen Sofa</t>
        </is>
      </c>
      <c r="G832" s="13" t="inlineStr">
        <is>
          <t>Home Office</t>
        </is>
      </c>
      <c r="H832" s="13" t="n">
        <v>4</v>
      </c>
      <c r="I832" s="14" t="n">
        <v>1169.76</v>
      </c>
      <c r="J832" s="15" t="n">
        <v>0.1</v>
      </c>
      <c r="K832" s="14" t="n">
        <v>772.04</v>
      </c>
      <c r="L832" s="13" t="n">
        <v>8</v>
      </c>
      <c r="M832" s="13" t="inlineStr">
        <is>
          <t>Returned</t>
        </is>
      </c>
      <c r="N832" s="13" t="inlineStr">
        <is>
          <t>P. Rossi</t>
        </is>
      </c>
      <c r="O832" s="13" t="inlineStr">
        <is>
          <t>No</t>
        </is>
      </c>
      <c r="P832" s="14">
        <f>H832*I832</f>
        <v/>
      </c>
      <c r="Q832" s="14">
        <f>P832*(1-J832)</f>
        <v/>
      </c>
      <c r="R832" s="14">
        <f>H832*K832</f>
        <v/>
      </c>
      <c r="S832" s="15">
        <f>IF(Q832=0,"",(Q832-R832)/Q832)</f>
        <v/>
      </c>
      <c r="T832" s="13">
        <f>YEAR(B832)</f>
        <v/>
      </c>
      <c r="U832" s="13">
        <f>YEAR(B832)&amp;"-Q"&amp;ROUNDUP(MONTH(B832)/3,0)</f>
        <v/>
      </c>
      <c r="V832" s="13">
        <f>TEXT(B832,"YYYY-MM")</f>
        <v/>
      </c>
      <c r="W832" s="13">
        <f>IF(L832="","",IF(L832&gt;pLateDays,1,0))</f>
        <v/>
      </c>
      <c r="X832" s="13">
        <f>IF(Q832&gt;=pHighCutoff,1,0)</f>
        <v/>
      </c>
      <c r="Y832" s="13">
        <f>IF(M832="Returned",1,0)</f>
        <v/>
      </c>
    </row>
    <row r="833">
      <c r="A833" s="13" t="inlineStr">
        <is>
          <t>HC-100831</t>
        </is>
      </c>
      <c r="B833" s="18" t="n">
        <v>45772</v>
      </c>
      <c r="C833" s="13" t="inlineStr">
        <is>
          <t>South</t>
        </is>
      </c>
      <c r="D833" s="13" t="inlineStr">
        <is>
          <t>Store</t>
        </is>
      </c>
      <c r="E833" s="13" t="inlineStr">
        <is>
          <t>Furniture</t>
        </is>
      </c>
      <c r="F833" s="13" t="inlineStr">
        <is>
          <t>Walnut Shelf</t>
        </is>
      </c>
      <c r="G833" s="13" t="inlineStr">
        <is>
          <t>Consumer</t>
        </is>
      </c>
      <c r="H833" s="13" t="n">
        <v>3</v>
      </c>
      <c r="I833" s="14" t="n">
        <v>207.18</v>
      </c>
      <c r="J833" s="15" t="n">
        <v>0.02</v>
      </c>
      <c r="K833" s="14" t="n">
        <v>113.95</v>
      </c>
      <c r="L833" s="13" t="n">
        <v>1</v>
      </c>
      <c r="M833" s="13" t="inlineStr">
        <is>
          <t>Completed</t>
        </is>
      </c>
      <c r="N833" s="13" t="inlineStr">
        <is>
          <t>L. Berger</t>
        </is>
      </c>
      <c r="O833" s="13" t="inlineStr">
        <is>
          <t>No</t>
        </is>
      </c>
      <c r="P833" s="14">
        <f>H833*I833</f>
        <v/>
      </c>
      <c r="Q833" s="14">
        <f>P833*(1-J833)</f>
        <v/>
      </c>
      <c r="R833" s="14">
        <f>H833*K833</f>
        <v/>
      </c>
      <c r="S833" s="15">
        <f>IF(Q833=0,"",(Q833-R833)/Q833)</f>
        <v/>
      </c>
      <c r="T833" s="13">
        <f>YEAR(B833)</f>
        <v/>
      </c>
      <c r="U833" s="13">
        <f>YEAR(B833)&amp;"-Q"&amp;ROUNDUP(MONTH(B833)/3,0)</f>
        <v/>
      </c>
      <c r="V833" s="13">
        <f>TEXT(B833,"YYYY-MM")</f>
        <v/>
      </c>
      <c r="W833" s="13">
        <f>IF(L833="","",IF(L833&gt;pLateDays,1,0))</f>
        <v/>
      </c>
      <c r="X833" s="13">
        <f>IF(Q833&gt;=pHighCutoff,1,0)</f>
        <v/>
      </c>
      <c r="Y833" s="13">
        <f>IF(M833="Returned",1,0)</f>
        <v/>
      </c>
    </row>
    <row r="834">
      <c r="A834" s="13" t="inlineStr">
        <is>
          <t>HC-100832</t>
        </is>
      </c>
      <c r="B834" s="18" t="n">
        <v>45814</v>
      </c>
      <c r="C834" s="13" t="inlineStr">
        <is>
          <t>East</t>
        </is>
      </c>
      <c r="D834" s="13" t="inlineStr">
        <is>
          <t>Online</t>
        </is>
      </c>
      <c r="E834" s="13" t="inlineStr">
        <is>
          <t>Kitchen</t>
        </is>
      </c>
      <c r="F834" s="13" t="inlineStr">
        <is>
          <t>Chef Knife</t>
        </is>
      </c>
      <c r="G834" s="13" t="inlineStr">
        <is>
          <t>Unknown</t>
        </is>
      </c>
      <c r="H834" s="13" t="n">
        <v>2</v>
      </c>
      <c r="I834" s="14" t="n">
        <v>61.22</v>
      </c>
      <c r="J834" s="15" t="n">
        <v>0.09</v>
      </c>
      <c r="K834" s="14" t="n">
        <v>22.04</v>
      </c>
      <c r="L834" s="13" t="n">
        <v>10</v>
      </c>
      <c r="M834" s="13" t="inlineStr">
        <is>
          <t>Completed</t>
        </is>
      </c>
      <c r="N834" s="13" t="inlineStr">
        <is>
          <t>R. Ibarra</t>
        </is>
      </c>
      <c r="O834" s="13" t="inlineStr">
        <is>
          <t>No</t>
        </is>
      </c>
      <c r="P834" s="14">
        <f>H834*I834</f>
        <v/>
      </c>
      <c r="Q834" s="14">
        <f>P834*(1-J834)</f>
        <v/>
      </c>
      <c r="R834" s="14">
        <f>H834*K834</f>
        <v/>
      </c>
      <c r="S834" s="15">
        <f>IF(Q834=0,"",(Q834-R834)/Q834)</f>
        <v/>
      </c>
      <c r="T834" s="13">
        <f>YEAR(B834)</f>
        <v/>
      </c>
      <c r="U834" s="13">
        <f>YEAR(B834)&amp;"-Q"&amp;ROUNDUP(MONTH(B834)/3,0)</f>
        <v/>
      </c>
      <c r="V834" s="13">
        <f>TEXT(B834,"YYYY-MM")</f>
        <v/>
      </c>
      <c r="W834" s="13">
        <f>IF(L834="","",IF(L834&gt;pLateDays,1,0))</f>
        <v/>
      </c>
      <c r="X834" s="13">
        <f>IF(Q834&gt;=pHighCutoff,1,0)</f>
        <v/>
      </c>
      <c r="Y834" s="13">
        <f>IF(M834="Returned",1,0)</f>
        <v/>
      </c>
    </row>
    <row r="835">
      <c r="A835" s="13" t="inlineStr">
        <is>
          <t>HC-100833</t>
        </is>
      </c>
      <c r="B835" s="18" t="n">
        <v>45803</v>
      </c>
      <c r="C835" s="13" t="inlineStr">
        <is>
          <t>South</t>
        </is>
      </c>
      <c r="D835" s="13" t="inlineStr">
        <is>
          <t>Online</t>
        </is>
      </c>
      <c r="E835" s="13" t="inlineStr">
        <is>
          <t>Kitchen</t>
        </is>
      </c>
      <c r="F835" s="13" t="inlineStr">
        <is>
          <t>Cast Skillet</t>
        </is>
      </c>
      <c r="G835" s="13" t="inlineStr">
        <is>
          <t>Consumer</t>
        </is>
      </c>
      <c r="H835" s="13" t="n">
        <v>2</v>
      </c>
      <c r="I835" s="14" t="n">
        <v>56.78</v>
      </c>
      <c r="J835" s="15" t="n">
        <v>0.02</v>
      </c>
      <c r="K835" s="14" t="n">
        <v>22.71</v>
      </c>
      <c r="L835" s="13" t="n">
        <v>4</v>
      </c>
      <c r="M835" s="13" t="inlineStr">
        <is>
          <t>Completed</t>
        </is>
      </c>
      <c r="N835" s="13" t="inlineStr">
        <is>
          <t>M. Okonkwo</t>
        </is>
      </c>
      <c r="O835" s="13" t="inlineStr">
        <is>
          <t>No</t>
        </is>
      </c>
      <c r="P835" s="14">
        <f>H835*I835</f>
        <v/>
      </c>
      <c r="Q835" s="14">
        <f>P835*(1-J835)</f>
        <v/>
      </c>
      <c r="R835" s="14">
        <f>H835*K835</f>
        <v/>
      </c>
      <c r="S835" s="15">
        <f>IF(Q835=0,"",(Q835-R835)/Q835)</f>
        <v/>
      </c>
      <c r="T835" s="13">
        <f>YEAR(B835)</f>
        <v/>
      </c>
      <c r="U835" s="13">
        <f>YEAR(B835)&amp;"-Q"&amp;ROUNDUP(MONTH(B835)/3,0)</f>
        <v/>
      </c>
      <c r="V835" s="13">
        <f>TEXT(B835,"YYYY-MM")</f>
        <v/>
      </c>
      <c r="W835" s="13">
        <f>IF(L835="","",IF(L835&gt;pLateDays,1,0))</f>
        <v/>
      </c>
      <c r="X835" s="13">
        <f>IF(Q835&gt;=pHighCutoff,1,0)</f>
        <v/>
      </c>
      <c r="Y835" s="13">
        <f>IF(M835="Returned",1,0)</f>
        <v/>
      </c>
    </row>
    <row r="836">
      <c r="A836" s="13" t="inlineStr">
        <is>
          <t>HC-100834</t>
        </is>
      </c>
      <c r="B836" s="18" t="n">
        <v>45472</v>
      </c>
      <c r="C836" s="13" t="inlineStr">
        <is>
          <t>West</t>
        </is>
      </c>
      <c r="D836" s="13" t="inlineStr">
        <is>
          <t>Store</t>
        </is>
      </c>
      <c r="E836" s="13" t="inlineStr">
        <is>
          <t>Textiles</t>
        </is>
      </c>
      <c r="F836" s="13" t="inlineStr">
        <is>
          <t>Cotton Duvet</t>
        </is>
      </c>
      <c r="G836" s="13" t="inlineStr">
        <is>
          <t>Home Office</t>
        </is>
      </c>
      <c r="H836" s="13" t="n">
        <v>3</v>
      </c>
      <c r="I836" s="14" t="n">
        <v>123.71</v>
      </c>
      <c r="J836" s="15" t="n">
        <v>0.03</v>
      </c>
      <c r="K836" s="14" t="n">
        <v>54.43</v>
      </c>
      <c r="L836" s="13" t="n">
        <v>4</v>
      </c>
      <c r="M836" s="13" t="inlineStr">
        <is>
          <t>Completed</t>
        </is>
      </c>
      <c r="N836" s="13" t="inlineStr">
        <is>
          <t>L. Berger</t>
        </is>
      </c>
      <c r="O836" s="13" t="inlineStr">
        <is>
          <t>No</t>
        </is>
      </c>
      <c r="P836" s="14">
        <f>H836*I836</f>
        <v/>
      </c>
      <c r="Q836" s="14">
        <f>P836*(1-J836)</f>
        <v/>
      </c>
      <c r="R836" s="14">
        <f>H836*K836</f>
        <v/>
      </c>
      <c r="S836" s="15">
        <f>IF(Q836=0,"",(Q836-R836)/Q836)</f>
        <v/>
      </c>
      <c r="T836" s="13">
        <f>YEAR(B836)</f>
        <v/>
      </c>
      <c r="U836" s="13">
        <f>YEAR(B836)&amp;"-Q"&amp;ROUNDUP(MONTH(B836)/3,0)</f>
        <v/>
      </c>
      <c r="V836" s="13">
        <f>TEXT(B836,"YYYY-MM")</f>
        <v/>
      </c>
      <c r="W836" s="13">
        <f>IF(L836="","",IF(L836&gt;pLateDays,1,0))</f>
        <v/>
      </c>
      <c r="X836" s="13">
        <f>IF(Q836&gt;=pHighCutoff,1,0)</f>
        <v/>
      </c>
      <c r="Y836" s="13">
        <f>IF(M836="Returned",1,0)</f>
        <v/>
      </c>
    </row>
    <row r="837">
      <c r="A837" s="13" t="inlineStr">
        <is>
          <t>HC-100835</t>
        </is>
      </c>
      <c r="B837" s="18" t="n">
        <v>45437</v>
      </c>
      <c r="C837" s="13" t="inlineStr">
        <is>
          <t>West</t>
        </is>
      </c>
      <c r="D837" s="13" t="inlineStr">
        <is>
          <t>Store</t>
        </is>
      </c>
      <c r="E837" s="13" t="inlineStr">
        <is>
          <t>Kitchen</t>
        </is>
      </c>
      <c r="F837" s="13" t="inlineStr">
        <is>
          <t>Cast Skillet</t>
        </is>
      </c>
      <c r="G837" s="13" t="inlineStr">
        <is>
          <t>Consumer</t>
        </is>
      </c>
      <c r="H837" s="13" t="n">
        <v>2</v>
      </c>
      <c r="I837" s="14" t="n">
        <v>57.64</v>
      </c>
      <c r="J837" s="15" t="n">
        <v>0.08</v>
      </c>
      <c r="K837" s="14" t="n">
        <v>23.06</v>
      </c>
      <c r="L837" s="13" t="n">
        <v>6</v>
      </c>
      <c r="M837" s="13" t="inlineStr">
        <is>
          <t>Completed</t>
        </is>
      </c>
      <c r="N837" s="13" t="inlineStr">
        <is>
          <t>L. Berger</t>
        </is>
      </c>
      <c r="O837" s="13" t="inlineStr">
        <is>
          <t>No</t>
        </is>
      </c>
      <c r="P837" s="14">
        <f>H837*I837</f>
        <v/>
      </c>
      <c r="Q837" s="14">
        <f>P837*(1-J837)</f>
        <v/>
      </c>
      <c r="R837" s="14">
        <f>H837*K837</f>
        <v/>
      </c>
      <c r="S837" s="15">
        <f>IF(Q837=0,"",(Q837-R837)/Q837)</f>
        <v/>
      </c>
      <c r="T837" s="13">
        <f>YEAR(B837)</f>
        <v/>
      </c>
      <c r="U837" s="13">
        <f>YEAR(B837)&amp;"-Q"&amp;ROUNDUP(MONTH(B837)/3,0)</f>
        <v/>
      </c>
      <c r="V837" s="13">
        <f>TEXT(B837,"YYYY-MM")</f>
        <v/>
      </c>
      <c r="W837" s="13">
        <f>IF(L837="","",IF(L837&gt;pLateDays,1,0))</f>
        <v/>
      </c>
      <c r="X837" s="13">
        <f>IF(Q837&gt;=pHighCutoff,1,0)</f>
        <v/>
      </c>
      <c r="Y837" s="13">
        <f>IF(M837="Returned",1,0)</f>
        <v/>
      </c>
    </row>
    <row r="838">
      <c r="A838" s="13" t="inlineStr">
        <is>
          <t>HC-100836</t>
        </is>
      </c>
      <c r="B838" s="18" t="n">
        <v>45610</v>
      </c>
      <c r="C838" s="13" t="inlineStr">
        <is>
          <t>West</t>
        </is>
      </c>
      <c r="D838" s="13" t="inlineStr">
        <is>
          <t>Store</t>
        </is>
      </c>
      <c r="E838" s="13" t="inlineStr">
        <is>
          <t>Furniture</t>
        </is>
      </c>
      <c r="F838" s="13" t="inlineStr">
        <is>
          <t>Linen Sofa</t>
        </is>
      </c>
      <c r="G838" s="13" t="inlineStr">
        <is>
          <t>Home Office</t>
        </is>
      </c>
      <c r="H838" s="13" t="n">
        <v>3</v>
      </c>
      <c r="I838" s="14" t="n">
        <v>1266.63</v>
      </c>
      <c r="J838" s="15" t="n">
        <v>0.05</v>
      </c>
      <c r="K838" s="14" t="n">
        <v>835.97</v>
      </c>
      <c r="L838" s="13" t="n">
        <v>7</v>
      </c>
      <c r="M838" s="13" t="inlineStr">
        <is>
          <t>Completed</t>
        </is>
      </c>
      <c r="N838" s="13" t="inlineStr">
        <is>
          <t>P. Rossi</t>
        </is>
      </c>
      <c r="O838" s="13" t="inlineStr">
        <is>
          <t>No</t>
        </is>
      </c>
      <c r="P838" s="14">
        <f>H838*I838</f>
        <v/>
      </c>
      <c r="Q838" s="14">
        <f>P838*(1-J838)</f>
        <v/>
      </c>
      <c r="R838" s="14">
        <f>H838*K838</f>
        <v/>
      </c>
      <c r="S838" s="15">
        <f>IF(Q838=0,"",(Q838-R838)/Q838)</f>
        <v/>
      </c>
      <c r="T838" s="13">
        <f>YEAR(B838)</f>
        <v/>
      </c>
      <c r="U838" s="13">
        <f>YEAR(B838)&amp;"-Q"&amp;ROUNDUP(MONTH(B838)/3,0)</f>
        <v/>
      </c>
      <c r="V838" s="13">
        <f>TEXT(B838,"YYYY-MM")</f>
        <v/>
      </c>
      <c r="W838" s="13">
        <f>IF(L838="","",IF(L838&gt;pLateDays,1,0))</f>
        <v/>
      </c>
      <c r="X838" s="13">
        <f>IF(Q838&gt;=pHighCutoff,1,0)</f>
        <v/>
      </c>
      <c r="Y838" s="13">
        <f>IF(M838="Returned",1,0)</f>
        <v/>
      </c>
    </row>
    <row r="839">
      <c r="A839" s="13" t="inlineStr">
        <is>
          <t>HC-100837</t>
        </is>
      </c>
      <c r="B839" s="18" t="n">
        <v>45487</v>
      </c>
      <c r="C839" s="13" t="inlineStr">
        <is>
          <t>West</t>
        </is>
      </c>
      <c r="D839" s="13" t="inlineStr">
        <is>
          <t>Online</t>
        </is>
      </c>
      <c r="E839" s="13" t="inlineStr">
        <is>
          <t>Furniture</t>
        </is>
      </c>
      <c r="F839" s="13" t="inlineStr">
        <is>
          <t>Linen Sofa</t>
        </is>
      </c>
      <c r="G839" s="13" t="inlineStr">
        <is>
          <t>Consumer</t>
        </is>
      </c>
      <c r="H839" s="13" t="n">
        <v>2</v>
      </c>
      <c r="I839" s="14" t="n">
        <v>1316.74</v>
      </c>
      <c r="J839" s="15" t="n">
        <v>0.05</v>
      </c>
      <c r="K839" s="14" t="n">
        <v>869.05</v>
      </c>
      <c r="L839" s="13" t="n">
        <v>7</v>
      </c>
      <c r="M839" s="13" t="inlineStr">
        <is>
          <t>Completed</t>
        </is>
      </c>
      <c r="N839" s="13" t="inlineStr">
        <is>
          <t>S. Nguyen</t>
        </is>
      </c>
      <c r="O839" s="13" t="inlineStr">
        <is>
          <t>No</t>
        </is>
      </c>
      <c r="P839" s="14">
        <f>H839*I839</f>
        <v/>
      </c>
      <c r="Q839" s="14">
        <f>P839*(1-J839)</f>
        <v/>
      </c>
      <c r="R839" s="14">
        <f>H839*K839</f>
        <v/>
      </c>
      <c r="S839" s="15">
        <f>IF(Q839=0,"",(Q839-R839)/Q839)</f>
        <v/>
      </c>
      <c r="T839" s="13">
        <f>YEAR(B839)</f>
        <v/>
      </c>
      <c r="U839" s="13">
        <f>YEAR(B839)&amp;"-Q"&amp;ROUNDUP(MONTH(B839)/3,0)</f>
        <v/>
      </c>
      <c r="V839" s="13">
        <f>TEXT(B839,"YYYY-MM")</f>
        <v/>
      </c>
      <c r="W839" s="13">
        <f>IF(L839="","",IF(L839&gt;pLateDays,1,0))</f>
        <v/>
      </c>
      <c r="X839" s="13">
        <f>IF(Q839&gt;=pHighCutoff,1,0)</f>
        <v/>
      </c>
      <c r="Y839" s="13">
        <f>IF(M839="Returned",1,0)</f>
        <v/>
      </c>
    </row>
    <row r="840">
      <c r="A840" s="13" t="inlineStr">
        <is>
          <t>HC-100838</t>
        </is>
      </c>
      <c r="B840" s="18" t="n">
        <v>45759</v>
      </c>
      <c r="C840" s="13" t="inlineStr">
        <is>
          <t>West</t>
        </is>
      </c>
      <c r="D840" s="13" t="inlineStr">
        <is>
          <t>Store</t>
        </is>
      </c>
      <c r="E840" s="13" t="inlineStr">
        <is>
          <t>Kitchen</t>
        </is>
      </c>
      <c r="F840" s="13" t="inlineStr">
        <is>
          <t>Ceramic Set</t>
        </is>
      </c>
      <c r="G840" s="13" t="inlineStr">
        <is>
          <t>Consumer</t>
        </is>
      </c>
      <c r="H840" s="13" t="n">
        <v>1</v>
      </c>
      <c r="I840" s="14" t="n">
        <v>90.97</v>
      </c>
      <c r="J840" s="15" t="n">
        <v>0.09</v>
      </c>
      <c r="K840" s="14" t="n">
        <v>34.57</v>
      </c>
      <c r="L840" s="13" t="n">
        <v>9</v>
      </c>
      <c r="M840" s="13" t="inlineStr">
        <is>
          <t>Completed</t>
        </is>
      </c>
      <c r="N840" s="13" t="inlineStr">
        <is>
          <t>M. Okonkwo</t>
        </is>
      </c>
      <c r="O840" s="13" t="inlineStr">
        <is>
          <t>No</t>
        </is>
      </c>
      <c r="P840" s="14">
        <f>H840*I840</f>
        <v/>
      </c>
      <c r="Q840" s="14">
        <f>P840*(1-J840)</f>
        <v/>
      </c>
      <c r="R840" s="14">
        <f>H840*K840</f>
        <v/>
      </c>
      <c r="S840" s="15">
        <f>IF(Q840=0,"",(Q840-R840)/Q840)</f>
        <v/>
      </c>
      <c r="T840" s="13">
        <f>YEAR(B840)</f>
        <v/>
      </c>
      <c r="U840" s="13">
        <f>YEAR(B840)&amp;"-Q"&amp;ROUNDUP(MONTH(B840)/3,0)</f>
        <v/>
      </c>
      <c r="V840" s="13">
        <f>TEXT(B840,"YYYY-MM")</f>
        <v/>
      </c>
      <c r="W840" s="13">
        <f>IF(L840="","",IF(L840&gt;pLateDays,1,0))</f>
        <v/>
      </c>
      <c r="X840" s="13">
        <f>IF(Q840&gt;=pHighCutoff,1,0)</f>
        <v/>
      </c>
      <c r="Y840" s="13">
        <f>IF(M840="Returned",1,0)</f>
        <v/>
      </c>
    </row>
    <row r="841">
      <c r="A841" s="13" t="inlineStr">
        <is>
          <t>HC-100839</t>
        </is>
      </c>
      <c r="B841" s="18" t="n">
        <v>45639</v>
      </c>
      <c r="C841" s="13" t="inlineStr">
        <is>
          <t>North</t>
        </is>
      </c>
      <c r="D841" s="13" t="inlineStr">
        <is>
          <t>Store</t>
        </is>
      </c>
      <c r="E841" s="13" t="inlineStr">
        <is>
          <t>Lighting</t>
        </is>
      </c>
      <c r="F841" s="13" t="inlineStr">
        <is>
          <t>Brass Sconce</t>
        </is>
      </c>
      <c r="G841" s="13" t="inlineStr">
        <is>
          <t>Corporate</t>
        </is>
      </c>
      <c r="H841" s="13" t="n">
        <v>2</v>
      </c>
      <c r="I841" s="14" t="n">
        <v>132.13</v>
      </c>
      <c r="J841" s="15" t="n">
        <v>0.08</v>
      </c>
      <c r="K841" s="14" t="n">
        <v>60.78</v>
      </c>
      <c r="L841" s="13" t="n">
        <v>5</v>
      </c>
      <c r="M841" s="13" t="inlineStr">
        <is>
          <t>Completed</t>
        </is>
      </c>
      <c r="N841" s="13" t="inlineStr">
        <is>
          <t>R. Ibarra</t>
        </is>
      </c>
      <c r="O841" s="13" t="inlineStr">
        <is>
          <t>No</t>
        </is>
      </c>
      <c r="P841" s="14">
        <f>H841*I841</f>
        <v/>
      </c>
      <c r="Q841" s="14">
        <f>P841*(1-J841)</f>
        <v/>
      </c>
      <c r="R841" s="14">
        <f>H841*K841</f>
        <v/>
      </c>
      <c r="S841" s="15">
        <f>IF(Q841=0,"",(Q841-R841)/Q841)</f>
        <v/>
      </c>
      <c r="T841" s="13">
        <f>YEAR(B841)</f>
        <v/>
      </c>
      <c r="U841" s="13">
        <f>YEAR(B841)&amp;"-Q"&amp;ROUNDUP(MONTH(B841)/3,0)</f>
        <v/>
      </c>
      <c r="V841" s="13">
        <f>TEXT(B841,"YYYY-MM")</f>
        <v/>
      </c>
      <c r="W841" s="13">
        <f>IF(L841="","",IF(L841&gt;pLateDays,1,0))</f>
        <v/>
      </c>
      <c r="X841" s="13">
        <f>IF(Q841&gt;=pHighCutoff,1,0)</f>
        <v/>
      </c>
      <c r="Y841" s="13">
        <f>IF(M841="Returned",1,0)</f>
        <v/>
      </c>
    </row>
    <row r="842">
      <c r="A842" s="13" t="inlineStr">
        <is>
          <t>HC-100840</t>
        </is>
      </c>
      <c r="B842" s="18" t="n">
        <v>45884</v>
      </c>
      <c r="C842" s="13" t="inlineStr">
        <is>
          <t>North</t>
        </is>
      </c>
      <c r="D842" s="13" t="inlineStr">
        <is>
          <t>Store</t>
        </is>
      </c>
      <c r="E842" s="13" t="inlineStr">
        <is>
          <t>Textiles</t>
        </is>
      </c>
      <c r="F842" s="13" t="inlineStr">
        <is>
          <t>Linen Curtain</t>
        </is>
      </c>
      <c r="G842" s="13" t="inlineStr">
        <is>
          <t>Consumer</t>
        </is>
      </c>
      <c r="H842" s="13" t="n">
        <v>2</v>
      </c>
      <c r="I842" s="14" t="n">
        <v>90.88</v>
      </c>
      <c r="J842" s="15" t="n">
        <v>0.08</v>
      </c>
      <c r="K842" s="14" t="n">
        <v>40.9</v>
      </c>
      <c r="L842" s="13" t="n">
        <v>2</v>
      </c>
      <c r="M842" s="13" t="inlineStr">
        <is>
          <t>Completed</t>
        </is>
      </c>
      <c r="N842" s="13" t="inlineStr">
        <is>
          <t>M. Okonkwo</t>
        </is>
      </c>
      <c r="O842" s="13" t="inlineStr">
        <is>
          <t>No</t>
        </is>
      </c>
      <c r="P842" s="14">
        <f>H842*I842</f>
        <v/>
      </c>
      <c r="Q842" s="14">
        <f>P842*(1-J842)</f>
        <v/>
      </c>
      <c r="R842" s="14">
        <f>H842*K842</f>
        <v/>
      </c>
      <c r="S842" s="15">
        <f>IF(Q842=0,"",(Q842-R842)/Q842)</f>
        <v/>
      </c>
      <c r="T842" s="13">
        <f>YEAR(B842)</f>
        <v/>
      </c>
      <c r="U842" s="13">
        <f>YEAR(B842)&amp;"-Q"&amp;ROUNDUP(MONTH(B842)/3,0)</f>
        <v/>
      </c>
      <c r="V842" s="13">
        <f>TEXT(B842,"YYYY-MM")</f>
        <v/>
      </c>
      <c r="W842" s="13">
        <f>IF(L842="","",IF(L842&gt;pLateDays,1,0))</f>
        <v/>
      </c>
      <c r="X842" s="13">
        <f>IF(Q842&gt;=pHighCutoff,1,0)</f>
        <v/>
      </c>
      <c r="Y842" s="13">
        <f>IF(M842="Returned",1,0)</f>
        <v/>
      </c>
    </row>
    <row r="843">
      <c r="A843" s="13" t="inlineStr">
        <is>
          <t>HC-100841</t>
        </is>
      </c>
      <c r="B843" s="18" t="n">
        <v>45732</v>
      </c>
      <c r="C843" s="13" t="inlineStr">
        <is>
          <t>West</t>
        </is>
      </c>
      <c r="D843" s="13" t="inlineStr">
        <is>
          <t>Wholesale</t>
        </is>
      </c>
      <c r="E843" s="13" t="inlineStr">
        <is>
          <t>Furniture</t>
        </is>
      </c>
      <c r="F843" s="13" t="inlineStr">
        <is>
          <t>Lounge Chair</t>
        </is>
      </c>
      <c r="G843" s="13" t="inlineStr">
        <is>
          <t>Consumer</t>
        </is>
      </c>
      <c r="H843" s="13" t="n">
        <v>25</v>
      </c>
      <c r="I843" s="14" t="n">
        <v>448.85</v>
      </c>
      <c r="J843" s="15" t="n">
        <v>0.14</v>
      </c>
      <c r="K843" s="14" t="n">
        <v>269.31</v>
      </c>
      <c r="L843" s="13" t="n">
        <v>5</v>
      </c>
      <c r="M843" s="13" t="inlineStr">
        <is>
          <t>Completed</t>
        </is>
      </c>
      <c r="N843" s="13" t="inlineStr">
        <is>
          <t>S. Nguyen</t>
        </is>
      </c>
      <c r="O843" s="13" t="inlineStr">
        <is>
          <t>No</t>
        </is>
      </c>
      <c r="P843" s="14">
        <f>H843*I843</f>
        <v/>
      </c>
      <c r="Q843" s="14">
        <f>P843*(1-J843)</f>
        <v/>
      </c>
      <c r="R843" s="14">
        <f>H843*K843</f>
        <v/>
      </c>
      <c r="S843" s="15">
        <f>IF(Q843=0,"",(Q843-R843)/Q843)</f>
        <v/>
      </c>
      <c r="T843" s="13">
        <f>YEAR(B843)</f>
        <v/>
      </c>
      <c r="U843" s="13">
        <f>YEAR(B843)&amp;"-Q"&amp;ROUNDUP(MONTH(B843)/3,0)</f>
        <v/>
      </c>
      <c r="V843" s="13">
        <f>TEXT(B843,"YYYY-MM")</f>
        <v/>
      </c>
      <c r="W843" s="13">
        <f>IF(L843="","",IF(L843&gt;pLateDays,1,0))</f>
        <v/>
      </c>
      <c r="X843" s="13">
        <f>IF(Q843&gt;=pHighCutoff,1,0)</f>
        <v/>
      </c>
      <c r="Y843" s="13">
        <f>IF(M843="Returned",1,0)</f>
        <v/>
      </c>
    </row>
    <row r="844">
      <c r="A844" s="13" t="inlineStr">
        <is>
          <t>HC-100842</t>
        </is>
      </c>
      <c r="B844" s="18" t="n">
        <v>45809</v>
      </c>
      <c r="C844" s="13" t="inlineStr">
        <is>
          <t>North</t>
        </is>
      </c>
      <c r="D844" s="13" t="inlineStr">
        <is>
          <t>Store</t>
        </is>
      </c>
      <c r="E844" s="13" t="inlineStr">
        <is>
          <t>Kitchen</t>
        </is>
      </c>
      <c r="F844" s="13" t="inlineStr">
        <is>
          <t>Chef Knife</t>
        </is>
      </c>
      <c r="G844" s="13" t="inlineStr">
        <is>
          <t>Corporate</t>
        </is>
      </c>
      <c r="H844" s="13" t="n">
        <v>1</v>
      </c>
      <c r="I844" s="14" t="n">
        <v>68.55</v>
      </c>
      <c r="J844" s="15" t="n">
        <v>0.02</v>
      </c>
      <c r="K844" s="14" t="n">
        <v>24.68</v>
      </c>
      <c r="L844" s="13" t="n">
        <v>5</v>
      </c>
      <c r="M844" s="13" t="inlineStr">
        <is>
          <t>Returned</t>
        </is>
      </c>
      <c r="N844" s="13" t="inlineStr">
        <is>
          <t>M. Okonkwo</t>
        </is>
      </c>
      <c r="O844" s="13" t="inlineStr">
        <is>
          <t>No</t>
        </is>
      </c>
      <c r="P844" s="14">
        <f>H844*I844</f>
        <v/>
      </c>
      <c r="Q844" s="14">
        <f>P844*(1-J844)</f>
        <v/>
      </c>
      <c r="R844" s="14">
        <f>H844*K844</f>
        <v/>
      </c>
      <c r="S844" s="15">
        <f>IF(Q844=0,"",(Q844-R844)/Q844)</f>
        <v/>
      </c>
      <c r="T844" s="13">
        <f>YEAR(B844)</f>
        <v/>
      </c>
      <c r="U844" s="13">
        <f>YEAR(B844)&amp;"-Q"&amp;ROUNDUP(MONTH(B844)/3,0)</f>
        <v/>
      </c>
      <c r="V844" s="13">
        <f>TEXT(B844,"YYYY-MM")</f>
        <v/>
      </c>
      <c r="W844" s="13">
        <f>IF(L844="","",IF(L844&gt;pLateDays,1,0))</f>
        <v/>
      </c>
      <c r="X844" s="13">
        <f>IF(Q844&gt;=pHighCutoff,1,0)</f>
        <v/>
      </c>
      <c r="Y844" s="13">
        <f>IF(M844="Returned",1,0)</f>
        <v/>
      </c>
    </row>
    <row r="845">
      <c r="A845" s="13" t="inlineStr">
        <is>
          <t>HC-100843</t>
        </is>
      </c>
      <c r="B845" s="18" t="n">
        <v>45881</v>
      </c>
      <c r="C845" s="13" t="inlineStr">
        <is>
          <t>West</t>
        </is>
      </c>
      <c r="D845" s="13" t="inlineStr">
        <is>
          <t>Store</t>
        </is>
      </c>
      <c r="E845" s="13" t="inlineStr">
        <is>
          <t>Kitchen</t>
        </is>
      </c>
      <c r="F845" s="13" t="inlineStr">
        <is>
          <t>Cast Skillet</t>
        </is>
      </c>
      <c r="G845" s="13" t="inlineStr">
        <is>
          <t>Consumer</t>
        </is>
      </c>
      <c r="H845" s="13" t="n">
        <v>1</v>
      </c>
      <c r="I845" s="14" t="n">
        <v>54.02</v>
      </c>
      <c r="J845" s="15" t="n">
        <v>0.05</v>
      </c>
      <c r="K845" s="14" t="n">
        <v>21.61</v>
      </c>
      <c r="L845" s="13" t="n">
        <v>1</v>
      </c>
      <c r="M845" s="13" t="inlineStr">
        <is>
          <t>Completed</t>
        </is>
      </c>
      <c r="N845" s="13" t="inlineStr">
        <is>
          <t>R. Ibarra</t>
        </is>
      </c>
      <c r="O845" s="13" t="inlineStr">
        <is>
          <t>No</t>
        </is>
      </c>
      <c r="P845" s="14">
        <f>H845*I845</f>
        <v/>
      </c>
      <c r="Q845" s="14">
        <f>P845*(1-J845)</f>
        <v/>
      </c>
      <c r="R845" s="14">
        <f>H845*K845</f>
        <v/>
      </c>
      <c r="S845" s="15">
        <f>IF(Q845=0,"",(Q845-R845)/Q845)</f>
        <v/>
      </c>
      <c r="T845" s="13">
        <f>YEAR(B845)</f>
        <v/>
      </c>
      <c r="U845" s="13">
        <f>YEAR(B845)&amp;"-Q"&amp;ROUNDUP(MONTH(B845)/3,0)</f>
        <v/>
      </c>
      <c r="V845" s="13">
        <f>TEXT(B845,"YYYY-MM")</f>
        <v/>
      </c>
      <c r="W845" s="13">
        <f>IF(L845="","",IF(L845&gt;pLateDays,1,0))</f>
        <v/>
      </c>
      <c r="X845" s="13">
        <f>IF(Q845&gt;=pHighCutoff,1,0)</f>
        <v/>
      </c>
      <c r="Y845" s="13">
        <f>IF(M845="Returned",1,0)</f>
        <v/>
      </c>
    </row>
    <row r="846">
      <c r="A846" s="13" t="inlineStr">
        <is>
          <t>HC-100844</t>
        </is>
      </c>
      <c r="B846" s="18" t="n">
        <v>45594</v>
      </c>
      <c r="C846" s="13" t="inlineStr">
        <is>
          <t>North</t>
        </is>
      </c>
      <c r="D846" s="13" t="inlineStr">
        <is>
          <t>Wholesale</t>
        </is>
      </c>
      <c r="E846" s="13" t="inlineStr">
        <is>
          <t>Furniture</t>
        </is>
      </c>
      <c r="F846" s="13" t="inlineStr">
        <is>
          <t>Lounge Chair</t>
        </is>
      </c>
      <c r="G846" s="13" t="inlineStr">
        <is>
          <t>Consumer</t>
        </is>
      </c>
      <c r="H846" s="13" t="n">
        <v>21</v>
      </c>
      <c r="I846" s="14" t="n">
        <v>491.29</v>
      </c>
      <c r="J846" s="15" t="n">
        <v>0.14</v>
      </c>
      <c r="K846" s="14" t="n">
        <v>294.77</v>
      </c>
      <c r="L846" s="13" t="n">
        <v>5</v>
      </c>
      <c r="M846" s="13" t="inlineStr">
        <is>
          <t>Completed</t>
        </is>
      </c>
      <c r="N846" s="13" t="inlineStr">
        <is>
          <t>M. Okonkwo</t>
        </is>
      </c>
      <c r="O846" s="13" t="inlineStr">
        <is>
          <t>No</t>
        </is>
      </c>
      <c r="P846" s="14">
        <f>H846*I846</f>
        <v/>
      </c>
      <c r="Q846" s="14">
        <f>P846*(1-J846)</f>
        <v/>
      </c>
      <c r="R846" s="14">
        <f>H846*K846</f>
        <v/>
      </c>
      <c r="S846" s="15">
        <f>IF(Q846=0,"",(Q846-R846)/Q846)</f>
        <v/>
      </c>
      <c r="T846" s="13">
        <f>YEAR(B846)</f>
        <v/>
      </c>
      <c r="U846" s="13">
        <f>YEAR(B846)&amp;"-Q"&amp;ROUNDUP(MONTH(B846)/3,0)</f>
        <v/>
      </c>
      <c r="V846" s="13">
        <f>TEXT(B846,"YYYY-MM")</f>
        <v/>
      </c>
      <c r="W846" s="13">
        <f>IF(L846="","",IF(L846&gt;pLateDays,1,0))</f>
        <v/>
      </c>
      <c r="X846" s="13">
        <f>IF(Q846&gt;=pHighCutoff,1,0)</f>
        <v/>
      </c>
      <c r="Y846" s="13">
        <f>IF(M846="Returned",1,0)</f>
        <v/>
      </c>
    </row>
    <row r="847">
      <c r="A847" s="13" t="inlineStr">
        <is>
          <t>HC-100845</t>
        </is>
      </c>
      <c r="B847" s="18" t="n">
        <v>45374</v>
      </c>
      <c r="C847" s="13" t="inlineStr">
        <is>
          <t>South</t>
        </is>
      </c>
      <c r="D847" s="13" t="inlineStr">
        <is>
          <t>Wholesale</t>
        </is>
      </c>
      <c r="E847" s="13" t="inlineStr">
        <is>
          <t>Furniture</t>
        </is>
      </c>
      <c r="F847" s="13" t="inlineStr">
        <is>
          <t>Linen Sofa</t>
        </is>
      </c>
      <c r="G847" s="13" t="inlineStr">
        <is>
          <t>Home Office</t>
        </is>
      </c>
      <c r="H847" s="13" t="n">
        <v>26</v>
      </c>
      <c r="I847" s="14" t="n">
        <v>1304.64</v>
      </c>
      <c r="J847" s="15" t="n">
        <v>0.31</v>
      </c>
      <c r="K847" s="14" t="n">
        <v>861.0599999999999</v>
      </c>
      <c r="L847" s="13" t="n">
        <v>6</v>
      </c>
      <c r="M847" s="13" t="inlineStr">
        <is>
          <t>Completed</t>
        </is>
      </c>
      <c r="N847" s="13" t="inlineStr">
        <is>
          <t>L. Berger</t>
        </is>
      </c>
      <c r="O847" s="13" t="inlineStr">
        <is>
          <t>No</t>
        </is>
      </c>
      <c r="P847" s="14">
        <f>H847*I847</f>
        <v/>
      </c>
      <c r="Q847" s="14">
        <f>P847*(1-J847)</f>
        <v/>
      </c>
      <c r="R847" s="14">
        <f>H847*K847</f>
        <v/>
      </c>
      <c r="S847" s="15">
        <f>IF(Q847=0,"",(Q847-R847)/Q847)</f>
        <v/>
      </c>
      <c r="T847" s="13">
        <f>YEAR(B847)</f>
        <v/>
      </c>
      <c r="U847" s="13">
        <f>YEAR(B847)&amp;"-Q"&amp;ROUNDUP(MONTH(B847)/3,0)</f>
        <v/>
      </c>
      <c r="V847" s="13">
        <f>TEXT(B847,"YYYY-MM")</f>
        <v/>
      </c>
      <c r="W847" s="13">
        <f>IF(L847="","",IF(L847&gt;pLateDays,1,0))</f>
        <v/>
      </c>
      <c r="X847" s="13">
        <f>IF(Q847&gt;=pHighCutoff,1,0)</f>
        <v/>
      </c>
      <c r="Y847" s="13">
        <f>IF(M847="Returned",1,0)</f>
        <v/>
      </c>
    </row>
    <row r="848">
      <c r="A848" s="13" t="inlineStr">
        <is>
          <t>HC-100846</t>
        </is>
      </c>
      <c r="B848" s="18" t="n">
        <v>45486</v>
      </c>
      <c r="C848" s="13" t="inlineStr">
        <is>
          <t>West</t>
        </is>
      </c>
      <c r="D848" s="13" t="inlineStr">
        <is>
          <t>Wholesale</t>
        </is>
      </c>
      <c r="E848" s="13" t="inlineStr">
        <is>
          <t>Kitchen</t>
        </is>
      </c>
      <c r="F848" s="13" t="inlineStr">
        <is>
          <t>Chef Knife</t>
        </is>
      </c>
      <c r="G848" s="13" t="inlineStr">
        <is>
          <t>Unknown</t>
        </is>
      </c>
      <c r="H848" s="13" t="n">
        <v>24</v>
      </c>
      <c r="I848" s="14" t="n">
        <v>67.84</v>
      </c>
      <c r="J848" s="15" t="n">
        <v>0.32</v>
      </c>
      <c r="K848" s="14" t="n">
        <v>24.42</v>
      </c>
      <c r="L848" s="13" t="n">
        <v>3</v>
      </c>
      <c r="M848" s="13" t="inlineStr">
        <is>
          <t>Completed</t>
        </is>
      </c>
      <c r="N848" s="13" t="inlineStr">
        <is>
          <t>J. Patel</t>
        </is>
      </c>
      <c r="O848" s="13" t="inlineStr">
        <is>
          <t>No</t>
        </is>
      </c>
      <c r="P848" s="14">
        <f>H848*I848</f>
        <v/>
      </c>
      <c r="Q848" s="14">
        <f>P848*(1-J848)</f>
        <v/>
      </c>
      <c r="R848" s="14">
        <f>H848*K848</f>
        <v/>
      </c>
      <c r="S848" s="15">
        <f>IF(Q848=0,"",(Q848-R848)/Q848)</f>
        <v/>
      </c>
      <c r="T848" s="13">
        <f>YEAR(B848)</f>
        <v/>
      </c>
      <c r="U848" s="13">
        <f>YEAR(B848)&amp;"-Q"&amp;ROUNDUP(MONTH(B848)/3,0)</f>
        <v/>
      </c>
      <c r="V848" s="13">
        <f>TEXT(B848,"YYYY-MM")</f>
        <v/>
      </c>
      <c r="W848" s="13">
        <f>IF(L848="","",IF(L848&gt;pLateDays,1,0))</f>
        <v/>
      </c>
      <c r="X848" s="13">
        <f>IF(Q848&gt;=pHighCutoff,1,0)</f>
        <v/>
      </c>
      <c r="Y848" s="13">
        <f>IF(M848="Returned",1,0)</f>
        <v/>
      </c>
    </row>
    <row r="849">
      <c r="A849" s="13" t="inlineStr">
        <is>
          <t>HC-100847</t>
        </is>
      </c>
      <c r="B849" s="18" t="n">
        <v>45471</v>
      </c>
      <c r="C849" s="13" t="inlineStr">
        <is>
          <t>East</t>
        </is>
      </c>
      <c r="D849" s="13" t="inlineStr">
        <is>
          <t>Store</t>
        </is>
      </c>
      <c r="E849" s="13" t="inlineStr">
        <is>
          <t>Furniture</t>
        </is>
      </c>
      <c r="F849" s="13" t="inlineStr">
        <is>
          <t>Oak Desk</t>
        </is>
      </c>
      <c r="G849" s="13" t="inlineStr">
        <is>
          <t>Consumer</t>
        </is>
      </c>
      <c r="H849" s="13" t="n">
        <v>1</v>
      </c>
      <c r="I849" s="14" t="n">
        <v>767.47</v>
      </c>
      <c r="J849" s="15" t="n">
        <v>0.08</v>
      </c>
      <c r="K849" s="14" t="n">
        <v>475.83</v>
      </c>
      <c r="L849" s="13" t="n">
        <v>10</v>
      </c>
      <c r="M849" s="13" t="inlineStr">
        <is>
          <t>Completed</t>
        </is>
      </c>
      <c r="N849" s="13" t="inlineStr">
        <is>
          <t>L. Berger</t>
        </is>
      </c>
      <c r="O849" s="13" t="inlineStr">
        <is>
          <t>No</t>
        </is>
      </c>
      <c r="P849" s="14">
        <f>H849*I849</f>
        <v/>
      </c>
      <c r="Q849" s="14">
        <f>P849*(1-J849)</f>
        <v/>
      </c>
      <c r="R849" s="14">
        <f>H849*K849</f>
        <v/>
      </c>
      <c r="S849" s="15">
        <f>IF(Q849=0,"",(Q849-R849)/Q849)</f>
        <v/>
      </c>
      <c r="T849" s="13">
        <f>YEAR(B849)</f>
        <v/>
      </c>
      <c r="U849" s="13">
        <f>YEAR(B849)&amp;"-Q"&amp;ROUNDUP(MONTH(B849)/3,0)</f>
        <v/>
      </c>
      <c r="V849" s="13">
        <f>TEXT(B849,"YYYY-MM")</f>
        <v/>
      </c>
      <c r="W849" s="13">
        <f>IF(L849="","",IF(L849&gt;pLateDays,1,0))</f>
        <v/>
      </c>
      <c r="X849" s="13">
        <f>IF(Q849&gt;=pHighCutoff,1,0)</f>
        <v/>
      </c>
      <c r="Y849" s="13">
        <f>IF(M849="Returned",1,0)</f>
        <v/>
      </c>
    </row>
    <row r="850">
      <c r="A850" s="13" t="inlineStr">
        <is>
          <t>HC-100848</t>
        </is>
      </c>
      <c r="B850" s="18" t="n">
        <v>45620</v>
      </c>
      <c r="C850" s="13" t="inlineStr">
        <is>
          <t>North</t>
        </is>
      </c>
      <c r="D850" s="13" t="inlineStr">
        <is>
          <t>Store</t>
        </is>
      </c>
      <c r="E850" s="13" t="inlineStr">
        <is>
          <t>Textiles</t>
        </is>
      </c>
      <c r="F850" s="13" t="inlineStr">
        <is>
          <t>Cotton Duvet</t>
        </is>
      </c>
      <c r="G850" s="13" t="inlineStr">
        <is>
          <t>Corporate</t>
        </is>
      </c>
      <c r="H850" s="13" t="n">
        <v>5</v>
      </c>
      <c r="I850" s="14" t="n">
        <v>122.89</v>
      </c>
      <c r="J850" s="15" t="n">
        <v>0.05</v>
      </c>
      <c r="K850" s="14" t="n">
        <v>54.07</v>
      </c>
      <c r="L850" s="13" t="n">
        <v>5</v>
      </c>
      <c r="M850" s="13" t="inlineStr">
        <is>
          <t>Completed</t>
        </is>
      </c>
      <c r="N850" s="13" t="inlineStr">
        <is>
          <t>R. Ibarra</t>
        </is>
      </c>
      <c r="O850" s="13" t="inlineStr">
        <is>
          <t>No</t>
        </is>
      </c>
      <c r="P850" s="14">
        <f>H850*I850</f>
        <v/>
      </c>
      <c r="Q850" s="14">
        <f>P850*(1-J850)</f>
        <v/>
      </c>
      <c r="R850" s="14">
        <f>H850*K850</f>
        <v/>
      </c>
      <c r="S850" s="15">
        <f>IF(Q850=0,"",(Q850-R850)/Q850)</f>
        <v/>
      </c>
      <c r="T850" s="13">
        <f>YEAR(B850)</f>
        <v/>
      </c>
      <c r="U850" s="13">
        <f>YEAR(B850)&amp;"-Q"&amp;ROUNDUP(MONTH(B850)/3,0)</f>
        <v/>
      </c>
      <c r="V850" s="13">
        <f>TEXT(B850,"YYYY-MM")</f>
        <v/>
      </c>
      <c r="W850" s="13">
        <f>IF(L850="","",IF(L850&gt;pLateDays,1,0))</f>
        <v/>
      </c>
      <c r="X850" s="13">
        <f>IF(Q850&gt;=pHighCutoff,1,0)</f>
        <v/>
      </c>
      <c r="Y850" s="13">
        <f>IF(M850="Returned",1,0)</f>
        <v/>
      </c>
    </row>
    <row r="851">
      <c r="A851" s="13" t="inlineStr">
        <is>
          <t>HC-100849</t>
        </is>
      </c>
      <c r="B851" s="18" t="n">
        <v>45876</v>
      </c>
      <c r="C851" s="13" t="inlineStr">
        <is>
          <t>South</t>
        </is>
      </c>
      <c r="D851" s="13" t="inlineStr">
        <is>
          <t>Store</t>
        </is>
      </c>
      <c r="E851" s="13" t="inlineStr">
        <is>
          <t>Textiles</t>
        </is>
      </c>
      <c r="F851" s="13" t="inlineStr">
        <is>
          <t>Cotton Duvet</t>
        </is>
      </c>
      <c r="G851" s="13" t="inlineStr">
        <is>
          <t>Consumer</t>
        </is>
      </c>
      <c r="H851" s="13" t="n">
        <v>3</v>
      </c>
      <c r="I851" s="14" t="n">
        <v>120.78</v>
      </c>
      <c r="J851" s="15" t="n">
        <v>0.1</v>
      </c>
      <c r="K851" s="14" t="n">
        <v>53.14</v>
      </c>
      <c r="L851" s="13" t="n"/>
      <c r="M851" s="13" t="inlineStr">
        <is>
          <t>Completed</t>
        </is>
      </c>
      <c r="N851" s="13" t="inlineStr">
        <is>
          <t>L. Berger</t>
        </is>
      </c>
      <c r="O851" s="13" t="inlineStr">
        <is>
          <t>No</t>
        </is>
      </c>
      <c r="P851" s="14">
        <f>H851*I851</f>
        <v/>
      </c>
      <c r="Q851" s="14">
        <f>P851*(1-J851)</f>
        <v/>
      </c>
      <c r="R851" s="14">
        <f>H851*K851</f>
        <v/>
      </c>
      <c r="S851" s="15">
        <f>IF(Q851=0,"",(Q851-R851)/Q851)</f>
        <v/>
      </c>
      <c r="T851" s="13">
        <f>YEAR(B851)</f>
        <v/>
      </c>
      <c r="U851" s="13">
        <f>YEAR(B851)&amp;"-Q"&amp;ROUNDUP(MONTH(B851)/3,0)</f>
        <v/>
      </c>
      <c r="V851" s="13">
        <f>TEXT(B851,"YYYY-MM")</f>
        <v/>
      </c>
      <c r="W851" s="13">
        <f>IF(L851="","",IF(L851&gt;pLateDays,1,0))</f>
        <v/>
      </c>
      <c r="X851" s="13">
        <f>IF(Q851&gt;=pHighCutoff,1,0)</f>
        <v/>
      </c>
      <c r="Y851" s="13">
        <f>IF(M851="Returned",1,0)</f>
        <v/>
      </c>
    </row>
    <row r="852">
      <c r="A852" s="13" t="inlineStr">
        <is>
          <t>HC-100850</t>
        </is>
      </c>
      <c r="B852" s="18" t="n">
        <v>45429</v>
      </c>
      <c r="C852" s="13" t="inlineStr">
        <is>
          <t>North</t>
        </is>
      </c>
      <c r="D852" s="13" t="inlineStr">
        <is>
          <t>Store</t>
        </is>
      </c>
      <c r="E852" s="13" t="inlineStr">
        <is>
          <t>Kitchen</t>
        </is>
      </c>
      <c r="F852" s="13" t="inlineStr">
        <is>
          <t>Cast Skillet</t>
        </is>
      </c>
      <c r="G852" s="13" t="inlineStr">
        <is>
          <t>Corporate</t>
        </is>
      </c>
      <c r="H852" s="13" t="n">
        <v>4</v>
      </c>
      <c r="I852" s="14" t="n">
        <v>49.74</v>
      </c>
      <c r="J852" s="15" t="n">
        <v>0.09</v>
      </c>
      <c r="K852" s="14" t="n">
        <v>19.9</v>
      </c>
      <c r="L852" s="13" t="n">
        <v>5</v>
      </c>
      <c r="M852" s="13" t="inlineStr">
        <is>
          <t>Completed</t>
        </is>
      </c>
      <c r="N852" s="13" t="inlineStr">
        <is>
          <t>S. Nguyen</t>
        </is>
      </c>
      <c r="O852" s="13" t="inlineStr">
        <is>
          <t>No</t>
        </is>
      </c>
      <c r="P852" s="14">
        <f>H852*I852</f>
        <v/>
      </c>
      <c r="Q852" s="14">
        <f>P852*(1-J852)</f>
        <v/>
      </c>
      <c r="R852" s="14">
        <f>H852*K852</f>
        <v/>
      </c>
      <c r="S852" s="15">
        <f>IF(Q852=0,"",(Q852-R852)/Q852)</f>
        <v/>
      </c>
      <c r="T852" s="13">
        <f>YEAR(B852)</f>
        <v/>
      </c>
      <c r="U852" s="13">
        <f>YEAR(B852)&amp;"-Q"&amp;ROUNDUP(MONTH(B852)/3,0)</f>
        <v/>
      </c>
      <c r="V852" s="13">
        <f>TEXT(B852,"YYYY-MM")</f>
        <v/>
      </c>
      <c r="W852" s="13">
        <f>IF(L852="","",IF(L852&gt;pLateDays,1,0))</f>
        <v/>
      </c>
      <c r="X852" s="13">
        <f>IF(Q852&gt;=pHighCutoff,1,0)</f>
        <v/>
      </c>
      <c r="Y852" s="13">
        <f>IF(M852="Returned",1,0)</f>
        <v/>
      </c>
    </row>
    <row r="853">
      <c r="A853" s="13" t="inlineStr">
        <is>
          <t>HC-100851</t>
        </is>
      </c>
      <c r="B853" s="18" t="n">
        <v>45592</v>
      </c>
      <c r="C853" s="13" t="inlineStr">
        <is>
          <t>North</t>
        </is>
      </c>
      <c r="D853" s="13" t="inlineStr">
        <is>
          <t>Wholesale</t>
        </is>
      </c>
      <c r="E853" s="13" t="inlineStr">
        <is>
          <t>Kitchen</t>
        </is>
      </c>
      <c r="F853" s="13" t="inlineStr">
        <is>
          <t>Chef Knife</t>
        </is>
      </c>
      <c r="G853" s="13" t="inlineStr">
        <is>
          <t>Consumer</t>
        </is>
      </c>
      <c r="H853" s="13" t="n">
        <v>28</v>
      </c>
      <c r="I853" s="14" t="n">
        <v>65.91</v>
      </c>
      <c r="J853" s="15" t="n">
        <v>0.31</v>
      </c>
      <c r="K853" s="14" t="n">
        <v>23.73</v>
      </c>
      <c r="L853" s="13" t="n">
        <v>5</v>
      </c>
      <c r="M853" s="13" t="inlineStr">
        <is>
          <t>Returned</t>
        </is>
      </c>
      <c r="N853" s="13" t="inlineStr">
        <is>
          <t>S. Nguyen</t>
        </is>
      </c>
      <c r="O853" s="13" t="inlineStr">
        <is>
          <t>No</t>
        </is>
      </c>
      <c r="P853" s="14">
        <f>H853*I853</f>
        <v/>
      </c>
      <c r="Q853" s="14">
        <f>P853*(1-J853)</f>
        <v/>
      </c>
      <c r="R853" s="14">
        <f>H853*K853</f>
        <v/>
      </c>
      <c r="S853" s="15">
        <f>IF(Q853=0,"",(Q853-R853)/Q853)</f>
        <v/>
      </c>
      <c r="T853" s="13">
        <f>YEAR(B853)</f>
        <v/>
      </c>
      <c r="U853" s="13">
        <f>YEAR(B853)&amp;"-Q"&amp;ROUNDUP(MONTH(B853)/3,0)</f>
        <v/>
      </c>
      <c r="V853" s="13">
        <f>TEXT(B853,"YYYY-MM")</f>
        <v/>
      </c>
      <c r="W853" s="13">
        <f>IF(L853="","",IF(L853&gt;pLateDays,1,0))</f>
        <v/>
      </c>
      <c r="X853" s="13">
        <f>IF(Q853&gt;=pHighCutoff,1,0)</f>
        <v/>
      </c>
      <c r="Y853" s="13">
        <f>IF(M853="Returned",1,0)</f>
        <v/>
      </c>
    </row>
    <row r="854">
      <c r="A854" s="13" t="inlineStr">
        <is>
          <t>HC-100852</t>
        </is>
      </c>
      <c r="B854" s="18" t="n">
        <v>45446</v>
      </c>
      <c r="C854" s="13" t="inlineStr">
        <is>
          <t>West</t>
        </is>
      </c>
      <c r="D854" s="13" t="inlineStr">
        <is>
          <t>Store</t>
        </is>
      </c>
      <c r="E854" s="13" t="inlineStr">
        <is>
          <t>Lighting</t>
        </is>
      </c>
      <c r="F854" s="13" t="inlineStr">
        <is>
          <t>Pendant Light</t>
        </is>
      </c>
      <c r="G854" s="13" t="inlineStr">
        <is>
          <t>Consumer</t>
        </is>
      </c>
      <c r="H854" s="13" t="n">
        <v>4</v>
      </c>
      <c r="I854" s="14" t="n">
        <v>176.57</v>
      </c>
      <c r="J854" s="15" t="n">
        <v>0.02</v>
      </c>
      <c r="K854" s="14" t="n">
        <v>88.28</v>
      </c>
      <c r="L854" s="13" t="n">
        <v>6</v>
      </c>
      <c r="M854" s="13" t="inlineStr">
        <is>
          <t>Completed</t>
        </is>
      </c>
      <c r="N854" s="13" t="inlineStr">
        <is>
          <t>P. Rossi</t>
        </is>
      </c>
      <c r="O854" s="13" t="inlineStr">
        <is>
          <t>No</t>
        </is>
      </c>
      <c r="P854" s="14">
        <f>H854*I854</f>
        <v/>
      </c>
      <c r="Q854" s="14">
        <f>P854*(1-J854)</f>
        <v/>
      </c>
      <c r="R854" s="14">
        <f>H854*K854</f>
        <v/>
      </c>
      <c r="S854" s="15">
        <f>IF(Q854=0,"",(Q854-R854)/Q854)</f>
        <v/>
      </c>
      <c r="T854" s="13">
        <f>YEAR(B854)</f>
        <v/>
      </c>
      <c r="U854" s="13">
        <f>YEAR(B854)&amp;"-Q"&amp;ROUNDUP(MONTH(B854)/3,0)</f>
        <v/>
      </c>
      <c r="V854" s="13">
        <f>TEXT(B854,"YYYY-MM")</f>
        <v/>
      </c>
      <c r="W854" s="13">
        <f>IF(L854="","",IF(L854&gt;pLateDays,1,0))</f>
        <v/>
      </c>
      <c r="X854" s="13">
        <f>IF(Q854&gt;=pHighCutoff,1,0)</f>
        <v/>
      </c>
      <c r="Y854" s="13">
        <f>IF(M854="Returned",1,0)</f>
        <v/>
      </c>
    </row>
    <row r="855">
      <c r="A855" s="13" t="inlineStr">
        <is>
          <t>HC-100853</t>
        </is>
      </c>
      <c r="B855" s="18" t="n">
        <v>45391</v>
      </c>
      <c r="C855" s="13" t="inlineStr">
        <is>
          <t>West</t>
        </is>
      </c>
      <c r="D855" s="13" t="inlineStr">
        <is>
          <t>Online</t>
        </is>
      </c>
      <c r="E855" s="13" t="inlineStr">
        <is>
          <t>Furniture</t>
        </is>
      </c>
      <c r="F855" s="13" t="inlineStr">
        <is>
          <t>Linen Sofa</t>
        </is>
      </c>
      <c r="G855" s="13" t="inlineStr">
        <is>
          <t>Unknown</t>
        </is>
      </c>
      <c r="H855" s="13" t="n">
        <v>1</v>
      </c>
      <c r="I855" s="14" t="n">
        <v>1250.6</v>
      </c>
      <c r="J855" s="15" t="n">
        <v>0.05</v>
      </c>
      <c r="K855" s="14" t="n">
        <v>825.39</v>
      </c>
      <c r="L855" s="13" t="n">
        <v>7</v>
      </c>
      <c r="M855" s="13" t="inlineStr">
        <is>
          <t>Completed</t>
        </is>
      </c>
      <c r="N855" s="13" t="inlineStr">
        <is>
          <t>S. Nguyen</t>
        </is>
      </c>
      <c r="O855" s="13" t="inlineStr">
        <is>
          <t>No</t>
        </is>
      </c>
      <c r="P855" s="14">
        <f>H855*I855</f>
        <v/>
      </c>
      <c r="Q855" s="14">
        <f>P855*(1-J855)</f>
        <v/>
      </c>
      <c r="R855" s="14">
        <f>H855*K855</f>
        <v/>
      </c>
      <c r="S855" s="15">
        <f>IF(Q855=0,"",(Q855-R855)/Q855)</f>
        <v/>
      </c>
      <c r="T855" s="13">
        <f>YEAR(B855)</f>
        <v/>
      </c>
      <c r="U855" s="13">
        <f>YEAR(B855)&amp;"-Q"&amp;ROUNDUP(MONTH(B855)/3,0)</f>
        <v/>
      </c>
      <c r="V855" s="13">
        <f>TEXT(B855,"YYYY-MM")</f>
        <v/>
      </c>
      <c r="W855" s="13">
        <f>IF(L855="","",IF(L855&gt;pLateDays,1,0))</f>
        <v/>
      </c>
      <c r="X855" s="13">
        <f>IF(Q855&gt;=pHighCutoff,1,0)</f>
        <v/>
      </c>
      <c r="Y855" s="13">
        <f>IF(M855="Returned",1,0)</f>
        <v/>
      </c>
    </row>
    <row r="856">
      <c r="A856" s="13" t="inlineStr">
        <is>
          <t>HC-100854</t>
        </is>
      </c>
      <c r="B856" s="18" t="n">
        <v>45920</v>
      </c>
      <c r="C856" s="13" t="inlineStr">
        <is>
          <t>South</t>
        </is>
      </c>
      <c r="D856" s="13" t="inlineStr">
        <is>
          <t>Online</t>
        </is>
      </c>
      <c r="E856" s="13" t="inlineStr">
        <is>
          <t>Lighting</t>
        </is>
      </c>
      <c r="F856" s="13" t="inlineStr">
        <is>
          <t>Pendant Light</t>
        </is>
      </c>
      <c r="G856" s="13" t="inlineStr">
        <is>
          <t>Corporate</t>
        </is>
      </c>
      <c r="H856" s="13" t="n">
        <v>1</v>
      </c>
      <c r="I856" s="14" t="n">
        <v>188.37</v>
      </c>
      <c r="J856" s="15" t="n">
        <v>0.03</v>
      </c>
      <c r="K856" s="14" t="n">
        <v>94.18000000000001</v>
      </c>
      <c r="L856" s="13" t="n">
        <v>4</v>
      </c>
      <c r="M856" s="13" t="inlineStr">
        <is>
          <t>Completed</t>
        </is>
      </c>
      <c r="N856" s="13" t="inlineStr">
        <is>
          <t>J. Patel</t>
        </is>
      </c>
      <c r="O856" s="13" t="inlineStr">
        <is>
          <t>No</t>
        </is>
      </c>
      <c r="P856" s="14">
        <f>H856*I856</f>
        <v/>
      </c>
      <c r="Q856" s="14">
        <f>P856*(1-J856)</f>
        <v/>
      </c>
      <c r="R856" s="14">
        <f>H856*K856</f>
        <v/>
      </c>
      <c r="S856" s="15">
        <f>IF(Q856=0,"",(Q856-R856)/Q856)</f>
        <v/>
      </c>
      <c r="T856" s="13">
        <f>YEAR(B856)</f>
        <v/>
      </c>
      <c r="U856" s="13">
        <f>YEAR(B856)&amp;"-Q"&amp;ROUNDUP(MONTH(B856)/3,0)</f>
        <v/>
      </c>
      <c r="V856" s="13">
        <f>TEXT(B856,"YYYY-MM")</f>
        <v/>
      </c>
      <c r="W856" s="13">
        <f>IF(L856="","",IF(L856&gt;pLateDays,1,0))</f>
        <v/>
      </c>
      <c r="X856" s="13">
        <f>IF(Q856&gt;=pHighCutoff,1,0)</f>
        <v/>
      </c>
      <c r="Y856" s="13">
        <f>IF(M856="Returned",1,0)</f>
        <v/>
      </c>
    </row>
    <row r="857">
      <c r="A857" s="13" t="inlineStr">
        <is>
          <t>HC-100855</t>
        </is>
      </c>
      <c r="B857" s="18" t="n">
        <v>45911</v>
      </c>
      <c r="C857" s="13" t="inlineStr">
        <is>
          <t>West</t>
        </is>
      </c>
      <c r="D857" s="13" t="inlineStr">
        <is>
          <t>Online</t>
        </is>
      </c>
      <c r="E857" s="13" t="inlineStr">
        <is>
          <t>Kitchen</t>
        </is>
      </c>
      <c r="F857" s="13" t="inlineStr">
        <is>
          <t>Chef Knife</t>
        </is>
      </c>
      <c r="G857" s="13" t="inlineStr">
        <is>
          <t>Corporate</t>
        </is>
      </c>
      <c r="H857" s="13" t="n">
        <v>2</v>
      </c>
      <c r="I857" s="14" t="n">
        <v>59.04</v>
      </c>
      <c r="J857" s="15" t="n">
        <v>0.07000000000000001</v>
      </c>
      <c r="K857" s="14" t="n">
        <v>21.25</v>
      </c>
      <c r="L857" s="13" t="n">
        <v>3</v>
      </c>
      <c r="M857" s="13" t="inlineStr">
        <is>
          <t>Returned</t>
        </is>
      </c>
      <c r="N857" s="13" t="inlineStr">
        <is>
          <t>K. Mensah</t>
        </is>
      </c>
      <c r="O857" s="13" t="inlineStr">
        <is>
          <t>No</t>
        </is>
      </c>
      <c r="P857" s="14">
        <f>H857*I857</f>
        <v/>
      </c>
      <c r="Q857" s="14">
        <f>P857*(1-J857)</f>
        <v/>
      </c>
      <c r="R857" s="14">
        <f>H857*K857</f>
        <v/>
      </c>
      <c r="S857" s="15">
        <f>IF(Q857=0,"",(Q857-R857)/Q857)</f>
        <v/>
      </c>
      <c r="T857" s="13">
        <f>YEAR(B857)</f>
        <v/>
      </c>
      <c r="U857" s="13">
        <f>YEAR(B857)&amp;"-Q"&amp;ROUNDUP(MONTH(B857)/3,0)</f>
        <v/>
      </c>
      <c r="V857" s="13">
        <f>TEXT(B857,"YYYY-MM")</f>
        <v/>
      </c>
      <c r="W857" s="13">
        <f>IF(L857="","",IF(L857&gt;pLateDays,1,0))</f>
        <v/>
      </c>
      <c r="X857" s="13">
        <f>IF(Q857&gt;=pHighCutoff,1,0)</f>
        <v/>
      </c>
      <c r="Y857" s="13">
        <f>IF(M857="Returned",1,0)</f>
        <v/>
      </c>
    </row>
    <row r="858">
      <c r="A858" s="13" t="inlineStr">
        <is>
          <t>HC-100856</t>
        </is>
      </c>
      <c r="B858" s="18" t="n">
        <v>45815</v>
      </c>
      <c r="C858" s="13" t="inlineStr">
        <is>
          <t>South</t>
        </is>
      </c>
      <c r="D858" s="13" t="inlineStr">
        <is>
          <t>Online</t>
        </is>
      </c>
      <c r="E858" s="13" t="inlineStr">
        <is>
          <t>Kitchen</t>
        </is>
      </c>
      <c r="F858" s="13" t="inlineStr">
        <is>
          <t>Chef Knife</t>
        </is>
      </c>
      <c r="G858" s="13" t="inlineStr">
        <is>
          <t>Corporate</t>
        </is>
      </c>
      <c r="H858" s="13" t="n">
        <v>1</v>
      </c>
      <c r="I858" s="14" t="n">
        <v>62.59</v>
      </c>
      <c r="J858" s="15" t="n">
        <v>0.04</v>
      </c>
      <c r="K858" s="14" t="n">
        <v>22.53</v>
      </c>
      <c r="L858" s="13" t="n">
        <v>6</v>
      </c>
      <c r="M858" s="13" t="inlineStr">
        <is>
          <t>Completed</t>
        </is>
      </c>
      <c r="N858" s="13" t="inlineStr">
        <is>
          <t>P. Rossi</t>
        </is>
      </c>
      <c r="O858" s="13" t="inlineStr">
        <is>
          <t>No</t>
        </is>
      </c>
      <c r="P858" s="14">
        <f>H858*I858</f>
        <v/>
      </c>
      <c r="Q858" s="14">
        <f>P858*(1-J858)</f>
        <v/>
      </c>
      <c r="R858" s="14">
        <f>H858*K858</f>
        <v/>
      </c>
      <c r="S858" s="15">
        <f>IF(Q858=0,"",(Q858-R858)/Q858)</f>
        <v/>
      </c>
      <c r="T858" s="13">
        <f>YEAR(B858)</f>
        <v/>
      </c>
      <c r="U858" s="13">
        <f>YEAR(B858)&amp;"-Q"&amp;ROUNDUP(MONTH(B858)/3,0)</f>
        <v/>
      </c>
      <c r="V858" s="13">
        <f>TEXT(B858,"YYYY-MM")</f>
        <v/>
      </c>
      <c r="W858" s="13">
        <f>IF(L858="","",IF(L858&gt;pLateDays,1,0))</f>
        <v/>
      </c>
      <c r="X858" s="13">
        <f>IF(Q858&gt;=pHighCutoff,1,0)</f>
        <v/>
      </c>
      <c r="Y858" s="13">
        <f>IF(M858="Returned",1,0)</f>
        <v/>
      </c>
    </row>
    <row r="859">
      <c r="A859" s="13" t="inlineStr">
        <is>
          <t>HC-100857</t>
        </is>
      </c>
      <c r="B859" s="18" t="n">
        <v>45511</v>
      </c>
      <c r="C859" s="13" t="inlineStr">
        <is>
          <t>South</t>
        </is>
      </c>
      <c r="D859" s="13" t="inlineStr">
        <is>
          <t>Store</t>
        </is>
      </c>
      <c r="E859" s="13" t="inlineStr">
        <is>
          <t>Furniture</t>
        </is>
      </c>
      <c r="F859" s="13" t="inlineStr">
        <is>
          <t>Lounge Chair</t>
        </is>
      </c>
      <c r="G859" s="13" t="inlineStr">
        <is>
          <t>Consumer</t>
        </is>
      </c>
      <c r="H859" s="13" t="n">
        <v>2</v>
      </c>
      <c r="I859" s="14" t="n">
        <v>512.25</v>
      </c>
      <c r="J859" s="15" t="n">
        <v>0.1</v>
      </c>
      <c r="K859" s="14" t="n">
        <v>307.35</v>
      </c>
      <c r="L859" s="13" t="n">
        <v>6</v>
      </c>
      <c r="M859" s="13" t="inlineStr">
        <is>
          <t>Completed</t>
        </is>
      </c>
      <c r="N859" s="13" t="inlineStr">
        <is>
          <t>S. Nguyen</t>
        </is>
      </c>
      <c r="O859" s="13" t="inlineStr">
        <is>
          <t>No</t>
        </is>
      </c>
      <c r="P859" s="14">
        <f>H859*I859</f>
        <v/>
      </c>
      <c r="Q859" s="14">
        <f>P859*(1-J859)</f>
        <v/>
      </c>
      <c r="R859" s="14">
        <f>H859*K859</f>
        <v/>
      </c>
      <c r="S859" s="15">
        <f>IF(Q859=0,"",(Q859-R859)/Q859)</f>
        <v/>
      </c>
      <c r="T859" s="13">
        <f>YEAR(B859)</f>
        <v/>
      </c>
      <c r="U859" s="13">
        <f>YEAR(B859)&amp;"-Q"&amp;ROUNDUP(MONTH(B859)/3,0)</f>
        <v/>
      </c>
      <c r="V859" s="13">
        <f>TEXT(B859,"YYYY-MM")</f>
        <v/>
      </c>
      <c r="W859" s="13">
        <f>IF(L859="","",IF(L859&gt;pLateDays,1,0))</f>
        <v/>
      </c>
      <c r="X859" s="13">
        <f>IF(Q859&gt;=pHighCutoff,1,0)</f>
        <v/>
      </c>
      <c r="Y859" s="13">
        <f>IF(M859="Returned",1,0)</f>
        <v/>
      </c>
    </row>
    <row r="860">
      <c r="A860" s="13" t="inlineStr">
        <is>
          <t>HC-100858</t>
        </is>
      </c>
      <c r="B860" s="18" t="n">
        <v>45400</v>
      </c>
      <c r="C860" s="13" t="inlineStr">
        <is>
          <t>South</t>
        </is>
      </c>
      <c r="D860" s="13" t="inlineStr">
        <is>
          <t>Online</t>
        </is>
      </c>
      <c r="E860" s="13" t="inlineStr">
        <is>
          <t>Furniture</t>
        </is>
      </c>
      <c r="F860" s="13" t="inlineStr">
        <is>
          <t>Lounge Chair</t>
        </is>
      </c>
      <c r="G860" s="13" t="inlineStr">
        <is>
          <t>Corporate</t>
        </is>
      </c>
      <c r="H860" s="13" t="n">
        <v>3</v>
      </c>
      <c r="I860" s="14" t="n">
        <v>496.78</v>
      </c>
      <c r="J860" s="15" t="n">
        <v>0.02</v>
      </c>
      <c r="K860" s="14" t="n">
        <v>298.07</v>
      </c>
      <c r="L860" s="13" t="n">
        <v>3</v>
      </c>
      <c r="M860" s="13" t="inlineStr">
        <is>
          <t>Completed</t>
        </is>
      </c>
      <c r="N860" s="13" t="inlineStr">
        <is>
          <t>L. Berger</t>
        </is>
      </c>
      <c r="O860" s="13" t="inlineStr">
        <is>
          <t>No</t>
        </is>
      </c>
      <c r="P860" s="14">
        <f>H860*I860</f>
        <v/>
      </c>
      <c r="Q860" s="14">
        <f>P860*(1-J860)</f>
        <v/>
      </c>
      <c r="R860" s="14">
        <f>H860*K860</f>
        <v/>
      </c>
      <c r="S860" s="15">
        <f>IF(Q860=0,"",(Q860-R860)/Q860)</f>
        <v/>
      </c>
      <c r="T860" s="13">
        <f>YEAR(B860)</f>
        <v/>
      </c>
      <c r="U860" s="13">
        <f>YEAR(B860)&amp;"-Q"&amp;ROUNDUP(MONTH(B860)/3,0)</f>
        <v/>
      </c>
      <c r="V860" s="13">
        <f>TEXT(B860,"YYYY-MM")</f>
        <v/>
      </c>
      <c r="W860" s="13">
        <f>IF(L860="","",IF(L860&gt;pLateDays,1,0))</f>
        <v/>
      </c>
      <c r="X860" s="13">
        <f>IF(Q860&gt;=pHighCutoff,1,0)</f>
        <v/>
      </c>
      <c r="Y860" s="13">
        <f>IF(M860="Returned",1,0)</f>
        <v/>
      </c>
    </row>
    <row r="861">
      <c r="A861" s="13" t="inlineStr">
        <is>
          <t>HC-100859</t>
        </is>
      </c>
      <c r="B861" s="18" t="n">
        <v>45616</v>
      </c>
      <c r="C861" s="13" t="inlineStr">
        <is>
          <t>West</t>
        </is>
      </c>
      <c r="D861" s="13" t="inlineStr">
        <is>
          <t>Online</t>
        </is>
      </c>
      <c r="E861" s="13" t="inlineStr">
        <is>
          <t>Textiles</t>
        </is>
      </c>
      <c r="F861" s="13" t="inlineStr">
        <is>
          <t>Wool Throw</t>
        </is>
      </c>
      <c r="G861" s="13" t="inlineStr">
        <is>
          <t>Consumer</t>
        </is>
      </c>
      <c r="H861" s="13" t="n">
        <v>4</v>
      </c>
      <c r="I861" s="14" t="n">
        <v>72.14</v>
      </c>
      <c r="J861" s="15" t="n">
        <v>0.07000000000000001</v>
      </c>
      <c r="K861" s="14" t="n">
        <v>30.3</v>
      </c>
      <c r="L861" s="13" t="n">
        <v>4</v>
      </c>
      <c r="M861" s="13" t="inlineStr">
        <is>
          <t>Completed</t>
        </is>
      </c>
      <c r="N861" s="13" t="inlineStr">
        <is>
          <t>J. Patel</t>
        </is>
      </c>
      <c r="O861" s="13" t="inlineStr">
        <is>
          <t>No</t>
        </is>
      </c>
      <c r="P861" s="14">
        <f>H861*I861</f>
        <v/>
      </c>
      <c r="Q861" s="14">
        <f>P861*(1-J861)</f>
        <v/>
      </c>
      <c r="R861" s="14">
        <f>H861*K861</f>
        <v/>
      </c>
      <c r="S861" s="15">
        <f>IF(Q861=0,"",(Q861-R861)/Q861)</f>
        <v/>
      </c>
      <c r="T861" s="13">
        <f>YEAR(B861)</f>
        <v/>
      </c>
      <c r="U861" s="13">
        <f>YEAR(B861)&amp;"-Q"&amp;ROUNDUP(MONTH(B861)/3,0)</f>
        <v/>
      </c>
      <c r="V861" s="13">
        <f>TEXT(B861,"YYYY-MM")</f>
        <v/>
      </c>
      <c r="W861" s="13">
        <f>IF(L861="","",IF(L861&gt;pLateDays,1,0))</f>
        <v/>
      </c>
      <c r="X861" s="13">
        <f>IF(Q861&gt;=pHighCutoff,1,0)</f>
        <v/>
      </c>
      <c r="Y861" s="13">
        <f>IF(M861="Returned",1,0)</f>
        <v/>
      </c>
    </row>
    <row r="862">
      <c r="A862" s="13" t="inlineStr">
        <is>
          <t>HC-100860</t>
        </is>
      </c>
      <c r="B862" s="18" t="n">
        <v>45615</v>
      </c>
      <c r="C862" s="13" t="inlineStr">
        <is>
          <t>South</t>
        </is>
      </c>
      <c r="D862" s="13" t="inlineStr">
        <is>
          <t>Store</t>
        </is>
      </c>
      <c r="E862" s="13" t="inlineStr">
        <is>
          <t>Furniture</t>
        </is>
      </c>
      <c r="F862" s="13" t="inlineStr">
        <is>
          <t>Walnut Shelf</t>
        </is>
      </c>
      <c r="G862" s="13" t="inlineStr">
        <is>
          <t>Consumer</t>
        </is>
      </c>
      <c r="H862" s="13" t="n">
        <v>3</v>
      </c>
      <c r="I862" s="14" t="n">
        <v>237.27</v>
      </c>
      <c r="J862" s="15" t="n">
        <v>0.01</v>
      </c>
      <c r="K862" s="14" t="n">
        <v>130.5</v>
      </c>
      <c r="L862" s="13" t="n">
        <v>6</v>
      </c>
      <c r="M862" s="13" t="inlineStr">
        <is>
          <t>Completed</t>
        </is>
      </c>
      <c r="N862" s="13" t="inlineStr">
        <is>
          <t>P. Rossi</t>
        </is>
      </c>
      <c r="O862" s="13" t="inlineStr">
        <is>
          <t>No</t>
        </is>
      </c>
      <c r="P862" s="14">
        <f>H862*I862</f>
        <v/>
      </c>
      <c r="Q862" s="14">
        <f>P862*(1-J862)</f>
        <v/>
      </c>
      <c r="R862" s="14">
        <f>H862*K862</f>
        <v/>
      </c>
      <c r="S862" s="15">
        <f>IF(Q862=0,"",(Q862-R862)/Q862)</f>
        <v/>
      </c>
      <c r="T862" s="13">
        <f>YEAR(B862)</f>
        <v/>
      </c>
      <c r="U862" s="13">
        <f>YEAR(B862)&amp;"-Q"&amp;ROUNDUP(MONTH(B862)/3,0)</f>
        <v/>
      </c>
      <c r="V862" s="13">
        <f>TEXT(B862,"YYYY-MM")</f>
        <v/>
      </c>
      <c r="W862" s="13">
        <f>IF(L862="","",IF(L862&gt;pLateDays,1,0))</f>
        <v/>
      </c>
      <c r="X862" s="13">
        <f>IF(Q862&gt;=pHighCutoff,1,0)</f>
        <v/>
      </c>
      <c r="Y862" s="13">
        <f>IF(M862="Returned",1,0)</f>
        <v/>
      </c>
    </row>
    <row r="863">
      <c r="A863" s="13" t="inlineStr">
        <is>
          <t>HC-100861</t>
        </is>
      </c>
      <c r="B863" s="18" t="n">
        <v>45607</v>
      </c>
      <c r="C863" s="13" t="inlineStr">
        <is>
          <t>North</t>
        </is>
      </c>
      <c r="D863" s="13" t="inlineStr">
        <is>
          <t>Wholesale</t>
        </is>
      </c>
      <c r="E863" s="13" t="inlineStr">
        <is>
          <t>Lighting</t>
        </is>
      </c>
      <c r="F863" s="13" t="inlineStr">
        <is>
          <t>Brass Sconce</t>
        </is>
      </c>
      <c r="G863" s="13" t="inlineStr">
        <is>
          <t>Consumer</t>
        </is>
      </c>
      <c r="H863" s="13" t="n">
        <v>14</v>
      </c>
      <c r="I863" s="14" t="n">
        <v>136.41</v>
      </c>
      <c r="J863" s="15" t="n">
        <v>0.3</v>
      </c>
      <c r="K863" s="14" t="n">
        <v>62.75</v>
      </c>
      <c r="L863" s="13" t="n">
        <v>5</v>
      </c>
      <c r="M863" s="13" t="inlineStr">
        <is>
          <t>Cancelled</t>
        </is>
      </c>
      <c r="N863" s="13" t="inlineStr">
        <is>
          <t>L. Berger</t>
        </is>
      </c>
      <c r="O863" s="13" t="inlineStr">
        <is>
          <t>No</t>
        </is>
      </c>
      <c r="P863" s="14">
        <f>H863*I863</f>
        <v/>
      </c>
      <c r="Q863" s="14">
        <f>P863*(1-J863)</f>
        <v/>
      </c>
      <c r="R863" s="14">
        <f>H863*K863</f>
        <v/>
      </c>
      <c r="S863" s="15">
        <f>IF(Q863=0,"",(Q863-R863)/Q863)</f>
        <v/>
      </c>
      <c r="T863" s="13">
        <f>YEAR(B863)</f>
        <v/>
      </c>
      <c r="U863" s="13">
        <f>YEAR(B863)&amp;"-Q"&amp;ROUNDUP(MONTH(B863)/3,0)</f>
        <v/>
      </c>
      <c r="V863" s="13">
        <f>TEXT(B863,"YYYY-MM")</f>
        <v/>
      </c>
      <c r="W863" s="13">
        <f>IF(L863="","",IF(L863&gt;pLateDays,1,0))</f>
        <v/>
      </c>
      <c r="X863" s="13">
        <f>IF(Q863&gt;=pHighCutoff,1,0)</f>
        <v/>
      </c>
      <c r="Y863" s="13">
        <f>IF(M863="Returned",1,0)</f>
        <v/>
      </c>
    </row>
    <row r="864">
      <c r="A864" s="13" t="inlineStr">
        <is>
          <t>HC-100862</t>
        </is>
      </c>
      <c r="B864" s="18" t="n">
        <v>45496</v>
      </c>
      <c r="C864" s="13" t="inlineStr">
        <is>
          <t>South</t>
        </is>
      </c>
      <c r="D864" s="13" t="inlineStr">
        <is>
          <t>Store</t>
        </is>
      </c>
      <c r="E864" s="13" t="inlineStr">
        <is>
          <t>Furniture</t>
        </is>
      </c>
      <c r="F864" s="13" t="inlineStr">
        <is>
          <t>Oak Desk</t>
        </is>
      </c>
      <c r="G864" s="13" t="inlineStr">
        <is>
          <t>Consumer</t>
        </is>
      </c>
      <c r="H864" s="13" t="n">
        <v>2</v>
      </c>
      <c r="I864" s="14" t="n">
        <v>800.7</v>
      </c>
      <c r="J864" s="15" t="n">
        <v>0.07000000000000001</v>
      </c>
      <c r="K864" s="14" t="n">
        <v>496.43</v>
      </c>
      <c r="L864" s="13" t="n">
        <v>7</v>
      </c>
      <c r="M864" s="13" t="inlineStr">
        <is>
          <t>Completed</t>
        </is>
      </c>
      <c r="N864" s="13" t="inlineStr">
        <is>
          <t>M. Okonkwo</t>
        </is>
      </c>
      <c r="O864" s="13" t="inlineStr">
        <is>
          <t>No</t>
        </is>
      </c>
      <c r="P864" s="14">
        <f>H864*I864</f>
        <v/>
      </c>
      <c r="Q864" s="14">
        <f>P864*(1-J864)</f>
        <v/>
      </c>
      <c r="R864" s="14">
        <f>H864*K864</f>
        <v/>
      </c>
      <c r="S864" s="15">
        <f>IF(Q864=0,"",(Q864-R864)/Q864)</f>
        <v/>
      </c>
      <c r="T864" s="13">
        <f>YEAR(B864)</f>
        <v/>
      </c>
      <c r="U864" s="13">
        <f>YEAR(B864)&amp;"-Q"&amp;ROUNDUP(MONTH(B864)/3,0)</f>
        <v/>
      </c>
      <c r="V864" s="13">
        <f>TEXT(B864,"YYYY-MM")</f>
        <v/>
      </c>
      <c r="W864" s="13">
        <f>IF(L864="","",IF(L864&gt;pLateDays,1,0))</f>
        <v/>
      </c>
      <c r="X864" s="13">
        <f>IF(Q864&gt;=pHighCutoff,1,0)</f>
        <v/>
      </c>
      <c r="Y864" s="13">
        <f>IF(M864="Returned",1,0)</f>
        <v/>
      </c>
    </row>
    <row r="865">
      <c r="A865" s="13" t="inlineStr">
        <is>
          <t>HC-100863</t>
        </is>
      </c>
      <c r="B865" s="18" t="n">
        <v>45476</v>
      </c>
      <c r="C865" s="13" t="inlineStr">
        <is>
          <t>North</t>
        </is>
      </c>
      <c r="D865" s="13" t="inlineStr">
        <is>
          <t>Online</t>
        </is>
      </c>
      <c r="E865" s="13" t="inlineStr">
        <is>
          <t>Lighting</t>
        </is>
      </c>
      <c r="F865" s="13" t="inlineStr">
        <is>
          <t>Arc Lamp</t>
        </is>
      </c>
      <c r="G865" s="13" t="inlineStr">
        <is>
          <t>Corporate</t>
        </is>
      </c>
      <c r="H865" s="13" t="n">
        <v>1</v>
      </c>
      <c r="I865" s="14" t="n">
        <v>308.76</v>
      </c>
      <c r="J865" s="15" t="n">
        <v>0.06</v>
      </c>
      <c r="K865" s="14" t="n">
        <v>148.21</v>
      </c>
      <c r="L865" s="13" t="n">
        <v>7</v>
      </c>
      <c r="M865" s="13" t="inlineStr">
        <is>
          <t>Completed</t>
        </is>
      </c>
      <c r="N865" s="13" t="inlineStr">
        <is>
          <t>J. Patel</t>
        </is>
      </c>
      <c r="O865" s="13" t="inlineStr">
        <is>
          <t>No</t>
        </is>
      </c>
      <c r="P865" s="14">
        <f>H865*I865</f>
        <v/>
      </c>
      <c r="Q865" s="14">
        <f>P865*(1-J865)</f>
        <v/>
      </c>
      <c r="R865" s="14">
        <f>H865*K865</f>
        <v/>
      </c>
      <c r="S865" s="15">
        <f>IF(Q865=0,"",(Q865-R865)/Q865)</f>
        <v/>
      </c>
      <c r="T865" s="13">
        <f>YEAR(B865)</f>
        <v/>
      </c>
      <c r="U865" s="13">
        <f>YEAR(B865)&amp;"-Q"&amp;ROUNDUP(MONTH(B865)/3,0)</f>
        <v/>
      </c>
      <c r="V865" s="13">
        <f>TEXT(B865,"YYYY-MM")</f>
        <v/>
      </c>
      <c r="W865" s="13">
        <f>IF(L865="","",IF(L865&gt;pLateDays,1,0))</f>
        <v/>
      </c>
      <c r="X865" s="13">
        <f>IF(Q865&gt;=pHighCutoff,1,0)</f>
        <v/>
      </c>
      <c r="Y865" s="13">
        <f>IF(M865="Returned",1,0)</f>
        <v/>
      </c>
    </row>
    <row r="866">
      <c r="A866" s="13" t="inlineStr">
        <is>
          <t>HC-100864</t>
        </is>
      </c>
      <c r="B866" s="18" t="n">
        <v>45506</v>
      </c>
      <c r="C866" s="13" t="inlineStr">
        <is>
          <t>West</t>
        </is>
      </c>
      <c r="D866" s="13" t="inlineStr">
        <is>
          <t>Online</t>
        </is>
      </c>
      <c r="E866" s="13" t="inlineStr">
        <is>
          <t>Lighting</t>
        </is>
      </c>
      <c r="F866" s="13" t="inlineStr">
        <is>
          <t>Pendant Light</t>
        </is>
      </c>
      <c r="G866" s="13" t="inlineStr">
        <is>
          <t>Consumer</t>
        </is>
      </c>
      <c r="H866" s="13" t="n">
        <v>3</v>
      </c>
      <c r="I866" s="14" t="n">
        <v>166.18</v>
      </c>
      <c r="J866" s="15" t="n">
        <v>0.02</v>
      </c>
      <c r="K866" s="14" t="n">
        <v>83.09</v>
      </c>
      <c r="L866" s="13" t="n">
        <v>1</v>
      </c>
      <c r="M866" s="13" t="inlineStr">
        <is>
          <t>Completed</t>
        </is>
      </c>
      <c r="N866" s="13" t="inlineStr">
        <is>
          <t>L. Berger</t>
        </is>
      </c>
      <c r="O866" s="13" t="inlineStr">
        <is>
          <t>No</t>
        </is>
      </c>
      <c r="P866" s="14">
        <f>H866*I866</f>
        <v/>
      </c>
      <c r="Q866" s="14">
        <f>P866*(1-J866)</f>
        <v/>
      </c>
      <c r="R866" s="14">
        <f>H866*K866</f>
        <v/>
      </c>
      <c r="S866" s="15">
        <f>IF(Q866=0,"",(Q866-R866)/Q866)</f>
        <v/>
      </c>
      <c r="T866" s="13">
        <f>YEAR(B866)</f>
        <v/>
      </c>
      <c r="U866" s="13">
        <f>YEAR(B866)&amp;"-Q"&amp;ROUNDUP(MONTH(B866)/3,0)</f>
        <v/>
      </c>
      <c r="V866" s="13">
        <f>TEXT(B866,"YYYY-MM")</f>
        <v/>
      </c>
      <c r="W866" s="13">
        <f>IF(L866="","",IF(L866&gt;pLateDays,1,0))</f>
        <v/>
      </c>
      <c r="X866" s="13">
        <f>IF(Q866&gt;=pHighCutoff,1,0)</f>
        <v/>
      </c>
      <c r="Y866" s="13">
        <f>IF(M866="Returned",1,0)</f>
        <v/>
      </c>
    </row>
    <row r="867">
      <c r="A867" s="13" t="inlineStr">
        <is>
          <t>HC-100865</t>
        </is>
      </c>
      <c r="B867" s="18" t="n">
        <v>45461</v>
      </c>
      <c r="C867" s="13" t="inlineStr">
        <is>
          <t>West</t>
        </is>
      </c>
      <c r="D867" s="13" t="inlineStr">
        <is>
          <t>Store</t>
        </is>
      </c>
      <c r="E867" s="13" t="inlineStr">
        <is>
          <t>Furniture</t>
        </is>
      </c>
      <c r="F867" s="13" t="inlineStr">
        <is>
          <t>Linen Sofa</t>
        </is>
      </c>
      <c r="G867" s="13" t="inlineStr">
        <is>
          <t>Consumer</t>
        </is>
      </c>
      <c r="H867" s="13" t="n">
        <v>3</v>
      </c>
      <c r="I867" s="14" t="n">
        <v>1241.2</v>
      </c>
      <c r="J867" s="15" t="n">
        <v>0.08</v>
      </c>
      <c r="K867" s="14" t="n">
        <v>819.1900000000001</v>
      </c>
      <c r="L867" s="13" t="n">
        <v>6</v>
      </c>
      <c r="M867" s="13" t="inlineStr">
        <is>
          <t>Completed</t>
        </is>
      </c>
      <c r="N867" s="13" t="inlineStr">
        <is>
          <t>A. Shah</t>
        </is>
      </c>
      <c r="O867" s="13" t="inlineStr">
        <is>
          <t>No</t>
        </is>
      </c>
      <c r="P867" s="14">
        <f>H867*I867</f>
        <v/>
      </c>
      <c r="Q867" s="14">
        <f>P867*(1-J867)</f>
        <v/>
      </c>
      <c r="R867" s="14">
        <f>H867*K867</f>
        <v/>
      </c>
      <c r="S867" s="15">
        <f>IF(Q867=0,"",(Q867-R867)/Q867)</f>
        <v/>
      </c>
      <c r="T867" s="13">
        <f>YEAR(B867)</f>
        <v/>
      </c>
      <c r="U867" s="13">
        <f>YEAR(B867)&amp;"-Q"&amp;ROUNDUP(MONTH(B867)/3,0)</f>
        <v/>
      </c>
      <c r="V867" s="13">
        <f>TEXT(B867,"YYYY-MM")</f>
        <v/>
      </c>
      <c r="W867" s="13">
        <f>IF(L867="","",IF(L867&gt;pLateDays,1,0))</f>
        <v/>
      </c>
      <c r="X867" s="13">
        <f>IF(Q867&gt;=pHighCutoff,1,0)</f>
        <v/>
      </c>
      <c r="Y867" s="13">
        <f>IF(M867="Returned",1,0)</f>
        <v/>
      </c>
    </row>
    <row r="868">
      <c r="A868" s="13" t="inlineStr">
        <is>
          <t>HC-100866</t>
        </is>
      </c>
      <c r="B868" s="18" t="n">
        <v>45446</v>
      </c>
      <c r="C868" s="13" t="inlineStr">
        <is>
          <t>West</t>
        </is>
      </c>
      <c r="D868" s="13" t="inlineStr">
        <is>
          <t>Store</t>
        </is>
      </c>
      <c r="E868" s="13" t="inlineStr">
        <is>
          <t>Kitchen</t>
        </is>
      </c>
      <c r="F868" s="13" t="inlineStr">
        <is>
          <t>Ceramic Set</t>
        </is>
      </c>
      <c r="G868" s="13" t="inlineStr">
        <is>
          <t>Consumer</t>
        </is>
      </c>
      <c r="H868" s="13" t="n">
        <v>2</v>
      </c>
      <c r="I868" s="14" t="n">
        <v>91.55</v>
      </c>
      <c r="J868" s="15" t="n">
        <v>0.05</v>
      </c>
      <c r="K868" s="14" t="n">
        <v>34.79</v>
      </c>
      <c r="L868" s="13" t="n">
        <v>2</v>
      </c>
      <c r="M868" s="13" t="inlineStr">
        <is>
          <t>Completed</t>
        </is>
      </c>
      <c r="N868" s="13" t="inlineStr">
        <is>
          <t>A. Shah</t>
        </is>
      </c>
      <c r="O868" s="13" t="inlineStr">
        <is>
          <t>No</t>
        </is>
      </c>
      <c r="P868" s="14">
        <f>H868*I868</f>
        <v/>
      </c>
      <c r="Q868" s="14">
        <f>P868*(1-J868)</f>
        <v/>
      </c>
      <c r="R868" s="14">
        <f>H868*K868</f>
        <v/>
      </c>
      <c r="S868" s="15">
        <f>IF(Q868=0,"",(Q868-R868)/Q868)</f>
        <v/>
      </c>
      <c r="T868" s="13">
        <f>YEAR(B868)</f>
        <v/>
      </c>
      <c r="U868" s="13">
        <f>YEAR(B868)&amp;"-Q"&amp;ROUNDUP(MONTH(B868)/3,0)</f>
        <v/>
      </c>
      <c r="V868" s="13">
        <f>TEXT(B868,"YYYY-MM")</f>
        <v/>
      </c>
      <c r="W868" s="13">
        <f>IF(L868="","",IF(L868&gt;pLateDays,1,0))</f>
        <v/>
      </c>
      <c r="X868" s="13">
        <f>IF(Q868&gt;=pHighCutoff,1,0)</f>
        <v/>
      </c>
      <c r="Y868" s="13">
        <f>IF(M868="Returned",1,0)</f>
        <v/>
      </c>
    </row>
    <row r="869">
      <c r="A869" s="13" t="inlineStr">
        <is>
          <t>HC-100867</t>
        </is>
      </c>
      <c r="B869" s="18" t="n">
        <v>45314</v>
      </c>
      <c r="C869" s="13" t="inlineStr">
        <is>
          <t>South</t>
        </is>
      </c>
      <c r="D869" s="13" t="inlineStr">
        <is>
          <t>Store</t>
        </is>
      </c>
      <c r="E869" s="13" t="inlineStr">
        <is>
          <t>Textiles</t>
        </is>
      </c>
      <c r="F869" s="13" t="inlineStr">
        <is>
          <t>Cotton Duvet</t>
        </is>
      </c>
      <c r="G869" s="13" t="inlineStr">
        <is>
          <t>Consumer</t>
        </is>
      </c>
      <c r="H869" s="13" t="n">
        <v>4</v>
      </c>
      <c r="I869" s="14" t="n">
        <v>128.01</v>
      </c>
      <c r="J869" s="15" t="n">
        <v>0.01</v>
      </c>
      <c r="K869" s="14" t="n">
        <v>56.33</v>
      </c>
      <c r="L869" s="13" t="n">
        <v>4</v>
      </c>
      <c r="M869" s="13" t="inlineStr">
        <is>
          <t>Completed</t>
        </is>
      </c>
      <c r="N869" s="13" t="inlineStr">
        <is>
          <t>A. Shah</t>
        </is>
      </c>
      <c r="O869" s="13" t="inlineStr">
        <is>
          <t>No</t>
        </is>
      </c>
      <c r="P869" s="14">
        <f>H869*I869</f>
        <v/>
      </c>
      <c r="Q869" s="14">
        <f>P869*(1-J869)</f>
        <v/>
      </c>
      <c r="R869" s="14">
        <f>H869*K869</f>
        <v/>
      </c>
      <c r="S869" s="15">
        <f>IF(Q869=0,"",(Q869-R869)/Q869)</f>
        <v/>
      </c>
      <c r="T869" s="13">
        <f>YEAR(B869)</f>
        <v/>
      </c>
      <c r="U869" s="13">
        <f>YEAR(B869)&amp;"-Q"&amp;ROUNDUP(MONTH(B869)/3,0)</f>
        <v/>
      </c>
      <c r="V869" s="13">
        <f>TEXT(B869,"YYYY-MM")</f>
        <v/>
      </c>
      <c r="W869" s="13">
        <f>IF(L869="","",IF(L869&gt;pLateDays,1,0))</f>
        <v/>
      </c>
      <c r="X869" s="13">
        <f>IF(Q869&gt;=pHighCutoff,1,0)</f>
        <v/>
      </c>
      <c r="Y869" s="13">
        <f>IF(M869="Returned",1,0)</f>
        <v/>
      </c>
    </row>
    <row r="870">
      <c r="A870" s="13" t="inlineStr">
        <is>
          <t>HC-100868</t>
        </is>
      </c>
      <c r="B870" s="18" t="n">
        <v>45666</v>
      </c>
      <c r="C870" s="13" t="inlineStr">
        <is>
          <t>West</t>
        </is>
      </c>
      <c r="D870" s="13" t="inlineStr">
        <is>
          <t>Store</t>
        </is>
      </c>
      <c r="E870" s="13" t="inlineStr">
        <is>
          <t>Furniture</t>
        </is>
      </c>
      <c r="F870" s="13" t="inlineStr">
        <is>
          <t>Oak Desk</t>
        </is>
      </c>
      <c r="G870" s="13" t="inlineStr">
        <is>
          <t>Consumer</t>
        </is>
      </c>
      <c r="H870" s="13" t="n">
        <v>1</v>
      </c>
      <c r="I870" s="14" t="n">
        <v>786.25</v>
      </c>
      <c r="J870" s="15" t="n">
        <v>0.03</v>
      </c>
      <c r="K870" s="14" t="n">
        <v>487.48</v>
      </c>
      <c r="L870" s="13" t="n">
        <v>7</v>
      </c>
      <c r="M870" s="13" t="inlineStr">
        <is>
          <t>Completed</t>
        </is>
      </c>
      <c r="N870" s="13" t="inlineStr">
        <is>
          <t>J. Patel</t>
        </is>
      </c>
      <c r="O870" s="13" t="inlineStr">
        <is>
          <t>No</t>
        </is>
      </c>
      <c r="P870" s="14">
        <f>H870*I870</f>
        <v/>
      </c>
      <c r="Q870" s="14">
        <f>P870*(1-J870)</f>
        <v/>
      </c>
      <c r="R870" s="14">
        <f>H870*K870</f>
        <v/>
      </c>
      <c r="S870" s="15">
        <f>IF(Q870=0,"",(Q870-R870)/Q870)</f>
        <v/>
      </c>
      <c r="T870" s="13">
        <f>YEAR(B870)</f>
        <v/>
      </c>
      <c r="U870" s="13">
        <f>YEAR(B870)&amp;"-Q"&amp;ROUNDUP(MONTH(B870)/3,0)</f>
        <v/>
      </c>
      <c r="V870" s="13">
        <f>TEXT(B870,"YYYY-MM")</f>
        <v/>
      </c>
      <c r="W870" s="13">
        <f>IF(L870="","",IF(L870&gt;pLateDays,1,0))</f>
        <v/>
      </c>
      <c r="X870" s="13">
        <f>IF(Q870&gt;=pHighCutoff,1,0)</f>
        <v/>
      </c>
      <c r="Y870" s="13">
        <f>IF(M870="Returned",1,0)</f>
        <v/>
      </c>
    </row>
    <row r="871">
      <c r="A871" s="13" t="inlineStr">
        <is>
          <t>HC-100869</t>
        </is>
      </c>
      <c r="B871" s="18" t="n">
        <v>45518</v>
      </c>
      <c r="C871" s="13" t="inlineStr">
        <is>
          <t>West</t>
        </is>
      </c>
      <c r="D871" s="13" t="inlineStr">
        <is>
          <t>Online</t>
        </is>
      </c>
      <c r="E871" s="13" t="inlineStr">
        <is>
          <t>Furniture</t>
        </is>
      </c>
      <c r="F871" s="13" t="inlineStr">
        <is>
          <t>Walnut Shelf</t>
        </is>
      </c>
      <c r="G871" s="13" t="inlineStr">
        <is>
          <t>Consumer</t>
        </is>
      </c>
      <c r="H871" s="13" t="n">
        <v>2</v>
      </c>
      <c r="I871" s="14" t="n">
        <v>218.81</v>
      </c>
      <c r="J871" s="15" t="n">
        <v>0.07000000000000001</v>
      </c>
      <c r="K871" s="14" t="n">
        <v>120.35</v>
      </c>
      <c r="L871" s="13" t="n">
        <v>4</v>
      </c>
      <c r="M871" s="13" t="inlineStr">
        <is>
          <t>Completed</t>
        </is>
      </c>
      <c r="N871" s="13" t="inlineStr">
        <is>
          <t>L. Berger</t>
        </is>
      </c>
      <c r="O871" s="13" t="inlineStr">
        <is>
          <t>No</t>
        </is>
      </c>
      <c r="P871" s="14">
        <f>H871*I871</f>
        <v/>
      </c>
      <c r="Q871" s="14">
        <f>P871*(1-J871)</f>
        <v/>
      </c>
      <c r="R871" s="14">
        <f>H871*K871</f>
        <v/>
      </c>
      <c r="S871" s="15">
        <f>IF(Q871=0,"",(Q871-R871)/Q871)</f>
        <v/>
      </c>
      <c r="T871" s="13">
        <f>YEAR(B871)</f>
        <v/>
      </c>
      <c r="U871" s="13">
        <f>YEAR(B871)&amp;"-Q"&amp;ROUNDUP(MONTH(B871)/3,0)</f>
        <v/>
      </c>
      <c r="V871" s="13">
        <f>TEXT(B871,"YYYY-MM")</f>
        <v/>
      </c>
      <c r="W871" s="13">
        <f>IF(L871="","",IF(L871&gt;pLateDays,1,0))</f>
        <v/>
      </c>
      <c r="X871" s="13">
        <f>IF(Q871&gt;=pHighCutoff,1,0)</f>
        <v/>
      </c>
      <c r="Y871" s="13">
        <f>IF(M871="Returned",1,0)</f>
        <v/>
      </c>
    </row>
    <row r="872">
      <c r="A872" s="13" t="inlineStr">
        <is>
          <t>HC-100870</t>
        </is>
      </c>
      <c r="B872" s="18" t="n">
        <v>45750</v>
      </c>
      <c r="C872" s="13" t="inlineStr">
        <is>
          <t>North</t>
        </is>
      </c>
      <c r="D872" s="13" t="inlineStr">
        <is>
          <t>Online</t>
        </is>
      </c>
      <c r="E872" s="13" t="inlineStr">
        <is>
          <t>Lighting</t>
        </is>
      </c>
      <c r="F872" s="13" t="inlineStr">
        <is>
          <t>Pendant Light</t>
        </is>
      </c>
      <c r="G872" s="13" t="inlineStr">
        <is>
          <t>Unknown</t>
        </is>
      </c>
      <c r="H872" s="13" t="n">
        <v>2</v>
      </c>
      <c r="I872" s="14" t="n">
        <v>188.53</v>
      </c>
      <c r="J872" s="15" t="n">
        <v>0.13</v>
      </c>
      <c r="K872" s="14" t="n">
        <v>94.27</v>
      </c>
      <c r="L872" s="13" t="n">
        <v>3</v>
      </c>
      <c r="M872" s="13" t="inlineStr">
        <is>
          <t>Completed</t>
        </is>
      </c>
      <c r="N872" s="13" t="inlineStr">
        <is>
          <t>K. Mensah</t>
        </is>
      </c>
      <c r="O872" s="13" t="inlineStr">
        <is>
          <t>No</t>
        </is>
      </c>
      <c r="P872" s="14">
        <f>H872*I872</f>
        <v/>
      </c>
      <c r="Q872" s="14">
        <f>P872*(1-J872)</f>
        <v/>
      </c>
      <c r="R872" s="14">
        <f>H872*K872</f>
        <v/>
      </c>
      <c r="S872" s="15">
        <f>IF(Q872=0,"",(Q872-R872)/Q872)</f>
        <v/>
      </c>
      <c r="T872" s="13">
        <f>YEAR(B872)</f>
        <v/>
      </c>
      <c r="U872" s="13">
        <f>YEAR(B872)&amp;"-Q"&amp;ROUNDUP(MONTH(B872)/3,0)</f>
        <v/>
      </c>
      <c r="V872" s="13">
        <f>TEXT(B872,"YYYY-MM")</f>
        <v/>
      </c>
      <c r="W872" s="13">
        <f>IF(L872="","",IF(L872&gt;pLateDays,1,0))</f>
        <v/>
      </c>
      <c r="X872" s="13">
        <f>IF(Q872&gt;=pHighCutoff,1,0)</f>
        <v/>
      </c>
      <c r="Y872" s="13">
        <f>IF(M872="Returned",1,0)</f>
        <v/>
      </c>
    </row>
    <row r="873">
      <c r="A873" s="13" t="inlineStr">
        <is>
          <t>HC-100871</t>
        </is>
      </c>
      <c r="B873" s="18" t="n">
        <v>45847</v>
      </c>
      <c r="C873" s="13" t="inlineStr">
        <is>
          <t>South</t>
        </is>
      </c>
      <c r="D873" s="13" t="inlineStr">
        <is>
          <t>Online</t>
        </is>
      </c>
      <c r="E873" s="13" t="inlineStr">
        <is>
          <t>Textiles</t>
        </is>
      </c>
      <c r="F873" s="13" t="inlineStr">
        <is>
          <t>Cotton Duvet</t>
        </is>
      </c>
      <c r="G873" s="13" t="inlineStr">
        <is>
          <t>Consumer</t>
        </is>
      </c>
      <c r="H873" s="13" t="n">
        <v>1</v>
      </c>
      <c r="I873" s="14" t="n">
        <v>123.16</v>
      </c>
      <c r="J873" s="15" t="n">
        <v>0.13</v>
      </c>
      <c r="K873" s="14" t="n">
        <v>54.19</v>
      </c>
      <c r="L873" s="13" t="n">
        <v>7</v>
      </c>
      <c r="M873" s="13" t="inlineStr">
        <is>
          <t>Completed</t>
        </is>
      </c>
      <c r="N873" s="13" t="inlineStr">
        <is>
          <t>A. Shah</t>
        </is>
      </c>
      <c r="O873" s="13" t="inlineStr">
        <is>
          <t>No</t>
        </is>
      </c>
      <c r="P873" s="14">
        <f>H873*I873</f>
        <v/>
      </c>
      <c r="Q873" s="14">
        <f>P873*(1-J873)</f>
        <v/>
      </c>
      <c r="R873" s="14">
        <f>H873*K873</f>
        <v/>
      </c>
      <c r="S873" s="15">
        <f>IF(Q873=0,"",(Q873-R873)/Q873)</f>
        <v/>
      </c>
      <c r="T873" s="13">
        <f>YEAR(B873)</f>
        <v/>
      </c>
      <c r="U873" s="13">
        <f>YEAR(B873)&amp;"-Q"&amp;ROUNDUP(MONTH(B873)/3,0)</f>
        <v/>
      </c>
      <c r="V873" s="13">
        <f>TEXT(B873,"YYYY-MM")</f>
        <v/>
      </c>
      <c r="W873" s="13">
        <f>IF(L873="","",IF(L873&gt;pLateDays,1,0))</f>
        <v/>
      </c>
      <c r="X873" s="13">
        <f>IF(Q873&gt;=pHighCutoff,1,0)</f>
        <v/>
      </c>
      <c r="Y873" s="13">
        <f>IF(M873="Returned",1,0)</f>
        <v/>
      </c>
    </row>
    <row r="874">
      <c r="A874" s="13" t="inlineStr">
        <is>
          <t>HC-100872</t>
        </is>
      </c>
      <c r="B874" s="18" t="n">
        <v>45526</v>
      </c>
      <c r="C874" s="13" t="inlineStr">
        <is>
          <t>North</t>
        </is>
      </c>
      <c r="D874" s="13" t="inlineStr">
        <is>
          <t>Wholesale</t>
        </is>
      </c>
      <c r="E874" s="13" t="inlineStr">
        <is>
          <t>Furniture</t>
        </is>
      </c>
      <c r="F874" s="13" t="inlineStr">
        <is>
          <t>Linen Sofa</t>
        </is>
      </c>
      <c r="G874" s="13" t="inlineStr">
        <is>
          <t>Consumer</t>
        </is>
      </c>
      <c r="H874" s="13" t="n">
        <v>13</v>
      </c>
      <c r="I874" s="14" t="n">
        <v>1176.84</v>
      </c>
      <c r="J874" s="15" t="n">
        <v>0.2</v>
      </c>
      <c r="K874" s="14" t="n">
        <v>776.72</v>
      </c>
      <c r="L874" s="13" t="n">
        <v>5</v>
      </c>
      <c r="M874" s="13" t="inlineStr">
        <is>
          <t>Completed</t>
        </is>
      </c>
      <c r="N874" s="13" t="inlineStr">
        <is>
          <t>S. Nguyen</t>
        </is>
      </c>
      <c r="O874" s="13" t="inlineStr">
        <is>
          <t>No</t>
        </is>
      </c>
      <c r="P874" s="14">
        <f>H874*I874</f>
        <v/>
      </c>
      <c r="Q874" s="14">
        <f>P874*(1-J874)</f>
        <v/>
      </c>
      <c r="R874" s="14">
        <f>H874*K874</f>
        <v/>
      </c>
      <c r="S874" s="15">
        <f>IF(Q874=0,"",(Q874-R874)/Q874)</f>
        <v/>
      </c>
      <c r="T874" s="13">
        <f>YEAR(B874)</f>
        <v/>
      </c>
      <c r="U874" s="13">
        <f>YEAR(B874)&amp;"-Q"&amp;ROUNDUP(MONTH(B874)/3,0)</f>
        <v/>
      </c>
      <c r="V874" s="13">
        <f>TEXT(B874,"YYYY-MM")</f>
        <v/>
      </c>
      <c r="W874" s="13">
        <f>IF(L874="","",IF(L874&gt;pLateDays,1,0))</f>
        <v/>
      </c>
      <c r="X874" s="13">
        <f>IF(Q874&gt;=pHighCutoff,1,0)</f>
        <v/>
      </c>
      <c r="Y874" s="13">
        <f>IF(M874="Returned",1,0)</f>
        <v/>
      </c>
    </row>
    <row r="875">
      <c r="A875" s="13" t="inlineStr">
        <is>
          <t>HC-100873</t>
        </is>
      </c>
      <c r="B875" s="18" t="n">
        <v>45774</v>
      </c>
      <c r="C875" s="13" t="inlineStr">
        <is>
          <t>West</t>
        </is>
      </c>
      <c r="D875" s="13" t="inlineStr">
        <is>
          <t>Online</t>
        </is>
      </c>
      <c r="E875" s="13" t="inlineStr">
        <is>
          <t>Textiles</t>
        </is>
      </c>
      <c r="F875" s="13" t="inlineStr">
        <is>
          <t>Wool Throw</t>
        </is>
      </c>
      <c r="G875" s="13" t="inlineStr">
        <is>
          <t>Corporate</t>
        </is>
      </c>
      <c r="H875" s="13" t="n">
        <v>3</v>
      </c>
      <c r="I875" s="14" t="n">
        <v>70.5</v>
      </c>
      <c r="J875" s="15" t="n">
        <v>0.12</v>
      </c>
      <c r="K875" s="14" t="n">
        <v>29.61</v>
      </c>
      <c r="L875" s="13" t="n">
        <v>7</v>
      </c>
      <c r="M875" s="13" t="inlineStr">
        <is>
          <t>Completed</t>
        </is>
      </c>
      <c r="N875" s="13" t="inlineStr">
        <is>
          <t>M. Okonkwo</t>
        </is>
      </c>
      <c r="O875" s="13" t="inlineStr">
        <is>
          <t>No</t>
        </is>
      </c>
      <c r="P875" s="14">
        <f>H875*I875</f>
        <v/>
      </c>
      <c r="Q875" s="14">
        <f>P875*(1-J875)</f>
        <v/>
      </c>
      <c r="R875" s="14">
        <f>H875*K875</f>
        <v/>
      </c>
      <c r="S875" s="15">
        <f>IF(Q875=0,"",(Q875-R875)/Q875)</f>
        <v/>
      </c>
      <c r="T875" s="13">
        <f>YEAR(B875)</f>
        <v/>
      </c>
      <c r="U875" s="13">
        <f>YEAR(B875)&amp;"-Q"&amp;ROUNDUP(MONTH(B875)/3,0)</f>
        <v/>
      </c>
      <c r="V875" s="13">
        <f>TEXT(B875,"YYYY-MM")</f>
        <v/>
      </c>
      <c r="W875" s="13">
        <f>IF(L875="","",IF(L875&gt;pLateDays,1,0))</f>
        <v/>
      </c>
      <c r="X875" s="13">
        <f>IF(Q875&gt;=pHighCutoff,1,0)</f>
        <v/>
      </c>
      <c r="Y875" s="13">
        <f>IF(M875="Returned",1,0)</f>
        <v/>
      </c>
    </row>
    <row r="876">
      <c r="A876" s="13" t="inlineStr">
        <is>
          <t>HC-100874</t>
        </is>
      </c>
      <c r="B876" s="18" t="n">
        <v>45776</v>
      </c>
      <c r="C876" s="13" t="inlineStr">
        <is>
          <t>North</t>
        </is>
      </c>
      <c r="D876" s="13" t="inlineStr">
        <is>
          <t>Online</t>
        </is>
      </c>
      <c r="E876" s="13" t="inlineStr">
        <is>
          <t>Textiles</t>
        </is>
      </c>
      <c r="F876" s="13" t="inlineStr">
        <is>
          <t>Wool Throw</t>
        </is>
      </c>
      <c r="G876" s="13" t="inlineStr">
        <is>
          <t>Consumer</t>
        </is>
      </c>
      <c r="H876" s="13" t="n">
        <v>3</v>
      </c>
      <c r="I876" s="14" t="n">
        <v>78.73</v>
      </c>
      <c r="J876" s="15" t="n">
        <v>0.06</v>
      </c>
      <c r="K876" s="14" t="n">
        <v>33.07</v>
      </c>
      <c r="L876" s="13" t="n">
        <v>6</v>
      </c>
      <c r="M876" s="13" t="inlineStr">
        <is>
          <t>Completed</t>
        </is>
      </c>
      <c r="N876" s="13" t="inlineStr">
        <is>
          <t>P. Rossi</t>
        </is>
      </c>
      <c r="O876" s="13" t="inlineStr">
        <is>
          <t>No</t>
        </is>
      </c>
      <c r="P876" s="14">
        <f>H876*I876</f>
        <v/>
      </c>
      <c r="Q876" s="14">
        <f>P876*(1-J876)</f>
        <v/>
      </c>
      <c r="R876" s="14">
        <f>H876*K876</f>
        <v/>
      </c>
      <c r="S876" s="15">
        <f>IF(Q876=0,"",(Q876-R876)/Q876)</f>
        <v/>
      </c>
      <c r="T876" s="13">
        <f>YEAR(B876)</f>
        <v/>
      </c>
      <c r="U876" s="13">
        <f>YEAR(B876)&amp;"-Q"&amp;ROUNDUP(MONTH(B876)/3,0)</f>
        <v/>
      </c>
      <c r="V876" s="13">
        <f>TEXT(B876,"YYYY-MM")</f>
        <v/>
      </c>
      <c r="W876" s="13">
        <f>IF(L876="","",IF(L876&gt;pLateDays,1,0))</f>
        <v/>
      </c>
      <c r="X876" s="13">
        <f>IF(Q876&gt;=pHighCutoff,1,0)</f>
        <v/>
      </c>
      <c r="Y876" s="13">
        <f>IF(M876="Returned",1,0)</f>
        <v/>
      </c>
    </row>
    <row r="877">
      <c r="A877" s="13" t="inlineStr">
        <is>
          <t>HC-100875</t>
        </is>
      </c>
      <c r="B877" s="18" t="n">
        <v>45473</v>
      </c>
      <c r="C877" s="13" t="inlineStr">
        <is>
          <t>South</t>
        </is>
      </c>
      <c r="D877" s="13" t="inlineStr">
        <is>
          <t>Store</t>
        </is>
      </c>
      <c r="E877" s="13" t="inlineStr">
        <is>
          <t>Furniture</t>
        </is>
      </c>
      <c r="F877" s="13" t="inlineStr">
        <is>
          <t>Lounge Chair</t>
        </is>
      </c>
      <c r="G877" s="13" t="inlineStr">
        <is>
          <t>Consumer</t>
        </is>
      </c>
      <c r="H877" s="13" t="n">
        <v>3</v>
      </c>
      <c r="I877" s="14" t="n">
        <v>441.99</v>
      </c>
      <c r="J877" s="15" t="n">
        <v>0.01</v>
      </c>
      <c r="K877" s="14" t="n">
        <v>265.19</v>
      </c>
      <c r="L877" s="13" t="n">
        <v>4</v>
      </c>
      <c r="M877" s="13" t="inlineStr">
        <is>
          <t>Completed</t>
        </is>
      </c>
      <c r="N877" s="13" t="inlineStr">
        <is>
          <t>A. Shah</t>
        </is>
      </c>
      <c r="O877" s="13" t="inlineStr">
        <is>
          <t>No</t>
        </is>
      </c>
      <c r="P877" s="14">
        <f>H877*I877</f>
        <v/>
      </c>
      <c r="Q877" s="14">
        <f>P877*(1-J877)</f>
        <v/>
      </c>
      <c r="R877" s="14">
        <f>H877*K877</f>
        <v/>
      </c>
      <c r="S877" s="15">
        <f>IF(Q877=0,"",(Q877-R877)/Q877)</f>
        <v/>
      </c>
      <c r="T877" s="13">
        <f>YEAR(B877)</f>
        <v/>
      </c>
      <c r="U877" s="13">
        <f>YEAR(B877)&amp;"-Q"&amp;ROUNDUP(MONTH(B877)/3,0)</f>
        <v/>
      </c>
      <c r="V877" s="13">
        <f>TEXT(B877,"YYYY-MM")</f>
        <v/>
      </c>
      <c r="W877" s="13">
        <f>IF(L877="","",IF(L877&gt;pLateDays,1,0))</f>
        <v/>
      </c>
      <c r="X877" s="13">
        <f>IF(Q877&gt;=pHighCutoff,1,0)</f>
        <v/>
      </c>
      <c r="Y877" s="13">
        <f>IF(M877="Returned",1,0)</f>
        <v/>
      </c>
    </row>
    <row r="878">
      <c r="A878" s="13" t="inlineStr">
        <is>
          <t>HC-100876</t>
        </is>
      </c>
      <c r="B878" s="18" t="n">
        <v>45332</v>
      </c>
      <c r="C878" s="13" t="inlineStr">
        <is>
          <t>West</t>
        </is>
      </c>
      <c r="D878" s="13" t="inlineStr">
        <is>
          <t>Online</t>
        </is>
      </c>
      <c r="E878" s="13" t="inlineStr">
        <is>
          <t>Kitchen</t>
        </is>
      </c>
      <c r="F878" s="13" t="inlineStr">
        <is>
          <t>Chef Knife</t>
        </is>
      </c>
      <c r="G878" s="13" t="inlineStr">
        <is>
          <t>Consumer</t>
        </is>
      </c>
      <c r="H878" s="13" t="n">
        <v>3</v>
      </c>
      <c r="I878" s="14" t="n">
        <v>65.90000000000001</v>
      </c>
      <c r="J878" s="15" t="n">
        <v>0.11</v>
      </c>
      <c r="K878" s="14" t="n">
        <v>23.73</v>
      </c>
      <c r="L878" s="13" t="n">
        <v>5</v>
      </c>
      <c r="M878" s="13" t="inlineStr">
        <is>
          <t>Completed</t>
        </is>
      </c>
      <c r="N878" s="13" t="inlineStr">
        <is>
          <t>K. Mensah</t>
        </is>
      </c>
      <c r="O878" s="13" t="inlineStr">
        <is>
          <t>No</t>
        </is>
      </c>
      <c r="P878" s="14">
        <f>H878*I878</f>
        <v/>
      </c>
      <c r="Q878" s="14">
        <f>P878*(1-J878)</f>
        <v/>
      </c>
      <c r="R878" s="14">
        <f>H878*K878</f>
        <v/>
      </c>
      <c r="S878" s="15">
        <f>IF(Q878=0,"",(Q878-R878)/Q878)</f>
        <v/>
      </c>
      <c r="T878" s="13">
        <f>YEAR(B878)</f>
        <v/>
      </c>
      <c r="U878" s="13">
        <f>YEAR(B878)&amp;"-Q"&amp;ROUNDUP(MONTH(B878)/3,0)</f>
        <v/>
      </c>
      <c r="V878" s="13">
        <f>TEXT(B878,"YYYY-MM")</f>
        <v/>
      </c>
      <c r="W878" s="13">
        <f>IF(L878="","",IF(L878&gt;pLateDays,1,0))</f>
        <v/>
      </c>
      <c r="X878" s="13">
        <f>IF(Q878&gt;=pHighCutoff,1,0)</f>
        <v/>
      </c>
      <c r="Y878" s="13">
        <f>IF(M878="Returned",1,0)</f>
        <v/>
      </c>
    </row>
    <row r="879">
      <c r="A879" s="13" t="inlineStr">
        <is>
          <t>HC-100877</t>
        </is>
      </c>
      <c r="B879" s="18" t="n">
        <v>45593</v>
      </c>
      <c r="C879" s="13" t="inlineStr">
        <is>
          <t>North</t>
        </is>
      </c>
      <c r="D879" s="13" t="inlineStr">
        <is>
          <t>Online</t>
        </is>
      </c>
      <c r="E879" s="13" t="inlineStr">
        <is>
          <t>Furniture</t>
        </is>
      </c>
      <c r="F879" s="13" t="inlineStr">
        <is>
          <t>Oak Desk</t>
        </is>
      </c>
      <c r="G879" s="13" t="inlineStr">
        <is>
          <t>Corporate</t>
        </is>
      </c>
      <c r="H879" s="13" t="n">
        <v>2</v>
      </c>
      <c r="I879" s="14" t="n">
        <v>777.29</v>
      </c>
      <c r="J879" s="15" t="n">
        <v>0.13</v>
      </c>
      <c r="K879" s="14" t="n">
        <v>481.92</v>
      </c>
      <c r="L879" s="13" t="n">
        <v>4</v>
      </c>
      <c r="M879" s="13" t="inlineStr">
        <is>
          <t>Completed</t>
        </is>
      </c>
      <c r="N879" s="13" t="inlineStr">
        <is>
          <t>P. Rossi</t>
        </is>
      </c>
      <c r="O879" s="13" t="inlineStr">
        <is>
          <t>No</t>
        </is>
      </c>
      <c r="P879" s="14">
        <f>H879*I879</f>
        <v/>
      </c>
      <c r="Q879" s="14">
        <f>P879*(1-J879)</f>
        <v/>
      </c>
      <c r="R879" s="14">
        <f>H879*K879</f>
        <v/>
      </c>
      <c r="S879" s="15">
        <f>IF(Q879=0,"",(Q879-R879)/Q879)</f>
        <v/>
      </c>
      <c r="T879" s="13">
        <f>YEAR(B879)</f>
        <v/>
      </c>
      <c r="U879" s="13">
        <f>YEAR(B879)&amp;"-Q"&amp;ROUNDUP(MONTH(B879)/3,0)</f>
        <v/>
      </c>
      <c r="V879" s="13">
        <f>TEXT(B879,"YYYY-MM")</f>
        <v/>
      </c>
      <c r="W879" s="13">
        <f>IF(L879="","",IF(L879&gt;pLateDays,1,0))</f>
        <v/>
      </c>
      <c r="X879" s="13">
        <f>IF(Q879&gt;=pHighCutoff,1,0)</f>
        <v/>
      </c>
      <c r="Y879" s="13">
        <f>IF(M879="Returned",1,0)</f>
        <v/>
      </c>
    </row>
    <row r="880">
      <c r="A880" s="13" t="inlineStr">
        <is>
          <t>HC-100878</t>
        </is>
      </c>
      <c r="B880" s="18" t="n">
        <v>45849</v>
      </c>
      <c r="C880" s="13" t="inlineStr">
        <is>
          <t>North</t>
        </is>
      </c>
      <c r="D880" s="13" t="inlineStr">
        <is>
          <t>Online</t>
        </is>
      </c>
      <c r="E880" s="13" t="inlineStr">
        <is>
          <t>Textiles</t>
        </is>
      </c>
      <c r="F880" s="13" t="inlineStr">
        <is>
          <t>Wool Throw</t>
        </is>
      </c>
      <c r="G880" s="13" t="inlineStr">
        <is>
          <t>Consumer</t>
        </is>
      </c>
      <c r="H880" s="13" t="n">
        <v>1</v>
      </c>
      <c r="I880" s="14" t="n">
        <v>79.59</v>
      </c>
      <c r="J880" s="15" t="n">
        <v>0.06</v>
      </c>
      <c r="K880" s="14" t="n">
        <v>33.43</v>
      </c>
      <c r="L880" s="13" t="n">
        <v>5</v>
      </c>
      <c r="M880" s="13" t="inlineStr">
        <is>
          <t>Completed</t>
        </is>
      </c>
      <c r="N880" s="13" t="inlineStr">
        <is>
          <t>K. Mensah</t>
        </is>
      </c>
      <c r="O880" s="13" t="inlineStr">
        <is>
          <t>No</t>
        </is>
      </c>
      <c r="P880" s="14">
        <f>H880*I880</f>
        <v/>
      </c>
      <c r="Q880" s="14">
        <f>P880*(1-J880)</f>
        <v/>
      </c>
      <c r="R880" s="14">
        <f>H880*K880</f>
        <v/>
      </c>
      <c r="S880" s="15">
        <f>IF(Q880=0,"",(Q880-R880)/Q880)</f>
        <v/>
      </c>
      <c r="T880" s="13">
        <f>YEAR(B880)</f>
        <v/>
      </c>
      <c r="U880" s="13">
        <f>YEAR(B880)&amp;"-Q"&amp;ROUNDUP(MONTH(B880)/3,0)</f>
        <v/>
      </c>
      <c r="V880" s="13">
        <f>TEXT(B880,"YYYY-MM")</f>
        <v/>
      </c>
      <c r="W880" s="13">
        <f>IF(L880="","",IF(L880&gt;pLateDays,1,0))</f>
        <v/>
      </c>
      <c r="X880" s="13">
        <f>IF(Q880&gt;=pHighCutoff,1,0)</f>
        <v/>
      </c>
      <c r="Y880" s="13">
        <f>IF(M880="Returned",1,0)</f>
        <v/>
      </c>
    </row>
    <row r="881">
      <c r="A881" s="13" t="inlineStr">
        <is>
          <t>HC-100879</t>
        </is>
      </c>
      <c r="B881" s="18" t="n">
        <v>45628</v>
      </c>
      <c r="C881" s="13" t="inlineStr">
        <is>
          <t>West</t>
        </is>
      </c>
      <c r="D881" s="13" t="inlineStr">
        <is>
          <t>Online</t>
        </is>
      </c>
      <c r="E881" s="13" t="inlineStr">
        <is>
          <t>Furniture</t>
        </is>
      </c>
      <c r="F881" s="13" t="inlineStr">
        <is>
          <t>Walnut Shelf</t>
        </is>
      </c>
      <c r="G881" s="13" t="inlineStr">
        <is>
          <t>Unknown</t>
        </is>
      </c>
      <c r="H881" s="13" t="n">
        <v>4</v>
      </c>
      <c r="I881" s="14" t="n">
        <v>203.23</v>
      </c>
      <c r="J881" s="15" t="n">
        <v>0.17</v>
      </c>
      <c r="K881" s="14" t="n">
        <v>111.78</v>
      </c>
      <c r="L881" s="13" t="n">
        <v>5</v>
      </c>
      <c r="M881" s="13" t="inlineStr">
        <is>
          <t>Completed</t>
        </is>
      </c>
      <c r="N881" s="13" t="inlineStr">
        <is>
          <t>P. Rossi</t>
        </is>
      </c>
      <c r="O881" s="13" t="inlineStr">
        <is>
          <t>No</t>
        </is>
      </c>
      <c r="P881" s="14">
        <f>H881*I881</f>
        <v/>
      </c>
      <c r="Q881" s="14">
        <f>P881*(1-J881)</f>
        <v/>
      </c>
      <c r="R881" s="14">
        <f>H881*K881</f>
        <v/>
      </c>
      <c r="S881" s="15">
        <f>IF(Q881=0,"",(Q881-R881)/Q881)</f>
        <v/>
      </c>
      <c r="T881" s="13">
        <f>YEAR(B881)</f>
        <v/>
      </c>
      <c r="U881" s="13">
        <f>YEAR(B881)&amp;"-Q"&amp;ROUNDUP(MONTH(B881)/3,0)</f>
        <v/>
      </c>
      <c r="V881" s="13">
        <f>TEXT(B881,"YYYY-MM")</f>
        <v/>
      </c>
      <c r="W881" s="13">
        <f>IF(L881="","",IF(L881&gt;pLateDays,1,0))</f>
        <v/>
      </c>
      <c r="X881" s="13">
        <f>IF(Q881&gt;=pHighCutoff,1,0)</f>
        <v/>
      </c>
      <c r="Y881" s="13">
        <f>IF(M881="Returned",1,0)</f>
        <v/>
      </c>
    </row>
    <row r="882">
      <c r="A882" s="13" t="inlineStr">
        <is>
          <t>HC-100880</t>
        </is>
      </c>
      <c r="B882" s="18" t="n">
        <v>45601</v>
      </c>
      <c r="C882" s="13" t="inlineStr">
        <is>
          <t>North</t>
        </is>
      </c>
      <c r="D882" s="13" t="inlineStr">
        <is>
          <t>Store</t>
        </is>
      </c>
      <c r="E882" s="13" t="inlineStr">
        <is>
          <t>Textiles</t>
        </is>
      </c>
      <c r="F882" s="13" t="inlineStr">
        <is>
          <t>Wool Throw</t>
        </is>
      </c>
      <c r="G882" s="13" t="inlineStr">
        <is>
          <t>Consumer</t>
        </is>
      </c>
      <c r="H882" s="13" t="n">
        <v>4</v>
      </c>
      <c r="I882" s="14" t="n">
        <v>78.68000000000001</v>
      </c>
      <c r="J882" s="15" t="n">
        <v>0.06</v>
      </c>
      <c r="K882" s="14" t="n">
        <v>33.05</v>
      </c>
      <c r="L882" s="13" t="n">
        <v>5</v>
      </c>
      <c r="M882" s="13" t="inlineStr">
        <is>
          <t>Completed</t>
        </is>
      </c>
      <c r="N882" s="13" t="inlineStr">
        <is>
          <t>R. Ibarra</t>
        </is>
      </c>
      <c r="O882" s="13" t="inlineStr">
        <is>
          <t>No</t>
        </is>
      </c>
      <c r="P882" s="14">
        <f>H882*I882</f>
        <v/>
      </c>
      <c r="Q882" s="14">
        <f>P882*(1-J882)</f>
        <v/>
      </c>
      <c r="R882" s="14">
        <f>H882*K882</f>
        <v/>
      </c>
      <c r="S882" s="15">
        <f>IF(Q882=0,"",(Q882-R882)/Q882)</f>
        <v/>
      </c>
      <c r="T882" s="13">
        <f>YEAR(B882)</f>
        <v/>
      </c>
      <c r="U882" s="13">
        <f>YEAR(B882)&amp;"-Q"&amp;ROUNDUP(MONTH(B882)/3,0)</f>
        <v/>
      </c>
      <c r="V882" s="13">
        <f>TEXT(B882,"YYYY-MM")</f>
        <v/>
      </c>
      <c r="W882" s="13">
        <f>IF(L882="","",IF(L882&gt;pLateDays,1,0))</f>
        <v/>
      </c>
      <c r="X882" s="13">
        <f>IF(Q882&gt;=pHighCutoff,1,0)</f>
        <v/>
      </c>
      <c r="Y882" s="13">
        <f>IF(M882="Returned",1,0)</f>
        <v/>
      </c>
    </row>
    <row r="883">
      <c r="A883" s="13" t="inlineStr">
        <is>
          <t>HC-100881</t>
        </is>
      </c>
      <c r="B883" s="18" t="n">
        <v>45791</v>
      </c>
      <c r="C883" s="13" t="inlineStr">
        <is>
          <t>South</t>
        </is>
      </c>
      <c r="D883" s="13" t="inlineStr">
        <is>
          <t>Store</t>
        </is>
      </c>
      <c r="E883" s="13" t="inlineStr">
        <is>
          <t>Textiles</t>
        </is>
      </c>
      <c r="F883" s="13" t="inlineStr">
        <is>
          <t>Cotton Duvet</t>
        </is>
      </c>
      <c r="G883" s="13" t="inlineStr">
        <is>
          <t>Consumer</t>
        </is>
      </c>
      <c r="H883" s="13" t="n">
        <v>3</v>
      </c>
      <c r="I883" s="14" t="n">
        <v>120.02</v>
      </c>
      <c r="J883" s="15" t="n">
        <v>0.11</v>
      </c>
      <c r="K883" s="14" t="n">
        <v>52.81</v>
      </c>
      <c r="L883" s="13" t="n">
        <v>7</v>
      </c>
      <c r="M883" s="13" t="inlineStr">
        <is>
          <t>Completed</t>
        </is>
      </c>
      <c r="N883" s="13" t="inlineStr">
        <is>
          <t>S. Nguyen</t>
        </is>
      </c>
      <c r="O883" s="13" t="inlineStr">
        <is>
          <t>No</t>
        </is>
      </c>
      <c r="P883" s="14">
        <f>H883*I883</f>
        <v/>
      </c>
      <c r="Q883" s="14">
        <f>P883*(1-J883)</f>
        <v/>
      </c>
      <c r="R883" s="14">
        <f>H883*K883</f>
        <v/>
      </c>
      <c r="S883" s="15">
        <f>IF(Q883=0,"",(Q883-R883)/Q883)</f>
        <v/>
      </c>
      <c r="T883" s="13">
        <f>YEAR(B883)</f>
        <v/>
      </c>
      <c r="U883" s="13">
        <f>YEAR(B883)&amp;"-Q"&amp;ROUNDUP(MONTH(B883)/3,0)</f>
        <v/>
      </c>
      <c r="V883" s="13">
        <f>TEXT(B883,"YYYY-MM")</f>
        <v/>
      </c>
      <c r="W883" s="13">
        <f>IF(L883="","",IF(L883&gt;pLateDays,1,0))</f>
        <v/>
      </c>
      <c r="X883" s="13">
        <f>IF(Q883&gt;=pHighCutoff,1,0)</f>
        <v/>
      </c>
      <c r="Y883" s="13">
        <f>IF(M883="Returned",1,0)</f>
        <v/>
      </c>
    </row>
    <row r="884">
      <c r="A884" s="13" t="inlineStr">
        <is>
          <t>HC-100882</t>
        </is>
      </c>
      <c r="B884" s="18" t="n">
        <v>45841</v>
      </c>
      <c r="C884" s="13" t="inlineStr">
        <is>
          <t>West</t>
        </is>
      </c>
      <c r="D884" s="13" t="inlineStr">
        <is>
          <t>Wholesale</t>
        </is>
      </c>
      <c r="E884" s="13" t="inlineStr">
        <is>
          <t>Kitchen</t>
        </is>
      </c>
      <c r="F884" s="13" t="inlineStr">
        <is>
          <t>Ceramic Set</t>
        </is>
      </c>
      <c r="G884" s="13" t="inlineStr">
        <is>
          <t>Corporate</t>
        </is>
      </c>
      <c r="H884" s="13" t="n">
        <v>21</v>
      </c>
      <c r="I884" s="14" t="n">
        <v>88.63</v>
      </c>
      <c r="J884" s="15" t="n">
        <v>0.16</v>
      </c>
      <c r="K884" s="14" t="n">
        <v>33.68</v>
      </c>
      <c r="L884" s="13" t="n">
        <v>7</v>
      </c>
      <c r="M884" s="13" t="inlineStr">
        <is>
          <t>Completed</t>
        </is>
      </c>
      <c r="N884" s="13" t="inlineStr">
        <is>
          <t>A. Shah</t>
        </is>
      </c>
      <c r="O884" s="13" t="inlineStr">
        <is>
          <t>No</t>
        </is>
      </c>
      <c r="P884" s="14">
        <f>H884*I884</f>
        <v/>
      </c>
      <c r="Q884" s="14">
        <f>P884*(1-J884)</f>
        <v/>
      </c>
      <c r="R884" s="14">
        <f>H884*K884</f>
        <v/>
      </c>
      <c r="S884" s="15">
        <f>IF(Q884=0,"",(Q884-R884)/Q884)</f>
        <v/>
      </c>
      <c r="T884" s="13">
        <f>YEAR(B884)</f>
        <v/>
      </c>
      <c r="U884" s="13">
        <f>YEAR(B884)&amp;"-Q"&amp;ROUNDUP(MONTH(B884)/3,0)</f>
        <v/>
      </c>
      <c r="V884" s="13">
        <f>TEXT(B884,"YYYY-MM")</f>
        <v/>
      </c>
      <c r="W884" s="13">
        <f>IF(L884="","",IF(L884&gt;pLateDays,1,0))</f>
        <v/>
      </c>
      <c r="X884" s="13">
        <f>IF(Q884&gt;=pHighCutoff,1,0)</f>
        <v/>
      </c>
      <c r="Y884" s="13">
        <f>IF(M884="Returned",1,0)</f>
        <v/>
      </c>
    </row>
    <row r="885">
      <c r="A885" s="13" t="inlineStr">
        <is>
          <t>HC-100883</t>
        </is>
      </c>
      <c r="B885" s="18" t="n">
        <v>45822</v>
      </c>
      <c r="C885" s="13" t="inlineStr">
        <is>
          <t>West</t>
        </is>
      </c>
      <c r="D885" s="13" t="inlineStr">
        <is>
          <t>Store</t>
        </is>
      </c>
      <c r="E885" s="13" t="inlineStr">
        <is>
          <t>Furniture</t>
        </is>
      </c>
      <c r="F885" s="13" t="inlineStr">
        <is>
          <t>Oak Desk</t>
        </is>
      </c>
      <c r="G885" s="13" t="inlineStr">
        <is>
          <t>Consumer</t>
        </is>
      </c>
      <c r="H885" s="13" t="n">
        <v>3</v>
      </c>
      <c r="I885" s="14" t="n">
        <v>812.7</v>
      </c>
      <c r="J885" s="15" t="n">
        <v>0.06</v>
      </c>
      <c r="K885" s="14" t="n">
        <v>503.87</v>
      </c>
      <c r="L885" s="13" t="n">
        <v>2</v>
      </c>
      <c r="M885" s="13" t="inlineStr">
        <is>
          <t>Completed</t>
        </is>
      </c>
      <c r="N885" s="13" t="inlineStr">
        <is>
          <t>S. Nguyen</t>
        </is>
      </c>
      <c r="O885" s="13" t="inlineStr">
        <is>
          <t>No</t>
        </is>
      </c>
      <c r="P885" s="14">
        <f>H885*I885</f>
        <v/>
      </c>
      <c r="Q885" s="14">
        <f>P885*(1-J885)</f>
        <v/>
      </c>
      <c r="R885" s="14">
        <f>H885*K885</f>
        <v/>
      </c>
      <c r="S885" s="15">
        <f>IF(Q885=0,"",(Q885-R885)/Q885)</f>
        <v/>
      </c>
      <c r="T885" s="13">
        <f>YEAR(B885)</f>
        <v/>
      </c>
      <c r="U885" s="13">
        <f>YEAR(B885)&amp;"-Q"&amp;ROUNDUP(MONTH(B885)/3,0)</f>
        <v/>
      </c>
      <c r="V885" s="13">
        <f>TEXT(B885,"YYYY-MM")</f>
        <v/>
      </c>
      <c r="W885" s="13">
        <f>IF(L885="","",IF(L885&gt;pLateDays,1,0))</f>
        <v/>
      </c>
      <c r="X885" s="13">
        <f>IF(Q885&gt;=pHighCutoff,1,0)</f>
        <v/>
      </c>
      <c r="Y885" s="13">
        <f>IF(M885="Returned",1,0)</f>
        <v/>
      </c>
    </row>
    <row r="886">
      <c r="A886" s="13" t="inlineStr">
        <is>
          <t>HC-100884</t>
        </is>
      </c>
      <c r="B886" s="18" t="n">
        <v>45444</v>
      </c>
      <c r="C886" s="13" t="inlineStr">
        <is>
          <t>East</t>
        </is>
      </c>
      <c r="D886" s="13" t="inlineStr">
        <is>
          <t>Online</t>
        </is>
      </c>
      <c r="E886" s="13" t="inlineStr">
        <is>
          <t>Lighting</t>
        </is>
      </c>
      <c r="F886" s="13" t="inlineStr">
        <is>
          <t>Brass Sconce</t>
        </is>
      </c>
      <c r="G886" s="13" t="inlineStr">
        <is>
          <t>Unknown</t>
        </is>
      </c>
      <c r="H886" s="13" t="n">
        <v>1</v>
      </c>
      <c r="I886" s="14" t="n">
        <v>116.21</v>
      </c>
      <c r="J886" s="15" t="n">
        <v>0.06</v>
      </c>
      <c r="K886" s="14" t="n">
        <v>53.46</v>
      </c>
      <c r="L886" s="13" t="n">
        <v>5</v>
      </c>
      <c r="M886" s="13" t="inlineStr">
        <is>
          <t>Completed</t>
        </is>
      </c>
      <c r="N886" s="13" t="inlineStr">
        <is>
          <t>S. Nguyen</t>
        </is>
      </c>
      <c r="O886" s="13" t="inlineStr">
        <is>
          <t>No</t>
        </is>
      </c>
      <c r="P886" s="14">
        <f>H886*I886</f>
        <v/>
      </c>
      <c r="Q886" s="14">
        <f>P886*(1-J886)</f>
        <v/>
      </c>
      <c r="R886" s="14">
        <f>H886*K886</f>
        <v/>
      </c>
      <c r="S886" s="15">
        <f>IF(Q886=0,"",(Q886-R886)/Q886)</f>
        <v/>
      </c>
      <c r="T886" s="13">
        <f>YEAR(B886)</f>
        <v/>
      </c>
      <c r="U886" s="13">
        <f>YEAR(B886)&amp;"-Q"&amp;ROUNDUP(MONTH(B886)/3,0)</f>
        <v/>
      </c>
      <c r="V886" s="13">
        <f>TEXT(B886,"YYYY-MM")</f>
        <v/>
      </c>
      <c r="W886" s="13">
        <f>IF(L886="","",IF(L886&gt;pLateDays,1,0))</f>
        <v/>
      </c>
      <c r="X886" s="13">
        <f>IF(Q886&gt;=pHighCutoff,1,0)</f>
        <v/>
      </c>
      <c r="Y886" s="13">
        <f>IF(M886="Returned",1,0)</f>
        <v/>
      </c>
    </row>
    <row r="887">
      <c r="A887" s="13" t="inlineStr">
        <is>
          <t>HC-100885</t>
        </is>
      </c>
      <c r="B887" s="18" t="n">
        <v>45921</v>
      </c>
      <c r="C887" s="13" t="inlineStr">
        <is>
          <t>North</t>
        </is>
      </c>
      <c r="D887" s="13" t="inlineStr">
        <is>
          <t>Wholesale</t>
        </is>
      </c>
      <c r="E887" s="13" t="inlineStr">
        <is>
          <t>Furniture</t>
        </is>
      </c>
      <c r="F887" s="13" t="inlineStr">
        <is>
          <t>Lounge Chair</t>
        </is>
      </c>
      <c r="G887" s="13" t="inlineStr">
        <is>
          <t>Unknown</t>
        </is>
      </c>
      <c r="H887" s="13" t="n">
        <v>17</v>
      </c>
      <c r="I887" s="14" t="n">
        <v>470.06</v>
      </c>
      <c r="J887" s="15" t="n">
        <v>0.31</v>
      </c>
      <c r="K887" s="14" t="n">
        <v>282.03</v>
      </c>
      <c r="L887" s="13" t="n">
        <v>4</v>
      </c>
      <c r="M887" s="13" t="inlineStr">
        <is>
          <t>Completed</t>
        </is>
      </c>
      <c r="N887" s="13" t="inlineStr">
        <is>
          <t>J. Patel</t>
        </is>
      </c>
      <c r="O887" s="13" t="inlineStr">
        <is>
          <t>No</t>
        </is>
      </c>
      <c r="P887" s="14">
        <f>H887*I887</f>
        <v/>
      </c>
      <c r="Q887" s="14">
        <f>P887*(1-J887)</f>
        <v/>
      </c>
      <c r="R887" s="14">
        <f>H887*K887</f>
        <v/>
      </c>
      <c r="S887" s="15">
        <f>IF(Q887=0,"",(Q887-R887)/Q887)</f>
        <v/>
      </c>
      <c r="T887" s="13">
        <f>YEAR(B887)</f>
        <v/>
      </c>
      <c r="U887" s="13">
        <f>YEAR(B887)&amp;"-Q"&amp;ROUNDUP(MONTH(B887)/3,0)</f>
        <v/>
      </c>
      <c r="V887" s="13">
        <f>TEXT(B887,"YYYY-MM")</f>
        <v/>
      </c>
      <c r="W887" s="13">
        <f>IF(L887="","",IF(L887&gt;pLateDays,1,0))</f>
        <v/>
      </c>
      <c r="X887" s="13">
        <f>IF(Q887&gt;=pHighCutoff,1,0)</f>
        <v/>
      </c>
      <c r="Y887" s="13">
        <f>IF(M887="Returned",1,0)</f>
        <v/>
      </c>
    </row>
    <row r="888">
      <c r="A888" s="13" t="inlineStr">
        <is>
          <t>HC-100886</t>
        </is>
      </c>
      <c r="B888" s="18" t="n">
        <v>45850</v>
      </c>
      <c r="C888" s="13" t="inlineStr">
        <is>
          <t>North</t>
        </is>
      </c>
      <c r="D888" s="13" t="inlineStr">
        <is>
          <t>Online</t>
        </is>
      </c>
      <c r="E888" s="13" t="inlineStr">
        <is>
          <t>Kitchen</t>
        </is>
      </c>
      <c r="F888" s="13" t="inlineStr">
        <is>
          <t>Cast Skillet</t>
        </is>
      </c>
      <c r="G888" s="13" t="inlineStr">
        <is>
          <t>Corporate</t>
        </is>
      </c>
      <c r="H888" s="13" t="n">
        <v>3</v>
      </c>
      <c r="I888" s="14" t="n">
        <v>54.98</v>
      </c>
      <c r="J888" s="15" t="n">
        <v>0.04</v>
      </c>
      <c r="K888" s="14" t="n">
        <v>21.99</v>
      </c>
      <c r="L888" s="13" t="n">
        <v>6</v>
      </c>
      <c r="M888" s="13" t="inlineStr">
        <is>
          <t>Completed</t>
        </is>
      </c>
      <c r="N888" s="13" t="inlineStr">
        <is>
          <t>A. Shah</t>
        </is>
      </c>
      <c r="O888" s="13" t="inlineStr">
        <is>
          <t>No</t>
        </is>
      </c>
      <c r="P888" s="14">
        <f>H888*I888</f>
        <v/>
      </c>
      <c r="Q888" s="14">
        <f>P888*(1-J888)</f>
        <v/>
      </c>
      <c r="R888" s="14">
        <f>H888*K888</f>
        <v/>
      </c>
      <c r="S888" s="15">
        <f>IF(Q888=0,"",(Q888-R888)/Q888)</f>
        <v/>
      </c>
      <c r="T888" s="13">
        <f>YEAR(B888)</f>
        <v/>
      </c>
      <c r="U888" s="13">
        <f>YEAR(B888)&amp;"-Q"&amp;ROUNDUP(MONTH(B888)/3,0)</f>
        <v/>
      </c>
      <c r="V888" s="13">
        <f>TEXT(B888,"YYYY-MM")</f>
        <v/>
      </c>
      <c r="W888" s="13">
        <f>IF(L888="","",IF(L888&gt;pLateDays,1,0))</f>
        <v/>
      </c>
      <c r="X888" s="13">
        <f>IF(Q888&gt;=pHighCutoff,1,0)</f>
        <v/>
      </c>
      <c r="Y888" s="13">
        <f>IF(M888="Returned",1,0)</f>
        <v/>
      </c>
    </row>
    <row r="889">
      <c r="A889" s="13" t="inlineStr">
        <is>
          <t>HC-100887</t>
        </is>
      </c>
      <c r="B889" s="18" t="n">
        <v>45629</v>
      </c>
      <c r="C889" s="13" t="inlineStr">
        <is>
          <t>West</t>
        </is>
      </c>
      <c r="D889" s="13" t="inlineStr">
        <is>
          <t>Store</t>
        </is>
      </c>
      <c r="E889" s="13" t="inlineStr">
        <is>
          <t>Lighting</t>
        </is>
      </c>
      <c r="F889" s="13" t="inlineStr">
        <is>
          <t>Arc Lamp</t>
        </is>
      </c>
      <c r="G889" s="13" t="inlineStr">
        <is>
          <t>Consumer</t>
        </is>
      </c>
      <c r="H889" s="13" t="n">
        <v>3</v>
      </c>
      <c r="I889" s="14" t="n">
        <v>319.22</v>
      </c>
      <c r="J889" s="15" t="n">
        <v>0.06</v>
      </c>
      <c r="K889" s="14" t="n">
        <v>153.23</v>
      </c>
      <c r="L889" s="13" t="n">
        <v>4</v>
      </c>
      <c r="M889" s="13" t="inlineStr">
        <is>
          <t>Completed</t>
        </is>
      </c>
      <c r="N889" s="13" t="inlineStr">
        <is>
          <t>A. Shah</t>
        </is>
      </c>
      <c r="O889" s="13" t="inlineStr">
        <is>
          <t>No</t>
        </is>
      </c>
      <c r="P889" s="14">
        <f>H889*I889</f>
        <v/>
      </c>
      <c r="Q889" s="14">
        <f>P889*(1-J889)</f>
        <v/>
      </c>
      <c r="R889" s="14">
        <f>H889*K889</f>
        <v/>
      </c>
      <c r="S889" s="15">
        <f>IF(Q889=0,"",(Q889-R889)/Q889)</f>
        <v/>
      </c>
      <c r="T889" s="13">
        <f>YEAR(B889)</f>
        <v/>
      </c>
      <c r="U889" s="13">
        <f>YEAR(B889)&amp;"-Q"&amp;ROUNDUP(MONTH(B889)/3,0)</f>
        <v/>
      </c>
      <c r="V889" s="13">
        <f>TEXT(B889,"YYYY-MM")</f>
        <v/>
      </c>
      <c r="W889" s="13">
        <f>IF(L889="","",IF(L889&gt;pLateDays,1,0))</f>
        <v/>
      </c>
      <c r="X889" s="13">
        <f>IF(Q889&gt;=pHighCutoff,1,0)</f>
        <v/>
      </c>
      <c r="Y889" s="13">
        <f>IF(M889="Returned",1,0)</f>
        <v/>
      </c>
    </row>
    <row r="890">
      <c r="A890" s="13" t="inlineStr">
        <is>
          <t>HC-100888</t>
        </is>
      </c>
      <c r="B890" s="18" t="n">
        <v>45782</v>
      </c>
      <c r="C890" s="13" t="inlineStr">
        <is>
          <t>East</t>
        </is>
      </c>
      <c r="D890" s="13" t="inlineStr">
        <is>
          <t>Wholesale</t>
        </is>
      </c>
      <c r="E890" s="13" t="inlineStr">
        <is>
          <t>Furniture</t>
        </is>
      </c>
      <c r="F890" s="13" t="inlineStr">
        <is>
          <t>Linen Sofa</t>
        </is>
      </c>
      <c r="G890" s="13" t="inlineStr">
        <is>
          <t>Corporate</t>
        </is>
      </c>
      <c r="H890" s="13" t="n">
        <v>22</v>
      </c>
      <c r="I890" s="14" t="n">
        <v>1060.22</v>
      </c>
      <c r="J890" s="15" t="n">
        <v>0.26</v>
      </c>
      <c r="K890" s="14" t="n">
        <v>699.74</v>
      </c>
      <c r="L890" s="13" t="n">
        <v>11</v>
      </c>
      <c r="M890" s="13" t="inlineStr">
        <is>
          <t>Completed</t>
        </is>
      </c>
      <c r="N890" s="13" t="inlineStr">
        <is>
          <t>K. Mensah</t>
        </is>
      </c>
      <c r="O890" s="13" t="inlineStr">
        <is>
          <t>No</t>
        </is>
      </c>
      <c r="P890" s="14">
        <f>H890*I890</f>
        <v/>
      </c>
      <c r="Q890" s="14">
        <f>P890*(1-J890)</f>
        <v/>
      </c>
      <c r="R890" s="14">
        <f>H890*K890</f>
        <v/>
      </c>
      <c r="S890" s="15">
        <f>IF(Q890=0,"",(Q890-R890)/Q890)</f>
        <v/>
      </c>
      <c r="T890" s="13">
        <f>YEAR(B890)</f>
        <v/>
      </c>
      <c r="U890" s="13">
        <f>YEAR(B890)&amp;"-Q"&amp;ROUNDUP(MONTH(B890)/3,0)</f>
        <v/>
      </c>
      <c r="V890" s="13">
        <f>TEXT(B890,"YYYY-MM")</f>
        <v/>
      </c>
      <c r="W890" s="13">
        <f>IF(L890="","",IF(L890&gt;pLateDays,1,0))</f>
        <v/>
      </c>
      <c r="X890" s="13">
        <f>IF(Q890&gt;=pHighCutoff,1,0)</f>
        <v/>
      </c>
      <c r="Y890" s="13">
        <f>IF(M890="Returned",1,0)</f>
        <v/>
      </c>
    </row>
    <row r="891">
      <c r="A891" s="13" t="inlineStr">
        <is>
          <t>HC-100889</t>
        </is>
      </c>
      <c r="B891" s="18" t="n">
        <v>45630</v>
      </c>
      <c r="C891" s="13" t="inlineStr">
        <is>
          <t>North</t>
        </is>
      </c>
      <c r="D891" s="13" t="inlineStr">
        <is>
          <t>Online</t>
        </is>
      </c>
      <c r="E891" s="13" t="inlineStr">
        <is>
          <t>Lighting</t>
        </is>
      </c>
      <c r="F891" s="13" t="inlineStr">
        <is>
          <t>Arc Lamp</t>
        </is>
      </c>
      <c r="G891" s="13" t="inlineStr">
        <is>
          <t>Corporate</t>
        </is>
      </c>
      <c r="H891" s="13" t="n">
        <v>2</v>
      </c>
      <c r="I891" s="14" t="n">
        <v>304.41</v>
      </c>
      <c r="J891" s="15" t="n">
        <v>0.12</v>
      </c>
      <c r="K891" s="14" t="n">
        <v>146.12</v>
      </c>
      <c r="L891" s="13" t="n">
        <v>7</v>
      </c>
      <c r="M891" s="13" t="inlineStr">
        <is>
          <t>Completed</t>
        </is>
      </c>
      <c r="N891" s="13" t="inlineStr">
        <is>
          <t>L. Berger</t>
        </is>
      </c>
      <c r="O891" s="13" t="inlineStr">
        <is>
          <t>No</t>
        </is>
      </c>
      <c r="P891" s="14">
        <f>H891*I891</f>
        <v/>
      </c>
      <c r="Q891" s="14">
        <f>P891*(1-J891)</f>
        <v/>
      </c>
      <c r="R891" s="14">
        <f>H891*K891</f>
        <v/>
      </c>
      <c r="S891" s="15">
        <f>IF(Q891=0,"",(Q891-R891)/Q891)</f>
        <v/>
      </c>
      <c r="T891" s="13">
        <f>YEAR(B891)</f>
        <v/>
      </c>
      <c r="U891" s="13">
        <f>YEAR(B891)&amp;"-Q"&amp;ROUNDUP(MONTH(B891)/3,0)</f>
        <v/>
      </c>
      <c r="V891" s="13">
        <f>TEXT(B891,"YYYY-MM")</f>
        <v/>
      </c>
      <c r="W891" s="13">
        <f>IF(L891="","",IF(L891&gt;pLateDays,1,0))</f>
        <v/>
      </c>
      <c r="X891" s="13">
        <f>IF(Q891&gt;=pHighCutoff,1,0)</f>
        <v/>
      </c>
      <c r="Y891" s="13">
        <f>IF(M891="Returned",1,0)</f>
        <v/>
      </c>
    </row>
    <row r="892">
      <c r="A892" s="13" t="inlineStr">
        <is>
          <t>HC-100890</t>
        </is>
      </c>
      <c r="B892" s="18" t="n">
        <v>45860</v>
      </c>
      <c r="C892" s="13" t="inlineStr">
        <is>
          <t>West</t>
        </is>
      </c>
      <c r="D892" s="13" t="inlineStr">
        <is>
          <t>Online</t>
        </is>
      </c>
      <c r="E892" s="13" t="inlineStr">
        <is>
          <t>Textiles</t>
        </is>
      </c>
      <c r="F892" s="13" t="inlineStr">
        <is>
          <t>Linen Curtain</t>
        </is>
      </c>
      <c r="G892" s="13" t="inlineStr">
        <is>
          <t>Consumer</t>
        </is>
      </c>
      <c r="H892" s="13" t="n">
        <v>1</v>
      </c>
      <c r="I892" s="14" t="n">
        <v>100.33</v>
      </c>
      <c r="J892" s="15" t="n">
        <v>0.07000000000000001</v>
      </c>
      <c r="K892" s="14" t="n">
        <v>45.15</v>
      </c>
      <c r="L892" s="13" t="n">
        <v>3</v>
      </c>
      <c r="M892" s="13" t="inlineStr">
        <is>
          <t>Completed</t>
        </is>
      </c>
      <c r="N892" s="13" t="inlineStr">
        <is>
          <t>K. Mensah</t>
        </is>
      </c>
      <c r="O892" s="13" t="inlineStr">
        <is>
          <t>No</t>
        </is>
      </c>
      <c r="P892" s="14">
        <f>H892*I892</f>
        <v/>
      </c>
      <c r="Q892" s="14">
        <f>P892*(1-J892)</f>
        <v/>
      </c>
      <c r="R892" s="14">
        <f>H892*K892</f>
        <v/>
      </c>
      <c r="S892" s="15">
        <f>IF(Q892=0,"",(Q892-R892)/Q892)</f>
        <v/>
      </c>
      <c r="T892" s="13">
        <f>YEAR(B892)</f>
        <v/>
      </c>
      <c r="U892" s="13">
        <f>YEAR(B892)&amp;"-Q"&amp;ROUNDUP(MONTH(B892)/3,0)</f>
        <v/>
      </c>
      <c r="V892" s="13">
        <f>TEXT(B892,"YYYY-MM")</f>
        <v/>
      </c>
      <c r="W892" s="13">
        <f>IF(L892="","",IF(L892&gt;pLateDays,1,0))</f>
        <v/>
      </c>
      <c r="X892" s="13">
        <f>IF(Q892&gt;=pHighCutoff,1,0)</f>
        <v/>
      </c>
      <c r="Y892" s="13">
        <f>IF(M892="Returned",1,0)</f>
        <v/>
      </c>
    </row>
    <row r="893">
      <c r="A893" s="13" t="inlineStr">
        <is>
          <t>HC-100891</t>
        </is>
      </c>
      <c r="B893" s="18" t="n">
        <v>45576</v>
      </c>
      <c r="C893" s="13" t="inlineStr">
        <is>
          <t>West</t>
        </is>
      </c>
      <c r="D893" s="13" t="inlineStr">
        <is>
          <t>Store</t>
        </is>
      </c>
      <c r="E893" s="13" t="inlineStr">
        <is>
          <t>Kitchen</t>
        </is>
      </c>
      <c r="F893" s="13" t="inlineStr">
        <is>
          <t>Cast Skillet</t>
        </is>
      </c>
      <c r="G893" s="13" t="inlineStr">
        <is>
          <t>Corporate</t>
        </is>
      </c>
      <c r="H893" s="13" t="n">
        <v>1</v>
      </c>
      <c r="I893" s="14" t="n">
        <v>51.37</v>
      </c>
      <c r="J893" s="15" t="n">
        <v>0.02</v>
      </c>
      <c r="K893" s="14" t="n">
        <v>20.55</v>
      </c>
      <c r="L893" s="13" t="n">
        <v>2</v>
      </c>
      <c r="M893" s="13" t="inlineStr">
        <is>
          <t>Returned</t>
        </is>
      </c>
      <c r="N893" s="13" t="inlineStr">
        <is>
          <t>M. Okonkwo</t>
        </is>
      </c>
      <c r="O893" s="13" t="inlineStr">
        <is>
          <t>No</t>
        </is>
      </c>
      <c r="P893" s="14">
        <f>H893*I893</f>
        <v/>
      </c>
      <c r="Q893" s="14">
        <f>P893*(1-J893)</f>
        <v/>
      </c>
      <c r="R893" s="14">
        <f>H893*K893</f>
        <v/>
      </c>
      <c r="S893" s="15">
        <f>IF(Q893=0,"",(Q893-R893)/Q893)</f>
        <v/>
      </c>
      <c r="T893" s="13">
        <f>YEAR(B893)</f>
        <v/>
      </c>
      <c r="U893" s="13">
        <f>YEAR(B893)&amp;"-Q"&amp;ROUNDUP(MONTH(B893)/3,0)</f>
        <v/>
      </c>
      <c r="V893" s="13">
        <f>TEXT(B893,"YYYY-MM")</f>
        <v/>
      </c>
      <c r="W893" s="13">
        <f>IF(L893="","",IF(L893&gt;pLateDays,1,0))</f>
        <v/>
      </c>
      <c r="X893" s="13">
        <f>IF(Q893&gt;=pHighCutoff,1,0)</f>
        <v/>
      </c>
      <c r="Y893" s="13">
        <f>IF(M893="Returned",1,0)</f>
        <v/>
      </c>
    </row>
    <row r="894">
      <c r="A894" s="13" t="inlineStr">
        <is>
          <t>HC-100892</t>
        </is>
      </c>
      <c r="B894" s="18" t="n">
        <v>45546</v>
      </c>
      <c r="C894" s="13" t="inlineStr">
        <is>
          <t>North</t>
        </is>
      </c>
      <c r="D894" s="13" t="inlineStr">
        <is>
          <t>Store</t>
        </is>
      </c>
      <c r="E894" s="13" t="inlineStr">
        <is>
          <t>Textiles</t>
        </is>
      </c>
      <c r="F894" s="13" t="inlineStr">
        <is>
          <t>Wool Throw</t>
        </is>
      </c>
      <c r="G894" s="13" t="inlineStr">
        <is>
          <t>Corporate</t>
        </is>
      </c>
      <c r="H894" s="13" t="n">
        <v>2</v>
      </c>
      <c r="I894" s="14" t="n">
        <v>77.19</v>
      </c>
      <c r="J894" s="15" t="n">
        <v>0.1</v>
      </c>
      <c r="K894" s="14" t="n">
        <v>32.42</v>
      </c>
      <c r="L894" s="13" t="n">
        <v>6</v>
      </c>
      <c r="M894" s="13" t="inlineStr">
        <is>
          <t>Completed</t>
        </is>
      </c>
      <c r="N894" s="13" t="inlineStr">
        <is>
          <t>A. Shah</t>
        </is>
      </c>
      <c r="O894" s="13" t="inlineStr">
        <is>
          <t>No</t>
        </is>
      </c>
      <c r="P894" s="14">
        <f>H894*I894</f>
        <v/>
      </c>
      <c r="Q894" s="14">
        <f>P894*(1-J894)</f>
        <v/>
      </c>
      <c r="R894" s="14">
        <f>H894*K894</f>
        <v/>
      </c>
      <c r="S894" s="15">
        <f>IF(Q894=0,"",(Q894-R894)/Q894)</f>
        <v/>
      </c>
      <c r="T894" s="13">
        <f>YEAR(B894)</f>
        <v/>
      </c>
      <c r="U894" s="13">
        <f>YEAR(B894)&amp;"-Q"&amp;ROUNDUP(MONTH(B894)/3,0)</f>
        <v/>
      </c>
      <c r="V894" s="13">
        <f>TEXT(B894,"YYYY-MM")</f>
        <v/>
      </c>
      <c r="W894" s="13">
        <f>IF(L894="","",IF(L894&gt;pLateDays,1,0))</f>
        <v/>
      </c>
      <c r="X894" s="13">
        <f>IF(Q894&gt;=pHighCutoff,1,0)</f>
        <v/>
      </c>
      <c r="Y894" s="13">
        <f>IF(M894="Returned",1,0)</f>
        <v/>
      </c>
    </row>
    <row r="895">
      <c r="A895" s="13" t="inlineStr">
        <is>
          <t>HC-100893</t>
        </is>
      </c>
      <c r="B895" s="18" t="n">
        <v>45414</v>
      </c>
      <c r="C895" s="13" t="inlineStr">
        <is>
          <t>North</t>
        </is>
      </c>
      <c r="D895" s="13" t="inlineStr">
        <is>
          <t>Online</t>
        </is>
      </c>
      <c r="E895" s="13" t="inlineStr">
        <is>
          <t>Kitchen</t>
        </is>
      </c>
      <c r="F895" s="13" t="inlineStr">
        <is>
          <t>Cast Skillet</t>
        </is>
      </c>
      <c r="G895" s="13" t="inlineStr">
        <is>
          <t>Consumer</t>
        </is>
      </c>
      <c r="H895" s="13" t="n">
        <v>3</v>
      </c>
      <c r="I895" s="14" t="n">
        <v>54.24</v>
      </c>
      <c r="J895" s="15" t="n">
        <v>0.11</v>
      </c>
      <c r="K895" s="14" t="n">
        <v>21.7</v>
      </c>
      <c r="L895" s="13" t="n">
        <v>4</v>
      </c>
      <c r="M895" s="13" t="inlineStr">
        <is>
          <t>Completed</t>
        </is>
      </c>
      <c r="N895" s="13" t="inlineStr">
        <is>
          <t>K. Mensah</t>
        </is>
      </c>
      <c r="O895" s="13" t="inlineStr">
        <is>
          <t>No</t>
        </is>
      </c>
      <c r="P895" s="14">
        <f>H895*I895</f>
        <v/>
      </c>
      <c r="Q895" s="14">
        <f>P895*(1-J895)</f>
        <v/>
      </c>
      <c r="R895" s="14">
        <f>H895*K895</f>
        <v/>
      </c>
      <c r="S895" s="15">
        <f>IF(Q895=0,"",(Q895-R895)/Q895)</f>
        <v/>
      </c>
      <c r="T895" s="13">
        <f>YEAR(B895)</f>
        <v/>
      </c>
      <c r="U895" s="13">
        <f>YEAR(B895)&amp;"-Q"&amp;ROUNDUP(MONTH(B895)/3,0)</f>
        <v/>
      </c>
      <c r="V895" s="13">
        <f>TEXT(B895,"YYYY-MM")</f>
        <v/>
      </c>
      <c r="W895" s="13">
        <f>IF(L895="","",IF(L895&gt;pLateDays,1,0))</f>
        <v/>
      </c>
      <c r="X895" s="13">
        <f>IF(Q895&gt;=pHighCutoff,1,0)</f>
        <v/>
      </c>
      <c r="Y895" s="13">
        <f>IF(M895="Returned",1,0)</f>
        <v/>
      </c>
    </row>
    <row r="896">
      <c r="A896" s="13" t="inlineStr">
        <is>
          <t>HC-100894</t>
        </is>
      </c>
      <c r="B896" s="18" t="n">
        <v>45300</v>
      </c>
      <c r="C896" s="13" t="inlineStr">
        <is>
          <t>South</t>
        </is>
      </c>
      <c r="D896" s="13" t="inlineStr">
        <is>
          <t>Store</t>
        </is>
      </c>
      <c r="E896" s="13" t="inlineStr">
        <is>
          <t>Lighting</t>
        </is>
      </c>
      <c r="F896" s="13" t="inlineStr">
        <is>
          <t>Brass Sconce</t>
        </is>
      </c>
      <c r="G896" s="13" t="inlineStr">
        <is>
          <t>Corporate</t>
        </is>
      </c>
      <c r="H896" s="13" t="n">
        <v>4</v>
      </c>
      <c r="I896" s="14" t="n">
        <v>141.04</v>
      </c>
      <c r="J896" s="15" t="n">
        <v>0.02</v>
      </c>
      <c r="K896" s="14" t="n">
        <v>64.88</v>
      </c>
      <c r="L896" s="13" t="n">
        <v>1</v>
      </c>
      <c r="M896" s="13" t="inlineStr">
        <is>
          <t>Completed</t>
        </is>
      </c>
      <c r="N896" s="13" t="inlineStr">
        <is>
          <t>S. Nguyen</t>
        </is>
      </c>
      <c r="O896" s="13" t="inlineStr">
        <is>
          <t>No</t>
        </is>
      </c>
      <c r="P896" s="14">
        <f>H896*I896</f>
        <v/>
      </c>
      <c r="Q896" s="14">
        <f>P896*(1-J896)</f>
        <v/>
      </c>
      <c r="R896" s="14">
        <f>H896*K896</f>
        <v/>
      </c>
      <c r="S896" s="15">
        <f>IF(Q896=0,"",(Q896-R896)/Q896)</f>
        <v/>
      </c>
      <c r="T896" s="13">
        <f>YEAR(B896)</f>
        <v/>
      </c>
      <c r="U896" s="13">
        <f>YEAR(B896)&amp;"-Q"&amp;ROUNDUP(MONTH(B896)/3,0)</f>
        <v/>
      </c>
      <c r="V896" s="13">
        <f>TEXT(B896,"YYYY-MM")</f>
        <v/>
      </c>
      <c r="W896" s="13">
        <f>IF(L896="","",IF(L896&gt;pLateDays,1,0))</f>
        <v/>
      </c>
      <c r="X896" s="13">
        <f>IF(Q896&gt;=pHighCutoff,1,0)</f>
        <v/>
      </c>
      <c r="Y896" s="13">
        <f>IF(M896="Returned",1,0)</f>
        <v/>
      </c>
    </row>
    <row r="897">
      <c r="A897" s="13" t="inlineStr">
        <is>
          <t>HC-100895</t>
        </is>
      </c>
      <c r="B897" s="18" t="n">
        <v>45646</v>
      </c>
      <c r="C897" s="13" t="inlineStr">
        <is>
          <t>West</t>
        </is>
      </c>
      <c r="D897" s="13" t="inlineStr">
        <is>
          <t>Online</t>
        </is>
      </c>
      <c r="E897" s="13" t="inlineStr">
        <is>
          <t>Furniture</t>
        </is>
      </c>
      <c r="F897" s="13" t="inlineStr">
        <is>
          <t>Lounge Chair</t>
        </is>
      </c>
      <c r="G897" s="13" t="inlineStr">
        <is>
          <t>Consumer</t>
        </is>
      </c>
      <c r="H897" s="13" t="n">
        <v>4</v>
      </c>
      <c r="I897" s="14" t="n">
        <v>493.15</v>
      </c>
      <c r="J897" s="15" t="n">
        <v>0.03</v>
      </c>
      <c r="K897" s="14" t="n">
        <v>295.89</v>
      </c>
      <c r="L897" s="13" t="n">
        <v>5</v>
      </c>
      <c r="M897" s="13" t="inlineStr">
        <is>
          <t>Completed</t>
        </is>
      </c>
      <c r="N897" s="13" t="inlineStr">
        <is>
          <t>P. Rossi</t>
        </is>
      </c>
      <c r="O897" s="13" t="inlineStr">
        <is>
          <t>No</t>
        </is>
      </c>
      <c r="P897" s="14">
        <f>H897*I897</f>
        <v/>
      </c>
      <c r="Q897" s="14">
        <f>P897*(1-J897)</f>
        <v/>
      </c>
      <c r="R897" s="14">
        <f>H897*K897</f>
        <v/>
      </c>
      <c r="S897" s="15">
        <f>IF(Q897=0,"",(Q897-R897)/Q897)</f>
        <v/>
      </c>
      <c r="T897" s="13">
        <f>YEAR(B897)</f>
        <v/>
      </c>
      <c r="U897" s="13">
        <f>YEAR(B897)&amp;"-Q"&amp;ROUNDUP(MONTH(B897)/3,0)</f>
        <v/>
      </c>
      <c r="V897" s="13">
        <f>TEXT(B897,"YYYY-MM")</f>
        <v/>
      </c>
      <c r="W897" s="13">
        <f>IF(L897="","",IF(L897&gt;pLateDays,1,0))</f>
        <v/>
      </c>
      <c r="X897" s="13">
        <f>IF(Q897&gt;=pHighCutoff,1,0)</f>
        <v/>
      </c>
      <c r="Y897" s="13">
        <f>IF(M897="Returned",1,0)</f>
        <v/>
      </c>
    </row>
    <row r="898">
      <c r="A898" s="13" t="inlineStr">
        <is>
          <t>HC-100896</t>
        </is>
      </c>
      <c r="B898" s="18" t="n">
        <v>45623</v>
      </c>
      <c r="C898" s="13" t="inlineStr">
        <is>
          <t>North</t>
        </is>
      </c>
      <c r="D898" s="13" t="inlineStr">
        <is>
          <t>Store</t>
        </is>
      </c>
      <c r="E898" s="13" t="inlineStr">
        <is>
          <t>Kitchen</t>
        </is>
      </c>
      <c r="F898" s="13" t="inlineStr">
        <is>
          <t>Ceramic Set</t>
        </is>
      </c>
      <c r="G898" s="13" t="inlineStr">
        <is>
          <t>Corporate</t>
        </is>
      </c>
      <c r="H898" s="13" t="n">
        <v>3</v>
      </c>
      <c r="I898" s="14" t="n">
        <v>88.95999999999999</v>
      </c>
      <c r="J898" s="15" t="n">
        <v>0.09</v>
      </c>
      <c r="K898" s="14" t="n">
        <v>33.8</v>
      </c>
      <c r="L898" s="13" t="n">
        <v>3</v>
      </c>
      <c r="M898" s="13" t="inlineStr">
        <is>
          <t>Completed</t>
        </is>
      </c>
      <c r="N898" s="13" t="inlineStr">
        <is>
          <t>P. Rossi</t>
        </is>
      </c>
      <c r="O898" s="13" t="inlineStr">
        <is>
          <t>No</t>
        </is>
      </c>
      <c r="P898" s="14">
        <f>H898*I898</f>
        <v/>
      </c>
      <c r="Q898" s="14">
        <f>P898*(1-J898)</f>
        <v/>
      </c>
      <c r="R898" s="14">
        <f>H898*K898</f>
        <v/>
      </c>
      <c r="S898" s="15">
        <f>IF(Q898=0,"",(Q898-R898)/Q898)</f>
        <v/>
      </c>
      <c r="T898" s="13">
        <f>YEAR(B898)</f>
        <v/>
      </c>
      <c r="U898" s="13">
        <f>YEAR(B898)&amp;"-Q"&amp;ROUNDUP(MONTH(B898)/3,0)</f>
        <v/>
      </c>
      <c r="V898" s="13">
        <f>TEXT(B898,"YYYY-MM")</f>
        <v/>
      </c>
      <c r="W898" s="13">
        <f>IF(L898="","",IF(L898&gt;pLateDays,1,0))</f>
        <v/>
      </c>
      <c r="X898" s="13">
        <f>IF(Q898&gt;=pHighCutoff,1,0)</f>
        <v/>
      </c>
      <c r="Y898" s="13">
        <f>IF(M898="Returned",1,0)</f>
        <v/>
      </c>
    </row>
    <row r="899">
      <c r="A899" s="13" t="inlineStr">
        <is>
          <t>HC-100897</t>
        </is>
      </c>
      <c r="B899" s="18" t="n">
        <v>45477</v>
      </c>
      <c r="C899" s="13" t="inlineStr">
        <is>
          <t>South</t>
        </is>
      </c>
      <c r="D899" s="13" t="inlineStr">
        <is>
          <t>Online</t>
        </is>
      </c>
      <c r="E899" s="13" t="inlineStr">
        <is>
          <t>Lighting</t>
        </is>
      </c>
      <c r="F899" s="13" t="inlineStr">
        <is>
          <t>Brass Sconce</t>
        </is>
      </c>
      <c r="G899" s="13" t="inlineStr">
        <is>
          <t>Consumer</t>
        </is>
      </c>
      <c r="H899" s="13" t="n">
        <v>1</v>
      </c>
      <c r="I899" s="14" t="n">
        <v>144.24</v>
      </c>
      <c r="J899" s="15" t="n">
        <v>0.12</v>
      </c>
      <c r="K899" s="14" t="n">
        <v>66.34999999999999</v>
      </c>
      <c r="L899" s="13" t="n">
        <v>6</v>
      </c>
      <c r="M899" s="13" t="inlineStr">
        <is>
          <t>Completed</t>
        </is>
      </c>
      <c r="N899" s="13" t="inlineStr">
        <is>
          <t>A. Shah</t>
        </is>
      </c>
      <c r="O899" s="13" t="inlineStr">
        <is>
          <t>No</t>
        </is>
      </c>
      <c r="P899" s="14">
        <f>H899*I899</f>
        <v/>
      </c>
      <c r="Q899" s="14">
        <f>P899*(1-J899)</f>
        <v/>
      </c>
      <c r="R899" s="14">
        <f>H899*K899</f>
        <v/>
      </c>
      <c r="S899" s="15">
        <f>IF(Q899=0,"",(Q899-R899)/Q899)</f>
        <v/>
      </c>
      <c r="T899" s="13">
        <f>YEAR(B899)</f>
        <v/>
      </c>
      <c r="U899" s="13">
        <f>YEAR(B899)&amp;"-Q"&amp;ROUNDUP(MONTH(B899)/3,0)</f>
        <v/>
      </c>
      <c r="V899" s="13">
        <f>TEXT(B899,"YYYY-MM")</f>
        <v/>
      </c>
      <c r="W899" s="13">
        <f>IF(L899="","",IF(L899&gt;pLateDays,1,0))</f>
        <v/>
      </c>
      <c r="X899" s="13">
        <f>IF(Q899&gt;=pHighCutoff,1,0)</f>
        <v/>
      </c>
      <c r="Y899" s="13">
        <f>IF(M899="Returned",1,0)</f>
        <v/>
      </c>
    </row>
    <row r="900">
      <c r="A900" s="13" t="inlineStr">
        <is>
          <t>HC-100898</t>
        </is>
      </c>
      <c r="B900" s="18" t="n">
        <v>45849</v>
      </c>
      <c r="C900" s="13" t="inlineStr">
        <is>
          <t>South</t>
        </is>
      </c>
      <c r="D900" s="13" t="inlineStr">
        <is>
          <t>Online</t>
        </is>
      </c>
      <c r="E900" s="13" t="inlineStr">
        <is>
          <t>Kitchen</t>
        </is>
      </c>
      <c r="F900" s="13" t="inlineStr">
        <is>
          <t>Ceramic Set</t>
        </is>
      </c>
      <c r="G900" s="13" t="inlineStr">
        <is>
          <t>Corporate</t>
        </is>
      </c>
      <c r="H900" s="13" t="n">
        <v>3</v>
      </c>
      <c r="I900" s="14" t="n">
        <v>81.27</v>
      </c>
      <c r="J900" s="15" t="n">
        <v>0.18</v>
      </c>
      <c r="K900" s="14" t="n">
        <v>30.88</v>
      </c>
      <c r="L900" s="13" t="n">
        <v>7</v>
      </c>
      <c r="M900" s="13" t="inlineStr">
        <is>
          <t>Completed</t>
        </is>
      </c>
      <c r="N900" s="13" t="inlineStr">
        <is>
          <t>K. Mensah</t>
        </is>
      </c>
      <c r="O900" s="13" t="inlineStr">
        <is>
          <t>No</t>
        </is>
      </c>
      <c r="P900" s="14">
        <f>H900*I900</f>
        <v/>
      </c>
      <c r="Q900" s="14">
        <f>P900*(1-J900)</f>
        <v/>
      </c>
      <c r="R900" s="14">
        <f>H900*K900</f>
        <v/>
      </c>
      <c r="S900" s="15">
        <f>IF(Q900=0,"",(Q900-R900)/Q900)</f>
        <v/>
      </c>
      <c r="T900" s="13">
        <f>YEAR(B900)</f>
        <v/>
      </c>
      <c r="U900" s="13">
        <f>YEAR(B900)&amp;"-Q"&amp;ROUNDUP(MONTH(B900)/3,0)</f>
        <v/>
      </c>
      <c r="V900" s="13">
        <f>TEXT(B900,"YYYY-MM")</f>
        <v/>
      </c>
      <c r="W900" s="13">
        <f>IF(L900="","",IF(L900&gt;pLateDays,1,0))</f>
        <v/>
      </c>
      <c r="X900" s="13">
        <f>IF(Q900&gt;=pHighCutoff,1,0)</f>
        <v/>
      </c>
      <c r="Y900" s="13">
        <f>IF(M900="Returned",1,0)</f>
        <v/>
      </c>
    </row>
    <row r="901">
      <c r="A901" s="13" t="inlineStr">
        <is>
          <t>HC-100899</t>
        </is>
      </c>
      <c r="B901" s="18" t="n">
        <v>45568</v>
      </c>
      <c r="C901" s="13" t="inlineStr">
        <is>
          <t>West</t>
        </is>
      </c>
      <c r="D901" s="13" t="inlineStr">
        <is>
          <t>Online</t>
        </is>
      </c>
      <c r="E901" s="13" t="inlineStr">
        <is>
          <t>Furniture</t>
        </is>
      </c>
      <c r="F901" s="13" t="inlineStr">
        <is>
          <t>Linen Sofa</t>
        </is>
      </c>
      <c r="G901" s="13" t="inlineStr">
        <is>
          <t>Consumer</t>
        </is>
      </c>
      <c r="H901" s="13" t="n">
        <v>3</v>
      </c>
      <c r="I901" s="14" t="n">
        <v>1247.21</v>
      </c>
      <c r="J901" s="15" t="n">
        <v>0.05</v>
      </c>
      <c r="K901" s="14" t="n">
        <v>823.16</v>
      </c>
      <c r="L901" s="13" t="n">
        <v>2</v>
      </c>
      <c r="M901" s="13" t="inlineStr">
        <is>
          <t>Completed</t>
        </is>
      </c>
      <c r="N901" s="13" t="inlineStr">
        <is>
          <t>K. Mensah</t>
        </is>
      </c>
      <c r="O901" s="13" t="inlineStr">
        <is>
          <t>No</t>
        </is>
      </c>
      <c r="P901" s="14">
        <f>H901*I901</f>
        <v/>
      </c>
      <c r="Q901" s="14">
        <f>P901*(1-J901)</f>
        <v/>
      </c>
      <c r="R901" s="14">
        <f>H901*K901</f>
        <v/>
      </c>
      <c r="S901" s="15">
        <f>IF(Q901=0,"",(Q901-R901)/Q901)</f>
        <v/>
      </c>
      <c r="T901" s="13">
        <f>YEAR(B901)</f>
        <v/>
      </c>
      <c r="U901" s="13">
        <f>YEAR(B901)&amp;"-Q"&amp;ROUNDUP(MONTH(B901)/3,0)</f>
        <v/>
      </c>
      <c r="V901" s="13">
        <f>TEXT(B901,"YYYY-MM")</f>
        <v/>
      </c>
      <c r="W901" s="13">
        <f>IF(L901="","",IF(L901&gt;pLateDays,1,0))</f>
        <v/>
      </c>
      <c r="X901" s="13">
        <f>IF(Q901&gt;=pHighCutoff,1,0)</f>
        <v/>
      </c>
      <c r="Y901" s="13">
        <f>IF(M901="Returned",1,0)</f>
        <v/>
      </c>
    </row>
    <row r="902">
      <c r="A902" s="13" t="inlineStr">
        <is>
          <t>HC-100900</t>
        </is>
      </c>
      <c r="B902" s="18" t="n">
        <v>45383</v>
      </c>
      <c r="C902" s="13" t="inlineStr">
        <is>
          <t>East</t>
        </is>
      </c>
      <c r="D902" s="13" t="inlineStr">
        <is>
          <t>Online</t>
        </is>
      </c>
      <c r="E902" s="13" t="inlineStr">
        <is>
          <t>Furniture</t>
        </is>
      </c>
      <c r="F902" s="13" t="inlineStr">
        <is>
          <t>Linen Sofa</t>
        </is>
      </c>
      <c r="G902" s="13" t="inlineStr">
        <is>
          <t>Consumer</t>
        </is>
      </c>
      <c r="H902" s="13" t="n">
        <v>2</v>
      </c>
      <c r="I902" s="14" t="n">
        <v>1088.45</v>
      </c>
      <c r="J902" s="15" t="n">
        <v>0.13</v>
      </c>
      <c r="K902" s="14" t="n">
        <v>718.38</v>
      </c>
      <c r="L902" s="13" t="n">
        <v>7</v>
      </c>
      <c r="M902" s="13" t="inlineStr">
        <is>
          <t>Completed</t>
        </is>
      </c>
      <c r="N902" s="13" t="inlineStr">
        <is>
          <t>A. Shah</t>
        </is>
      </c>
      <c r="O902" s="13" t="inlineStr">
        <is>
          <t>No</t>
        </is>
      </c>
      <c r="P902" s="14">
        <f>H902*I902</f>
        <v/>
      </c>
      <c r="Q902" s="14">
        <f>P902*(1-J902)</f>
        <v/>
      </c>
      <c r="R902" s="14">
        <f>H902*K902</f>
        <v/>
      </c>
      <c r="S902" s="15">
        <f>IF(Q902=0,"",(Q902-R902)/Q902)</f>
        <v/>
      </c>
      <c r="T902" s="13">
        <f>YEAR(B902)</f>
        <v/>
      </c>
      <c r="U902" s="13">
        <f>YEAR(B902)&amp;"-Q"&amp;ROUNDUP(MONTH(B902)/3,0)</f>
        <v/>
      </c>
      <c r="V902" s="13">
        <f>TEXT(B902,"YYYY-MM")</f>
        <v/>
      </c>
      <c r="W902" s="13">
        <f>IF(L902="","",IF(L902&gt;pLateDays,1,0))</f>
        <v/>
      </c>
      <c r="X902" s="13">
        <f>IF(Q902&gt;=pHighCutoff,1,0)</f>
        <v/>
      </c>
      <c r="Y902" s="13">
        <f>IF(M902="Returned",1,0)</f>
        <v/>
      </c>
    </row>
    <row r="903">
      <c r="A903" s="13" t="inlineStr">
        <is>
          <t>HC-100901</t>
        </is>
      </c>
      <c r="B903" s="18" t="n">
        <v>45652</v>
      </c>
      <c r="C903" s="13" t="inlineStr">
        <is>
          <t>North</t>
        </is>
      </c>
      <c r="D903" s="13" t="inlineStr">
        <is>
          <t>Online</t>
        </is>
      </c>
      <c r="E903" s="13" t="inlineStr">
        <is>
          <t>Kitchen</t>
        </is>
      </c>
      <c r="F903" s="13" t="inlineStr">
        <is>
          <t>Chef Knife</t>
        </is>
      </c>
      <c r="G903" s="13" t="inlineStr">
        <is>
          <t>Consumer</t>
        </is>
      </c>
      <c r="H903" s="13" t="n">
        <v>4</v>
      </c>
      <c r="I903" s="14" t="n">
        <v>66.03</v>
      </c>
      <c r="J903" s="15" t="n">
        <v>0.03</v>
      </c>
      <c r="K903" s="14" t="n">
        <v>23.77</v>
      </c>
      <c r="L903" s="13" t="n">
        <v>7</v>
      </c>
      <c r="M903" s="13" t="inlineStr">
        <is>
          <t>Completed</t>
        </is>
      </c>
      <c r="N903" s="13" t="inlineStr">
        <is>
          <t>A. Shah</t>
        </is>
      </c>
      <c r="O903" s="13" t="inlineStr">
        <is>
          <t>No</t>
        </is>
      </c>
      <c r="P903" s="14">
        <f>H903*I903</f>
        <v/>
      </c>
      <c r="Q903" s="14">
        <f>P903*(1-J903)</f>
        <v/>
      </c>
      <c r="R903" s="14">
        <f>H903*K903</f>
        <v/>
      </c>
      <c r="S903" s="15">
        <f>IF(Q903=0,"",(Q903-R903)/Q903)</f>
        <v/>
      </c>
      <c r="T903" s="13">
        <f>YEAR(B903)</f>
        <v/>
      </c>
      <c r="U903" s="13">
        <f>YEAR(B903)&amp;"-Q"&amp;ROUNDUP(MONTH(B903)/3,0)</f>
        <v/>
      </c>
      <c r="V903" s="13">
        <f>TEXT(B903,"YYYY-MM")</f>
        <v/>
      </c>
      <c r="W903" s="13">
        <f>IF(L903="","",IF(L903&gt;pLateDays,1,0))</f>
        <v/>
      </c>
      <c r="X903" s="13">
        <f>IF(Q903&gt;=pHighCutoff,1,0)</f>
        <v/>
      </c>
      <c r="Y903" s="13">
        <f>IF(M903="Returned",1,0)</f>
        <v/>
      </c>
    </row>
    <row r="904">
      <c r="A904" s="13" t="inlineStr">
        <is>
          <t>HC-100902</t>
        </is>
      </c>
      <c r="B904" s="18" t="n">
        <v>45924</v>
      </c>
      <c r="C904" s="13" t="inlineStr">
        <is>
          <t>West</t>
        </is>
      </c>
      <c r="D904" s="13" t="inlineStr">
        <is>
          <t>Online</t>
        </is>
      </c>
      <c r="E904" s="13" t="inlineStr">
        <is>
          <t>Kitchen</t>
        </is>
      </c>
      <c r="F904" s="13" t="inlineStr">
        <is>
          <t>Cast Skillet</t>
        </is>
      </c>
      <c r="G904" s="13" t="inlineStr">
        <is>
          <t>Consumer</t>
        </is>
      </c>
      <c r="H904" s="13" t="n">
        <v>1</v>
      </c>
      <c r="I904" s="14" t="n">
        <v>54.28</v>
      </c>
      <c r="J904" s="15" t="n">
        <v>0.1</v>
      </c>
      <c r="K904" s="14" t="n">
        <v>21.71</v>
      </c>
      <c r="L904" s="13" t="n">
        <v>6</v>
      </c>
      <c r="M904" s="13" t="inlineStr">
        <is>
          <t>Completed</t>
        </is>
      </c>
      <c r="N904" s="13" t="inlineStr">
        <is>
          <t>K. Mensah</t>
        </is>
      </c>
      <c r="O904" s="13" t="inlineStr">
        <is>
          <t>No</t>
        </is>
      </c>
      <c r="P904" s="14">
        <f>H904*I904</f>
        <v/>
      </c>
      <c r="Q904" s="14">
        <f>P904*(1-J904)</f>
        <v/>
      </c>
      <c r="R904" s="14">
        <f>H904*K904</f>
        <v/>
      </c>
      <c r="S904" s="15">
        <f>IF(Q904=0,"",(Q904-R904)/Q904)</f>
        <v/>
      </c>
      <c r="T904" s="13">
        <f>YEAR(B904)</f>
        <v/>
      </c>
      <c r="U904" s="13">
        <f>YEAR(B904)&amp;"-Q"&amp;ROUNDUP(MONTH(B904)/3,0)</f>
        <v/>
      </c>
      <c r="V904" s="13">
        <f>TEXT(B904,"YYYY-MM")</f>
        <v/>
      </c>
      <c r="W904" s="13">
        <f>IF(L904="","",IF(L904&gt;pLateDays,1,0))</f>
        <v/>
      </c>
      <c r="X904" s="13">
        <f>IF(Q904&gt;=pHighCutoff,1,0)</f>
        <v/>
      </c>
      <c r="Y904" s="13">
        <f>IF(M904="Returned",1,0)</f>
        <v/>
      </c>
    </row>
    <row r="905">
      <c r="A905" s="13" t="inlineStr">
        <is>
          <t>HC-100903</t>
        </is>
      </c>
      <c r="B905" s="18" t="n">
        <v>45464</v>
      </c>
      <c r="C905" s="13" t="inlineStr">
        <is>
          <t>East</t>
        </is>
      </c>
      <c r="D905" s="13" t="inlineStr">
        <is>
          <t>Store</t>
        </is>
      </c>
      <c r="E905" s="13" t="inlineStr">
        <is>
          <t>Textiles</t>
        </is>
      </c>
      <c r="F905" s="13" t="inlineStr">
        <is>
          <t>Cotton Duvet</t>
        </is>
      </c>
      <c r="G905" s="13" t="inlineStr">
        <is>
          <t>Home Office</t>
        </is>
      </c>
      <c r="H905" s="13" t="n">
        <v>1</v>
      </c>
      <c r="I905" s="14" t="n">
        <v>109.11</v>
      </c>
      <c r="J905" s="15" t="n">
        <v>0.07000000000000001</v>
      </c>
      <c r="K905" s="14" t="n">
        <v>48.01</v>
      </c>
      <c r="L905" s="13" t="n">
        <v>4</v>
      </c>
      <c r="M905" s="13" t="inlineStr">
        <is>
          <t>Completed</t>
        </is>
      </c>
      <c r="N905" s="13" t="inlineStr">
        <is>
          <t>L. Berger</t>
        </is>
      </c>
      <c r="O905" s="13" t="inlineStr">
        <is>
          <t>No</t>
        </is>
      </c>
      <c r="P905" s="14">
        <f>H905*I905</f>
        <v/>
      </c>
      <c r="Q905" s="14">
        <f>P905*(1-J905)</f>
        <v/>
      </c>
      <c r="R905" s="14">
        <f>H905*K905</f>
        <v/>
      </c>
      <c r="S905" s="15">
        <f>IF(Q905=0,"",(Q905-R905)/Q905)</f>
        <v/>
      </c>
      <c r="T905" s="13">
        <f>YEAR(B905)</f>
        <v/>
      </c>
      <c r="U905" s="13">
        <f>YEAR(B905)&amp;"-Q"&amp;ROUNDUP(MONTH(B905)/3,0)</f>
        <v/>
      </c>
      <c r="V905" s="13">
        <f>TEXT(B905,"YYYY-MM")</f>
        <v/>
      </c>
      <c r="W905" s="13">
        <f>IF(L905="","",IF(L905&gt;pLateDays,1,0))</f>
        <v/>
      </c>
      <c r="X905" s="13">
        <f>IF(Q905&gt;=pHighCutoff,1,0)</f>
        <v/>
      </c>
      <c r="Y905" s="13">
        <f>IF(M905="Returned",1,0)</f>
        <v/>
      </c>
    </row>
    <row r="906">
      <c r="A906" s="13" t="inlineStr">
        <is>
          <t>HC-100904</t>
        </is>
      </c>
      <c r="B906" s="18" t="n">
        <v>45403</v>
      </c>
      <c r="C906" s="13" t="inlineStr">
        <is>
          <t>East</t>
        </is>
      </c>
      <c r="D906" s="13" t="inlineStr">
        <is>
          <t>Online</t>
        </is>
      </c>
      <c r="E906" s="13" t="inlineStr">
        <is>
          <t>Lighting</t>
        </is>
      </c>
      <c r="F906" s="13" t="inlineStr">
        <is>
          <t>Pendant Light</t>
        </is>
      </c>
      <c r="G906" s="13" t="inlineStr">
        <is>
          <t>Corporate</t>
        </is>
      </c>
      <c r="H906" s="13" t="n">
        <v>3</v>
      </c>
      <c r="I906" s="14" t="n">
        <v>156.85</v>
      </c>
      <c r="J906" s="15" t="n">
        <v>0.1</v>
      </c>
      <c r="K906" s="14" t="n">
        <v>78.43000000000001</v>
      </c>
      <c r="L906" s="13" t="n">
        <v>8</v>
      </c>
      <c r="M906" s="13" t="inlineStr">
        <is>
          <t>Completed</t>
        </is>
      </c>
      <c r="N906" s="13" t="inlineStr">
        <is>
          <t>M. Okonkwo</t>
        </is>
      </c>
      <c r="O906" s="13" t="inlineStr">
        <is>
          <t>No</t>
        </is>
      </c>
      <c r="P906" s="14">
        <f>H906*I906</f>
        <v/>
      </c>
      <c r="Q906" s="14">
        <f>P906*(1-J906)</f>
        <v/>
      </c>
      <c r="R906" s="14">
        <f>H906*K906</f>
        <v/>
      </c>
      <c r="S906" s="15">
        <f>IF(Q906=0,"",(Q906-R906)/Q906)</f>
        <v/>
      </c>
      <c r="T906" s="13">
        <f>YEAR(B906)</f>
        <v/>
      </c>
      <c r="U906" s="13">
        <f>YEAR(B906)&amp;"-Q"&amp;ROUNDUP(MONTH(B906)/3,0)</f>
        <v/>
      </c>
      <c r="V906" s="13">
        <f>TEXT(B906,"YYYY-MM")</f>
        <v/>
      </c>
      <c r="W906" s="13">
        <f>IF(L906="","",IF(L906&gt;pLateDays,1,0))</f>
        <v/>
      </c>
      <c r="X906" s="13">
        <f>IF(Q906&gt;=pHighCutoff,1,0)</f>
        <v/>
      </c>
      <c r="Y906" s="13">
        <f>IF(M906="Returned",1,0)</f>
        <v/>
      </c>
    </row>
    <row r="907">
      <c r="A907" s="13" t="inlineStr">
        <is>
          <t>HC-100905</t>
        </is>
      </c>
      <c r="B907" s="18" t="n">
        <v>45717</v>
      </c>
      <c r="C907" s="13" t="inlineStr">
        <is>
          <t>West</t>
        </is>
      </c>
      <c r="D907" s="13" t="inlineStr">
        <is>
          <t>Store</t>
        </is>
      </c>
      <c r="E907" s="13" t="inlineStr">
        <is>
          <t>Furniture</t>
        </is>
      </c>
      <c r="F907" s="13" t="inlineStr">
        <is>
          <t>Lounge Chair</t>
        </is>
      </c>
      <c r="G907" s="13" t="inlineStr">
        <is>
          <t>Consumer</t>
        </is>
      </c>
      <c r="H907" s="13" t="n">
        <v>1</v>
      </c>
      <c r="I907" s="14" t="n">
        <v>487.88</v>
      </c>
      <c r="J907" s="15" t="n">
        <v>0.04</v>
      </c>
      <c r="K907" s="14" t="n">
        <v>292.73</v>
      </c>
      <c r="L907" s="13" t="n">
        <v>7</v>
      </c>
      <c r="M907" s="13" t="inlineStr">
        <is>
          <t>Completed</t>
        </is>
      </c>
      <c r="N907" s="13" t="inlineStr">
        <is>
          <t>R. Ibarra</t>
        </is>
      </c>
      <c r="O907" s="13" t="inlineStr">
        <is>
          <t>No</t>
        </is>
      </c>
      <c r="P907" s="14">
        <f>H907*I907</f>
        <v/>
      </c>
      <c r="Q907" s="14">
        <f>P907*(1-J907)</f>
        <v/>
      </c>
      <c r="R907" s="14">
        <f>H907*K907</f>
        <v/>
      </c>
      <c r="S907" s="15">
        <f>IF(Q907=0,"",(Q907-R907)/Q907)</f>
        <v/>
      </c>
      <c r="T907" s="13">
        <f>YEAR(B907)</f>
        <v/>
      </c>
      <c r="U907" s="13">
        <f>YEAR(B907)&amp;"-Q"&amp;ROUNDUP(MONTH(B907)/3,0)</f>
        <v/>
      </c>
      <c r="V907" s="13">
        <f>TEXT(B907,"YYYY-MM")</f>
        <v/>
      </c>
      <c r="W907" s="13">
        <f>IF(L907="","",IF(L907&gt;pLateDays,1,0))</f>
        <v/>
      </c>
      <c r="X907" s="13">
        <f>IF(Q907&gt;=pHighCutoff,1,0)</f>
        <v/>
      </c>
      <c r="Y907" s="13">
        <f>IF(M907="Returned",1,0)</f>
        <v/>
      </c>
    </row>
    <row r="908">
      <c r="A908" s="13" t="inlineStr">
        <is>
          <t>HC-100906</t>
        </is>
      </c>
      <c r="B908" s="18" t="n">
        <v>45588</v>
      </c>
      <c r="C908" s="13" t="inlineStr">
        <is>
          <t>West</t>
        </is>
      </c>
      <c r="D908" s="13" t="inlineStr">
        <is>
          <t>Online</t>
        </is>
      </c>
      <c r="E908" s="13" t="inlineStr">
        <is>
          <t>Textiles</t>
        </is>
      </c>
      <c r="F908" s="13" t="inlineStr">
        <is>
          <t>Cotton Duvet</t>
        </is>
      </c>
      <c r="G908" s="13" t="inlineStr">
        <is>
          <t>Corporate</t>
        </is>
      </c>
      <c r="H908" s="13" t="n">
        <v>2</v>
      </c>
      <c r="I908" s="14" t="n">
        <v>112.65</v>
      </c>
      <c r="J908" s="15" t="n">
        <v>0.12</v>
      </c>
      <c r="K908" s="14" t="n">
        <v>49.56</v>
      </c>
      <c r="L908" s="13" t="n">
        <v>5</v>
      </c>
      <c r="M908" s="13" t="inlineStr">
        <is>
          <t>Completed</t>
        </is>
      </c>
      <c r="N908" s="13" t="inlineStr">
        <is>
          <t>K. Mensah</t>
        </is>
      </c>
      <c r="O908" s="13" t="inlineStr">
        <is>
          <t>No</t>
        </is>
      </c>
      <c r="P908" s="14">
        <f>H908*I908</f>
        <v/>
      </c>
      <c r="Q908" s="14">
        <f>P908*(1-J908)</f>
        <v/>
      </c>
      <c r="R908" s="14">
        <f>H908*K908</f>
        <v/>
      </c>
      <c r="S908" s="15">
        <f>IF(Q908=0,"",(Q908-R908)/Q908)</f>
        <v/>
      </c>
      <c r="T908" s="13">
        <f>YEAR(B908)</f>
        <v/>
      </c>
      <c r="U908" s="13">
        <f>YEAR(B908)&amp;"-Q"&amp;ROUNDUP(MONTH(B908)/3,0)</f>
        <v/>
      </c>
      <c r="V908" s="13">
        <f>TEXT(B908,"YYYY-MM")</f>
        <v/>
      </c>
      <c r="W908" s="13">
        <f>IF(L908="","",IF(L908&gt;pLateDays,1,0))</f>
        <v/>
      </c>
      <c r="X908" s="13">
        <f>IF(Q908&gt;=pHighCutoff,1,0)</f>
        <v/>
      </c>
      <c r="Y908" s="13">
        <f>IF(M908="Returned",1,0)</f>
        <v/>
      </c>
    </row>
    <row r="909">
      <c r="A909" s="13" t="inlineStr">
        <is>
          <t>HC-100907</t>
        </is>
      </c>
      <c r="B909" s="18" t="n">
        <v>45640</v>
      </c>
      <c r="C909" s="13" t="inlineStr">
        <is>
          <t>East</t>
        </is>
      </c>
      <c r="D909" s="13" t="inlineStr">
        <is>
          <t>Store</t>
        </is>
      </c>
      <c r="E909" s="13" t="inlineStr">
        <is>
          <t>Furniture</t>
        </is>
      </c>
      <c r="F909" s="13" t="inlineStr">
        <is>
          <t>Walnut Shelf</t>
        </is>
      </c>
      <c r="G909" s="13" t="inlineStr">
        <is>
          <t>Unknown</t>
        </is>
      </c>
      <c r="H909" s="13" t="n">
        <v>5</v>
      </c>
      <c r="I909" s="14" t="n">
        <v>196.04</v>
      </c>
      <c r="J909" s="15" t="n">
        <v>0.11</v>
      </c>
      <c r="K909" s="14" t="n">
        <v>107.82</v>
      </c>
      <c r="L909" s="13" t="n">
        <v>8</v>
      </c>
      <c r="M909" s="13" t="inlineStr">
        <is>
          <t>Completed</t>
        </is>
      </c>
      <c r="N909" s="13" t="inlineStr">
        <is>
          <t>P. Rossi</t>
        </is>
      </c>
      <c r="O909" s="13" t="inlineStr">
        <is>
          <t>No</t>
        </is>
      </c>
      <c r="P909" s="14">
        <f>H909*I909</f>
        <v/>
      </c>
      <c r="Q909" s="14">
        <f>P909*(1-J909)</f>
        <v/>
      </c>
      <c r="R909" s="14">
        <f>H909*K909</f>
        <v/>
      </c>
      <c r="S909" s="15">
        <f>IF(Q909=0,"",(Q909-R909)/Q909)</f>
        <v/>
      </c>
      <c r="T909" s="13">
        <f>YEAR(B909)</f>
        <v/>
      </c>
      <c r="U909" s="13">
        <f>YEAR(B909)&amp;"-Q"&amp;ROUNDUP(MONTH(B909)/3,0)</f>
        <v/>
      </c>
      <c r="V909" s="13">
        <f>TEXT(B909,"YYYY-MM")</f>
        <v/>
      </c>
      <c r="W909" s="13">
        <f>IF(L909="","",IF(L909&gt;pLateDays,1,0))</f>
        <v/>
      </c>
      <c r="X909" s="13">
        <f>IF(Q909&gt;=pHighCutoff,1,0)</f>
        <v/>
      </c>
      <c r="Y909" s="13">
        <f>IF(M909="Returned",1,0)</f>
        <v/>
      </c>
    </row>
    <row r="910">
      <c r="A910" s="13" t="inlineStr">
        <is>
          <t>HC-100908</t>
        </is>
      </c>
      <c r="B910" s="18" t="n">
        <v>45748</v>
      </c>
      <c r="C910" s="13" t="inlineStr">
        <is>
          <t>North</t>
        </is>
      </c>
      <c r="D910" s="13" t="inlineStr">
        <is>
          <t>Wholesale</t>
        </is>
      </c>
      <c r="E910" s="13" t="inlineStr">
        <is>
          <t>Textiles</t>
        </is>
      </c>
      <c r="F910" s="13" t="inlineStr">
        <is>
          <t>Wool Throw</t>
        </is>
      </c>
      <c r="G910" s="13" t="inlineStr">
        <is>
          <t>Consumer</t>
        </is>
      </c>
      <c r="H910" s="13" t="n">
        <v>18</v>
      </c>
      <c r="I910" s="14" t="n">
        <v>70.64</v>
      </c>
      <c r="J910" s="15" t="n">
        <v>0.18</v>
      </c>
      <c r="K910" s="14" t="n">
        <v>29.67</v>
      </c>
      <c r="L910" s="13" t="n">
        <v>10</v>
      </c>
      <c r="M910" s="13" t="inlineStr">
        <is>
          <t>Completed</t>
        </is>
      </c>
      <c r="N910" s="13" t="inlineStr">
        <is>
          <t>R. Ibarra</t>
        </is>
      </c>
      <c r="O910" s="13" t="inlineStr">
        <is>
          <t>No</t>
        </is>
      </c>
      <c r="P910" s="14">
        <f>H910*I910</f>
        <v/>
      </c>
      <c r="Q910" s="14">
        <f>P910*(1-J910)</f>
        <v/>
      </c>
      <c r="R910" s="14">
        <f>H910*K910</f>
        <v/>
      </c>
      <c r="S910" s="15">
        <f>IF(Q910=0,"",(Q910-R910)/Q910)</f>
        <v/>
      </c>
      <c r="T910" s="13">
        <f>YEAR(B910)</f>
        <v/>
      </c>
      <c r="U910" s="13">
        <f>YEAR(B910)&amp;"-Q"&amp;ROUNDUP(MONTH(B910)/3,0)</f>
        <v/>
      </c>
      <c r="V910" s="13">
        <f>TEXT(B910,"YYYY-MM")</f>
        <v/>
      </c>
      <c r="W910" s="13">
        <f>IF(L910="","",IF(L910&gt;pLateDays,1,0))</f>
        <v/>
      </c>
      <c r="X910" s="13">
        <f>IF(Q910&gt;=pHighCutoff,1,0)</f>
        <v/>
      </c>
      <c r="Y910" s="13">
        <f>IF(M910="Returned",1,0)</f>
        <v/>
      </c>
    </row>
    <row r="911">
      <c r="A911" s="13" t="inlineStr">
        <is>
          <t>HC-100909</t>
        </is>
      </c>
      <c r="B911" s="18" t="n">
        <v>45874</v>
      </c>
      <c r="C911" s="13" t="inlineStr">
        <is>
          <t>West</t>
        </is>
      </c>
      <c r="D911" s="13" t="inlineStr">
        <is>
          <t>Store</t>
        </is>
      </c>
      <c r="E911" s="13" t="inlineStr">
        <is>
          <t>Furniture</t>
        </is>
      </c>
      <c r="F911" s="13" t="inlineStr">
        <is>
          <t>Walnut Shelf</t>
        </is>
      </c>
      <c r="G911" s="13" t="inlineStr">
        <is>
          <t>Corporate</t>
        </is>
      </c>
      <c r="H911" s="13" t="n">
        <v>1</v>
      </c>
      <c r="I911" s="14" t="n">
        <v>226.37</v>
      </c>
      <c r="J911" s="15" t="n">
        <v>0.08</v>
      </c>
      <c r="K911" s="14" t="n">
        <v>124.5</v>
      </c>
      <c r="L911" s="13" t="n">
        <v>7</v>
      </c>
      <c r="M911" s="13" t="inlineStr">
        <is>
          <t>Completed</t>
        </is>
      </c>
      <c r="N911" s="13" t="inlineStr">
        <is>
          <t>S. Nguyen</t>
        </is>
      </c>
      <c r="O911" s="13" t="inlineStr">
        <is>
          <t>No</t>
        </is>
      </c>
      <c r="P911" s="14">
        <f>H911*I911</f>
        <v/>
      </c>
      <c r="Q911" s="14">
        <f>P911*(1-J911)</f>
        <v/>
      </c>
      <c r="R911" s="14">
        <f>H911*K911</f>
        <v/>
      </c>
      <c r="S911" s="15">
        <f>IF(Q911=0,"",(Q911-R911)/Q911)</f>
        <v/>
      </c>
      <c r="T911" s="13">
        <f>YEAR(B911)</f>
        <v/>
      </c>
      <c r="U911" s="13">
        <f>YEAR(B911)&amp;"-Q"&amp;ROUNDUP(MONTH(B911)/3,0)</f>
        <v/>
      </c>
      <c r="V911" s="13">
        <f>TEXT(B911,"YYYY-MM")</f>
        <v/>
      </c>
      <c r="W911" s="13">
        <f>IF(L911="","",IF(L911&gt;pLateDays,1,0))</f>
        <v/>
      </c>
      <c r="X911" s="13">
        <f>IF(Q911&gt;=pHighCutoff,1,0)</f>
        <v/>
      </c>
      <c r="Y911" s="13">
        <f>IF(M911="Returned",1,0)</f>
        <v/>
      </c>
    </row>
    <row r="912">
      <c r="A912" s="13" t="inlineStr">
        <is>
          <t>HC-100910</t>
        </is>
      </c>
      <c r="B912" s="18" t="n">
        <v>45913</v>
      </c>
      <c r="C912" s="13" t="inlineStr">
        <is>
          <t>West</t>
        </is>
      </c>
      <c r="D912" s="13" t="inlineStr">
        <is>
          <t>Store</t>
        </is>
      </c>
      <c r="E912" s="13" t="inlineStr">
        <is>
          <t>Furniture</t>
        </is>
      </c>
      <c r="F912" s="13" t="inlineStr">
        <is>
          <t>Oak Desk</t>
        </is>
      </c>
      <c r="G912" s="13" t="inlineStr">
        <is>
          <t>Corporate</t>
        </is>
      </c>
      <c r="H912" s="13" t="n">
        <v>1</v>
      </c>
      <c r="I912" s="14" t="n">
        <v>859.42</v>
      </c>
      <c r="J912" s="15" t="n">
        <v>0.09</v>
      </c>
      <c r="K912" s="14" t="n">
        <v>532.84</v>
      </c>
      <c r="L912" s="13" t="n">
        <v>5</v>
      </c>
      <c r="M912" s="13" t="inlineStr">
        <is>
          <t>Completed</t>
        </is>
      </c>
      <c r="N912" s="13" t="inlineStr">
        <is>
          <t>J. Patel</t>
        </is>
      </c>
      <c r="O912" s="13" t="inlineStr">
        <is>
          <t>No</t>
        </is>
      </c>
      <c r="P912" s="14">
        <f>H912*I912</f>
        <v/>
      </c>
      <c r="Q912" s="14">
        <f>P912*(1-J912)</f>
        <v/>
      </c>
      <c r="R912" s="14">
        <f>H912*K912</f>
        <v/>
      </c>
      <c r="S912" s="15">
        <f>IF(Q912=0,"",(Q912-R912)/Q912)</f>
        <v/>
      </c>
      <c r="T912" s="13">
        <f>YEAR(B912)</f>
        <v/>
      </c>
      <c r="U912" s="13">
        <f>YEAR(B912)&amp;"-Q"&amp;ROUNDUP(MONTH(B912)/3,0)</f>
        <v/>
      </c>
      <c r="V912" s="13">
        <f>TEXT(B912,"YYYY-MM")</f>
        <v/>
      </c>
      <c r="W912" s="13">
        <f>IF(L912="","",IF(L912&gt;pLateDays,1,0))</f>
        <v/>
      </c>
      <c r="X912" s="13">
        <f>IF(Q912&gt;=pHighCutoff,1,0)</f>
        <v/>
      </c>
      <c r="Y912" s="13">
        <f>IF(M912="Returned",1,0)</f>
        <v/>
      </c>
    </row>
    <row r="913">
      <c r="A913" s="13" t="inlineStr">
        <is>
          <t>HC-100911</t>
        </is>
      </c>
      <c r="B913" s="18" t="n">
        <v>45802</v>
      </c>
      <c r="C913" s="13" t="inlineStr">
        <is>
          <t>North</t>
        </is>
      </c>
      <c r="D913" s="13" t="inlineStr">
        <is>
          <t>Online</t>
        </is>
      </c>
      <c r="E913" s="13" t="inlineStr">
        <is>
          <t>Kitchen</t>
        </is>
      </c>
      <c r="F913" s="13" t="inlineStr">
        <is>
          <t>Chef Knife</t>
        </is>
      </c>
      <c r="G913" s="13" t="inlineStr">
        <is>
          <t>Consumer</t>
        </is>
      </c>
      <c r="H913" s="13" t="n">
        <v>1</v>
      </c>
      <c r="I913" s="14" t="n">
        <v>66.19</v>
      </c>
      <c r="J913" s="15" t="n">
        <v>0.03</v>
      </c>
      <c r="K913" s="14" t="n">
        <v>23.83</v>
      </c>
      <c r="L913" s="13" t="n">
        <v>2</v>
      </c>
      <c r="M913" s="13" t="inlineStr">
        <is>
          <t>Completed</t>
        </is>
      </c>
      <c r="N913" s="13" t="inlineStr">
        <is>
          <t>L. Berger</t>
        </is>
      </c>
      <c r="O913" s="13" t="inlineStr">
        <is>
          <t>No</t>
        </is>
      </c>
      <c r="P913" s="14">
        <f>H913*I913</f>
        <v/>
      </c>
      <c r="Q913" s="14">
        <f>P913*(1-J913)</f>
        <v/>
      </c>
      <c r="R913" s="14">
        <f>H913*K913</f>
        <v/>
      </c>
      <c r="S913" s="15">
        <f>IF(Q913=0,"",(Q913-R913)/Q913)</f>
        <v/>
      </c>
      <c r="T913" s="13">
        <f>YEAR(B913)</f>
        <v/>
      </c>
      <c r="U913" s="13">
        <f>YEAR(B913)&amp;"-Q"&amp;ROUNDUP(MONTH(B913)/3,0)</f>
        <v/>
      </c>
      <c r="V913" s="13">
        <f>TEXT(B913,"YYYY-MM")</f>
        <v/>
      </c>
      <c r="W913" s="13">
        <f>IF(L913="","",IF(L913&gt;pLateDays,1,0))</f>
        <v/>
      </c>
      <c r="X913" s="13">
        <f>IF(Q913&gt;=pHighCutoff,1,0)</f>
        <v/>
      </c>
      <c r="Y913" s="13">
        <f>IF(M913="Returned",1,0)</f>
        <v/>
      </c>
    </row>
    <row r="914">
      <c r="A914" s="13" t="inlineStr">
        <is>
          <t>HC-100912</t>
        </is>
      </c>
      <c r="B914" s="18" t="n">
        <v>45864</v>
      </c>
      <c r="C914" s="13" t="inlineStr">
        <is>
          <t>East</t>
        </is>
      </c>
      <c r="D914" s="13" t="inlineStr">
        <is>
          <t>Online</t>
        </is>
      </c>
      <c r="E914" s="13" t="inlineStr">
        <is>
          <t>Kitchen</t>
        </is>
      </c>
      <c r="F914" s="13" t="inlineStr">
        <is>
          <t>Cast Skillet</t>
        </is>
      </c>
      <c r="G914" s="13" t="inlineStr">
        <is>
          <t>Home Office</t>
        </is>
      </c>
      <c r="H914" s="13" t="n">
        <v>2</v>
      </c>
      <c r="I914" s="14" t="n">
        <v>48.1</v>
      </c>
      <c r="J914" s="15" t="n">
        <v>0.13</v>
      </c>
      <c r="K914" s="14" t="n">
        <v>19.24</v>
      </c>
      <c r="L914" s="13" t="n">
        <v>8</v>
      </c>
      <c r="M914" s="13" t="inlineStr">
        <is>
          <t>Completed</t>
        </is>
      </c>
      <c r="N914" s="13" t="inlineStr">
        <is>
          <t>K. Mensah</t>
        </is>
      </c>
      <c r="O914" s="13" t="inlineStr">
        <is>
          <t>No</t>
        </is>
      </c>
      <c r="P914" s="14">
        <f>H914*I914</f>
        <v/>
      </c>
      <c r="Q914" s="14">
        <f>P914*(1-J914)</f>
        <v/>
      </c>
      <c r="R914" s="14">
        <f>H914*K914</f>
        <v/>
      </c>
      <c r="S914" s="15">
        <f>IF(Q914=0,"",(Q914-R914)/Q914)</f>
        <v/>
      </c>
      <c r="T914" s="13">
        <f>YEAR(B914)</f>
        <v/>
      </c>
      <c r="U914" s="13">
        <f>YEAR(B914)&amp;"-Q"&amp;ROUNDUP(MONTH(B914)/3,0)</f>
        <v/>
      </c>
      <c r="V914" s="13">
        <f>TEXT(B914,"YYYY-MM")</f>
        <v/>
      </c>
      <c r="W914" s="13">
        <f>IF(L914="","",IF(L914&gt;pLateDays,1,0))</f>
        <v/>
      </c>
      <c r="X914" s="13">
        <f>IF(Q914&gt;=pHighCutoff,1,0)</f>
        <v/>
      </c>
      <c r="Y914" s="13">
        <f>IF(M914="Returned",1,0)</f>
        <v/>
      </c>
    </row>
    <row r="915">
      <c r="A915" s="13" t="inlineStr">
        <is>
          <t>HC-100913</t>
        </is>
      </c>
      <c r="B915" s="18" t="n">
        <v>45531</v>
      </c>
      <c r="C915" s="13" t="inlineStr">
        <is>
          <t>South</t>
        </is>
      </c>
      <c r="D915" s="13" t="inlineStr">
        <is>
          <t>Store</t>
        </is>
      </c>
      <c r="E915" s="13" t="inlineStr">
        <is>
          <t>Lighting</t>
        </is>
      </c>
      <c r="F915" s="13" t="inlineStr">
        <is>
          <t>Arc Lamp</t>
        </is>
      </c>
      <c r="G915" s="13" t="inlineStr">
        <is>
          <t>Corporate</t>
        </is>
      </c>
      <c r="H915" s="13" t="n">
        <v>2</v>
      </c>
      <c r="I915" s="14" t="n">
        <v>320.07</v>
      </c>
      <c r="J915" s="15" t="n">
        <v>0.05</v>
      </c>
      <c r="K915" s="14" t="n">
        <v>153.64</v>
      </c>
      <c r="L915" s="13" t="n">
        <v>7</v>
      </c>
      <c r="M915" s="13" t="inlineStr">
        <is>
          <t>Completed</t>
        </is>
      </c>
      <c r="N915" s="13" t="inlineStr">
        <is>
          <t>L. Berger</t>
        </is>
      </c>
      <c r="O915" s="13" t="inlineStr">
        <is>
          <t>No</t>
        </is>
      </c>
      <c r="P915" s="14">
        <f>H915*I915</f>
        <v/>
      </c>
      <c r="Q915" s="14">
        <f>P915*(1-J915)</f>
        <v/>
      </c>
      <c r="R915" s="14">
        <f>H915*K915</f>
        <v/>
      </c>
      <c r="S915" s="15">
        <f>IF(Q915=0,"",(Q915-R915)/Q915)</f>
        <v/>
      </c>
      <c r="T915" s="13">
        <f>YEAR(B915)</f>
        <v/>
      </c>
      <c r="U915" s="13">
        <f>YEAR(B915)&amp;"-Q"&amp;ROUNDUP(MONTH(B915)/3,0)</f>
        <v/>
      </c>
      <c r="V915" s="13">
        <f>TEXT(B915,"YYYY-MM")</f>
        <v/>
      </c>
      <c r="W915" s="13">
        <f>IF(L915="","",IF(L915&gt;pLateDays,1,0))</f>
        <v/>
      </c>
      <c r="X915" s="13">
        <f>IF(Q915&gt;=pHighCutoff,1,0)</f>
        <v/>
      </c>
      <c r="Y915" s="13">
        <f>IF(M915="Returned",1,0)</f>
        <v/>
      </c>
    </row>
    <row r="916">
      <c r="A916" s="13" t="inlineStr">
        <is>
          <t>HC-100914</t>
        </is>
      </c>
      <c r="B916" s="18" t="n">
        <v>45791</v>
      </c>
      <c r="C916" s="13" t="inlineStr">
        <is>
          <t>North</t>
        </is>
      </c>
      <c r="D916" s="13" t="inlineStr">
        <is>
          <t>Store</t>
        </is>
      </c>
      <c r="E916" s="13" t="inlineStr">
        <is>
          <t>Lighting</t>
        </is>
      </c>
      <c r="F916" s="13" t="inlineStr">
        <is>
          <t>Pendant Light</t>
        </is>
      </c>
      <c r="G916" s="13" t="inlineStr">
        <is>
          <t>Corporate</t>
        </is>
      </c>
      <c r="H916" s="13" t="n">
        <v>2</v>
      </c>
      <c r="I916" s="14" t="n">
        <v>179.32</v>
      </c>
      <c r="J916" s="15" t="n">
        <v>0.08</v>
      </c>
      <c r="K916" s="14" t="n">
        <v>89.66</v>
      </c>
      <c r="L916" s="13" t="n">
        <v>2</v>
      </c>
      <c r="M916" s="13" t="inlineStr">
        <is>
          <t>Completed</t>
        </is>
      </c>
      <c r="N916" s="13" t="inlineStr">
        <is>
          <t>L. Berger</t>
        </is>
      </c>
      <c r="O916" s="13" t="inlineStr">
        <is>
          <t>No</t>
        </is>
      </c>
      <c r="P916" s="14">
        <f>H916*I916</f>
        <v/>
      </c>
      <c r="Q916" s="14">
        <f>P916*(1-J916)</f>
        <v/>
      </c>
      <c r="R916" s="14">
        <f>H916*K916</f>
        <v/>
      </c>
      <c r="S916" s="15">
        <f>IF(Q916=0,"",(Q916-R916)/Q916)</f>
        <v/>
      </c>
      <c r="T916" s="13">
        <f>YEAR(B916)</f>
        <v/>
      </c>
      <c r="U916" s="13">
        <f>YEAR(B916)&amp;"-Q"&amp;ROUNDUP(MONTH(B916)/3,0)</f>
        <v/>
      </c>
      <c r="V916" s="13">
        <f>TEXT(B916,"YYYY-MM")</f>
        <v/>
      </c>
      <c r="W916" s="13">
        <f>IF(L916="","",IF(L916&gt;pLateDays,1,0))</f>
        <v/>
      </c>
      <c r="X916" s="13">
        <f>IF(Q916&gt;=pHighCutoff,1,0)</f>
        <v/>
      </c>
      <c r="Y916" s="13">
        <f>IF(M916="Returned",1,0)</f>
        <v/>
      </c>
    </row>
    <row r="917">
      <c r="A917" s="13" t="inlineStr">
        <is>
          <t>HC-100915</t>
        </is>
      </c>
      <c r="B917" s="18" t="n">
        <v>45865</v>
      </c>
      <c r="C917" s="13" t="inlineStr">
        <is>
          <t>East</t>
        </is>
      </c>
      <c r="D917" s="13" t="inlineStr">
        <is>
          <t>Store</t>
        </is>
      </c>
      <c r="E917" s="13" t="inlineStr">
        <is>
          <t>Kitchen</t>
        </is>
      </c>
      <c r="F917" s="13" t="inlineStr">
        <is>
          <t>Chef Knife</t>
        </is>
      </c>
      <c r="G917" s="13" t="inlineStr">
        <is>
          <t>Consumer</t>
        </is>
      </c>
      <c r="H917" s="13" t="n">
        <v>4</v>
      </c>
      <c r="I917" s="14" t="n">
        <v>58.66</v>
      </c>
      <c r="J917" s="15" t="n">
        <v>0.08</v>
      </c>
      <c r="K917" s="14" t="n">
        <v>21.12</v>
      </c>
      <c r="L917" s="13" t="n">
        <v>7</v>
      </c>
      <c r="M917" s="13" t="inlineStr">
        <is>
          <t>Completed</t>
        </is>
      </c>
      <c r="N917" s="13" t="inlineStr">
        <is>
          <t>J. Patel</t>
        </is>
      </c>
      <c r="O917" s="13" t="inlineStr">
        <is>
          <t>No</t>
        </is>
      </c>
      <c r="P917" s="14">
        <f>H917*I917</f>
        <v/>
      </c>
      <c r="Q917" s="14">
        <f>P917*(1-J917)</f>
        <v/>
      </c>
      <c r="R917" s="14">
        <f>H917*K917</f>
        <v/>
      </c>
      <c r="S917" s="15">
        <f>IF(Q917=0,"",(Q917-R917)/Q917)</f>
        <v/>
      </c>
      <c r="T917" s="13">
        <f>YEAR(B917)</f>
        <v/>
      </c>
      <c r="U917" s="13">
        <f>YEAR(B917)&amp;"-Q"&amp;ROUNDUP(MONTH(B917)/3,0)</f>
        <v/>
      </c>
      <c r="V917" s="13">
        <f>TEXT(B917,"YYYY-MM")</f>
        <v/>
      </c>
      <c r="W917" s="13">
        <f>IF(L917="","",IF(L917&gt;pLateDays,1,0))</f>
        <v/>
      </c>
      <c r="X917" s="13">
        <f>IF(Q917&gt;=pHighCutoff,1,0)</f>
        <v/>
      </c>
      <c r="Y917" s="13">
        <f>IF(M917="Returned",1,0)</f>
        <v/>
      </c>
    </row>
    <row r="918">
      <c r="A918" s="13" t="inlineStr">
        <is>
          <t>HC-100916</t>
        </is>
      </c>
      <c r="B918" s="18" t="n">
        <v>45773</v>
      </c>
      <c r="C918" s="13" t="inlineStr">
        <is>
          <t>East</t>
        </is>
      </c>
      <c r="D918" s="13" t="inlineStr">
        <is>
          <t>Wholesale</t>
        </is>
      </c>
      <c r="E918" s="13" t="inlineStr">
        <is>
          <t>Lighting</t>
        </is>
      </c>
      <c r="F918" s="13" t="inlineStr">
        <is>
          <t>Arc Lamp</t>
        </is>
      </c>
      <c r="G918" s="13" t="inlineStr">
        <is>
          <t>Consumer</t>
        </is>
      </c>
      <c r="H918" s="13" t="n">
        <v>22</v>
      </c>
      <c r="I918" s="14" t="n">
        <v>270.12</v>
      </c>
      <c r="J918" s="15" t="n">
        <v>0.26</v>
      </c>
      <c r="K918" s="14" t="n">
        <v>129.66</v>
      </c>
      <c r="L918" s="13" t="n">
        <v>5</v>
      </c>
      <c r="M918" s="13" t="inlineStr">
        <is>
          <t>Completed</t>
        </is>
      </c>
      <c r="N918" s="13" t="inlineStr">
        <is>
          <t>J. Patel</t>
        </is>
      </c>
      <c r="O918" s="13" t="inlineStr">
        <is>
          <t>No</t>
        </is>
      </c>
      <c r="P918" s="14">
        <f>H918*I918</f>
        <v/>
      </c>
      <c r="Q918" s="14">
        <f>P918*(1-J918)</f>
        <v/>
      </c>
      <c r="R918" s="14">
        <f>H918*K918</f>
        <v/>
      </c>
      <c r="S918" s="15">
        <f>IF(Q918=0,"",(Q918-R918)/Q918)</f>
        <v/>
      </c>
      <c r="T918" s="13">
        <f>YEAR(B918)</f>
        <v/>
      </c>
      <c r="U918" s="13">
        <f>YEAR(B918)&amp;"-Q"&amp;ROUNDUP(MONTH(B918)/3,0)</f>
        <v/>
      </c>
      <c r="V918" s="13">
        <f>TEXT(B918,"YYYY-MM")</f>
        <v/>
      </c>
      <c r="W918" s="13">
        <f>IF(L918="","",IF(L918&gt;pLateDays,1,0))</f>
        <v/>
      </c>
      <c r="X918" s="13">
        <f>IF(Q918&gt;=pHighCutoff,1,0)</f>
        <v/>
      </c>
      <c r="Y918" s="13">
        <f>IF(M918="Returned",1,0)</f>
        <v/>
      </c>
    </row>
    <row r="919">
      <c r="A919" s="13" t="inlineStr">
        <is>
          <t>HC-100917</t>
        </is>
      </c>
      <c r="B919" s="18" t="n">
        <v>45355</v>
      </c>
      <c r="C919" s="13" t="inlineStr">
        <is>
          <t>North</t>
        </is>
      </c>
      <c r="D919" s="13" t="inlineStr">
        <is>
          <t>Wholesale</t>
        </is>
      </c>
      <c r="E919" s="13" t="inlineStr">
        <is>
          <t>Textiles</t>
        </is>
      </c>
      <c r="F919" s="13" t="inlineStr">
        <is>
          <t>Wool Throw</t>
        </is>
      </c>
      <c r="G919" s="13" t="inlineStr">
        <is>
          <t>Home Office</t>
        </is>
      </c>
      <c r="H919" s="13" t="n">
        <v>22</v>
      </c>
      <c r="I919" s="14" t="n">
        <v>74.7</v>
      </c>
      <c r="J919" s="15" t="n">
        <v>0.17</v>
      </c>
      <c r="K919" s="14" t="n">
        <v>31.37</v>
      </c>
      <c r="L919" s="13" t="n">
        <v>4</v>
      </c>
      <c r="M919" s="13" t="inlineStr">
        <is>
          <t>Completed</t>
        </is>
      </c>
      <c r="N919" s="13" t="inlineStr">
        <is>
          <t>M. Okonkwo</t>
        </is>
      </c>
      <c r="O919" s="13" t="inlineStr">
        <is>
          <t>No</t>
        </is>
      </c>
      <c r="P919" s="14">
        <f>H919*I919</f>
        <v/>
      </c>
      <c r="Q919" s="14">
        <f>P919*(1-J919)</f>
        <v/>
      </c>
      <c r="R919" s="14">
        <f>H919*K919</f>
        <v/>
      </c>
      <c r="S919" s="15">
        <f>IF(Q919=0,"",(Q919-R919)/Q919)</f>
        <v/>
      </c>
      <c r="T919" s="13">
        <f>YEAR(B919)</f>
        <v/>
      </c>
      <c r="U919" s="13">
        <f>YEAR(B919)&amp;"-Q"&amp;ROUNDUP(MONTH(B919)/3,0)</f>
        <v/>
      </c>
      <c r="V919" s="13">
        <f>TEXT(B919,"YYYY-MM")</f>
        <v/>
      </c>
      <c r="W919" s="13">
        <f>IF(L919="","",IF(L919&gt;pLateDays,1,0))</f>
        <v/>
      </c>
      <c r="X919" s="13">
        <f>IF(Q919&gt;=pHighCutoff,1,0)</f>
        <v/>
      </c>
      <c r="Y919" s="13">
        <f>IF(M919="Returned",1,0)</f>
        <v/>
      </c>
    </row>
    <row r="920">
      <c r="A920" s="13" t="inlineStr">
        <is>
          <t>HC-100918</t>
        </is>
      </c>
      <c r="B920" s="18" t="n">
        <v>45531</v>
      </c>
      <c r="C920" s="13" t="inlineStr">
        <is>
          <t>West</t>
        </is>
      </c>
      <c r="D920" s="13" t="inlineStr">
        <is>
          <t>Online</t>
        </is>
      </c>
      <c r="E920" s="13" t="inlineStr">
        <is>
          <t>Furniture</t>
        </is>
      </c>
      <c r="F920" s="13" t="inlineStr">
        <is>
          <t>Oak Desk</t>
        </is>
      </c>
      <c r="G920" s="13" t="inlineStr">
        <is>
          <t>Consumer</t>
        </is>
      </c>
      <c r="H920" s="13" t="n">
        <v>3</v>
      </c>
      <c r="I920" s="14" t="n">
        <v>890.9</v>
      </c>
      <c r="J920" s="15" t="n">
        <v>0.06</v>
      </c>
      <c r="K920" s="14" t="n">
        <v>552.36</v>
      </c>
      <c r="L920" s="13" t="n">
        <v>3</v>
      </c>
      <c r="M920" s="13" t="inlineStr">
        <is>
          <t>Completed</t>
        </is>
      </c>
      <c r="N920" s="13" t="inlineStr">
        <is>
          <t>P. Rossi</t>
        </is>
      </c>
      <c r="O920" s="13" t="inlineStr">
        <is>
          <t>No</t>
        </is>
      </c>
      <c r="P920" s="14">
        <f>H920*I920</f>
        <v/>
      </c>
      <c r="Q920" s="14">
        <f>P920*(1-J920)</f>
        <v/>
      </c>
      <c r="R920" s="14">
        <f>H920*K920</f>
        <v/>
      </c>
      <c r="S920" s="15">
        <f>IF(Q920=0,"",(Q920-R920)/Q920)</f>
        <v/>
      </c>
      <c r="T920" s="13">
        <f>YEAR(B920)</f>
        <v/>
      </c>
      <c r="U920" s="13">
        <f>YEAR(B920)&amp;"-Q"&amp;ROUNDUP(MONTH(B920)/3,0)</f>
        <v/>
      </c>
      <c r="V920" s="13">
        <f>TEXT(B920,"YYYY-MM")</f>
        <v/>
      </c>
      <c r="W920" s="13">
        <f>IF(L920="","",IF(L920&gt;pLateDays,1,0))</f>
        <v/>
      </c>
      <c r="X920" s="13">
        <f>IF(Q920&gt;=pHighCutoff,1,0)</f>
        <v/>
      </c>
      <c r="Y920" s="13">
        <f>IF(M920="Returned",1,0)</f>
        <v/>
      </c>
    </row>
    <row r="921">
      <c r="A921" s="13" t="inlineStr">
        <is>
          <t>HC-100919</t>
        </is>
      </c>
      <c r="B921" s="18" t="n">
        <v>45473</v>
      </c>
      <c r="C921" s="13" t="inlineStr">
        <is>
          <t>North</t>
        </is>
      </c>
      <c r="D921" s="13" t="inlineStr">
        <is>
          <t>Store</t>
        </is>
      </c>
      <c r="E921" s="13" t="inlineStr">
        <is>
          <t>Furniture</t>
        </is>
      </c>
      <c r="F921" s="13" t="inlineStr">
        <is>
          <t>Walnut Shelf</t>
        </is>
      </c>
      <c r="G921" s="13" t="inlineStr">
        <is>
          <t>Consumer</t>
        </is>
      </c>
      <c r="H921" s="13" t="n">
        <v>4</v>
      </c>
      <c r="I921" s="14" t="n">
        <v>209.27</v>
      </c>
      <c r="J921" s="15" t="n">
        <v>0.05</v>
      </c>
      <c r="K921" s="14" t="n">
        <v>115.1</v>
      </c>
      <c r="L921" s="13" t="n">
        <v>6</v>
      </c>
      <c r="M921" s="13" t="inlineStr">
        <is>
          <t>Returned</t>
        </is>
      </c>
      <c r="N921" s="13" t="inlineStr">
        <is>
          <t>K. Mensah</t>
        </is>
      </c>
      <c r="O921" s="13" t="inlineStr">
        <is>
          <t>No</t>
        </is>
      </c>
      <c r="P921" s="14">
        <f>H921*I921</f>
        <v/>
      </c>
      <c r="Q921" s="14">
        <f>P921*(1-J921)</f>
        <v/>
      </c>
      <c r="R921" s="14">
        <f>H921*K921</f>
        <v/>
      </c>
      <c r="S921" s="15">
        <f>IF(Q921=0,"",(Q921-R921)/Q921)</f>
        <v/>
      </c>
      <c r="T921" s="13">
        <f>YEAR(B921)</f>
        <v/>
      </c>
      <c r="U921" s="13">
        <f>YEAR(B921)&amp;"-Q"&amp;ROUNDUP(MONTH(B921)/3,0)</f>
        <v/>
      </c>
      <c r="V921" s="13">
        <f>TEXT(B921,"YYYY-MM")</f>
        <v/>
      </c>
      <c r="W921" s="13">
        <f>IF(L921="","",IF(L921&gt;pLateDays,1,0))</f>
        <v/>
      </c>
      <c r="X921" s="13">
        <f>IF(Q921&gt;=pHighCutoff,1,0)</f>
        <v/>
      </c>
      <c r="Y921" s="13">
        <f>IF(M921="Returned",1,0)</f>
        <v/>
      </c>
    </row>
    <row r="922">
      <c r="A922" s="13" t="inlineStr">
        <is>
          <t>HC-100920</t>
        </is>
      </c>
      <c r="B922" s="18" t="n">
        <v>45819</v>
      </c>
      <c r="C922" s="13" t="inlineStr">
        <is>
          <t>South</t>
        </is>
      </c>
      <c r="D922" s="13" t="inlineStr">
        <is>
          <t>Store</t>
        </is>
      </c>
      <c r="E922" s="13" t="inlineStr">
        <is>
          <t>Textiles</t>
        </is>
      </c>
      <c r="F922" s="13" t="inlineStr">
        <is>
          <t>Linen Curtain</t>
        </is>
      </c>
      <c r="G922" s="13" t="inlineStr">
        <is>
          <t>Home Office</t>
        </is>
      </c>
      <c r="H922" s="13" t="n">
        <v>4</v>
      </c>
      <c r="I922" s="14" t="n">
        <v>98.59999999999999</v>
      </c>
      <c r="J922" s="15" t="n">
        <v>0.09</v>
      </c>
      <c r="K922" s="14" t="n">
        <v>44.37</v>
      </c>
      <c r="L922" s="13" t="n">
        <v>6</v>
      </c>
      <c r="M922" s="13" t="inlineStr">
        <is>
          <t>Completed</t>
        </is>
      </c>
      <c r="N922" s="13" t="inlineStr">
        <is>
          <t>A. Shah</t>
        </is>
      </c>
      <c r="O922" s="13" t="inlineStr">
        <is>
          <t>No</t>
        </is>
      </c>
      <c r="P922" s="14">
        <f>H922*I922</f>
        <v/>
      </c>
      <c r="Q922" s="14">
        <f>P922*(1-J922)</f>
        <v/>
      </c>
      <c r="R922" s="14">
        <f>H922*K922</f>
        <v/>
      </c>
      <c r="S922" s="15">
        <f>IF(Q922=0,"",(Q922-R922)/Q922)</f>
        <v/>
      </c>
      <c r="T922" s="13">
        <f>YEAR(B922)</f>
        <v/>
      </c>
      <c r="U922" s="13">
        <f>YEAR(B922)&amp;"-Q"&amp;ROUNDUP(MONTH(B922)/3,0)</f>
        <v/>
      </c>
      <c r="V922" s="13">
        <f>TEXT(B922,"YYYY-MM")</f>
        <v/>
      </c>
      <c r="W922" s="13">
        <f>IF(L922="","",IF(L922&gt;pLateDays,1,0))</f>
        <v/>
      </c>
      <c r="X922" s="13">
        <f>IF(Q922&gt;=pHighCutoff,1,0)</f>
        <v/>
      </c>
      <c r="Y922" s="13">
        <f>IF(M922="Returned",1,0)</f>
        <v/>
      </c>
    </row>
    <row r="923">
      <c r="A923" s="13" t="inlineStr">
        <is>
          <t>HC-100921</t>
        </is>
      </c>
      <c r="B923" s="18" t="n">
        <v>45321</v>
      </c>
      <c r="C923" s="13" t="inlineStr">
        <is>
          <t>West</t>
        </is>
      </c>
      <c r="D923" s="13" t="inlineStr">
        <is>
          <t>Store</t>
        </is>
      </c>
      <c r="E923" s="13" t="inlineStr">
        <is>
          <t>Furniture</t>
        </is>
      </c>
      <c r="F923" s="13" t="inlineStr">
        <is>
          <t>Lounge Chair</t>
        </is>
      </c>
      <c r="G923" s="13" t="inlineStr">
        <is>
          <t>Home Office</t>
        </is>
      </c>
      <c r="H923" s="13" t="n">
        <v>3</v>
      </c>
      <c r="I923" s="14" t="n">
        <v>477.62</v>
      </c>
      <c r="J923" s="15" t="n">
        <v>0</v>
      </c>
      <c r="K923" s="14" t="n">
        <v>286.57</v>
      </c>
      <c r="L923" s="13" t="n">
        <v>7</v>
      </c>
      <c r="M923" s="13" t="inlineStr">
        <is>
          <t>Completed</t>
        </is>
      </c>
      <c r="N923" s="13" t="inlineStr">
        <is>
          <t>K. Mensah</t>
        </is>
      </c>
      <c r="O923" s="13" t="inlineStr">
        <is>
          <t>No</t>
        </is>
      </c>
      <c r="P923" s="14">
        <f>H923*I923</f>
        <v/>
      </c>
      <c r="Q923" s="14">
        <f>P923*(1-J923)</f>
        <v/>
      </c>
      <c r="R923" s="14">
        <f>H923*K923</f>
        <v/>
      </c>
      <c r="S923" s="15">
        <f>IF(Q923=0,"",(Q923-R923)/Q923)</f>
        <v/>
      </c>
      <c r="T923" s="13">
        <f>YEAR(B923)</f>
        <v/>
      </c>
      <c r="U923" s="13">
        <f>YEAR(B923)&amp;"-Q"&amp;ROUNDUP(MONTH(B923)/3,0)</f>
        <v/>
      </c>
      <c r="V923" s="13">
        <f>TEXT(B923,"YYYY-MM")</f>
        <v/>
      </c>
      <c r="W923" s="13">
        <f>IF(L923="","",IF(L923&gt;pLateDays,1,0))</f>
        <v/>
      </c>
      <c r="X923" s="13">
        <f>IF(Q923&gt;=pHighCutoff,1,0)</f>
        <v/>
      </c>
      <c r="Y923" s="13">
        <f>IF(M923="Returned",1,0)</f>
        <v/>
      </c>
    </row>
    <row r="924">
      <c r="A924" s="13" t="inlineStr">
        <is>
          <t>HC-100922</t>
        </is>
      </c>
      <c r="B924" s="18" t="n">
        <v>45350</v>
      </c>
      <c r="C924" s="13" t="inlineStr">
        <is>
          <t>South</t>
        </is>
      </c>
      <c r="D924" s="13" t="inlineStr">
        <is>
          <t>Store</t>
        </is>
      </c>
      <c r="E924" s="13" t="inlineStr">
        <is>
          <t>Lighting</t>
        </is>
      </c>
      <c r="F924" s="13" t="inlineStr">
        <is>
          <t>Brass Sconce</t>
        </is>
      </c>
      <c r="G924" s="13" t="inlineStr">
        <is>
          <t>Consumer</t>
        </is>
      </c>
      <c r="H924" s="13" t="n">
        <v>1</v>
      </c>
      <c r="I924" s="14" t="n">
        <v>135.43</v>
      </c>
      <c r="J924" s="15" t="n">
        <v>0.03</v>
      </c>
      <c r="K924" s="14" t="n">
        <v>62.3</v>
      </c>
      <c r="L924" s="13" t="n">
        <v>6</v>
      </c>
      <c r="M924" s="13" t="inlineStr">
        <is>
          <t>Completed</t>
        </is>
      </c>
      <c r="N924" s="13" t="inlineStr">
        <is>
          <t>J. Patel</t>
        </is>
      </c>
      <c r="O924" s="13" t="inlineStr">
        <is>
          <t>No</t>
        </is>
      </c>
      <c r="P924" s="14">
        <f>H924*I924</f>
        <v/>
      </c>
      <c r="Q924" s="14">
        <f>P924*(1-J924)</f>
        <v/>
      </c>
      <c r="R924" s="14">
        <f>H924*K924</f>
        <v/>
      </c>
      <c r="S924" s="15">
        <f>IF(Q924=0,"",(Q924-R924)/Q924)</f>
        <v/>
      </c>
      <c r="T924" s="13">
        <f>YEAR(B924)</f>
        <v/>
      </c>
      <c r="U924" s="13">
        <f>YEAR(B924)&amp;"-Q"&amp;ROUNDUP(MONTH(B924)/3,0)</f>
        <v/>
      </c>
      <c r="V924" s="13">
        <f>TEXT(B924,"YYYY-MM")</f>
        <v/>
      </c>
      <c r="W924" s="13">
        <f>IF(L924="","",IF(L924&gt;pLateDays,1,0))</f>
        <v/>
      </c>
      <c r="X924" s="13">
        <f>IF(Q924&gt;=pHighCutoff,1,0)</f>
        <v/>
      </c>
      <c r="Y924" s="13">
        <f>IF(M924="Returned",1,0)</f>
        <v/>
      </c>
    </row>
    <row r="925">
      <c r="A925" s="13" t="inlineStr">
        <is>
          <t>HC-100923</t>
        </is>
      </c>
      <c r="B925" s="18" t="n">
        <v>45621</v>
      </c>
      <c r="C925" s="13" t="inlineStr">
        <is>
          <t>West</t>
        </is>
      </c>
      <c r="D925" s="13" t="inlineStr">
        <is>
          <t>Wholesale</t>
        </is>
      </c>
      <c r="E925" s="13" t="inlineStr">
        <is>
          <t>Textiles</t>
        </is>
      </c>
      <c r="F925" s="13" t="inlineStr">
        <is>
          <t>Cotton Duvet</t>
        </is>
      </c>
      <c r="G925" s="13" t="inlineStr">
        <is>
          <t>Consumer</t>
        </is>
      </c>
      <c r="H925" s="13" t="n">
        <v>33</v>
      </c>
      <c r="I925" s="14" t="n">
        <v>128.69</v>
      </c>
      <c r="J925" s="15" t="n">
        <v>0.23</v>
      </c>
      <c r="K925" s="14" t="n">
        <v>56.62</v>
      </c>
      <c r="L925" s="13" t="n">
        <v>9</v>
      </c>
      <c r="M925" s="13" t="inlineStr">
        <is>
          <t>Returned</t>
        </is>
      </c>
      <c r="N925" s="13" t="inlineStr">
        <is>
          <t>A. Shah</t>
        </is>
      </c>
      <c r="O925" s="13" t="inlineStr">
        <is>
          <t>No</t>
        </is>
      </c>
      <c r="P925" s="14">
        <f>H925*I925</f>
        <v/>
      </c>
      <c r="Q925" s="14">
        <f>P925*(1-J925)</f>
        <v/>
      </c>
      <c r="R925" s="14">
        <f>H925*K925</f>
        <v/>
      </c>
      <c r="S925" s="15">
        <f>IF(Q925=0,"",(Q925-R925)/Q925)</f>
        <v/>
      </c>
      <c r="T925" s="13">
        <f>YEAR(B925)</f>
        <v/>
      </c>
      <c r="U925" s="13">
        <f>YEAR(B925)&amp;"-Q"&amp;ROUNDUP(MONTH(B925)/3,0)</f>
        <v/>
      </c>
      <c r="V925" s="13">
        <f>TEXT(B925,"YYYY-MM")</f>
        <v/>
      </c>
      <c r="W925" s="13">
        <f>IF(L925="","",IF(L925&gt;pLateDays,1,0))</f>
        <v/>
      </c>
      <c r="X925" s="13">
        <f>IF(Q925&gt;=pHighCutoff,1,0)</f>
        <v/>
      </c>
      <c r="Y925" s="13">
        <f>IF(M925="Returned",1,0)</f>
        <v/>
      </c>
    </row>
    <row r="926">
      <c r="A926" s="13" t="inlineStr">
        <is>
          <t>HC-100924</t>
        </is>
      </c>
      <c r="B926" s="18" t="n">
        <v>45683</v>
      </c>
      <c r="C926" s="13" t="inlineStr">
        <is>
          <t>West</t>
        </is>
      </c>
      <c r="D926" s="13" t="inlineStr">
        <is>
          <t>Online</t>
        </is>
      </c>
      <c r="E926" s="13" t="inlineStr">
        <is>
          <t>Furniture</t>
        </is>
      </c>
      <c r="F926" s="13" t="inlineStr">
        <is>
          <t>Linen Sofa</t>
        </is>
      </c>
      <c r="G926" s="13" t="inlineStr">
        <is>
          <t>Corporate</t>
        </is>
      </c>
      <c r="H926" s="13" t="n">
        <v>1</v>
      </c>
      <c r="I926" s="14" t="n">
        <v>1291.36</v>
      </c>
      <c r="J926" s="15" t="n">
        <v>0.03</v>
      </c>
      <c r="K926" s="14" t="n">
        <v>852.3</v>
      </c>
      <c r="L926" s="13" t="n">
        <v>10</v>
      </c>
      <c r="M926" s="13" t="inlineStr">
        <is>
          <t>Returned</t>
        </is>
      </c>
      <c r="N926" s="13" t="inlineStr">
        <is>
          <t>J. Patel</t>
        </is>
      </c>
      <c r="O926" s="13" t="inlineStr">
        <is>
          <t>No</t>
        </is>
      </c>
      <c r="P926" s="14">
        <f>H926*I926</f>
        <v/>
      </c>
      <c r="Q926" s="14">
        <f>P926*(1-J926)</f>
        <v/>
      </c>
      <c r="R926" s="14">
        <f>H926*K926</f>
        <v/>
      </c>
      <c r="S926" s="15">
        <f>IF(Q926=0,"",(Q926-R926)/Q926)</f>
        <v/>
      </c>
      <c r="T926" s="13">
        <f>YEAR(B926)</f>
        <v/>
      </c>
      <c r="U926" s="13">
        <f>YEAR(B926)&amp;"-Q"&amp;ROUNDUP(MONTH(B926)/3,0)</f>
        <v/>
      </c>
      <c r="V926" s="13">
        <f>TEXT(B926,"YYYY-MM")</f>
        <v/>
      </c>
      <c r="W926" s="13">
        <f>IF(L926="","",IF(L926&gt;pLateDays,1,0))</f>
        <v/>
      </c>
      <c r="X926" s="13">
        <f>IF(Q926&gt;=pHighCutoff,1,0)</f>
        <v/>
      </c>
      <c r="Y926" s="13">
        <f>IF(M926="Returned",1,0)</f>
        <v/>
      </c>
    </row>
    <row r="927">
      <c r="A927" s="13" t="inlineStr">
        <is>
          <t>HC-100925</t>
        </is>
      </c>
      <c r="B927" s="18" t="n">
        <v>45598</v>
      </c>
      <c r="C927" s="13" t="inlineStr">
        <is>
          <t>North</t>
        </is>
      </c>
      <c r="D927" s="13" t="inlineStr">
        <is>
          <t>Store</t>
        </is>
      </c>
      <c r="E927" s="13" t="inlineStr">
        <is>
          <t>Textiles</t>
        </is>
      </c>
      <c r="F927" s="13" t="inlineStr">
        <is>
          <t>Wool Throw</t>
        </is>
      </c>
      <c r="G927" s="13" t="inlineStr">
        <is>
          <t>Consumer</t>
        </is>
      </c>
      <c r="H927" s="13" t="n">
        <v>2</v>
      </c>
      <c r="I927" s="14" t="n">
        <v>74.15000000000001</v>
      </c>
      <c r="J927" s="15" t="n">
        <v>0.04</v>
      </c>
      <c r="K927" s="14" t="n">
        <v>31.14</v>
      </c>
      <c r="L927" s="13" t="n">
        <v>6</v>
      </c>
      <c r="M927" s="13" t="inlineStr">
        <is>
          <t>Completed</t>
        </is>
      </c>
      <c r="N927" s="13" t="inlineStr">
        <is>
          <t>J. Patel</t>
        </is>
      </c>
      <c r="O927" s="13" t="inlineStr">
        <is>
          <t>No</t>
        </is>
      </c>
      <c r="P927" s="14">
        <f>H927*I927</f>
        <v/>
      </c>
      <c r="Q927" s="14">
        <f>P927*(1-J927)</f>
        <v/>
      </c>
      <c r="R927" s="14">
        <f>H927*K927</f>
        <v/>
      </c>
      <c r="S927" s="15">
        <f>IF(Q927=0,"",(Q927-R927)/Q927)</f>
        <v/>
      </c>
      <c r="T927" s="13">
        <f>YEAR(B927)</f>
        <v/>
      </c>
      <c r="U927" s="13">
        <f>YEAR(B927)&amp;"-Q"&amp;ROUNDUP(MONTH(B927)/3,0)</f>
        <v/>
      </c>
      <c r="V927" s="13">
        <f>TEXT(B927,"YYYY-MM")</f>
        <v/>
      </c>
      <c r="W927" s="13">
        <f>IF(L927="","",IF(L927&gt;pLateDays,1,0))</f>
        <v/>
      </c>
      <c r="X927" s="13">
        <f>IF(Q927&gt;=pHighCutoff,1,0)</f>
        <v/>
      </c>
      <c r="Y927" s="13">
        <f>IF(M927="Returned",1,0)</f>
        <v/>
      </c>
    </row>
    <row r="928">
      <c r="A928" s="13" t="inlineStr">
        <is>
          <t>HC-100926</t>
        </is>
      </c>
      <c r="B928" s="18" t="n">
        <v>45623</v>
      </c>
      <c r="C928" s="13" t="inlineStr">
        <is>
          <t>North</t>
        </is>
      </c>
      <c r="D928" s="13" t="inlineStr">
        <is>
          <t>Store</t>
        </is>
      </c>
      <c r="E928" s="13" t="inlineStr">
        <is>
          <t>Kitchen</t>
        </is>
      </c>
      <c r="F928" s="13" t="inlineStr">
        <is>
          <t>Chef Knife</t>
        </is>
      </c>
      <c r="G928" s="13" t="inlineStr">
        <is>
          <t>Home Office</t>
        </is>
      </c>
      <c r="H928" s="13" t="n">
        <v>4</v>
      </c>
      <c r="I928" s="14" t="n">
        <v>59.31</v>
      </c>
      <c r="J928" s="15" t="n">
        <v>0.09</v>
      </c>
      <c r="K928" s="14" t="n">
        <v>21.35</v>
      </c>
      <c r="L928" s="13" t="n">
        <v>2</v>
      </c>
      <c r="M928" s="13" t="inlineStr">
        <is>
          <t>Completed</t>
        </is>
      </c>
      <c r="N928" s="13" t="inlineStr">
        <is>
          <t>L. Berger</t>
        </is>
      </c>
      <c r="O928" s="13" t="inlineStr">
        <is>
          <t>No</t>
        </is>
      </c>
      <c r="P928" s="14">
        <f>H928*I928</f>
        <v/>
      </c>
      <c r="Q928" s="14">
        <f>P928*(1-J928)</f>
        <v/>
      </c>
      <c r="R928" s="14">
        <f>H928*K928</f>
        <v/>
      </c>
      <c r="S928" s="15">
        <f>IF(Q928=0,"",(Q928-R928)/Q928)</f>
        <v/>
      </c>
      <c r="T928" s="13">
        <f>YEAR(B928)</f>
        <v/>
      </c>
      <c r="U928" s="13">
        <f>YEAR(B928)&amp;"-Q"&amp;ROUNDUP(MONTH(B928)/3,0)</f>
        <v/>
      </c>
      <c r="V928" s="13">
        <f>TEXT(B928,"YYYY-MM")</f>
        <v/>
      </c>
      <c r="W928" s="13">
        <f>IF(L928="","",IF(L928&gt;pLateDays,1,0))</f>
        <v/>
      </c>
      <c r="X928" s="13">
        <f>IF(Q928&gt;=pHighCutoff,1,0)</f>
        <v/>
      </c>
      <c r="Y928" s="13">
        <f>IF(M928="Returned",1,0)</f>
        <v/>
      </c>
    </row>
    <row r="929">
      <c r="A929" s="13" t="inlineStr">
        <is>
          <t>HC-100927</t>
        </is>
      </c>
      <c r="B929" s="18" t="n">
        <v>45595</v>
      </c>
      <c r="C929" s="13" t="inlineStr">
        <is>
          <t>South</t>
        </is>
      </c>
      <c r="D929" s="13" t="inlineStr">
        <is>
          <t>Store</t>
        </is>
      </c>
      <c r="E929" s="13" t="inlineStr">
        <is>
          <t>Furniture</t>
        </is>
      </c>
      <c r="F929" s="13" t="inlineStr">
        <is>
          <t>Oak Desk</t>
        </is>
      </c>
      <c r="G929" s="13" t="inlineStr">
        <is>
          <t>Corporate</t>
        </is>
      </c>
      <c r="H929" s="13" t="n">
        <v>4</v>
      </c>
      <c r="I929" s="14" t="n">
        <v>897.59</v>
      </c>
      <c r="J929" s="15" t="n">
        <v>0.08</v>
      </c>
      <c r="K929" s="14" t="n">
        <v>556.51</v>
      </c>
      <c r="L929" s="13" t="n">
        <v>5</v>
      </c>
      <c r="M929" s="13" t="inlineStr">
        <is>
          <t>Completed</t>
        </is>
      </c>
      <c r="N929" s="13" t="inlineStr">
        <is>
          <t>R. Ibarra</t>
        </is>
      </c>
      <c r="O929" s="13" t="inlineStr">
        <is>
          <t>No</t>
        </is>
      </c>
      <c r="P929" s="14">
        <f>H929*I929</f>
        <v/>
      </c>
      <c r="Q929" s="14">
        <f>P929*(1-J929)</f>
        <v/>
      </c>
      <c r="R929" s="14">
        <f>H929*K929</f>
        <v/>
      </c>
      <c r="S929" s="15">
        <f>IF(Q929=0,"",(Q929-R929)/Q929)</f>
        <v/>
      </c>
      <c r="T929" s="13">
        <f>YEAR(B929)</f>
        <v/>
      </c>
      <c r="U929" s="13">
        <f>YEAR(B929)&amp;"-Q"&amp;ROUNDUP(MONTH(B929)/3,0)</f>
        <v/>
      </c>
      <c r="V929" s="13">
        <f>TEXT(B929,"YYYY-MM")</f>
        <v/>
      </c>
      <c r="W929" s="13">
        <f>IF(L929="","",IF(L929&gt;pLateDays,1,0))</f>
        <v/>
      </c>
      <c r="X929" s="13">
        <f>IF(Q929&gt;=pHighCutoff,1,0)</f>
        <v/>
      </c>
      <c r="Y929" s="13">
        <f>IF(M929="Returned",1,0)</f>
        <v/>
      </c>
    </row>
    <row r="930">
      <c r="A930" s="13" t="inlineStr">
        <is>
          <t>HC-100928</t>
        </is>
      </c>
      <c r="B930" s="18" t="n">
        <v>45827</v>
      </c>
      <c r="C930" s="13" t="inlineStr">
        <is>
          <t>South</t>
        </is>
      </c>
      <c r="D930" s="13" t="inlineStr">
        <is>
          <t>Online</t>
        </is>
      </c>
      <c r="E930" s="13" t="inlineStr">
        <is>
          <t>Lighting</t>
        </is>
      </c>
      <c r="F930" s="13" t="inlineStr">
        <is>
          <t>Pendant Light</t>
        </is>
      </c>
      <c r="G930" s="13" t="inlineStr">
        <is>
          <t>Corporate</t>
        </is>
      </c>
      <c r="H930" s="13" t="n">
        <v>1</v>
      </c>
      <c r="I930" s="14" t="n">
        <v>172.56</v>
      </c>
      <c r="J930" s="15" t="n">
        <v>0.12</v>
      </c>
      <c r="K930" s="14" t="n">
        <v>86.28</v>
      </c>
      <c r="L930" s="13" t="n">
        <v>6</v>
      </c>
      <c r="M930" s="13" t="inlineStr">
        <is>
          <t>Completed</t>
        </is>
      </c>
      <c r="N930" s="13" t="inlineStr">
        <is>
          <t>R. Ibarra</t>
        </is>
      </c>
      <c r="O930" s="13" t="inlineStr">
        <is>
          <t>No</t>
        </is>
      </c>
      <c r="P930" s="14">
        <f>H930*I930</f>
        <v/>
      </c>
      <c r="Q930" s="14">
        <f>P930*(1-J930)</f>
        <v/>
      </c>
      <c r="R930" s="14">
        <f>H930*K930</f>
        <v/>
      </c>
      <c r="S930" s="15">
        <f>IF(Q930=0,"",(Q930-R930)/Q930)</f>
        <v/>
      </c>
      <c r="T930" s="13">
        <f>YEAR(B930)</f>
        <v/>
      </c>
      <c r="U930" s="13">
        <f>YEAR(B930)&amp;"-Q"&amp;ROUNDUP(MONTH(B930)/3,0)</f>
        <v/>
      </c>
      <c r="V930" s="13">
        <f>TEXT(B930,"YYYY-MM")</f>
        <v/>
      </c>
      <c r="W930" s="13">
        <f>IF(L930="","",IF(L930&gt;pLateDays,1,0))</f>
        <v/>
      </c>
      <c r="X930" s="13">
        <f>IF(Q930&gt;=pHighCutoff,1,0)</f>
        <v/>
      </c>
      <c r="Y930" s="13">
        <f>IF(M930="Returned",1,0)</f>
        <v/>
      </c>
    </row>
    <row r="931">
      <c r="A931" s="13" t="inlineStr">
        <is>
          <t>HC-100929</t>
        </is>
      </c>
      <c r="B931" s="18" t="n">
        <v>45320</v>
      </c>
      <c r="C931" s="13" t="inlineStr">
        <is>
          <t>West</t>
        </is>
      </c>
      <c r="D931" s="13" t="inlineStr">
        <is>
          <t>Online</t>
        </is>
      </c>
      <c r="E931" s="13" t="inlineStr">
        <is>
          <t>Furniture</t>
        </is>
      </c>
      <c r="F931" s="13" t="inlineStr">
        <is>
          <t>Walnut Shelf</t>
        </is>
      </c>
      <c r="G931" s="13" t="inlineStr">
        <is>
          <t>Home Office</t>
        </is>
      </c>
      <c r="H931" s="13" t="n">
        <v>1</v>
      </c>
      <c r="I931" s="14" t="n">
        <v>224.58</v>
      </c>
      <c r="J931" s="15" t="n">
        <v>0.17</v>
      </c>
      <c r="K931" s="14" t="n">
        <v>123.52</v>
      </c>
      <c r="L931" s="13" t="n">
        <v>5</v>
      </c>
      <c r="M931" s="13" t="inlineStr">
        <is>
          <t>Completed</t>
        </is>
      </c>
      <c r="N931" s="13" t="inlineStr">
        <is>
          <t>J. Patel</t>
        </is>
      </c>
      <c r="O931" s="13" t="inlineStr">
        <is>
          <t>No</t>
        </is>
      </c>
      <c r="P931" s="14">
        <f>H931*I931</f>
        <v/>
      </c>
      <c r="Q931" s="14">
        <f>P931*(1-J931)</f>
        <v/>
      </c>
      <c r="R931" s="14">
        <f>H931*K931</f>
        <v/>
      </c>
      <c r="S931" s="15">
        <f>IF(Q931=0,"",(Q931-R931)/Q931)</f>
        <v/>
      </c>
      <c r="T931" s="13">
        <f>YEAR(B931)</f>
        <v/>
      </c>
      <c r="U931" s="13">
        <f>YEAR(B931)&amp;"-Q"&amp;ROUNDUP(MONTH(B931)/3,0)</f>
        <v/>
      </c>
      <c r="V931" s="13">
        <f>TEXT(B931,"YYYY-MM")</f>
        <v/>
      </c>
      <c r="W931" s="13">
        <f>IF(L931="","",IF(L931&gt;pLateDays,1,0))</f>
        <v/>
      </c>
      <c r="X931" s="13">
        <f>IF(Q931&gt;=pHighCutoff,1,0)</f>
        <v/>
      </c>
      <c r="Y931" s="13">
        <f>IF(M931="Returned",1,0)</f>
        <v/>
      </c>
    </row>
    <row r="932">
      <c r="A932" s="13" t="inlineStr">
        <is>
          <t>HC-100930</t>
        </is>
      </c>
      <c r="B932" s="18" t="n">
        <v>45761</v>
      </c>
      <c r="C932" s="13" t="inlineStr">
        <is>
          <t>West</t>
        </is>
      </c>
      <c r="D932" s="13" t="inlineStr">
        <is>
          <t>Store</t>
        </is>
      </c>
      <c r="E932" s="13" t="inlineStr">
        <is>
          <t>Kitchen</t>
        </is>
      </c>
      <c r="F932" s="13" t="inlineStr">
        <is>
          <t>Ceramic Set</t>
        </is>
      </c>
      <c r="G932" s="13" t="inlineStr">
        <is>
          <t>Consumer</t>
        </is>
      </c>
      <c r="H932" s="13" t="n">
        <v>4</v>
      </c>
      <c r="I932" s="14" t="n">
        <v>80.78</v>
      </c>
      <c r="J932" s="15" t="n">
        <v>0.08</v>
      </c>
      <c r="K932" s="14" t="n">
        <v>30.7</v>
      </c>
      <c r="L932" s="13" t="n">
        <v>8</v>
      </c>
      <c r="M932" s="13" t="inlineStr">
        <is>
          <t>Completed</t>
        </is>
      </c>
      <c r="N932" s="13" t="inlineStr">
        <is>
          <t>R. Ibarra</t>
        </is>
      </c>
      <c r="O932" s="13" t="inlineStr">
        <is>
          <t>No</t>
        </is>
      </c>
      <c r="P932" s="14">
        <f>H932*I932</f>
        <v/>
      </c>
      <c r="Q932" s="14">
        <f>P932*(1-J932)</f>
        <v/>
      </c>
      <c r="R932" s="14">
        <f>H932*K932</f>
        <v/>
      </c>
      <c r="S932" s="15">
        <f>IF(Q932=0,"",(Q932-R932)/Q932)</f>
        <v/>
      </c>
      <c r="T932" s="13">
        <f>YEAR(B932)</f>
        <v/>
      </c>
      <c r="U932" s="13">
        <f>YEAR(B932)&amp;"-Q"&amp;ROUNDUP(MONTH(B932)/3,0)</f>
        <v/>
      </c>
      <c r="V932" s="13">
        <f>TEXT(B932,"YYYY-MM")</f>
        <v/>
      </c>
      <c r="W932" s="13">
        <f>IF(L932="","",IF(L932&gt;pLateDays,1,0))</f>
        <v/>
      </c>
      <c r="X932" s="13">
        <f>IF(Q932&gt;=pHighCutoff,1,0)</f>
        <v/>
      </c>
      <c r="Y932" s="13">
        <f>IF(M932="Returned",1,0)</f>
        <v/>
      </c>
    </row>
    <row r="933">
      <c r="A933" s="13" t="inlineStr">
        <is>
          <t>HC-100931</t>
        </is>
      </c>
      <c r="B933" s="18" t="n">
        <v>45424</v>
      </c>
      <c r="C933" s="13" t="inlineStr">
        <is>
          <t>South</t>
        </is>
      </c>
      <c r="D933" s="13" t="inlineStr">
        <is>
          <t>Online</t>
        </is>
      </c>
      <c r="E933" s="13" t="inlineStr">
        <is>
          <t>Furniture</t>
        </is>
      </c>
      <c r="F933" s="13" t="inlineStr">
        <is>
          <t>Oak Desk</t>
        </is>
      </c>
      <c r="G933" s="13" t="inlineStr">
        <is>
          <t>Corporate</t>
        </is>
      </c>
      <c r="H933" s="13" t="n">
        <v>2</v>
      </c>
      <c r="I933" s="14" t="n">
        <v>812.34</v>
      </c>
      <c r="J933" s="15" t="n">
        <v>0.07000000000000001</v>
      </c>
      <c r="K933" s="14" t="n">
        <v>503.65</v>
      </c>
      <c r="L933" s="13" t="n">
        <v>4</v>
      </c>
      <c r="M933" s="13" t="inlineStr">
        <is>
          <t>Completed</t>
        </is>
      </c>
      <c r="N933" s="13" t="inlineStr">
        <is>
          <t>M. Okonkwo</t>
        </is>
      </c>
      <c r="O933" s="13" t="inlineStr">
        <is>
          <t>No</t>
        </is>
      </c>
      <c r="P933" s="14">
        <f>H933*I933</f>
        <v/>
      </c>
      <c r="Q933" s="14">
        <f>P933*(1-J933)</f>
        <v/>
      </c>
      <c r="R933" s="14">
        <f>H933*K933</f>
        <v/>
      </c>
      <c r="S933" s="15">
        <f>IF(Q933=0,"",(Q933-R933)/Q933)</f>
        <v/>
      </c>
      <c r="T933" s="13">
        <f>YEAR(B933)</f>
        <v/>
      </c>
      <c r="U933" s="13">
        <f>YEAR(B933)&amp;"-Q"&amp;ROUNDUP(MONTH(B933)/3,0)</f>
        <v/>
      </c>
      <c r="V933" s="13">
        <f>TEXT(B933,"YYYY-MM")</f>
        <v/>
      </c>
      <c r="W933" s="13">
        <f>IF(L933="","",IF(L933&gt;pLateDays,1,0))</f>
        <v/>
      </c>
      <c r="X933" s="13">
        <f>IF(Q933&gt;=pHighCutoff,1,0)</f>
        <v/>
      </c>
      <c r="Y933" s="13">
        <f>IF(M933="Returned",1,0)</f>
        <v/>
      </c>
    </row>
    <row r="934">
      <c r="A934" s="13" t="inlineStr">
        <is>
          <t>HC-100932</t>
        </is>
      </c>
      <c r="B934" s="18" t="n">
        <v>45689</v>
      </c>
      <c r="C934" s="13" t="inlineStr">
        <is>
          <t>North</t>
        </is>
      </c>
      <c r="D934" s="13" t="inlineStr">
        <is>
          <t>Online</t>
        </is>
      </c>
      <c r="E934" s="13" t="inlineStr">
        <is>
          <t>Furniture</t>
        </is>
      </c>
      <c r="F934" s="13" t="inlineStr">
        <is>
          <t>Lounge Chair</t>
        </is>
      </c>
      <c r="G934" s="13" t="inlineStr">
        <is>
          <t>Consumer</t>
        </is>
      </c>
      <c r="H934" s="13" t="n">
        <v>1</v>
      </c>
      <c r="I934" s="14" t="n">
        <v>487.68</v>
      </c>
      <c r="J934" s="15" t="n">
        <v>0.05</v>
      </c>
      <c r="K934" s="14" t="n">
        <v>292.61</v>
      </c>
      <c r="L934" s="13" t="n">
        <v>5</v>
      </c>
      <c r="M934" s="13" t="inlineStr">
        <is>
          <t>Completed</t>
        </is>
      </c>
      <c r="N934" s="13" t="inlineStr">
        <is>
          <t>P. Rossi</t>
        </is>
      </c>
      <c r="O934" s="13" t="inlineStr">
        <is>
          <t>No</t>
        </is>
      </c>
      <c r="P934" s="14">
        <f>H934*I934</f>
        <v/>
      </c>
      <c r="Q934" s="14">
        <f>P934*(1-J934)</f>
        <v/>
      </c>
      <c r="R934" s="14">
        <f>H934*K934</f>
        <v/>
      </c>
      <c r="S934" s="15">
        <f>IF(Q934=0,"",(Q934-R934)/Q934)</f>
        <v/>
      </c>
      <c r="T934" s="13">
        <f>YEAR(B934)</f>
        <v/>
      </c>
      <c r="U934" s="13">
        <f>YEAR(B934)&amp;"-Q"&amp;ROUNDUP(MONTH(B934)/3,0)</f>
        <v/>
      </c>
      <c r="V934" s="13">
        <f>TEXT(B934,"YYYY-MM")</f>
        <v/>
      </c>
      <c r="W934" s="13">
        <f>IF(L934="","",IF(L934&gt;pLateDays,1,0))</f>
        <v/>
      </c>
      <c r="X934" s="13">
        <f>IF(Q934&gt;=pHighCutoff,1,0)</f>
        <v/>
      </c>
      <c r="Y934" s="13">
        <f>IF(M934="Returned",1,0)</f>
        <v/>
      </c>
    </row>
    <row r="935">
      <c r="A935" s="13" t="inlineStr">
        <is>
          <t>HC-100933</t>
        </is>
      </c>
      <c r="B935" s="18" t="n">
        <v>45373</v>
      </c>
      <c r="C935" s="13" t="inlineStr">
        <is>
          <t>West</t>
        </is>
      </c>
      <c r="D935" s="13" t="inlineStr">
        <is>
          <t>Store</t>
        </is>
      </c>
      <c r="E935" s="13" t="inlineStr">
        <is>
          <t>Furniture</t>
        </is>
      </c>
      <c r="F935" s="13" t="inlineStr">
        <is>
          <t>Oak Desk</t>
        </is>
      </c>
      <c r="G935" s="13" t="inlineStr">
        <is>
          <t>Consumer</t>
        </is>
      </c>
      <c r="H935" s="13" t="n">
        <v>2</v>
      </c>
      <c r="I935" s="14" t="n">
        <v>899.6799999999999</v>
      </c>
      <c r="J935" s="15" t="n">
        <v>0.09</v>
      </c>
      <c r="K935" s="14" t="n">
        <v>557.8</v>
      </c>
      <c r="L935" s="13" t="n">
        <v>4</v>
      </c>
      <c r="M935" s="13" t="inlineStr">
        <is>
          <t>Completed</t>
        </is>
      </c>
      <c r="N935" s="13" t="inlineStr">
        <is>
          <t>R. Ibarra</t>
        </is>
      </c>
      <c r="O935" s="13" t="inlineStr">
        <is>
          <t>No</t>
        </is>
      </c>
      <c r="P935" s="14">
        <f>H935*I935</f>
        <v/>
      </c>
      <c r="Q935" s="14">
        <f>P935*(1-J935)</f>
        <v/>
      </c>
      <c r="R935" s="14">
        <f>H935*K935</f>
        <v/>
      </c>
      <c r="S935" s="15">
        <f>IF(Q935=0,"",(Q935-R935)/Q935)</f>
        <v/>
      </c>
      <c r="T935" s="13">
        <f>YEAR(B935)</f>
        <v/>
      </c>
      <c r="U935" s="13">
        <f>YEAR(B935)&amp;"-Q"&amp;ROUNDUP(MONTH(B935)/3,0)</f>
        <v/>
      </c>
      <c r="V935" s="13">
        <f>TEXT(B935,"YYYY-MM")</f>
        <v/>
      </c>
      <c r="W935" s="13">
        <f>IF(L935="","",IF(L935&gt;pLateDays,1,0))</f>
        <v/>
      </c>
      <c r="X935" s="13">
        <f>IF(Q935&gt;=pHighCutoff,1,0)</f>
        <v/>
      </c>
      <c r="Y935" s="13">
        <f>IF(M935="Returned",1,0)</f>
        <v/>
      </c>
    </row>
    <row r="936">
      <c r="A936" s="13" t="inlineStr">
        <is>
          <t>HC-100934</t>
        </is>
      </c>
      <c r="B936" s="18" t="n">
        <v>45821</v>
      </c>
      <c r="C936" s="13" t="inlineStr">
        <is>
          <t>West</t>
        </is>
      </c>
      <c r="D936" s="13" t="inlineStr">
        <is>
          <t>Online</t>
        </is>
      </c>
      <c r="E936" s="13" t="inlineStr">
        <is>
          <t>Lighting</t>
        </is>
      </c>
      <c r="F936" s="13" t="inlineStr">
        <is>
          <t>Brass Sconce</t>
        </is>
      </c>
      <c r="G936" s="13" t="inlineStr">
        <is>
          <t>Home Office</t>
        </is>
      </c>
      <c r="H936" s="13" t="n">
        <v>3</v>
      </c>
      <c r="I936" s="14" t="n">
        <v>151.12</v>
      </c>
      <c r="J936" s="15" t="n">
        <v>0.06</v>
      </c>
      <c r="K936" s="14" t="n">
        <v>69.52</v>
      </c>
      <c r="L936" s="13" t="n">
        <v>4</v>
      </c>
      <c r="M936" s="13" t="inlineStr">
        <is>
          <t>Cancelled</t>
        </is>
      </c>
      <c r="N936" s="13" t="inlineStr">
        <is>
          <t>L. Berger</t>
        </is>
      </c>
      <c r="O936" s="13" t="inlineStr">
        <is>
          <t>No</t>
        </is>
      </c>
      <c r="P936" s="14">
        <f>H936*I936</f>
        <v/>
      </c>
      <c r="Q936" s="14">
        <f>P936*(1-J936)</f>
        <v/>
      </c>
      <c r="R936" s="14">
        <f>H936*K936</f>
        <v/>
      </c>
      <c r="S936" s="15">
        <f>IF(Q936=0,"",(Q936-R936)/Q936)</f>
        <v/>
      </c>
      <c r="T936" s="13">
        <f>YEAR(B936)</f>
        <v/>
      </c>
      <c r="U936" s="13">
        <f>YEAR(B936)&amp;"-Q"&amp;ROUNDUP(MONTH(B936)/3,0)</f>
        <v/>
      </c>
      <c r="V936" s="13">
        <f>TEXT(B936,"YYYY-MM")</f>
        <v/>
      </c>
      <c r="W936" s="13">
        <f>IF(L936="","",IF(L936&gt;pLateDays,1,0))</f>
        <v/>
      </c>
      <c r="X936" s="13">
        <f>IF(Q936&gt;=pHighCutoff,1,0)</f>
        <v/>
      </c>
      <c r="Y936" s="13">
        <f>IF(M936="Returned",1,0)</f>
        <v/>
      </c>
    </row>
    <row r="937">
      <c r="A937" s="13" t="inlineStr">
        <is>
          <t>HC-100935</t>
        </is>
      </c>
      <c r="B937" s="18" t="n">
        <v>45461</v>
      </c>
      <c r="C937" s="13" t="inlineStr">
        <is>
          <t>West</t>
        </is>
      </c>
      <c r="D937" s="13" t="inlineStr">
        <is>
          <t>Wholesale</t>
        </is>
      </c>
      <c r="E937" s="13" t="inlineStr">
        <is>
          <t>Furniture</t>
        </is>
      </c>
      <c r="F937" s="13" t="inlineStr">
        <is>
          <t>Walnut Shelf</t>
        </is>
      </c>
      <c r="G937" s="13" t="inlineStr">
        <is>
          <t>Consumer</t>
        </is>
      </c>
      <c r="H937" s="13" t="n">
        <v>16</v>
      </c>
      <c r="I937" s="14" t="n">
        <v>233.21</v>
      </c>
      <c r="J937" s="15" t="n">
        <v>0.22</v>
      </c>
      <c r="K937" s="14" t="n">
        <v>128.27</v>
      </c>
      <c r="L937" s="13" t="n">
        <v>7</v>
      </c>
      <c r="M937" s="13" t="inlineStr">
        <is>
          <t>Cancelled</t>
        </is>
      </c>
      <c r="N937" s="13" t="inlineStr">
        <is>
          <t>A. Shah</t>
        </is>
      </c>
      <c r="O937" s="13" t="inlineStr">
        <is>
          <t>No</t>
        </is>
      </c>
      <c r="P937" s="14">
        <f>H937*I937</f>
        <v/>
      </c>
      <c r="Q937" s="14">
        <f>P937*(1-J937)</f>
        <v/>
      </c>
      <c r="R937" s="14">
        <f>H937*K937</f>
        <v/>
      </c>
      <c r="S937" s="15">
        <f>IF(Q937=0,"",(Q937-R937)/Q937)</f>
        <v/>
      </c>
      <c r="T937" s="13">
        <f>YEAR(B937)</f>
        <v/>
      </c>
      <c r="U937" s="13">
        <f>YEAR(B937)&amp;"-Q"&amp;ROUNDUP(MONTH(B937)/3,0)</f>
        <v/>
      </c>
      <c r="V937" s="13">
        <f>TEXT(B937,"YYYY-MM")</f>
        <v/>
      </c>
      <c r="W937" s="13">
        <f>IF(L937="","",IF(L937&gt;pLateDays,1,0))</f>
        <v/>
      </c>
      <c r="X937" s="13">
        <f>IF(Q937&gt;=pHighCutoff,1,0)</f>
        <v/>
      </c>
      <c r="Y937" s="13">
        <f>IF(M937="Returned",1,0)</f>
        <v/>
      </c>
    </row>
    <row r="938">
      <c r="A938" s="13" t="inlineStr">
        <is>
          <t>HC-100936</t>
        </is>
      </c>
      <c r="B938" s="18" t="n">
        <v>45898</v>
      </c>
      <c r="C938" s="13" t="inlineStr">
        <is>
          <t>East</t>
        </is>
      </c>
      <c r="D938" s="13" t="inlineStr">
        <is>
          <t>Store</t>
        </is>
      </c>
      <c r="E938" s="13" t="inlineStr">
        <is>
          <t>Textiles</t>
        </is>
      </c>
      <c r="F938" s="13" t="inlineStr">
        <is>
          <t>Linen Curtain</t>
        </is>
      </c>
      <c r="G938" s="13" t="inlineStr">
        <is>
          <t>Consumer</t>
        </is>
      </c>
      <c r="H938" s="13" t="n">
        <v>1</v>
      </c>
      <c r="I938" s="14" t="n">
        <v>79.09</v>
      </c>
      <c r="J938" s="15" t="n">
        <v>0.04</v>
      </c>
      <c r="K938" s="14" t="n">
        <v>35.59</v>
      </c>
      <c r="L938" s="13" t="n">
        <v>10</v>
      </c>
      <c r="M938" s="13" t="inlineStr">
        <is>
          <t>Completed</t>
        </is>
      </c>
      <c r="N938" s="13" t="inlineStr">
        <is>
          <t>J. Patel</t>
        </is>
      </c>
      <c r="O938" s="13" t="inlineStr">
        <is>
          <t>No</t>
        </is>
      </c>
      <c r="P938" s="14">
        <f>H938*I938</f>
        <v/>
      </c>
      <c r="Q938" s="14">
        <f>P938*(1-J938)</f>
        <v/>
      </c>
      <c r="R938" s="14">
        <f>H938*K938</f>
        <v/>
      </c>
      <c r="S938" s="15">
        <f>IF(Q938=0,"",(Q938-R938)/Q938)</f>
        <v/>
      </c>
      <c r="T938" s="13">
        <f>YEAR(B938)</f>
        <v/>
      </c>
      <c r="U938" s="13">
        <f>YEAR(B938)&amp;"-Q"&amp;ROUNDUP(MONTH(B938)/3,0)</f>
        <v/>
      </c>
      <c r="V938" s="13">
        <f>TEXT(B938,"YYYY-MM")</f>
        <v/>
      </c>
      <c r="W938" s="13">
        <f>IF(L938="","",IF(L938&gt;pLateDays,1,0))</f>
        <v/>
      </c>
      <c r="X938" s="13">
        <f>IF(Q938&gt;=pHighCutoff,1,0)</f>
        <v/>
      </c>
      <c r="Y938" s="13">
        <f>IF(M938="Returned",1,0)</f>
        <v/>
      </c>
    </row>
    <row r="939">
      <c r="A939" s="13" t="inlineStr">
        <is>
          <t>HC-100937</t>
        </is>
      </c>
      <c r="B939" s="18" t="n">
        <v>45646</v>
      </c>
      <c r="C939" s="13" t="inlineStr">
        <is>
          <t>South</t>
        </is>
      </c>
      <c r="D939" s="13" t="inlineStr">
        <is>
          <t>Store</t>
        </is>
      </c>
      <c r="E939" s="13" t="inlineStr">
        <is>
          <t>Lighting</t>
        </is>
      </c>
      <c r="F939" s="13" t="inlineStr">
        <is>
          <t>Arc Lamp</t>
        </is>
      </c>
      <c r="G939" s="13" t="inlineStr">
        <is>
          <t>Consumer</t>
        </is>
      </c>
      <c r="H939" s="13" t="n">
        <v>4</v>
      </c>
      <c r="I939" s="14" t="n">
        <v>312.06</v>
      </c>
      <c r="J939" s="15" t="n">
        <v>0.03</v>
      </c>
      <c r="K939" s="14" t="n">
        <v>149.79</v>
      </c>
      <c r="L939" s="13" t="n">
        <v>9</v>
      </c>
      <c r="M939" s="13" t="inlineStr">
        <is>
          <t>Cancelled</t>
        </is>
      </c>
      <c r="N939" s="13" t="inlineStr">
        <is>
          <t>J. Patel</t>
        </is>
      </c>
      <c r="O939" s="13" t="inlineStr">
        <is>
          <t>No</t>
        </is>
      </c>
      <c r="P939" s="14">
        <f>H939*I939</f>
        <v/>
      </c>
      <c r="Q939" s="14">
        <f>P939*(1-J939)</f>
        <v/>
      </c>
      <c r="R939" s="14">
        <f>H939*K939</f>
        <v/>
      </c>
      <c r="S939" s="15">
        <f>IF(Q939=0,"",(Q939-R939)/Q939)</f>
        <v/>
      </c>
      <c r="T939" s="13">
        <f>YEAR(B939)</f>
        <v/>
      </c>
      <c r="U939" s="13">
        <f>YEAR(B939)&amp;"-Q"&amp;ROUNDUP(MONTH(B939)/3,0)</f>
        <v/>
      </c>
      <c r="V939" s="13">
        <f>TEXT(B939,"YYYY-MM")</f>
        <v/>
      </c>
      <c r="W939" s="13">
        <f>IF(L939="","",IF(L939&gt;pLateDays,1,0))</f>
        <v/>
      </c>
      <c r="X939" s="13">
        <f>IF(Q939&gt;=pHighCutoff,1,0)</f>
        <v/>
      </c>
      <c r="Y939" s="13">
        <f>IF(M939="Returned",1,0)</f>
        <v/>
      </c>
    </row>
    <row r="940">
      <c r="A940" s="13" t="inlineStr">
        <is>
          <t>HC-100938</t>
        </is>
      </c>
      <c r="B940" s="18" t="n">
        <v>45883</v>
      </c>
      <c r="C940" s="13" t="inlineStr">
        <is>
          <t>North</t>
        </is>
      </c>
      <c r="D940" s="13" t="inlineStr">
        <is>
          <t>Wholesale</t>
        </is>
      </c>
      <c r="E940" s="13" t="inlineStr">
        <is>
          <t>Kitchen</t>
        </is>
      </c>
      <c r="F940" s="13" t="inlineStr">
        <is>
          <t>Chef Knife</t>
        </is>
      </c>
      <c r="G940" s="13" t="inlineStr">
        <is>
          <t>Corporate</t>
        </is>
      </c>
      <c r="H940" s="13" t="n">
        <v>24</v>
      </c>
      <c r="I940" s="14" t="n">
        <v>65.23999999999999</v>
      </c>
      <c r="J940" s="15" t="n">
        <v>0.13</v>
      </c>
      <c r="K940" s="14" t="n">
        <v>23.49</v>
      </c>
      <c r="L940" s="13" t="n">
        <v>7</v>
      </c>
      <c r="M940" s="13" t="inlineStr">
        <is>
          <t>Completed</t>
        </is>
      </c>
      <c r="N940" s="13" t="inlineStr">
        <is>
          <t>J. Patel</t>
        </is>
      </c>
      <c r="O940" s="13" t="inlineStr">
        <is>
          <t>No</t>
        </is>
      </c>
      <c r="P940" s="14">
        <f>H940*I940</f>
        <v/>
      </c>
      <c r="Q940" s="14">
        <f>P940*(1-J940)</f>
        <v/>
      </c>
      <c r="R940" s="14">
        <f>H940*K940</f>
        <v/>
      </c>
      <c r="S940" s="15">
        <f>IF(Q940=0,"",(Q940-R940)/Q940)</f>
        <v/>
      </c>
      <c r="T940" s="13">
        <f>YEAR(B940)</f>
        <v/>
      </c>
      <c r="U940" s="13">
        <f>YEAR(B940)&amp;"-Q"&amp;ROUNDUP(MONTH(B940)/3,0)</f>
        <v/>
      </c>
      <c r="V940" s="13">
        <f>TEXT(B940,"YYYY-MM")</f>
        <v/>
      </c>
      <c r="W940" s="13">
        <f>IF(L940="","",IF(L940&gt;pLateDays,1,0))</f>
        <v/>
      </c>
      <c r="X940" s="13">
        <f>IF(Q940&gt;=pHighCutoff,1,0)</f>
        <v/>
      </c>
      <c r="Y940" s="13">
        <f>IF(M940="Returned",1,0)</f>
        <v/>
      </c>
    </row>
    <row r="941">
      <c r="A941" s="13" t="inlineStr">
        <is>
          <t>HC-100939</t>
        </is>
      </c>
      <c r="B941" s="18" t="n">
        <v>45547</v>
      </c>
      <c r="C941" s="13" t="inlineStr">
        <is>
          <t>East</t>
        </is>
      </c>
      <c r="D941" s="13" t="inlineStr">
        <is>
          <t>Store</t>
        </is>
      </c>
      <c r="E941" s="13" t="inlineStr">
        <is>
          <t>Furniture</t>
        </is>
      </c>
      <c r="F941" s="13" t="inlineStr">
        <is>
          <t>Lounge Chair</t>
        </is>
      </c>
      <c r="G941" s="13" t="inlineStr">
        <is>
          <t>Home Office</t>
        </is>
      </c>
      <c r="H941" s="13" t="n">
        <v>1</v>
      </c>
      <c r="I941" s="14" t="n">
        <v>443.94</v>
      </c>
      <c r="J941" s="15" t="n">
        <v>0.08</v>
      </c>
      <c r="K941" s="14" t="n">
        <v>266.36</v>
      </c>
      <c r="L941" s="13" t="n">
        <v>11</v>
      </c>
      <c r="M941" s="13" t="inlineStr">
        <is>
          <t>Completed</t>
        </is>
      </c>
      <c r="N941" s="13" t="inlineStr">
        <is>
          <t>A. Shah</t>
        </is>
      </c>
      <c r="O941" s="13" t="inlineStr">
        <is>
          <t>No</t>
        </is>
      </c>
      <c r="P941" s="14">
        <f>H941*I941</f>
        <v/>
      </c>
      <c r="Q941" s="14">
        <f>P941*(1-J941)</f>
        <v/>
      </c>
      <c r="R941" s="14">
        <f>H941*K941</f>
        <v/>
      </c>
      <c r="S941" s="15">
        <f>IF(Q941=0,"",(Q941-R941)/Q941)</f>
        <v/>
      </c>
      <c r="T941" s="13">
        <f>YEAR(B941)</f>
        <v/>
      </c>
      <c r="U941" s="13">
        <f>YEAR(B941)&amp;"-Q"&amp;ROUNDUP(MONTH(B941)/3,0)</f>
        <v/>
      </c>
      <c r="V941" s="13">
        <f>TEXT(B941,"YYYY-MM")</f>
        <v/>
      </c>
      <c r="W941" s="13">
        <f>IF(L941="","",IF(L941&gt;pLateDays,1,0))</f>
        <v/>
      </c>
      <c r="X941" s="13">
        <f>IF(Q941&gt;=pHighCutoff,1,0)</f>
        <v/>
      </c>
      <c r="Y941" s="13">
        <f>IF(M941="Returned",1,0)</f>
        <v/>
      </c>
    </row>
    <row r="942">
      <c r="A942" s="13" t="inlineStr">
        <is>
          <t>HC-100940</t>
        </is>
      </c>
      <c r="B942" s="18" t="n">
        <v>45718</v>
      </c>
      <c r="C942" s="13" t="inlineStr">
        <is>
          <t>West</t>
        </is>
      </c>
      <c r="D942" s="13" t="inlineStr">
        <is>
          <t>Wholesale</t>
        </is>
      </c>
      <c r="E942" s="13" t="inlineStr">
        <is>
          <t>Furniture</t>
        </is>
      </c>
      <c r="F942" s="13" t="inlineStr">
        <is>
          <t>Oak Desk</t>
        </is>
      </c>
      <c r="G942" s="13" t="inlineStr">
        <is>
          <t>Home Office</t>
        </is>
      </c>
      <c r="H942" s="13" t="n">
        <v>22</v>
      </c>
      <c r="I942" s="14" t="n">
        <v>773.34</v>
      </c>
      <c r="J942" s="15" t="n">
        <v>0.25</v>
      </c>
      <c r="K942" s="14" t="n">
        <v>479.47</v>
      </c>
      <c r="L942" s="13" t="n">
        <v>3</v>
      </c>
      <c r="M942" s="13" t="inlineStr">
        <is>
          <t>Completed</t>
        </is>
      </c>
      <c r="N942" s="13" t="inlineStr">
        <is>
          <t>P. Rossi</t>
        </is>
      </c>
      <c r="O942" s="13" t="inlineStr">
        <is>
          <t>No</t>
        </is>
      </c>
      <c r="P942" s="14">
        <f>H942*I942</f>
        <v/>
      </c>
      <c r="Q942" s="14">
        <f>P942*(1-J942)</f>
        <v/>
      </c>
      <c r="R942" s="14">
        <f>H942*K942</f>
        <v/>
      </c>
      <c r="S942" s="15">
        <f>IF(Q942=0,"",(Q942-R942)/Q942)</f>
        <v/>
      </c>
      <c r="T942" s="13">
        <f>YEAR(B942)</f>
        <v/>
      </c>
      <c r="U942" s="13">
        <f>YEAR(B942)&amp;"-Q"&amp;ROUNDUP(MONTH(B942)/3,0)</f>
        <v/>
      </c>
      <c r="V942" s="13">
        <f>TEXT(B942,"YYYY-MM")</f>
        <v/>
      </c>
      <c r="W942" s="13">
        <f>IF(L942="","",IF(L942&gt;pLateDays,1,0))</f>
        <v/>
      </c>
      <c r="X942" s="13">
        <f>IF(Q942&gt;=pHighCutoff,1,0)</f>
        <v/>
      </c>
      <c r="Y942" s="13">
        <f>IF(M942="Returned",1,0)</f>
        <v/>
      </c>
    </row>
    <row r="943">
      <c r="A943" s="13" t="inlineStr">
        <is>
          <t>HC-100941</t>
        </is>
      </c>
      <c r="B943" s="18" t="n">
        <v>45442</v>
      </c>
      <c r="C943" s="13" t="inlineStr">
        <is>
          <t>East</t>
        </is>
      </c>
      <c r="D943" s="13" t="inlineStr">
        <is>
          <t>Online</t>
        </is>
      </c>
      <c r="E943" s="13" t="inlineStr">
        <is>
          <t>Textiles</t>
        </is>
      </c>
      <c r="F943" s="13" t="inlineStr">
        <is>
          <t>Cotton Duvet</t>
        </is>
      </c>
      <c r="G943" s="13" t="inlineStr">
        <is>
          <t>Consumer</t>
        </is>
      </c>
      <c r="H943" s="13" t="n">
        <v>3</v>
      </c>
      <c r="I943" s="14" t="n">
        <v>110.59</v>
      </c>
      <c r="J943" s="15" t="n">
        <v>0.14</v>
      </c>
      <c r="K943" s="14" t="n">
        <v>48.66</v>
      </c>
      <c r="L943" s="13" t="n">
        <v>9</v>
      </c>
      <c r="M943" s="13" t="inlineStr">
        <is>
          <t>Completed</t>
        </is>
      </c>
      <c r="N943" s="13" t="inlineStr">
        <is>
          <t>R. Ibarra</t>
        </is>
      </c>
      <c r="O943" s="13" t="inlineStr">
        <is>
          <t>No</t>
        </is>
      </c>
      <c r="P943" s="14">
        <f>H943*I943</f>
        <v/>
      </c>
      <c r="Q943" s="14">
        <f>P943*(1-J943)</f>
        <v/>
      </c>
      <c r="R943" s="14">
        <f>H943*K943</f>
        <v/>
      </c>
      <c r="S943" s="15">
        <f>IF(Q943=0,"",(Q943-R943)/Q943)</f>
        <v/>
      </c>
      <c r="T943" s="13">
        <f>YEAR(B943)</f>
        <v/>
      </c>
      <c r="U943" s="13">
        <f>YEAR(B943)&amp;"-Q"&amp;ROUNDUP(MONTH(B943)/3,0)</f>
        <v/>
      </c>
      <c r="V943" s="13">
        <f>TEXT(B943,"YYYY-MM")</f>
        <v/>
      </c>
      <c r="W943" s="13">
        <f>IF(L943="","",IF(L943&gt;pLateDays,1,0))</f>
        <v/>
      </c>
      <c r="X943" s="13">
        <f>IF(Q943&gt;=pHighCutoff,1,0)</f>
        <v/>
      </c>
      <c r="Y943" s="13">
        <f>IF(M943="Returned",1,0)</f>
        <v/>
      </c>
    </row>
    <row r="944">
      <c r="A944" s="13" t="inlineStr">
        <is>
          <t>HC-100942</t>
        </is>
      </c>
      <c r="B944" s="18" t="n">
        <v>45323</v>
      </c>
      <c r="C944" s="13" t="inlineStr">
        <is>
          <t>East</t>
        </is>
      </c>
      <c r="D944" s="13" t="inlineStr">
        <is>
          <t>Store</t>
        </is>
      </c>
      <c r="E944" s="13" t="inlineStr">
        <is>
          <t>Textiles</t>
        </is>
      </c>
      <c r="F944" s="13" t="inlineStr">
        <is>
          <t>Wool Throw</t>
        </is>
      </c>
      <c r="G944" s="13" t="inlineStr">
        <is>
          <t>Consumer</t>
        </is>
      </c>
      <c r="H944" s="13" t="n">
        <v>1</v>
      </c>
      <c r="I944" s="14" t="n">
        <v>62.87</v>
      </c>
      <c r="J944" s="15" t="n">
        <v>0.09</v>
      </c>
      <c r="K944" s="14" t="n">
        <v>26.4</v>
      </c>
      <c r="L944" s="13" t="n">
        <v>11</v>
      </c>
      <c r="M944" s="13" t="inlineStr">
        <is>
          <t>Completed</t>
        </is>
      </c>
      <c r="N944" s="13" t="inlineStr">
        <is>
          <t>S. Nguyen</t>
        </is>
      </c>
      <c r="O944" s="13" t="inlineStr">
        <is>
          <t>No</t>
        </is>
      </c>
      <c r="P944" s="14">
        <f>H944*I944</f>
        <v/>
      </c>
      <c r="Q944" s="14">
        <f>P944*(1-J944)</f>
        <v/>
      </c>
      <c r="R944" s="14">
        <f>H944*K944</f>
        <v/>
      </c>
      <c r="S944" s="15">
        <f>IF(Q944=0,"",(Q944-R944)/Q944)</f>
        <v/>
      </c>
      <c r="T944" s="13">
        <f>YEAR(B944)</f>
        <v/>
      </c>
      <c r="U944" s="13">
        <f>YEAR(B944)&amp;"-Q"&amp;ROUNDUP(MONTH(B944)/3,0)</f>
        <v/>
      </c>
      <c r="V944" s="13">
        <f>TEXT(B944,"YYYY-MM")</f>
        <v/>
      </c>
      <c r="W944" s="13">
        <f>IF(L944="","",IF(L944&gt;pLateDays,1,0))</f>
        <v/>
      </c>
      <c r="X944" s="13">
        <f>IF(Q944&gt;=pHighCutoff,1,0)</f>
        <v/>
      </c>
      <c r="Y944" s="13">
        <f>IF(M944="Returned",1,0)</f>
        <v/>
      </c>
    </row>
    <row r="945">
      <c r="A945" s="13" t="inlineStr">
        <is>
          <t>HC-100943</t>
        </is>
      </c>
      <c r="B945" s="18" t="n">
        <v>45815</v>
      </c>
      <c r="C945" s="13" t="inlineStr">
        <is>
          <t>South</t>
        </is>
      </c>
      <c r="D945" s="13" t="inlineStr">
        <is>
          <t>Store</t>
        </is>
      </c>
      <c r="E945" s="13" t="inlineStr">
        <is>
          <t>Furniture</t>
        </is>
      </c>
      <c r="F945" s="13" t="inlineStr">
        <is>
          <t>Lounge Chair</t>
        </is>
      </c>
      <c r="G945" s="13" t="inlineStr">
        <is>
          <t>Consumer</t>
        </is>
      </c>
      <c r="H945" s="13" t="n">
        <v>3</v>
      </c>
      <c r="I945" s="14" t="n">
        <v>455.17</v>
      </c>
      <c r="J945" s="15" t="n">
        <v>0.03</v>
      </c>
      <c r="K945" s="14" t="n">
        <v>273.1</v>
      </c>
      <c r="L945" s="13" t="n">
        <v>5</v>
      </c>
      <c r="M945" s="13" t="inlineStr">
        <is>
          <t>Completed</t>
        </is>
      </c>
      <c r="N945" s="13" t="inlineStr">
        <is>
          <t>P. Rossi</t>
        </is>
      </c>
      <c r="O945" s="13" t="inlineStr">
        <is>
          <t>No</t>
        </is>
      </c>
      <c r="P945" s="14">
        <f>H945*I945</f>
        <v/>
      </c>
      <c r="Q945" s="14">
        <f>P945*(1-J945)</f>
        <v/>
      </c>
      <c r="R945" s="14">
        <f>H945*K945</f>
        <v/>
      </c>
      <c r="S945" s="15">
        <f>IF(Q945=0,"",(Q945-R945)/Q945)</f>
        <v/>
      </c>
      <c r="T945" s="13">
        <f>YEAR(B945)</f>
        <v/>
      </c>
      <c r="U945" s="13">
        <f>YEAR(B945)&amp;"-Q"&amp;ROUNDUP(MONTH(B945)/3,0)</f>
        <v/>
      </c>
      <c r="V945" s="13">
        <f>TEXT(B945,"YYYY-MM")</f>
        <v/>
      </c>
      <c r="W945" s="13">
        <f>IF(L945="","",IF(L945&gt;pLateDays,1,0))</f>
        <v/>
      </c>
      <c r="X945" s="13">
        <f>IF(Q945&gt;=pHighCutoff,1,0)</f>
        <v/>
      </c>
      <c r="Y945" s="13">
        <f>IF(M945="Returned",1,0)</f>
        <v/>
      </c>
    </row>
    <row r="946">
      <c r="A946" s="13" t="inlineStr">
        <is>
          <t>HC-100944</t>
        </is>
      </c>
      <c r="B946" s="18" t="n">
        <v>45680</v>
      </c>
      <c r="C946" s="13" t="inlineStr">
        <is>
          <t>West</t>
        </is>
      </c>
      <c r="D946" s="13" t="inlineStr">
        <is>
          <t>Store</t>
        </is>
      </c>
      <c r="E946" s="13" t="inlineStr">
        <is>
          <t>Furniture</t>
        </is>
      </c>
      <c r="F946" s="13" t="inlineStr">
        <is>
          <t>Lounge Chair</t>
        </is>
      </c>
      <c r="G946" s="13" t="inlineStr">
        <is>
          <t>Corporate</t>
        </is>
      </c>
      <c r="H946" s="13" t="n">
        <v>3</v>
      </c>
      <c r="I946" s="14" t="n">
        <v>491.1</v>
      </c>
      <c r="J946" s="15" t="n">
        <v>0.04</v>
      </c>
      <c r="K946" s="14" t="n">
        <v>294.66</v>
      </c>
      <c r="L946" s="13" t="n">
        <v>3</v>
      </c>
      <c r="M946" s="13" t="inlineStr">
        <is>
          <t>Completed</t>
        </is>
      </c>
      <c r="N946" s="13" t="inlineStr">
        <is>
          <t>L. Berger</t>
        </is>
      </c>
      <c r="O946" s="13" t="inlineStr">
        <is>
          <t>No</t>
        </is>
      </c>
      <c r="P946" s="14">
        <f>H946*I946</f>
        <v/>
      </c>
      <c r="Q946" s="14">
        <f>P946*(1-J946)</f>
        <v/>
      </c>
      <c r="R946" s="14">
        <f>H946*K946</f>
        <v/>
      </c>
      <c r="S946" s="15">
        <f>IF(Q946=0,"",(Q946-R946)/Q946)</f>
        <v/>
      </c>
      <c r="T946" s="13">
        <f>YEAR(B946)</f>
        <v/>
      </c>
      <c r="U946" s="13">
        <f>YEAR(B946)&amp;"-Q"&amp;ROUNDUP(MONTH(B946)/3,0)</f>
        <v/>
      </c>
      <c r="V946" s="13">
        <f>TEXT(B946,"YYYY-MM")</f>
        <v/>
      </c>
      <c r="W946" s="13">
        <f>IF(L946="","",IF(L946&gt;pLateDays,1,0))</f>
        <v/>
      </c>
      <c r="X946" s="13">
        <f>IF(Q946&gt;=pHighCutoff,1,0)</f>
        <v/>
      </c>
      <c r="Y946" s="13">
        <f>IF(M946="Returned",1,0)</f>
        <v/>
      </c>
    </row>
    <row r="947">
      <c r="A947" s="13" t="inlineStr">
        <is>
          <t>HC-100945</t>
        </is>
      </c>
      <c r="B947" s="18" t="n">
        <v>45598</v>
      </c>
      <c r="C947" s="13" t="inlineStr">
        <is>
          <t>East</t>
        </is>
      </c>
      <c r="D947" s="13" t="inlineStr">
        <is>
          <t>Store</t>
        </is>
      </c>
      <c r="E947" s="13" t="inlineStr">
        <is>
          <t>Furniture</t>
        </is>
      </c>
      <c r="F947" s="13" t="inlineStr">
        <is>
          <t>Lounge Chair</t>
        </is>
      </c>
      <c r="G947" s="13" t="inlineStr">
        <is>
          <t>Home Office</t>
        </is>
      </c>
      <c r="H947" s="13" t="n">
        <v>2</v>
      </c>
      <c r="I947" s="14" t="n">
        <v>421.35</v>
      </c>
      <c r="J947" s="15" t="n">
        <v>0.12</v>
      </c>
      <c r="K947" s="14" t="n">
        <v>252.81</v>
      </c>
      <c r="L947" s="13" t="n">
        <v>9</v>
      </c>
      <c r="M947" s="13" t="inlineStr">
        <is>
          <t>Completed</t>
        </is>
      </c>
      <c r="N947" s="13" t="inlineStr">
        <is>
          <t>L. Berger</t>
        </is>
      </c>
      <c r="O947" s="13" t="inlineStr">
        <is>
          <t>No</t>
        </is>
      </c>
      <c r="P947" s="14">
        <f>H947*I947</f>
        <v/>
      </c>
      <c r="Q947" s="14">
        <f>P947*(1-J947)</f>
        <v/>
      </c>
      <c r="R947" s="14">
        <f>H947*K947</f>
        <v/>
      </c>
      <c r="S947" s="15">
        <f>IF(Q947=0,"",(Q947-R947)/Q947)</f>
        <v/>
      </c>
      <c r="T947" s="13">
        <f>YEAR(B947)</f>
        <v/>
      </c>
      <c r="U947" s="13">
        <f>YEAR(B947)&amp;"-Q"&amp;ROUNDUP(MONTH(B947)/3,0)</f>
        <v/>
      </c>
      <c r="V947" s="13">
        <f>TEXT(B947,"YYYY-MM")</f>
        <v/>
      </c>
      <c r="W947" s="13">
        <f>IF(L947="","",IF(L947&gt;pLateDays,1,0))</f>
        <v/>
      </c>
      <c r="X947" s="13">
        <f>IF(Q947&gt;=pHighCutoff,1,0)</f>
        <v/>
      </c>
      <c r="Y947" s="13">
        <f>IF(M947="Returned",1,0)</f>
        <v/>
      </c>
    </row>
    <row r="948">
      <c r="A948" s="13" t="inlineStr">
        <is>
          <t>HC-100946</t>
        </is>
      </c>
      <c r="B948" s="18" t="n">
        <v>45588</v>
      </c>
      <c r="C948" s="13" t="inlineStr">
        <is>
          <t>South</t>
        </is>
      </c>
      <c r="D948" s="13" t="inlineStr">
        <is>
          <t>Online</t>
        </is>
      </c>
      <c r="E948" s="13" t="inlineStr">
        <is>
          <t>Textiles</t>
        </is>
      </c>
      <c r="F948" s="13" t="inlineStr">
        <is>
          <t>Cotton Duvet</t>
        </is>
      </c>
      <c r="G948" s="13" t="inlineStr">
        <is>
          <t>Consumer</t>
        </is>
      </c>
      <c r="H948" s="13" t="n">
        <v>2</v>
      </c>
      <c r="I948" s="14" t="n">
        <v>113.76</v>
      </c>
      <c r="J948" s="15" t="n">
        <v>0.02</v>
      </c>
      <c r="K948" s="14" t="n">
        <v>50.06</v>
      </c>
      <c r="L948" s="13" t="n">
        <v>3</v>
      </c>
      <c r="M948" s="13" t="inlineStr">
        <is>
          <t>Completed</t>
        </is>
      </c>
      <c r="N948" s="13" t="inlineStr">
        <is>
          <t>J. Patel</t>
        </is>
      </c>
      <c r="O948" s="13" t="inlineStr">
        <is>
          <t>No</t>
        </is>
      </c>
      <c r="P948" s="14">
        <f>H948*I948</f>
        <v/>
      </c>
      <c r="Q948" s="14">
        <f>P948*(1-J948)</f>
        <v/>
      </c>
      <c r="R948" s="14">
        <f>H948*K948</f>
        <v/>
      </c>
      <c r="S948" s="15">
        <f>IF(Q948=0,"",(Q948-R948)/Q948)</f>
        <v/>
      </c>
      <c r="T948" s="13">
        <f>YEAR(B948)</f>
        <v/>
      </c>
      <c r="U948" s="13">
        <f>YEAR(B948)&amp;"-Q"&amp;ROUNDUP(MONTH(B948)/3,0)</f>
        <v/>
      </c>
      <c r="V948" s="13">
        <f>TEXT(B948,"YYYY-MM")</f>
        <v/>
      </c>
      <c r="W948" s="13">
        <f>IF(L948="","",IF(L948&gt;pLateDays,1,0))</f>
        <v/>
      </c>
      <c r="X948" s="13">
        <f>IF(Q948&gt;=pHighCutoff,1,0)</f>
        <v/>
      </c>
      <c r="Y948" s="13">
        <f>IF(M948="Returned",1,0)</f>
        <v/>
      </c>
    </row>
    <row r="949">
      <c r="A949" s="13" t="inlineStr">
        <is>
          <t>HC-100947</t>
        </is>
      </c>
      <c r="B949" s="18" t="n">
        <v>45319</v>
      </c>
      <c r="C949" s="13" t="inlineStr">
        <is>
          <t>South</t>
        </is>
      </c>
      <c r="D949" s="13" t="inlineStr">
        <is>
          <t>Store</t>
        </is>
      </c>
      <c r="E949" s="13" t="inlineStr">
        <is>
          <t>Lighting</t>
        </is>
      </c>
      <c r="F949" s="13" t="inlineStr">
        <is>
          <t>Brass Sconce</t>
        </is>
      </c>
      <c r="G949" s="13" t="inlineStr">
        <is>
          <t>Consumer</t>
        </is>
      </c>
      <c r="H949" s="13" t="n">
        <v>2</v>
      </c>
      <c r="I949" s="14" t="n">
        <v>137.17</v>
      </c>
      <c r="J949" s="15" t="n">
        <v>0.05</v>
      </c>
      <c r="K949" s="14" t="n">
        <v>63.1</v>
      </c>
      <c r="L949" s="13" t="n">
        <v>4</v>
      </c>
      <c r="M949" s="13" t="inlineStr">
        <is>
          <t>Completed</t>
        </is>
      </c>
      <c r="N949" s="13" t="inlineStr">
        <is>
          <t>P. Rossi</t>
        </is>
      </c>
      <c r="O949" s="13" t="inlineStr">
        <is>
          <t>No</t>
        </is>
      </c>
      <c r="P949" s="14">
        <f>H949*I949</f>
        <v/>
      </c>
      <c r="Q949" s="14">
        <f>P949*(1-J949)</f>
        <v/>
      </c>
      <c r="R949" s="14">
        <f>H949*K949</f>
        <v/>
      </c>
      <c r="S949" s="15">
        <f>IF(Q949=0,"",(Q949-R949)/Q949)</f>
        <v/>
      </c>
      <c r="T949" s="13">
        <f>YEAR(B949)</f>
        <v/>
      </c>
      <c r="U949" s="13">
        <f>YEAR(B949)&amp;"-Q"&amp;ROUNDUP(MONTH(B949)/3,0)</f>
        <v/>
      </c>
      <c r="V949" s="13">
        <f>TEXT(B949,"YYYY-MM")</f>
        <v/>
      </c>
      <c r="W949" s="13">
        <f>IF(L949="","",IF(L949&gt;pLateDays,1,0))</f>
        <v/>
      </c>
      <c r="X949" s="13">
        <f>IF(Q949&gt;=pHighCutoff,1,0)</f>
        <v/>
      </c>
      <c r="Y949" s="13">
        <f>IF(M949="Returned",1,0)</f>
        <v/>
      </c>
    </row>
    <row r="950">
      <c r="A950" s="13" t="inlineStr">
        <is>
          <t>HC-100948</t>
        </is>
      </c>
      <c r="B950" s="18" t="n">
        <v>45562</v>
      </c>
      <c r="C950" s="13" t="inlineStr">
        <is>
          <t>West</t>
        </is>
      </c>
      <c r="D950" s="13" t="inlineStr">
        <is>
          <t>Store</t>
        </is>
      </c>
      <c r="E950" s="13" t="inlineStr">
        <is>
          <t>Textiles</t>
        </is>
      </c>
      <c r="F950" s="13" t="inlineStr">
        <is>
          <t>Linen Curtain</t>
        </is>
      </c>
      <c r="G950" s="13" t="inlineStr">
        <is>
          <t>Consumer</t>
        </is>
      </c>
      <c r="H950" s="13" t="n">
        <v>1</v>
      </c>
      <c r="I950" s="14" t="n">
        <v>88.23</v>
      </c>
      <c r="J950" s="15" t="n">
        <v>0</v>
      </c>
      <c r="K950" s="14" t="n">
        <v>39.7</v>
      </c>
      <c r="L950" s="13" t="n">
        <v>10</v>
      </c>
      <c r="M950" s="13" t="inlineStr">
        <is>
          <t>Completed</t>
        </is>
      </c>
      <c r="N950" s="13" t="inlineStr">
        <is>
          <t>M. Okonkwo</t>
        </is>
      </c>
      <c r="O950" s="13" t="inlineStr">
        <is>
          <t>No</t>
        </is>
      </c>
      <c r="P950" s="14">
        <f>H950*I950</f>
        <v/>
      </c>
      <c r="Q950" s="14">
        <f>P950*(1-J950)</f>
        <v/>
      </c>
      <c r="R950" s="14">
        <f>H950*K950</f>
        <v/>
      </c>
      <c r="S950" s="15">
        <f>IF(Q950=0,"",(Q950-R950)/Q950)</f>
        <v/>
      </c>
      <c r="T950" s="13">
        <f>YEAR(B950)</f>
        <v/>
      </c>
      <c r="U950" s="13">
        <f>YEAR(B950)&amp;"-Q"&amp;ROUNDUP(MONTH(B950)/3,0)</f>
        <v/>
      </c>
      <c r="V950" s="13">
        <f>TEXT(B950,"YYYY-MM")</f>
        <v/>
      </c>
      <c r="W950" s="13">
        <f>IF(L950="","",IF(L950&gt;pLateDays,1,0))</f>
        <v/>
      </c>
      <c r="X950" s="13">
        <f>IF(Q950&gt;=pHighCutoff,1,0)</f>
        <v/>
      </c>
      <c r="Y950" s="13">
        <f>IF(M950="Returned",1,0)</f>
        <v/>
      </c>
    </row>
    <row r="951">
      <c r="A951" s="13" t="inlineStr">
        <is>
          <t>HC-100949</t>
        </is>
      </c>
      <c r="B951" s="18" t="n">
        <v>45860</v>
      </c>
      <c r="C951" s="13" t="inlineStr">
        <is>
          <t>West</t>
        </is>
      </c>
      <c r="D951" s="13" t="inlineStr">
        <is>
          <t>Online</t>
        </is>
      </c>
      <c r="E951" s="13" t="inlineStr">
        <is>
          <t>Furniture</t>
        </is>
      </c>
      <c r="F951" s="13" t="inlineStr">
        <is>
          <t>Lounge Chair</t>
        </is>
      </c>
      <c r="G951" s="13" t="inlineStr">
        <is>
          <t>Unknown</t>
        </is>
      </c>
      <c r="H951" s="13" t="n">
        <v>1</v>
      </c>
      <c r="I951" s="14" t="n">
        <v>508.22</v>
      </c>
      <c r="J951" s="15" t="n">
        <v>0.07000000000000001</v>
      </c>
      <c r="K951" s="14" t="n">
        <v>304.93</v>
      </c>
      <c r="L951" s="13" t="n">
        <v>7</v>
      </c>
      <c r="M951" s="13" t="inlineStr">
        <is>
          <t>Completed</t>
        </is>
      </c>
      <c r="N951" s="13" t="inlineStr">
        <is>
          <t>K. Mensah</t>
        </is>
      </c>
      <c r="O951" s="13" t="inlineStr">
        <is>
          <t>No</t>
        </is>
      </c>
      <c r="P951" s="14">
        <f>H951*I951</f>
        <v/>
      </c>
      <c r="Q951" s="14">
        <f>P951*(1-J951)</f>
        <v/>
      </c>
      <c r="R951" s="14">
        <f>H951*K951</f>
        <v/>
      </c>
      <c r="S951" s="15">
        <f>IF(Q951=0,"",(Q951-R951)/Q951)</f>
        <v/>
      </c>
      <c r="T951" s="13">
        <f>YEAR(B951)</f>
        <v/>
      </c>
      <c r="U951" s="13">
        <f>YEAR(B951)&amp;"-Q"&amp;ROUNDUP(MONTH(B951)/3,0)</f>
        <v/>
      </c>
      <c r="V951" s="13">
        <f>TEXT(B951,"YYYY-MM")</f>
        <v/>
      </c>
      <c r="W951" s="13">
        <f>IF(L951="","",IF(L951&gt;pLateDays,1,0))</f>
        <v/>
      </c>
      <c r="X951" s="13">
        <f>IF(Q951&gt;=pHighCutoff,1,0)</f>
        <v/>
      </c>
      <c r="Y951" s="13">
        <f>IF(M951="Returned",1,0)</f>
        <v/>
      </c>
    </row>
    <row r="952">
      <c r="A952" s="13" t="inlineStr">
        <is>
          <t>HC-100950</t>
        </is>
      </c>
      <c r="B952" s="18" t="n">
        <v>45691</v>
      </c>
      <c r="C952" s="13" t="inlineStr">
        <is>
          <t>East</t>
        </is>
      </c>
      <c r="D952" s="13" t="inlineStr">
        <is>
          <t>Wholesale</t>
        </is>
      </c>
      <c r="E952" s="13" t="inlineStr">
        <is>
          <t>Textiles</t>
        </is>
      </c>
      <c r="F952" s="13" t="inlineStr">
        <is>
          <t>Cotton Duvet</t>
        </is>
      </c>
      <c r="G952" s="13" t="inlineStr">
        <is>
          <t>Consumer</t>
        </is>
      </c>
      <c r="H952" s="13" t="n">
        <v>26</v>
      </c>
      <c r="I952" s="14" t="n">
        <v>112.22</v>
      </c>
      <c r="J952" s="15" t="n">
        <v>0.18</v>
      </c>
      <c r="K952" s="14" t="n">
        <v>49.38</v>
      </c>
      <c r="L952" s="13" t="n">
        <v>8</v>
      </c>
      <c r="M952" s="13" t="inlineStr">
        <is>
          <t>Completed</t>
        </is>
      </c>
      <c r="N952" s="13" t="inlineStr">
        <is>
          <t>K. Mensah</t>
        </is>
      </c>
      <c r="O952" s="13" t="inlineStr">
        <is>
          <t>No</t>
        </is>
      </c>
      <c r="P952" s="14">
        <f>H952*I952</f>
        <v/>
      </c>
      <c r="Q952" s="14">
        <f>P952*(1-J952)</f>
        <v/>
      </c>
      <c r="R952" s="14">
        <f>H952*K952</f>
        <v/>
      </c>
      <c r="S952" s="15">
        <f>IF(Q952=0,"",(Q952-R952)/Q952)</f>
        <v/>
      </c>
      <c r="T952" s="13">
        <f>YEAR(B952)</f>
        <v/>
      </c>
      <c r="U952" s="13">
        <f>YEAR(B952)&amp;"-Q"&amp;ROUNDUP(MONTH(B952)/3,0)</f>
        <v/>
      </c>
      <c r="V952" s="13">
        <f>TEXT(B952,"YYYY-MM")</f>
        <v/>
      </c>
      <c r="W952" s="13">
        <f>IF(L952="","",IF(L952&gt;pLateDays,1,0))</f>
        <v/>
      </c>
      <c r="X952" s="13">
        <f>IF(Q952&gt;=pHighCutoff,1,0)</f>
        <v/>
      </c>
      <c r="Y952" s="13">
        <f>IF(M952="Returned",1,0)</f>
        <v/>
      </c>
    </row>
    <row r="953">
      <c r="A953" s="13" t="inlineStr">
        <is>
          <t>HC-100951</t>
        </is>
      </c>
      <c r="B953" s="18" t="n">
        <v>45731</v>
      </c>
      <c r="C953" s="13" t="inlineStr">
        <is>
          <t>South</t>
        </is>
      </c>
      <c r="D953" s="13" t="inlineStr">
        <is>
          <t>Store</t>
        </is>
      </c>
      <c r="E953" s="13" t="inlineStr">
        <is>
          <t>Textiles</t>
        </is>
      </c>
      <c r="F953" s="13" t="inlineStr">
        <is>
          <t>Linen Curtain</t>
        </is>
      </c>
      <c r="G953" s="13" t="inlineStr">
        <is>
          <t>Consumer</t>
        </is>
      </c>
      <c r="H953" s="13" t="n">
        <v>3</v>
      </c>
      <c r="I953" s="14" t="n">
        <v>89.54000000000001</v>
      </c>
      <c r="J953" s="15" t="n">
        <v>0.04</v>
      </c>
      <c r="K953" s="14" t="n">
        <v>40.29</v>
      </c>
      <c r="L953" s="13" t="n">
        <v>8</v>
      </c>
      <c r="M953" s="13" t="inlineStr">
        <is>
          <t>Returned</t>
        </is>
      </c>
      <c r="N953" s="13" t="inlineStr">
        <is>
          <t>J. Patel</t>
        </is>
      </c>
      <c r="O953" s="13" t="inlineStr">
        <is>
          <t>No</t>
        </is>
      </c>
      <c r="P953" s="14">
        <f>H953*I953</f>
        <v/>
      </c>
      <c r="Q953" s="14">
        <f>P953*(1-J953)</f>
        <v/>
      </c>
      <c r="R953" s="14">
        <f>H953*K953</f>
        <v/>
      </c>
      <c r="S953" s="15">
        <f>IF(Q953=0,"",(Q953-R953)/Q953)</f>
        <v/>
      </c>
      <c r="T953" s="13">
        <f>YEAR(B953)</f>
        <v/>
      </c>
      <c r="U953" s="13">
        <f>YEAR(B953)&amp;"-Q"&amp;ROUNDUP(MONTH(B953)/3,0)</f>
        <v/>
      </c>
      <c r="V953" s="13">
        <f>TEXT(B953,"YYYY-MM")</f>
        <v/>
      </c>
      <c r="W953" s="13">
        <f>IF(L953="","",IF(L953&gt;pLateDays,1,0))</f>
        <v/>
      </c>
      <c r="X953" s="13">
        <f>IF(Q953&gt;=pHighCutoff,1,0)</f>
        <v/>
      </c>
      <c r="Y953" s="13">
        <f>IF(M953="Returned",1,0)</f>
        <v/>
      </c>
    </row>
    <row r="954">
      <c r="A954" s="13" t="inlineStr">
        <is>
          <t>HC-100952</t>
        </is>
      </c>
      <c r="B954" s="18" t="n">
        <v>45924</v>
      </c>
      <c r="C954" s="13" t="inlineStr">
        <is>
          <t>West</t>
        </is>
      </c>
      <c r="D954" s="13" t="inlineStr">
        <is>
          <t>Online</t>
        </is>
      </c>
      <c r="E954" s="13" t="inlineStr">
        <is>
          <t>Kitchen</t>
        </is>
      </c>
      <c r="F954" s="13" t="inlineStr">
        <is>
          <t>Chef Knife</t>
        </is>
      </c>
      <c r="G954" s="13" t="inlineStr">
        <is>
          <t>Corporate</t>
        </is>
      </c>
      <c r="H954" s="13" t="n">
        <v>1</v>
      </c>
      <c r="I954" s="14" t="n">
        <v>62.84</v>
      </c>
      <c r="J954" s="15" t="n">
        <v>0.14</v>
      </c>
      <c r="K954" s="14" t="n">
        <v>22.62</v>
      </c>
      <c r="L954" s="13" t="n">
        <v>5</v>
      </c>
      <c r="M954" s="13" t="inlineStr">
        <is>
          <t>Completed</t>
        </is>
      </c>
      <c r="N954" s="13" t="inlineStr">
        <is>
          <t>R. Ibarra</t>
        </is>
      </c>
      <c r="O954" s="13" t="inlineStr">
        <is>
          <t>No</t>
        </is>
      </c>
      <c r="P954" s="14">
        <f>H954*I954</f>
        <v/>
      </c>
      <c r="Q954" s="14">
        <f>P954*(1-J954)</f>
        <v/>
      </c>
      <c r="R954" s="14">
        <f>H954*K954</f>
        <v/>
      </c>
      <c r="S954" s="15">
        <f>IF(Q954=0,"",(Q954-R954)/Q954)</f>
        <v/>
      </c>
      <c r="T954" s="13">
        <f>YEAR(B954)</f>
        <v/>
      </c>
      <c r="U954" s="13">
        <f>YEAR(B954)&amp;"-Q"&amp;ROUNDUP(MONTH(B954)/3,0)</f>
        <v/>
      </c>
      <c r="V954" s="13">
        <f>TEXT(B954,"YYYY-MM")</f>
        <v/>
      </c>
      <c r="W954" s="13">
        <f>IF(L954="","",IF(L954&gt;pLateDays,1,0))</f>
        <v/>
      </c>
      <c r="X954" s="13">
        <f>IF(Q954&gt;=pHighCutoff,1,0)</f>
        <v/>
      </c>
      <c r="Y954" s="13">
        <f>IF(M954="Returned",1,0)</f>
        <v/>
      </c>
    </row>
    <row r="955">
      <c r="A955" s="13" t="inlineStr">
        <is>
          <t>HC-100953</t>
        </is>
      </c>
      <c r="B955" s="18" t="n">
        <v>45924</v>
      </c>
      <c r="C955" s="13" t="inlineStr">
        <is>
          <t>West</t>
        </is>
      </c>
      <c r="D955" s="13" t="inlineStr">
        <is>
          <t>Online</t>
        </is>
      </c>
      <c r="E955" s="13" t="inlineStr">
        <is>
          <t>Kitchen</t>
        </is>
      </c>
      <c r="F955" s="13" t="inlineStr">
        <is>
          <t>Cast Skillet</t>
        </is>
      </c>
      <c r="G955" s="13" t="inlineStr">
        <is>
          <t>Consumer</t>
        </is>
      </c>
      <c r="H955" s="13" t="n">
        <v>1</v>
      </c>
      <c r="I955" s="14" t="n">
        <v>55.13</v>
      </c>
      <c r="J955" s="15" t="n">
        <v>0.04</v>
      </c>
      <c r="K955" s="14" t="n">
        <v>22.05</v>
      </c>
      <c r="L955" s="13" t="n">
        <v>4</v>
      </c>
      <c r="M955" s="13" t="inlineStr">
        <is>
          <t>Completed</t>
        </is>
      </c>
      <c r="N955" s="13" t="inlineStr">
        <is>
          <t>A. Shah</t>
        </is>
      </c>
      <c r="O955" s="13" t="inlineStr">
        <is>
          <t>No</t>
        </is>
      </c>
      <c r="P955" s="14">
        <f>H955*I955</f>
        <v/>
      </c>
      <c r="Q955" s="14">
        <f>P955*(1-J955)</f>
        <v/>
      </c>
      <c r="R955" s="14">
        <f>H955*K955</f>
        <v/>
      </c>
      <c r="S955" s="15">
        <f>IF(Q955=0,"",(Q955-R955)/Q955)</f>
        <v/>
      </c>
      <c r="T955" s="13">
        <f>YEAR(B955)</f>
        <v/>
      </c>
      <c r="U955" s="13">
        <f>YEAR(B955)&amp;"-Q"&amp;ROUNDUP(MONTH(B955)/3,0)</f>
        <v/>
      </c>
      <c r="V955" s="13">
        <f>TEXT(B955,"YYYY-MM")</f>
        <v/>
      </c>
      <c r="W955" s="13">
        <f>IF(L955="","",IF(L955&gt;pLateDays,1,0))</f>
        <v/>
      </c>
      <c r="X955" s="13">
        <f>IF(Q955&gt;=pHighCutoff,1,0)</f>
        <v/>
      </c>
      <c r="Y955" s="13">
        <f>IF(M955="Returned",1,0)</f>
        <v/>
      </c>
    </row>
    <row r="956">
      <c r="A956" s="13" t="inlineStr">
        <is>
          <t>HC-100954</t>
        </is>
      </c>
      <c r="B956" s="18" t="n">
        <v>45424</v>
      </c>
      <c r="C956" s="13" t="inlineStr">
        <is>
          <t>West</t>
        </is>
      </c>
      <c r="D956" s="13" t="inlineStr">
        <is>
          <t>Store</t>
        </is>
      </c>
      <c r="E956" s="13" t="inlineStr">
        <is>
          <t>Furniture</t>
        </is>
      </c>
      <c r="F956" s="13" t="inlineStr">
        <is>
          <t>Lounge Chair</t>
        </is>
      </c>
      <c r="G956" s="13" t="inlineStr">
        <is>
          <t>Unknown</t>
        </is>
      </c>
      <c r="H956" s="13" t="n">
        <v>2</v>
      </c>
      <c r="I956" s="14" t="n">
        <v>514.22</v>
      </c>
      <c r="J956" s="15" t="n">
        <v>0.08</v>
      </c>
      <c r="K956" s="14" t="n">
        <v>308.53</v>
      </c>
      <c r="L956" s="13" t="n">
        <v>5</v>
      </c>
      <c r="M956" s="13" t="inlineStr">
        <is>
          <t>Completed</t>
        </is>
      </c>
      <c r="N956" s="13" t="inlineStr">
        <is>
          <t>K. Mensah</t>
        </is>
      </c>
      <c r="O956" s="13" t="inlineStr">
        <is>
          <t>No</t>
        </is>
      </c>
      <c r="P956" s="14">
        <f>H956*I956</f>
        <v/>
      </c>
      <c r="Q956" s="14">
        <f>P956*(1-J956)</f>
        <v/>
      </c>
      <c r="R956" s="14">
        <f>H956*K956</f>
        <v/>
      </c>
      <c r="S956" s="15">
        <f>IF(Q956=0,"",(Q956-R956)/Q956)</f>
        <v/>
      </c>
      <c r="T956" s="13">
        <f>YEAR(B956)</f>
        <v/>
      </c>
      <c r="U956" s="13">
        <f>YEAR(B956)&amp;"-Q"&amp;ROUNDUP(MONTH(B956)/3,0)</f>
        <v/>
      </c>
      <c r="V956" s="13">
        <f>TEXT(B956,"YYYY-MM")</f>
        <v/>
      </c>
      <c r="W956" s="13">
        <f>IF(L956="","",IF(L956&gt;pLateDays,1,0))</f>
        <v/>
      </c>
      <c r="X956" s="13">
        <f>IF(Q956&gt;=pHighCutoff,1,0)</f>
        <v/>
      </c>
      <c r="Y956" s="13">
        <f>IF(M956="Returned",1,0)</f>
        <v/>
      </c>
    </row>
    <row r="957">
      <c r="A957" s="13" t="inlineStr">
        <is>
          <t>HC-100955</t>
        </is>
      </c>
      <c r="B957" s="18" t="n">
        <v>45387</v>
      </c>
      <c r="C957" s="13" t="inlineStr">
        <is>
          <t>North</t>
        </is>
      </c>
      <c r="D957" s="13" t="inlineStr">
        <is>
          <t>Online</t>
        </is>
      </c>
      <c r="E957" s="13" t="inlineStr">
        <is>
          <t>Textiles</t>
        </is>
      </c>
      <c r="F957" s="13" t="inlineStr">
        <is>
          <t>Linen Curtain</t>
        </is>
      </c>
      <c r="G957" s="13" t="inlineStr">
        <is>
          <t>Corporate</t>
        </is>
      </c>
      <c r="H957" s="13" t="n">
        <v>3</v>
      </c>
      <c r="I957" s="14" t="n">
        <v>92.48</v>
      </c>
      <c r="J957" s="15" t="n">
        <v>0.12</v>
      </c>
      <c r="K957" s="14" t="n">
        <v>41.62</v>
      </c>
      <c r="L957" s="13" t="n">
        <v>7</v>
      </c>
      <c r="M957" s="13" t="inlineStr">
        <is>
          <t>Returned</t>
        </is>
      </c>
      <c r="N957" s="13" t="inlineStr">
        <is>
          <t>A. Shah</t>
        </is>
      </c>
      <c r="O957" s="13" t="inlineStr">
        <is>
          <t>No</t>
        </is>
      </c>
      <c r="P957" s="14">
        <f>H957*I957</f>
        <v/>
      </c>
      <c r="Q957" s="14">
        <f>P957*(1-J957)</f>
        <v/>
      </c>
      <c r="R957" s="14">
        <f>H957*K957</f>
        <v/>
      </c>
      <c r="S957" s="15">
        <f>IF(Q957=0,"",(Q957-R957)/Q957)</f>
        <v/>
      </c>
      <c r="T957" s="13">
        <f>YEAR(B957)</f>
        <v/>
      </c>
      <c r="U957" s="13">
        <f>YEAR(B957)&amp;"-Q"&amp;ROUNDUP(MONTH(B957)/3,0)</f>
        <v/>
      </c>
      <c r="V957" s="13">
        <f>TEXT(B957,"YYYY-MM")</f>
        <v/>
      </c>
      <c r="W957" s="13">
        <f>IF(L957="","",IF(L957&gt;pLateDays,1,0))</f>
        <v/>
      </c>
      <c r="X957" s="13">
        <f>IF(Q957&gt;=pHighCutoff,1,0)</f>
        <v/>
      </c>
      <c r="Y957" s="13">
        <f>IF(M957="Returned",1,0)</f>
        <v/>
      </c>
    </row>
    <row r="958">
      <c r="A958" s="13" t="inlineStr">
        <is>
          <t>HC-100956</t>
        </is>
      </c>
      <c r="B958" s="18" t="n">
        <v>45393</v>
      </c>
      <c r="C958" s="13" t="inlineStr">
        <is>
          <t>West</t>
        </is>
      </c>
      <c r="D958" s="13" t="inlineStr">
        <is>
          <t>Online</t>
        </is>
      </c>
      <c r="E958" s="13" t="inlineStr">
        <is>
          <t>Kitchen</t>
        </is>
      </c>
      <c r="F958" s="13" t="inlineStr">
        <is>
          <t>Cast Skillet</t>
        </is>
      </c>
      <c r="G958" s="13" t="inlineStr">
        <is>
          <t>Consumer</t>
        </is>
      </c>
      <c r="H958" s="13" t="n">
        <v>2</v>
      </c>
      <c r="I958" s="14" t="n">
        <v>51.49</v>
      </c>
      <c r="J958" s="15" t="n">
        <v>0.11</v>
      </c>
      <c r="K958" s="14" t="n">
        <v>20.6</v>
      </c>
      <c r="L958" s="13" t="n">
        <v>5</v>
      </c>
      <c r="M958" s="13" t="inlineStr">
        <is>
          <t>Completed</t>
        </is>
      </c>
      <c r="N958" s="13" t="inlineStr">
        <is>
          <t>P. Rossi</t>
        </is>
      </c>
      <c r="O958" s="13" t="inlineStr">
        <is>
          <t>No</t>
        </is>
      </c>
      <c r="P958" s="14">
        <f>H958*I958</f>
        <v/>
      </c>
      <c r="Q958" s="14">
        <f>P958*(1-J958)</f>
        <v/>
      </c>
      <c r="R958" s="14">
        <f>H958*K958</f>
        <v/>
      </c>
      <c r="S958" s="15">
        <f>IF(Q958=0,"",(Q958-R958)/Q958)</f>
        <v/>
      </c>
      <c r="T958" s="13">
        <f>YEAR(B958)</f>
        <v/>
      </c>
      <c r="U958" s="13">
        <f>YEAR(B958)&amp;"-Q"&amp;ROUNDUP(MONTH(B958)/3,0)</f>
        <v/>
      </c>
      <c r="V958" s="13">
        <f>TEXT(B958,"YYYY-MM")</f>
        <v/>
      </c>
      <c r="W958" s="13">
        <f>IF(L958="","",IF(L958&gt;pLateDays,1,0))</f>
        <v/>
      </c>
      <c r="X958" s="13">
        <f>IF(Q958&gt;=pHighCutoff,1,0)</f>
        <v/>
      </c>
      <c r="Y958" s="13">
        <f>IF(M958="Returned",1,0)</f>
        <v/>
      </c>
    </row>
    <row r="959">
      <c r="A959" s="13" t="inlineStr">
        <is>
          <t>HC-100957</t>
        </is>
      </c>
      <c r="B959" s="18" t="n">
        <v>45847</v>
      </c>
      <c r="C959" s="13" t="inlineStr">
        <is>
          <t>West</t>
        </is>
      </c>
      <c r="D959" s="13" t="inlineStr">
        <is>
          <t>Store</t>
        </is>
      </c>
      <c r="E959" s="13" t="inlineStr">
        <is>
          <t>Kitchen</t>
        </is>
      </c>
      <c r="F959" s="13" t="inlineStr">
        <is>
          <t>Chef Knife</t>
        </is>
      </c>
      <c r="G959" s="13" t="inlineStr">
        <is>
          <t>Consumer</t>
        </is>
      </c>
      <c r="H959" s="13" t="n">
        <v>4</v>
      </c>
      <c r="I959" s="14" t="n">
        <v>65.08</v>
      </c>
      <c r="J959" s="15" t="n">
        <v>0.01</v>
      </c>
      <c r="K959" s="14" t="n">
        <v>23.43</v>
      </c>
      <c r="L959" s="13" t="n">
        <v>7</v>
      </c>
      <c r="M959" s="13" t="inlineStr">
        <is>
          <t>Completed</t>
        </is>
      </c>
      <c r="N959" s="13" t="inlineStr">
        <is>
          <t>R. Ibarra</t>
        </is>
      </c>
      <c r="O959" s="13" t="inlineStr">
        <is>
          <t>No</t>
        </is>
      </c>
      <c r="P959" s="14">
        <f>H959*I959</f>
        <v/>
      </c>
      <c r="Q959" s="14">
        <f>P959*(1-J959)</f>
        <v/>
      </c>
      <c r="R959" s="14">
        <f>H959*K959</f>
        <v/>
      </c>
      <c r="S959" s="15">
        <f>IF(Q959=0,"",(Q959-R959)/Q959)</f>
        <v/>
      </c>
      <c r="T959" s="13">
        <f>YEAR(B959)</f>
        <v/>
      </c>
      <c r="U959" s="13">
        <f>YEAR(B959)&amp;"-Q"&amp;ROUNDUP(MONTH(B959)/3,0)</f>
        <v/>
      </c>
      <c r="V959" s="13">
        <f>TEXT(B959,"YYYY-MM")</f>
        <v/>
      </c>
      <c r="W959" s="13">
        <f>IF(L959="","",IF(L959&gt;pLateDays,1,0))</f>
        <v/>
      </c>
      <c r="X959" s="13">
        <f>IF(Q959&gt;=pHighCutoff,1,0)</f>
        <v/>
      </c>
      <c r="Y959" s="13">
        <f>IF(M959="Returned",1,0)</f>
        <v/>
      </c>
    </row>
    <row r="960">
      <c r="A960" s="13" t="inlineStr">
        <is>
          <t>HC-100958</t>
        </is>
      </c>
      <c r="B960" s="18" t="n">
        <v>45861</v>
      </c>
      <c r="C960" s="13" t="inlineStr">
        <is>
          <t>West</t>
        </is>
      </c>
      <c r="D960" s="13" t="inlineStr">
        <is>
          <t>Wholesale</t>
        </is>
      </c>
      <c r="E960" s="13" t="inlineStr">
        <is>
          <t>Textiles</t>
        </is>
      </c>
      <c r="F960" s="13" t="inlineStr">
        <is>
          <t>Wool Throw</t>
        </is>
      </c>
      <c r="G960" s="13" t="inlineStr">
        <is>
          <t>Consumer</t>
        </is>
      </c>
      <c r="H960" s="13" t="n">
        <v>12</v>
      </c>
      <c r="I960" s="14" t="n">
        <v>69.83</v>
      </c>
      <c r="J960" s="15" t="n">
        <v>0.17</v>
      </c>
      <c r="K960" s="14" t="n">
        <v>29.33</v>
      </c>
      <c r="L960" s="13" t="n">
        <v>9</v>
      </c>
      <c r="M960" s="13" t="inlineStr">
        <is>
          <t>Returned</t>
        </is>
      </c>
      <c r="N960" s="13" t="inlineStr">
        <is>
          <t>J. Patel</t>
        </is>
      </c>
      <c r="O960" s="13" t="inlineStr">
        <is>
          <t>No</t>
        </is>
      </c>
      <c r="P960" s="14">
        <f>H960*I960</f>
        <v/>
      </c>
      <c r="Q960" s="14">
        <f>P960*(1-J960)</f>
        <v/>
      </c>
      <c r="R960" s="14">
        <f>H960*K960</f>
        <v/>
      </c>
      <c r="S960" s="15">
        <f>IF(Q960=0,"",(Q960-R960)/Q960)</f>
        <v/>
      </c>
      <c r="T960" s="13">
        <f>YEAR(B960)</f>
        <v/>
      </c>
      <c r="U960" s="13">
        <f>YEAR(B960)&amp;"-Q"&amp;ROUNDUP(MONTH(B960)/3,0)</f>
        <v/>
      </c>
      <c r="V960" s="13">
        <f>TEXT(B960,"YYYY-MM")</f>
        <v/>
      </c>
      <c r="W960" s="13">
        <f>IF(L960="","",IF(L960&gt;pLateDays,1,0))</f>
        <v/>
      </c>
      <c r="X960" s="13">
        <f>IF(Q960&gt;=pHighCutoff,1,0)</f>
        <v/>
      </c>
      <c r="Y960" s="13">
        <f>IF(M960="Returned",1,0)</f>
        <v/>
      </c>
    </row>
    <row r="961">
      <c r="A961" s="13" t="inlineStr">
        <is>
          <t>HC-100959</t>
        </is>
      </c>
      <c r="B961" s="18" t="n">
        <v>45412</v>
      </c>
      <c r="C961" s="13" t="inlineStr">
        <is>
          <t>North</t>
        </is>
      </c>
      <c r="D961" s="13" t="inlineStr">
        <is>
          <t>Wholesale</t>
        </is>
      </c>
      <c r="E961" s="13" t="inlineStr">
        <is>
          <t>Lighting</t>
        </is>
      </c>
      <c r="F961" s="13" t="inlineStr">
        <is>
          <t>Brass Sconce</t>
        </is>
      </c>
      <c r="G961" s="13" t="inlineStr">
        <is>
          <t>Consumer</t>
        </is>
      </c>
      <c r="H961" s="13" t="n">
        <v>26</v>
      </c>
      <c r="I961" s="14" t="n">
        <v>133.73</v>
      </c>
      <c r="J961" s="15" t="n">
        <v>0.15</v>
      </c>
      <c r="K961" s="14" t="n">
        <v>61.52</v>
      </c>
      <c r="L961" s="13" t="n">
        <v>4</v>
      </c>
      <c r="M961" s="13" t="inlineStr">
        <is>
          <t>Completed</t>
        </is>
      </c>
      <c r="N961" s="13" t="inlineStr">
        <is>
          <t>P. Rossi</t>
        </is>
      </c>
      <c r="O961" s="13" t="inlineStr">
        <is>
          <t>No</t>
        </is>
      </c>
      <c r="P961" s="14">
        <f>H961*I961</f>
        <v/>
      </c>
      <c r="Q961" s="14">
        <f>P961*(1-J961)</f>
        <v/>
      </c>
      <c r="R961" s="14">
        <f>H961*K961</f>
        <v/>
      </c>
      <c r="S961" s="15">
        <f>IF(Q961=0,"",(Q961-R961)/Q961)</f>
        <v/>
      </c>
      <c r="T961" s="13">
        <f>YEAR(B961)</f>
        <v/>
      </c>
      <c r="U961" s="13">
        <f>YEAR(B961)&amp;"-Q"&amp;ROUNDUP(MONTH(B961)/3,0)</f>
        <v/>
      </c>
      <c r="V961" s="13">
        <f>TEXT(B961,"YYYY-MM")</f>
        <v/>
      </c>
      <c r="W961" s="13">
        <f>IF(L961="","",IF(L961&gt;pLateDays,1,0))</f>
        <v/>
      </c>
      <c r="X961" s="13">
        <f>IF(Q961&gt;=pHighCutoff,1,0)</f>
        <v/>
      </c>
      <c r="Y961" s="13">
        <f>IF(M961="Returned",1,0)</f>
        <v/>
      </c>
    </row>
    <row r="962">
      <c r="A962" s="13" t="inlineStr">
        <is>
          <t>HC-100960</t>
        </is>
      </c>
      <c r="B962" s="18" t="n">
        <v>45927</v>
      </c>
      <c r="C962" s="13" t="inlineStr">
        <is>
          <t>North</t>
        </is>
      </c>
      <c r="D962" s="13" t="inlineStr">
        <is>
          <t>Store</t>
        </is>
      </c>
      <c r="E962" s="13" t="inlineStr">
        <is>
          <t>Textiles</t>
        </is>
      </c>
      <c r="F962" s="13" t="inlineStr">
        <is>
          <t>Cotton Duvet</t>
        </is>
      </c>
      <c r="G962" s="13" t="inlineStr">
        <is>
          <t>Home Office</t>
        </is>
      </c>
      <c r="H962" s="13" t="n">
        <v>3</v>
      </c>
      <c r="I962" s="14" t="n">
        <v>113.11</v>
      </c>
      <c r="J962" s="15" t="n">
        <v>0.1</v>
      </c>
      <c r="K962" s="14" t="n">
        <v>49.77</v>
      </c>
      <c r="L962" s="13" t="n">
        <v>8</v>
      </c>
      <c r="M962" s="13" t="inlineStr">
        <is>
          <t>Completed</t>
        </is>
      </c>
      <c r="N962" s="13" t="inlineStr">
        <is>
          <t>P. Rossi</t>
        </is>
      </c>
      <c r="O962" s="13" t="inlineStr">
        <is>
          <t>No</t>
        </is>
      </c>
      <c r="P962" s="14">
        <f>H962*I962</f>
        <v/>
      </c>
      <c r="Q962" s="14">
        <f>P962*(1-J962)</f>
        <v/>
      </c>
      <c r="R962" s="14">
        <f>H962*K962</f>
        <v/>
      </c>
      <c r="S962" s="15">
        <f>IF(Q962=0,"",(Q962-R962)/Q962)</f>
        <v/>
      </c>
      <c r="T962" s="13">
        <f>YEAR(B962)</f>
        <v/>
      </c>
      <c r="U962" s="13">
        <f>YEAR(B962)&amp;"-Q"&amp;ROUNDUP(MONTH(B962)/3,0)</f>
        <v/>
      </c>
      <c r="V962" s="13">
        <f>TEXT(B962,"YYYY-MM")</f>
        <v/>
      </c>
      <c r="W962" s="13">
        <f>IF(L962="","",IF(L962&gt;pLateDays,1,0))</f>
        <v/>
      </c>
      <c r="X962" s="13">
        <f>IF(Q962&gt;=pHighCutoff,1,0)</f>
        <v/>
      </c>
      <c r="Y962" s="13">
        <f>IF(M962="Returned",1,0)</f>
        <v/>
      </c>
    </row>
    <row r="963">
      <c r="A963" s="13" t="inlineStr">
        <is>
          <t>HC-100961</t>
        </is>
      </c>
      <c r="B963" s="18" t="n">
        <v>45746</v>
      </c>
      <c r="C963" s="13" t="inlineStr">
        <is>
          <t>South</t>
        </is>
      </c>
      <c r="D963" s="13" t="inlineStr">
        <is>
          <t>Store</t>
        </is>
      </c>
      <c r="E963" s="13" t="inlineStr">
        <is>
          <t>Furniture</t>
        </is>
      </c>
      <c r="F963" s="13" t="inlineStr">
        <is>
          <t>Walnut Shelf</t>
        </is>
      </c>
      <c r="G963" s="13" t="inlineStr">
        <is>
          <t>Home Office</t>
        </is>
      </c>
      <c r="H963" s="13" t="n">
        <v>3</v>
      </c>
      <c r="I963" s="14" t="n">
        <v>211.16</v>
      </c>
      <c r="J963" s="15" t="n">
        <v>0.11</v>
      </c>
      <c r="K963" s="14" t="n">
        <v>116.14</v>
      </c>
      <c r="L963" s="13" t="n">
        <v>7</v>
      </c>
      <c r="M963" s="13" t="inlineStr">
        <is>
          <t>Completed</t>
        </is>
      </c>
      <c r="N963" s="13" t="inlineStr">
        <is>
          <t>R. Ibarra</t>
        </is>
      </c>
      <c r="O963" s="13" t="inlineStr">
        <is>
          <t>No</t>
        </is>
      </c>
      <c r="P963" s="14">
        <f>H963*I963</f>
        <v/>
      </c>
      <c r="Q963" s="14">
        <f>P963*(1-J963)</f>
        <v/>
      </c>
      <c r="R963" s="14">
        <f>H963*K963</f>
        <v/>
      </c>
      <c r="S963" s="15">
        <f>IF(Q963=0,"",(Q963-R963)/Q963)</f>
        <v/>
      </c>
      <c r="T963" s="13">
        <f>YEAR(B963)</f>
        <v/>
      </c>
      <c r="U963" s="13">
        <f>YEAR(B963)&amp;"-Q"&amp;ROUNDUP(MONTH(B963)/3,0)</f>
        <v/>
      </c>
      <c r="V963" s="13">
        <f>TEXT(B963,"YYYY-MM")</f>
        <v/>
      </c>
      <c r="W963" s="13">
        <f>IF(L963="","",IF(L963&gt;pLateDays,1,0))</f>
        <v/>
      </c>
      <c r="X963" s="13">
        <f>IF(Q963&gt;=pHighCutoff,1,0)</f>
        <v/>
      </c>
      <c r="Y963" s="13">
        <f>IF(M963="Returned",1,0)</f>
        <v/>
      </c>
    </row>
    <row r="964">
      <c r="A964" s="13" t="inlineStr">
        <is>
          <t>HC-100962</t>
        </is>
      </c>
      <c r="B964" s="18" t="n">
        <v>45350</v>
      </c>
      <c r="C964" s="13" t="inlineStr">
        <is>
          <t>South</t>
        </is>
      </c>
      <c r="D964" s="13" t="inlineStr">
        <is>
          <t>Wholesale</t>
        </is>
      </c>
      <c r="E964" s="13" t="inlineStr">
        <is>
          <t>Textiles</t>
        </is>
      </c>
      <c r="F964" s="13" t="inlineStr">
        <is>
          <t>Wool Throw</t>
        </is>
      </c>
      <c r="G964" s="13" t="inlineStr">
        <is>
          <t>Consumer</t>
        </is>
      </c>
      <c r="H964" s="13" t="n">
        <v>32</v>
      </c>
      <c r="I964" s="14" t="n">
        <v>75.06</v>
      </c>
      <c r="J964" s="15" t="n">
        <v>0.2</v>
      </c>
      <c r="K964" s="14" t="n">
        <v>31.52</v>
      </c>
      <c r="L964" s="13" t="n">
        <v>6</v>
      </c>
      <c r="M964" s="13" t="inlineStr">
        <is>
          <t>Returned</t>
        </is>
      </c>
      <c r="N964" s="13" t="inlineStr">
        <is>
          <t>R. Ibarra</t>
        </is>
      </c>
      <c r="O964" s="13" t="inlineStr">
        <is>
          <t>No</t>
        </is>
      </c>
      <c r="P964" s="14">
        <f>H964*I964</f>
        <v/>
      </c>
      <c r="Q964" s="14">
        <f>P964*(1-J964)</f>
        <v/>
      </c>
      <c r="R964" s="14">
        <f>H964*K964</f>
        <v/>
      </c>
      <c r="S964" s="15">
        <f>IF(Q964=0,"",(Q964-R964)/Q964)</f>
        <v/>
      </c>
      <c r="T964" s="13">
        <f>YEAR(B964)</f>
        <v/>
      </c>
      <c r="U964" s="13">
        <f>YEAR(B964)&amp;"-Q"&amp;ROUNDUP(MONTH(B964)/3,0)</f>
        <v/>
      </c>
      <c r="V964" s="13">
        <f>TEXT(B964,"YYYY-MM")</f>
        <v/>
      </c>
      <c r="W964" s="13">
        <f>IF(L964="","",IF(L964&gt;pLateDays,1,0))</f>
        <v/>
      </c>
      <c r="X964" s="13">
        <f>IF(Q964&gt;=pHighCutoff,1,0)</f>
        <v/>
      </c>
      <c r="Y964" s="13">
        <f>IF(M964="Returned",1,0)</f>
        <v/>
      </c>
    </row>
    <row r="965">
      <c r="A965" s="13" t="inlineStr">
        <is>
          <t>HC-100963</t>
        </is>
      </c>
      <c r="B965" s="18" t="n">
        <v>45536</v>
      </c>
      <c r="C965" s="13" t="inlineStr">
        <is>
          <t>West</t>
        </is>
      </c>
      <c r="D965" s="13" t="inlineStr">
        <is>
          <t>Online</t>
        </is>
      </c>
      <c r="E965" s="13" t="inlineStr">
        <is>
          <t>Furniture</t>
        </is>
      </c>
      <c r="F965" s="13" t="inlineStr">
        <is>
          <t>Walnut Shelf</t>
        </is>
      </c>
      <c r="G965" s="13" t="inlineStr">
        <is>
          <t>Corporate</t>
        </is>
      </c>
      <c r="H965" s="13" t="n">
        <v>2</v>
      </c>
      <c r="I965" s="14" t="n">
        <v>226.81</v>
      </c>
      <c r="J965" s="15" t="n">
        <v>0.05</v>
      </c>
      <c r="K965" s="14" t="n">
        <v>124.75</v>
      </c>
      <c r="L965" s="13" t="n">
        <v>6</v>
      </c>
      <c r="M965" s="13" t="inlineStr">
        <is>
          <t>Completed</t>
        </is>
      </c>
      <c r="N965" s="13" t="inlineStr">
        <is>
          <t>S. Nguyen</t>
        </is>
      </c>
      <c r="O965" s="13" t="inlineStr">
        <is>
          <t>No</t>
        </is>
      </c>
      <c r="P965" s="14">
        <f>H965*I965</f>
        <v/>
      </c>
      <c r="Q965" s="14">
        <f>P965*(1-J965)</f>
        <v/>
      </c>
      <c r="R965" s="14">
        <f>H965*K965</f>
        <v/>
      </c>
      <c r="S965" s="15">
        <f>IF(Q965=0,"",(Q965-R965)/Q965)</f>
        <v/>
      </c>
      <c r="T965" s="13">
        <f>YEAR(B965)</f>
        <v/>
      </c>
      <c r="U965" s="13">
        <f>YEAR(B965)&amp;"-Q"&amp;ROUNDUP(MONTH(B965)/3,0)</f>
        <v/>
      </c>
      <c r="V965" s="13">
        <f>TEXT(B965,"YYYY-MM")</f>
        <v/>
      </c>
      <c r="W965" s="13">
        <f>IF(L965="","",IF(L965&gt;pLateDays,1,0))</f>
        <v/>
      </c>
      <c r="X965" s="13">
        <f>IF(Q965&gt;=pHighCutoff,1,0)</f>
        <v/>
      </c>
      <c r="Y965" s="13">
        <f>IF(M965="Returned",1,0)</f>
        <v/>
      </c>
    </row>
    <row r="966">
      <c r="A966" s="13" t="inlineStr">
        <is>
          <t>HC-100964</t>
        </is>
      </c>
      <c r="B966" s="18" t="n">
        <v>45773</v>
      </c>
      <c r="C966" s="13" t="inlineStr">
        <is>
          <t>West</t>
        </is>
      </c>
      <c r="D966" s="13" t="inlineStr">
        <is>
          <t>Store</t>
        </is>
      </c>
      <c r="E966" s="13" t="inlineStr">
        <is>
          <t>Kitchen</t>
        </is>
      </c>
      <c r="F966" s="13" t="inlineStr">
        <is>
          <t>Cast Skillet</t>
        </is>
      </c>
      <c r="G966" s="13" t="inlineStr">
        <is>
          <t>Consumer</t>
        </is>
      </c>
      <c r="H966" s="13" t="n">
        <v>4</v>
      </c>
      <c r="I966" s="14" t="n">
        <v>57.92</v>
      </c>
      <c r="J966" s="15" t="n">
        <v>0.09</v>
      </c>
      <c r="K966" s="14" t="n">
        <v>23.17</v>
      </c>
      <c r="L966" s="13" t="n">
        <v>7</v>
      </c>
      <c r="M966" s="13" t="inlineStr">
        <is>
          <t>Completed</t>
        </is>
      </c>
      <c r="N966" s="13" t="inlineStr">
        <is>
          <t>P. Rossi</t>
        </is>
      </c>
      <c r="O966" s="13" t="inlineStr">
        <is>
          <t>No</t>
        </is>
      </c>
      <c r="P966" s="14">
        <f>H966*I966</f>
        <v/>
      </c>
      <c r="Q966" s="14">
        <f>P966*(1-J966)</f>
        <v/>
      </c>
      <c r="R966" s="14">
        <f>H966*K966</f>
        <v/>
      </c>
      <c r="S966" s="15">
        <f>IF(Q966=0,"",(Q966-R966)/Q966)</f>
        <v/>
      </c>
      <c r="T966" s="13">
        <f>YEAR(B966)</f>
        <v/>
      </c>
      <c r="U966" s="13">
        <f>YEAR(B966)&amp;"-Q"&amp;ROUNDUP(MONTH(B966)/3,0)</f>
        <v/>
      </c>
      <c r="V966" s="13">
        <f>TEXT(B966,"YYYY-MM")</f>
        <v/>
      </c>
      <c r="W966" s="13">
        <f>IF(L966="","",IF(L966&gt;pLateDays,1,0))</f>
        <v/>
      </c>
      <c r="X966" s="13">
        <f>IF(Q966&gt;=pHighCutoff,1,0)</f>
        <v/>
      </c>
      <c r="Y966" s="13">
        <f>IF(M966="Returned",1,0)</f>
        <v/>
      </c>
    </row>
    <row r="967">
      <c r="A967" s="13" t="inlineStr">
        <is>
          <t>HC-100965</t>
        </is>
      </c>
      <c r="B967" s="18" t="n">
        <v>45872</v>
      </c>
      <c r="C967" s="13" t="inlineStr">
        <is>
          <t>North</t>
        </is>
      </c>
      <c r="D967" s="13" t="inlineStr">
        <is>
          <t>Online</t>
        </is>
      </c>
      <c r="E967" s="13" t="inlineStr">
        <is>
          <t>Kitchen</t>
        </is>
      </c>
      <c r="F967" s="13" t="inlineStr">
        <is>
          <t>Chef Knife</t>
        </is>
      </c>
      <c r="G967" s="13" t="inlineStr">
        <is>
          <t>Consumer</t>
        </is>
      </c>
      <c r="H967" s="13" t="n">
        <v>3</v>
      </c>
      <c r="I967" s="14" t="n">
        <v>61.55</v>
      </c>
      <c r="J967" s="15" t="n">
        <v>0.05</v>
      </c>
      <c r="K967" s="14" t="n">
        <v>22.16</v>
      </c>
      <c r="L967" s="13" t="n">
        <v>3</v>
      </c>
      <c r="M967" s="13" t="inlineStr">
        <is>
          <t>Cancelled</t>
        </is>
      </c>
      <c r="N967" s="13" t="inlineStr">
        <is>
          <t>A. Shah</t>
        </is>
      </c>
      <c r="O967" s="13" t="inlineStr">
        <is>
          <t>No</t>
        </is>
      </c>
      <c r="P967" s="14">
        <f>H967*I967</f>
        <v/>
      </c>
      <c r="Q967" s="14">
        <f>P967*(1-J967)</f>
        <v/>
      </c>
      <c r="R967" s="14">
        <f>H967*K967</f>
        <v/>
      </c>
      <c r="S967" s="15">
        <f>IF(Q967=0,"",(Q967-R967)/Q967)</f>
        <v/>
      </c>
      <c r="T967" s="13">
        <f>YEAR(B967)</f>
        <v/>
      </c>
      <c r="U967" s="13">
        <f>YEAR(B967)&amp;"-Q"&amp;ROUNDUP(MONTH(B967)/3,0)</f>
        <v/>
      </c>
      <c r="V967" s="13">
        <f>TEXT(B967,"YYYY-MM")</f>
        <v/>
      </c>
      <c r="W967" s="13">
        <f>IF(L967="","",IF(L967&gt;pLateDays,1,0))</f>
        <v/>
      </c>
      <c r="X967" s="13">
        <f>IF(Q967&gt;=pHighCutoff,1,0)</f>
        <v/>
      </c>
      <c r="Y967" s="13">
        <f>IF(M967="Returned",1,0)</f>
        <v/>
      </c>
    </row>
    <row r="968">
      <c r="A968" s="13" t="inlineStr">
        <is>
          <t>HC-100966</t>
        </is>
      </c>
      <c r="B968" s="18" t="n">
        <v>45853</v>
      </c>
      <c r="C968" s="13" t="inlineStr">
        <is>
          <t>North</t>
        </is>
      </c>
      <c r="D968" s="13" t="inlineStr">
        <is>
          <t>Wholesale</t>
        </is>
      </c>
      <c r="E968" s="13" t="inlineStr">
        <is>
          <t>Kitchen</t>
        </is>
      </c>
      <c r="F968" s="13" t="inlineStr">
        <is>
          <t>Ceramic Set</t>
        </is>
      </c>
      <c r="G968" s="13" t="inlineStr">
        <is>
          <t>Consumer</t>
        </is>
      </c>
      <c r="H968" s="13" t="n">
        <v>29</v>
      </c>
      <c r="I968" s="14" t="n">
        <v>81.34999999999999</v>
      </c>
      <c r="J968" s="15" t="n">
        <v>0.31</v>
      </c>
      <c r="K968" s="14" t="n">
        <v>30.91</v>
      </c>
      <c r="L968" s="13" t="n">
        <v>8</v>
      </c>
      <c r="M968" s="13" t="inlineStr">
        <is>
          <t>Completed</t>
        </is>
      </c>
      <c r="N968" s="13" t="inlineStr">
        <is>
          <t>P. Rossi</t>
        </is>
      </c>
      <c r="O968" s="13" t="inlineStr">
        <is>
          <t>No</t>
        </is>
      </c>
      <c r="P968" s="14">
        <f>H968*I968</f>
        <v/>
      </c>
      <c r="Q968" s="14">
        <f>P968*(1-J968)</f>
        <v/>
      </c>
      <c r="R968" s="14">
        <f>H968*K968</f>
        <v/>
      </c>
      <c r="S968" s="15">
        <f>IF(Q968=0,"",(Q968-R968)/Q968)</f>
        <v/>
      </c>
      <c r="T968" s="13">
        <f>YEAR(B968)</f>
        <v/>
      </c>
      <c r="U968" s="13">
        <f>YEAR(B968)&amp;"-Q"&amp;ROUNDUP(MONTH(B968)/3,0)</f>
        <v/>
      </c>
      <c r="V968" s="13">
        <f>TEXT(B968,"YYYY-MM")</f>
        <v/>
      </c>
      <c r="W968" s="13">
        <f>IF(L968="","",IF(L968&gt;pLateDays,1,0))</f>
        <v/>
      </c>
      <c r="X968" s="13">
        <f>IF(Q968&gt;=pHighCutoff,1,0)</f>
        <v/>
      </c>
      <c r="Y968" s="13">
        <f>IF(M968="Returned",1,0)</f>
        <v/>
      </c>
    </row>
    <row r="969">
      <c r="A969" s="13" t="inlineStr">
        <is>
          <t>HC-100967</t>
        </is>
      </c>
      <c r="B969" s="18" t="n">
        <v>45608</v>
      </c>
      <c r="C969" s="13" t="inlineStr">
        <is>
          <t>South</t>
        </is>
      </c>
      <c r="D969" s="13" t="inlineStr">
        <is>
          <t>Online</t>
        </is>
      </c>
      <c r="E969" s="13" t="inlineStr">
        <is>
          <t>Lighting</t>
        </is>
      </c>
      <c r="F969" s="13" t="inlineStr">
        <is>
          <t>Arc Lamp</t>
        </is>
      </c>
      <c r="G969" s="13" t="inlineStr">
        <is>
          <t>Consumer</t>
        </is>
      </c>
      <c r="H969" s="13" t="n">
        <v>2</v>
      </c>
      <c r="I969" s="14" t="n">
        <v>303.61</v>
      </c>
      <c r="J969" s="15" t="n">
        <v>0.03</v>
      </c>
      <c r="K969" s="14" t="n">
        <v>145.73</v>
      </c>
      <c r="L969" s="13" t="n">
        <v>5</v>
      </c>
      <c r="M969" s="13" t="inlineStr">
        <is>
          <t>Completed</t>
        </is>
      </c>
      <c r="N969" s="13" t="inlineStr">
        <is>
          <t>K. Mensah</t>
        </is>
      </c>
      <c r="O969" s="13" t="inlineStr">
        <is>
          <t>No</t>
        </is>
      </c>
      <c r="P969" s="14">
        <f>H969*I969</f>
        <v/>
      </c>
      <c r="Q969" s="14">
        <f>P969*(1-J969)</f>
        <v/>
      </c>
      <c r="R969" s="14">
        <f>H969*K969</f>
        <v/>
      </c>
      <c r="S969" s="15">
        <f>IF(Q969=0,"",(Q969-R969)/Q969)</f>
        <v/>
      </c>
      <c r="T969" s="13">
        <f>YEAR(B969)</f>
        <v/>
      </c>
      <c r="U969" s="13">
        <f>YEAR(B969)&amp;"-Q"&amp;ROUNDUP(MONTH(B969)/3,0)</f>
        <v/>
      </c>
      <c r="V969" s="13">
        <f>TEXT(B969,"YYYY-MM")</f>
        <v/>
      </c>
      <c r="W969" s="13">
        <f>IF(L969="","",IF(L969&gt;pLateDays,1,0))</f>
        <v/>
      </c>
      <c r="X969" s="13">
        <f>IF(Q969&gt;=pHighCutoff,1,0)</f>
        <v/>
      </c>
      <c r="Y969" s="13">
        <f>IF(M969="Returned",1,0)</f>
        <v/>
      </c>
    </row>
    <row r="970">
      <c r="A970" s="13" t="inlineStr">
        <is>
          <t>HC-100968</t>
        </is>
      </c>
      <c r="B970" s="18" t="n">
        <v>45337</v>
      </c>
      <c r="C970" s="13" t="inlineStr">
        <is>
          <t>West</t>
        </is>
      </c>
      <c r="D970" s="13" t="inlineStr">
        <is>
          <t>Online</t>
        </is>
      </c>
      <c r="E970" s="13" t="inlineStr">
        <is>
          <t>Furniture</t>
        </is>
      </c>
      <c r="F970" s="13" t="inlineStr">
        <is>
          <t>Oak Desk</t>
        </is>
      </c>
      <c r="G970" s="13" t="inlineStr">
        <is>
          <t>Consumer</t>
        </is>
      </c>
      <c r="H970" s="13" t="n">
        <v>3</v>
      </c>
      <c r="I970" s="14" t="n">
        <v>845.3099999999999</v>
      </c>
      <c r="J970" s="15" t="n">
        <v>0.15</v>
      </c>
      <c r="K970" s="14" t="n">
        <v>524.09</v>
      </c>
      <c r="L970" s="13" t="n"/>
      <c r="M970" s="13" t="inlineStr">
        <is>
          <t>Cancelled</t>
        </is>
      </c>
      <c r="N970" s="13" t="inlineStr">
        <is>
          <t>J. Patel</t>
        </is>
      </c>
      <c r="O970" s="13" t="inlineStr">
        <is>
          <t>No</t>
        </is>
      </c>
      <c r="P970" s="14">
        <f>H970*I970</f>
        <v/>
      </c>
      <c r="Q970" s="14">
        <f>P970*(1-J970)</f>
        <v/>
      </c>
      <c r="R970" s="14">
        <f>H970*K970</f>
        <v/>
      </c>
      <c r="S970" s="15">
        <f>IF(Q970=0,"",(Q970-R970)/Q970)</f>
        <v/>
      </c>
      <c r="T970" s="13">
        <f>YEAR(B970)</f>
        <v/>
      </c>
      <c r="U970" s="13">
        <f>YEAR(B970)&amp;"-Q"&amp;ROUNDUP(MONTH(B970)/3,0)</f>
        <v/>
      </c>
      <c r="V970" s="13">
        <f>TEXT(B970,"YYYY-MM")</f>
        <v/>
      </c>
      <c r="W970" s="13">
        <f>IF(L970="","",IF(L970&gt;pLateDays,1,0))</f>
        <v/>
      </c>
      <c r="X970" s="13">
        <f>IF(Q970&gt;=pHighCutoff,1,0)</f>
        <v/>
      </c>
      <c r="Y970" s="13">
        <f>IF(M970="Returned",1,0)</f>
        <v/>
      </c>
    </row>
    <row r="971">
      <c r="A971" s="13" t="inlineStr">
        <is>
          <t>HC-100969</t>
        </is>
      </c>
      <c r="B971" s="18" t="n">
        <v>45735</v>
      </c>
      <c r="C971" s="13" t="inlineStr">
        <is>
          <t>North</t>
        </is>
      </c>
      <c r="D971" s="13" t="inlineStr">
        <is>
          <t>Store</t>
        </is>
      </c>
      <c r="E971" s="13" t="inlineStr">
        <is>
          <t>Furniture</t>
        </is>
      </c>
      <c r="F971" s="13" t="inlineStr">
        <is>
          <t>Walnut Shelf</t>
        </is>
      </c>
      <c r="G971" s="13" t="inlineStr">
        <is>
          <t>Consumer</t>
        </is>
      </c>
      <c r="H971" s="13" t="n">
        <v>2</v>
      </c>
      <c r="I971" s="14" t="n">
        <v>206.24</v>
      </c>
      <c r="J971" s="15" t="n">
        <v>0.02</v>
      </c>
      <c r="K971" s="14" t="n">
        <v>113.43</v>
      </c>
      <c r="L971" s="13" t="n">
        <v>5</v>
      </c>
      <c r="M971" s="13" t="inlineStr">
        <is>
          <t>Completed</t>
        </is>
      </c>
      <c r="N971" s="13" t="inlineStr">
        <is>
          <t>J. Patel</t>
        </is>
      </c>
      <c r="O971" s="13" t="inlineStr">
        <is>
          <t>No</t>
        </is>
      </c>
      <c r="P971" s="14">
        <f>H971*I971</f>
        <v/>
      </c>
      <c r="Q971" s="14">
        <f>P971*(1-J971)</f>
        <v/>
      </c>
      <c r="R971" s="14">
        <f>H971*K971</f>
        <v/>
      </c>
      <c r="S971" s="15">
        <f>IF(Q971=0,"",(Q971-R971)/Q971)</f>
        <v/>
      </c>
      <c r="T971" s="13">
        <f>YEAR(B971)</f>
        <v/>
      </c>
      <c r="U971" s="13">
        <f>YEAR(B971)&amp;"-Q"&amp;ROUNDUP(MONTH(B971)/3,0)</f>
        <v/>
      </c>
      <c r="V971" s="13">
        <f>TEXT(B971,"YYYY-MM")</f>
        <v/>
      </c>
      <c r="W971" s="13">
        <f>IF(L971="","",IF(L971&gt;pLateDays,1,0))</f>
        <v/>
      </c>
      <c r="X971" s="13">
        <f>IF(Q971&gt;=pHighCutoff,1,0)</f>
        <v/>
      </c>
      <c r="Y971" s="13">
        <f>IF(M971="Returned",1,0)</f>
        <v/>
      </c>
    </row>
    <row r="972">
      <c r="A972" s="13" t="inlineStr">
        <is>
          <t>HC-100970</t>
        </is>
      </c>
      <c r="B972" s="18" t="n">
        <v>45640</v>
      </c>
      <c r="C972" s="13" t="inlineStr">
        <is>
          <t>East</t>
        </is>
      </c>
      <c r="D972" s="13" t="inlineStr">
        <is>
          <t>Wholesale</t>
        </is>
      </c>
      <c r="E972" s="13" t="inlineStr">
        <is>
          <t>Furniture</t>
        </is>
      </c>
      <c r="F972" s="13" t="inlineStr">
        <is>
          <t>Lounge Chair</t>
        </is>
      </c>
      <c r="G972" s="13" t="inlineStr">
        <is>
          <t>Consumer</t>
        </is>
      </c>
      <c r="H972" s="13" t="n">
        <v>37</v>
      </c>
      <c r="I972" s="14" t="n">
        <v>439.38</v>
      </c>
      <c r="J972" s="15" t="n">
        <v>0.22</v>
      </c>
      <c r="K972" s="14" t="n">
        <v>263.63</v>
      </c>
      <c r="L972" s="13" t="n">
        <v>8</v>
      </c>
      <c r="M972" s="13" t="inlineStr">
        <is>
          <t>Completed</t>
        </is>
      </c>
      <c r="N972" s="13" t="inlineStr">
        <is>
          <t>K. Mensah</t>
        </is>
      </c>
      <c r="O972" s="13" t="inlineStr">
        <is>
          <t>No</t>
        </is>
      </c>
      <c r="P972" s="14">
        <f>H972*I972</f>
        <v/>
      </c>
      <c r="Q972" s="14">
        <f>P972*(1-J972)</f>
        <v/>
      </c>
      <c r="R972" s="14">
        <f>H972*K972</f>
        <v/>
      </c>
      <c r="S972" s="15">
        <f>IF(Q972=0,"",(Q972-R972)/Q972)</f>
        <v/>
      </c>
      <c r="T972" s="13">
        <f>YEAR(B972)</f>
        <v/>
      </c>
      <c r="U972" s="13">
        <f>YEAR(B972)&amp;"-Q"&amp;ROUNDUP(MONTH(B972)/3,0)</f>
        <v/>
      </c>
      <c r="V972" s="13">
        <f>TEXT(B972,"YYYY-MM")</f>
        <v/>
      </c>
      <c r="W972" s="13">
        <f>IF(L972="","",IF(L972&gt;pLateDays,1,0))</f>
        <v/>
      </c>
      <c r="X972" s="13">
        <f>IF(Q972&gt;=pHighCutoff,1,0)</f>
        <v/>
      </c>
      <c r="Y972" s="13">
        <f>IF(M972="Returned",1,0)</f>
        <v/>
      </c>
    </row>
    <row r="973">
      <c r="A973" s="13" t="inlineStr">
        <is>
          <t>HC-100971</t>
        </is>
      </c>
      <c r="B973" s="18" t="n">
        <v>45625</v>
      </c>
      <c r="C973" s="13" t="inlineStr">
        <is>
          <t>South</t>
        </is>
      </c>
      <c r="D973" s="13" t="inlineStr">
        <is>
          <t>Online</t>
        </is>
      </c>
      <c r="E973" s="13" t="inlineStr">
        <is>
          <t>Textiles</t>
        </is>
      </c>
      <c r="F973" s="13" t="inlineStr">
        <is>
          <t>Cotton Duvet</t>
        </is>
      </c>
      <c r="G973" s="13" t="inlineStr">
        <is>
          <t>Corporate</t>
        </is>
      </c>
      <c r="H973" s="13" t="n">
        <v>4</v>
      </c>
      <c r="I973" s="14" t="n">
        <v>110.91</v>
      </c>
      <c r="J973" s="15" t="n">
        <v>0.11</v>
      </c>
      <c r="K973" s="14" t="n">
        <v>48.8</v>
      </c>
      <c r="L973" s="13" t="n">
        <v>2</v>
      </c>
      <c r="M973" s="13" t="inlineStr">
        <is>
          <t>Completed</t>
        </is>
      </c>
      <c r="N973" s="13" t="inlineStr">
        <is>
          <t>A. Shah</t>
        </is>
      </c>
      <c r="O973" s="13" t="inlineStr">
        <is>
          <t>No</t>
        </is>
      </c>
      <c r="P973" s="14">
        <f>H973*I973</f>
        <v/>
      </c>
      <c r="Q973" s="14">
        <f>P973*(1-J973)</f>
        <v/>
      </c>
      <c r="R973" s="14">
        <f>H973*K973</f>
        <v/>
      </c>
      <c r="S973" s="15">
        <f>IF(Q973=0,"",(Q973-R973)/Q973)</f>
        <v/>
      </c>
      <c r="T973" s="13">
        <f>YEAR(B973)</f>
        <v/>
      </c>
      <c r="U973" s="13">
        <f>YEAR(B973)&amp;"-Q"&amp;ROUNDUP(MONTH(B973)/3,0)</f>
        <v/>
      </c>
      <c r="V973" s="13">
        <f>TEXT(B973,"YYYY-MM")</f>
        <v/>
      </c>
      <c r="W973" s="13">
        <f>IF(L973="","",IF(L973&gt;pLateDays,1,0))</f>
        <v/>
      </c>
      <c r="X973" s="13">
        <f>IF(Q973&gt;=pHighCutoff,1,0)</f>
        <v/>
      </c>
      <c r="Y973" s="13">
        <f>IF(M973="Returned",1,0)</f>
        <v/>
      </c>
    </row>
    <row r="974">
      <c r="A974" s="13" t="inlineStr">
        <is>
          <t>HC-100972</t>
        </is>
      </c>
      <c r="B974" s="18" t="n">
        <v>45837</v>
      </c>
      <c r="C974" s="13" t="inlineStr">
        <is>
          <t>West</t>
        </is>
      </c>
      <c r="D974" s="13" t="inlineStr">
        <is>
          <t>Online</t>
        </is>
      </c>
      <c r="E974" s="13" t="inlineStr">
        <is>
          <t>Textiles</t>
        </is>
      </c>
      <c r="F974" s="13" t="inlineStr">
        <is>
          <t>Linen Curtain</t>
        </is>
      </c>
      <c r="G974" s="13" t="inlineStr">
        <is>
          <t>Consumer</t>
        </is>
      </c>
      <c r="H974" s="13" t="n">
        <v>3</v>
      </c>
      <c r="I974" s="14" t="n">
        <v>99.7</v>
      </c>
      <c r="J974" s="15" t="n">
        <v>0.03</v>
      </c>
      <c r="K974" s="14" t="n">
        <v>44.87</v>
      </c>
      <c r="L974" s="13" t="n">
        <v>5</v>
      </c>
      <c r="M974" s="13" t="inlineStr">
        <is>
          <t>Completed</t>
        </is>
      </c>
      <c r="N974" s="13" t="inlineStr">
        <is>
          <t>P. Rossi</t>
        </is>
      </c>
      <c r="O974" s="13" t="inlineStr">
        <is>
          <t>No</t>
        </is>
      </c>
      <c r="P974" s="14">
        <f>H974*I974</f>
        <v/>
      </c>
      <c r="Q974" s="14">
        <f>P974*(1-J974)</f>
        <v/>
      </c>
      <c r="R974" s="14">
        <f>H974*K974</f>
        <v/>
      </c>
      <c r="S974" s="15">
        <f>IF(Q974=0,"",(Q974-R974)/Q974)</f>
        <v/>
      </c>
      <c r="T974" s="13">
        <f>YEAR(B974)</f>
        <v/>
      </c>
      <c r="U974" s="13">
        <f>YEAR(B974)&amp;"-Q"&amp;ROUNDUP(MONTH(B974)/3,0)</f>
        <v/>
      </c>
      <c r="V974" s="13">
        <f>TEXT(B974,"YYYY-MM")</f>
        <v/>
      </c>
      <c r="W974" s="13">
        <f>IF(L974="","",IF(L974&gt;pLateDays,1,0))</f>
        <v/>
      </c>
      <c r="X974" s="13">
        <f>IF(Q974&gt;=pHighCutoff,1,0)</f>
        <v/>
      </c>
      <c r="Y974" s="13">
        <f>IF(M974="Returned",1,0)</f>
        <v/>
      </c>
    </row>
    <row r="975">
      <c r="A975" s="13" t="inlineStr">
        <is>
          <t>HC-100973</t>
        </is>
      </c>
      <c r="B975" s="18" t="n">
        <v>45511</v>
      </c>
      <c r="C975" s="13" t="inlineStr">
        <is>
          <t>South</t>
        </is>
      </c>
      <c r="D975" s="13" t="inlineStr">
        <is>
          <t>Store</t>
        </is>
      </c>
      <c r="E975" s="13" t="inlineStr">
        <is>
          <t>Kitchen</t>
        </is>
      </c>
      <c r="F975" s="13" t="inlineStr">
        <is>
          <t>Cast Skillet</t>
        </is>
      </c>
      <c r="G975" s="13" t="inlineStr">
        <is>
          <t>Corporate</t>
        </is>
      </c>
      <c r="H975" s="13" t="n">
        <v>4</v>
      </c>
      <c r="I975" s="14" t="n">
        <v>58.01</v>
      </c>
      <c r="J975" s="15" t="n">
        <v>0.12</v>
      </c>
      <c r="K975" s="14" t="n">
        <v>23.21</v>
      </c>
      <c r="L975" s="13" t="n">
        <v>6</v>
      </c>
      <c r="M975" s="13" t="inlineStr">
        <is>
          <t>Completed</t>
        </is>
      </c>
      <c r="N975" s="13" t="inlineStr">
        <is>
          <t>M. Okonkwo</t>
        </is>
      </c>
      <c r="O975" s="13" t="inlineStr">
        <is>
          <t>No</t>
        </is>
      </c>
      <c r="P975" s="14">
        <f>H975*I975</f>
        <v/>
      </c>
      <c r="Q975" s="14">
        <f>P975*(1-J975)</f>
        <v/>
      </c>
      <c r="R975" s="14">
        <f>H975*K975</f>
        <v/>
      </c>
      <c r="S975" s="15">
        <f>IF(Q975=0,"",(Q975-R975)/Q975)</f>
        <v/>
      </c>
      <c r="T975" s="13">
        <f>YEAR(B975)</f>
        <v/>
      </c>
      <c r="U975" s="13">
        <f>YEAR(B975)&amp;"-Q"&amp;ROUNDUP(MONTH(B975)/3,0)</f>
        <v/>
      </c>
      <c r="V975" s="13">
        <f>TEXT(B975,"YYYY-MM")</f>
        <v/>
      </c>
      <c r="W975" s="13">
        <f>IF(L975="","",IF(L975&gt;pLateDays,1,0))</f>
        <v/>
      </c>
      <c r="X975" s="13">
        <f>IF(Q975&gt;=pHighCutoff,1,0)</f>
        <v/>
      </c>
      <c r="Y975" s="13">
        <f>IF(M975="Returned",1,0)</f>
        <v/>
      </c>
    </row>
    <row r="976">
      <c r="A976" s="13" t="inlineStr">
        <is>
          <t>HC-100974</t>
        </is>
      </c>
      <c r="B976" s="18" t="n">
        <v>45625</v>
      </c>
      <c r="C976" s="13" t="inlineStr">
        <is>
          <t>North</t>
        </is>
      </c>
      <c r="D976" s="13" t="inlineStr">
        <is>
          <t>Store</t>
        </is>
      </c>
      <c r="E976" s="13" t="inlineStr">
        <is>
          <t>Kitchen</t>
        </is>
      </c>
      <c r="F976" s="13" t="inlineStr">
        <is>
          <t>Cast Skillet</t>
        </is>
      </c>
      <c r="G976" s="13" t="inlineStr">
        <is>
          <t>Consumer</t>
        </is>
      </c>
      <c r="H976" s="13" t="n">
        <v>2</v>
      </c>
      <c r="I976" s="14" t="n">
        <v>54.17</v>
      </c>
      <c r="J976" s="15" t="n">
        <v>0.07000000000000001</v>
      </c>
      <c r="K976" s="14" t="n">
        <v>21.67</v>
      </c>
      <c r="L976" s="13" t="n">
        <v>5</v>
      </c>
      <c r="M976" s="13" t="inlineStr">
        <is>
          <t>Returned</t>
        </is>
      </c>
      <c r="N976" s="13" t="inlineStr">
        <is>
          <t>L. Berger</t>
        </is>
      </c>
      <c r="O976" s="13" t="inlineStr">
        <is>
          <t>No</t>
        </is>
      </c>
      <c r="P976" s="14">
        <f>H976*I976</f>
        <v/>
      </c>
      <c r="Q976" s="14">
        <f>P976*(1-J976)</f>
        <v/>
      </c>
      <c r="R976" s="14">
        <f>H976*K976</f>
        <v/>
      </c>
      <c r="S976" s="15">
        <f>IF(Q976=0,"",(Q976-R976)/Q976)</f>
        <v/>
      </c>
      <c r="T976" s="13">
        <f>YEAR(B976)</f>
        <v/>
      </c>
      <c r="U976" s="13">
        <f>YEAR(B976)&amp;"-Q"&amp;ROUNDUP(MONTH(B976)/3,0)</f>
        <v/>
      </c>
      <c r="V976" s="13">
        <f>TEXT(B976,"YYYY-MM")</f>
        <v/>
      </c>
      <c r="W976" s="13">
        <f>IF(L976="","",IF(L976&gt;pLateDays,1,0))</f>
        <v/>
      </c>
      <c r="X976" s="13">
        <f>IF(Q976&gt;=pHighCutoff,1,0)</f>
        <v/>
      </c>
      <c r="Y976" s="13">
        <f>IF(M976="Returned",1,0)</f>
        <v/>
      </c>
    </row>
    <row r="977">
      <c r="A977" s="13" t="inlineStr">
        <is>
          <t>HC-100975</t>
        </is>
      </c>
      <c r="B977" s="18" t="n">
        <v>45676</v>
      </c>
      <c r="C977" s="13" t="inlineStr">
        <is>
          <t>West</t>
        </is>
      </c>
      <c r="D977" s="13" t="inlineStr">
        <is>
          <t>Online</t>
        </is>
      </c>
      <c r="E977" s="13" t="inlineStr">
        <is>
          <t>Furniture</t>
        </is>
      </c>
      <c r="F977" s="13" t="inlineStr">
        <is>
          <t>Walnut Shelf</t>
        </is>
      </c>
      <c r="G977" s="13" t="inlineStr">
        <is>
          <t>Corporate</t>
        </is>
      </c>
      <c r="H977" s="13" t="n">
        <v>1</v>
      </c>
      <c r="I977" s="14" t="n">
        <v>233.02</v>
      </c>
      <c r="J977" s="15" t="n">
        <v>0.13</v>
      </c>
      <c r="K977" s="14" t="n">
        <v>128.16</v>
      </c>
      <c r="L977" s="13" t="n"/>
      <c r="M977" s="13" t="inlineStr">
        <is>
          <t>Completed</t>
        </is>
      </c>
      <c r="N977" s="13" t="inlineStr">
        <is>
          <t>J. Patel</t>
        </is>
      </c>
      <c r="O977" s="13" t="inlineStr">
        <is>
          <t>No</t>
        </is>
      </c>
      <c r="P977" s="14">
        <f>H977*I977</f>
        <v/>
      </c>
      <c r="Q977" s="14">
        <f>P977*(1-J977)</f>
        <v/>
      </c>
      <c r="R977" s="14">
        <f>H977*K977</f>
        <v/>
      </c>
      <c r="S977" s="15">
        <f>IF(Q977=0,"",(Q977-R977)/Q977)</f>
        <v/>
      </c>
      <c r="T977" s="13">
        <f>YEAR(B977)</f>
        <v/>
      </c>
      <c r="U977" s="13">
        <f>YEAR(B977)&amp;"-Q"&amp;ROUNDUP(MONTH(B977)/3,0)</f>
        <v/>
      </c>
      <c r="V977" s="13">
        <f>TEXT(B977,"YYYY-MM")</f>
        <v/>
      </c>
      <c r="W977" s="13">
        <f>IF(L977="","",IF(L977&gt;pLateDays,1,0))</f>
        <v/>
      </c>
      <c r="X977" s="13">
        <f>IF(Q977&gt;=pHighCutoff,1,0)</f>
        <v/>
      </c>
      <c r="Y977" s="13">
        <f>IF(M977="Returned",1,0)</f>
        <v/>
      </c>
    </row>
    <row r="978">
      <c r="A978" s="13" t="inlineStr">
        <is>
          <t>HC-100976</t>
        </is>
      </c>
      <c r="B978" s="18" t="n">
        <v>45700</v>
      </c>
      <c r="C978" s="13" t="inlineStr">
        <is>
          <t>South</t>
        </is>
      </c>
      <c r="D978" s="13" t="inlineStr">
        <is>
          <t>Store</t>
        </is>
      </c>
      <c r="E978" s="13" t="inlineStr">
        <is>
          <t>Kitchen</t>
        </is>
      </c>
      <c r="F978" s="13" t="inlineStr">
        <is>
          <t>Ceramic Set</t>
        </is>
      </c>
      <c r="G978" s="13" t="inlineStr">
        <is>
          <t>Consumer</t>
        </is>
      </c>
      <c r="H978" s="13" t="n">
        <v>2</v>
      </c>
      <c r="I978" s="14" t="n">
        <v>83.06999999999999</v>
      </c>
      <c r="J978" s="15" t="n">
        <v>0.1</v>
      </c>
      <c r="K978" s="14" t="n">
        <v>31.57</v>
      </c>
      <c r="L978" s="13" t="n">
        <v>3</v>
      </c>
      <c r="M978" s="13" t="inlineStr">
        <is>
          <t>Completed</t>
        </is>
      </c>
      <c r="N978" s="13" t="inlineStr">
        <is>
          <t>L. Berger</t>
        </is>
      </c>
      <c r="O978" s="13" t="inlineStr">
        <is>
          <t>No</t>
        </is>
      </c>
      <c r="P978" s="14">
        <f>H978*I978</f>
        <v/>
      </c>
      <c r="Q978" s="14">
        <f>P978*(1-J978)</f>
        <v/>
      </c>
      <c r="R978" s="14">
        <f>H978*K978</f>
        <v/>
      </c>
      <c r="S978" s="15">
        <f>IF(Q978=0,"",(Q978-R978)/Q978)</f>
        <v/>
      </c>
      <c r="T978" s="13">
        <f>YEAR(B978)</f>
        <v/>
      </c>
      <c r="U978" s="13">
        <f>YEAR(B978)&amp;"-Q"&amp;ROUNDUP(MONTH(B978)/3,0)</f>
        <v/>
      </c>
      <c r="V978" s="13">
        <f>TEXT(B978,"YYYY-MM")</f>
        <v/>
      </c>
      <c r="W978" s="13">
        <f>IF(L978="","",IF(L978&gt;pLateDays,1,0))</f>
        <v/>
      </c>
      <c r="X978" s="13">
        <f>IF(Q978&gt;=pHighCutoff,1,0)</f>
        <v/>
      </c>
      <c r="Y978" s="13">
        <f>IF(M978="Returned",1,0)</f>
        <v/>
      </c>
    </row>
    <row r="979">
      <c r="A979" s="13" t="inlineStr">
        <is>
          <t>HC-100977</t>
        </is>
      </c>
      <c r="B979" s="18" t="n">
        <v>45433</v>
      </c>
      <c r="C979" s="13" t="inlineStr">
        <is>
          <t>North</t>
        </is>
      </c>
      <c r="D979" s="13" t="inlineStr">
        <is>
          <t>Online</t>
        </is>
      </c>
      <c r="E979" s="13" t="inlineStr">
        <is>
          <t>Textiles</t>
        </is>
      </c>
      <c r="F979" s="13" t="inlineStr">
        <is>
          <t>Linen Curtain</t>
        </is>
      </c>
      <c r="G979" s="13" t="inlineStr">
        <is>
          <t>Consumer</t>
        </is>
      </c>
      <c r="H979" s="13" t="n">
        <v>2</v>
      </c>
      <c r="I979" s="14" t="n">
        <v>87.98999999999999</v>
      </c>
      <c r="J979" s="15" t="n">
        <v>0.18</v>
      </c>
      <c r="K979" s="14" t="n">
        <v>39.6</v>
      </c>
      <c r="L979" s="13" t="n">
        <v>7</v>
      </c>
      <c r="M979" s="13" t="inlineStr">
        <is>
          <t>Completed</t>
        </is>
      </c>
      <c r="N979" s="13" t="inlineStr">
        <is>
          <t>P. Rossi</t>
        </is>
      </c>
      <c r="O979" s="13" t="inlineStr">
        <is>
          <t>No</t>
        </is>
      </c>
      <c r="P979" s="14">
        <f>H979*I979</f>
        <v/>
      </c>
      <c r="Q979" s="14">
        <f>P979*(1-J979)</f>
        <v/>
      </c>
      <c r="R979" s="14">
        <f>H979*K979</f>
        <v/>
      </c>
      <c r="S979" s="15">
        <f>IF(Q979=0,"",(Q979-R979)/Q979)</f>
        <v/>
      </c>
      <c r="T979" s="13">
        <f>YEAR(B979)</f>
        <v/>
      </c>
      <c r="U979" s="13">
        <f>YEAR(B979)&amp;"-Q"&amp;ROUNDUP(MONTH(B979)/3,0)</f>
        <v/>
      </c>
      <c r="V979" s="13">
        <f>TEXT(B979,"YYYY-MM")</f>
        <v/>
      </c>
      <c r="W979" s="13">
        <f>IF(L979="","",IF(L979&gt;pLateDays,1,0))</f>
        <v/>
      </c>
      <c r="X979" s="13">
        <f>IF(Q979&gt;=pHighCutoff,1,0)</f>
        <v/>
      </c>
      <c r="Y979" s="13">
        <f>IF(M979="Returned",1,0)</f>
        <v/>
      </c>
    </row>
    <row r="980">
      <c r="A980" s="13" t="inlineStr">
        <is>
          <t>HC-100978</t>
        </is>
      </c>
      <c r="B980" s="18" t="n">
        <v>45389</v>
      </c>
      <c r="C980" s="13" t="inlineStr">
        <is>
          <t>West</t>
        </is>
      </c>
      <c r="D980" s="13" t="inlineStr">
        <is>
          <t>Store</t>
        </is>
      </c>
      <c r="E980" s="13" t="inlineStr">
        <is>
          <t>Furniture</t>
        </is>
      </c>
      <c r="F980" s="13" t="inlineStr">
        <is>
          <t>Oak Desk</t>
        </is>
      </c>
      <c r="G980" s="13" t="inlineStr">
        <is>
          <t>Corporate</t>
        </is>
      </c>
      <c r="H980" s="13" t="n">
        <v>3</v>
      </c>
      <c r="I980" s="14" t="n">
        <v>875.97</v>
      </c>
      <c r="J980" s="15" t="n">
        <v>0.11</v>
      </c>
      <c r="K980" s="14" t="n">
        <v>543.1</v>
      </c>
      <c r="L980" s="13" t="n">
        <v>3</v>
      </c>
      <c r="M980" s="13" t="inlineStr">
        <is>
          <t>Completed</t>
        </is>
      </c>
      <c r="N980" s="13" t="inlineStr">
        <is>
          <t>K. Mensah</t>
        </is>
      </c>
      <c r="O980" s="13" t="inlineStr">
        <is>
          <t>No</t>
        </is>
      </c>
      <c r="P980" s="14">
        <f>H980*I980</f>
        <v/>
      </c>
      <c r="Q980" s="14">
        <f>P980*(1-J980)</f>
        <v/>
      </c>
      <c r="R980" s="14">
        <f>H980*K980</f>
        <v/>
      </c>
      <c r="S980" s="15">
        <f>IF(Q980=0,"",(Q980-R980)/Q980)</f>
        <v/>
      </c>
      <c r="T980" s="13">
        <f>YEAR(B980)</f>
        <v/>
      </c>
      <c r="U980" s="13">
        <f>YEAR(B980)&amp;"-Q"&amp;ROUNDUP(MONTH(B980)/3,0)</f>
        <v/>
      </c>
      <c r="V980" s="13">
        <f>TEXT(B980,"YYYY-MM")</f>
        <v/>
      </c>
      <c r="W980" s="13">
        <f>IF(L980="","",IF(L980&gt;pLateDays,1,0))</f>
        <v/>
      </c>
      <c r="X980" s="13">
        <f>IF(Q980&gt;=pHighCutoff,1,0)</f>
        <v/>
      </c>
      <c r="Y980" s="13">
        <f>IF(M980="Returned",1,0)</f>
        <v/>
      </c>
    </row>
    <row r="981">
      <c r="A981" s="13" t="inlineStr">
        <is>
          <t>HC-100979</t>
        </is>
      </c>
      <c r="B981" s="18" t="n">
        <v>45918</v>
      </c>
      <c r="C981" s="13" t="inlineStr">
        <is>
          <t>East</t>
        </is>
      </c>
      <c r="D981" s="13" t="inlineStr">
        <is>
          <t>Online</t>
        </is>
      </c>
      <c r="E981" s="13" t="inlineStr">
        <is>
          <t>Kitchen</t>
        </is>
      </c>
      <c r="F981" s="13" t="inlineStr">
        <is>
          <t>Chef Knife</t>
        </is>
      </c>
      <c r="G981" s="13" t="inlineStr">
        <is>
          <t>Consumer</t>
        </is>
      </c>
      <c r="H981" s="13" t="n">
        <v>3</v>
      </c>
      <c r="I981" s="14" t="n">
        <v>56.27</v>
      </c>
      <c r="J981" s="15" t="n">
        <v>0.03</v>
      </c>
      <c r="K981" s="14" t="n">
        <v>20.26</v>
      </c>
      <c r="L981" s="13" t="n">
        <v>8</v>
      </c>
      <c r="M981" s="13" t="inlineStr">
        <is>
          <t>Completed</t>
        </is>
      </c>
      <c r="N981" s="13" t="inlineStr">
        <is>
          <t>K. Mensah</t>
        </is>
      </c>
      <c r="O981" s="13" t="inlineStr">
        <is>
          <t>No</t>
        </is>
      </c>
      <c r="P981" s="14">
        <f>H981*I981</f>
        <v/>
      </c>
      <c r="Q981" s="14">
        <f>P981*(1-J981)</f>
        <v/>
      </c>
      <c r="R981" s="14">
        <f>H981*K981</f>
        <v/>
      </c>
      <c r="S981" s="15">
        <f>IF(Q981=0,"",(Q981-R981)/Q981)</f>
        <v/>
      </c>
      <c r="T981" s="13">
        <f>YEAR(B981)</f>
        <v/>
      </c>
      <c r="U981" s="13">
        <f>YEAR(B981)&amp;"-Q"&amp;ROUNDUP(MONTH(B981)/3,0)</f>
        <v/>
      </c>
      <c r="V981" s="13">
        <f>TEXT(B981,"YYYY-MM")</f>
        <v/>
      </c>
      <c r="W981" s="13">
        <f>IF(L981="","",IF(L981&gt;pLateDays,1,0))</f>
        <v/>
      </c>
      <c r="X981" s="13">
        <f>IF(Q981&gt;=pHighCutoff,1,0)</f>
        <v/>
      </c>
      <c r="Y981" s="13">
        <f>IF(M981="Returned",1,0)</f>
        <v/>
      </c>
    </row>
    <row r="982">
      <c r="A982" s="13" t="inlineStr">
        <is>
          <t>HC-100980</t>
        </is>
      </c>
      <c r="B982" s="18" t="n">
        <v>45747</v>
      </c>
      <c r="C982" s="13" t="inlineStr">
        <is>
          <t>West</t>
        </is>
      </c>
      <c r="D982" s="13" t="inlineStr">
        <is>
          <t>Store</t>
        </is>
      </c>
      <c r="E982" s="13" t="inlineStr">
        <is>
          <t>Furniture</t>
        </is>
      </c>
      <c r="F982" s="13" t="inlineStr">
        <is>
          <t>Oak Desk</t>
        </is>
      </c>
      <c r="G982" s="13" t="inlineStr">
        <is>
          <t>Home Office</t>
        </is>
      </c>
      <c r="H982" s="13" t="n">
        <v>3</v>
      </c>
      <c r="I982" s="14" t="n">
        <v>880.27</v>
      </c>
      <c r="J982" s="15" t="n">
        <v>0.12</v>
      </c>
      <c r="K982" s="14" t="n">
        <v>545.77</v>
      </c>
      <c r="L982" s="13" t="n">
        <v>8</v>
      </c>
      <c r="M982" s="13" t="inlineStr">
        <is>
          <t>Completed</t>
        </is>
      </c>
      <c r="N982" s="13" t="inlineStr">
        <is>
          <t>R. Ibarra</t>
        </is>
      </c>
      <c r="O982" s="13" t="inlineStr">
        <is>
          <t>No</t>
        </is>
      </c>
      <c r="P982" s="14">
        <f>H982*I982</f>
        <v/>
      </c>
      <c r="Q982" s="14">
        <f>P982*(1-J982)</f>
        <v/>
      </c>
      <c r="R982" s="14">
        <f>H982*K982</f>
        <v/>
      </c>
      <c r="S982" s="15">
        <f>IF(Q982=0,"",(Q982-R982)/Q982)</f>
        <v/>
      </c>
      <c r="T982" s="13">
        <f>YEAR(B982)</f>
        <v/>
      </c>
      <c r="U982" s="13">
        <f>YEAR(B982)&amp;"-Q"&amp;ROUNDUP(MONTH(B982)/3,0)</f>
        <v/>
      </c>
      <c r="V982" s="13">
        <f>TEXT(B982,"YYYY-MM")</f>
        <v/>
      </c>
      <c r="W982" s="13">
        <f>IF(L982="","",IF(L982&gt;pLateDays,1,0))</f>
        <v/>
      </c>
      <c r="X982" s="13">
        <f>IF(Q982&gt;=pHighCutoff,1,0)</f>
        <v/>
      </c>
      <c r="Y982" s="13">
        <f>IF(M982="Returned",1,0)</f>
        <v/>
      </c>
    </row>
    <row r="983">
      <c r="A983" s="13" t="inlineStr">
        <is>
          <t>HC-100981</t>
        </is>
      </c>
      <c r="B983" s="18" t="n">
        <v>45361</v>
      </c>
      <c r="C983" s="13" t="inlineStr">
        <is>
          <t>South</t>
        </is>
      </c>
      <c r="D983" s="13" t="inlineStr">
        <is>
          <t>Store</t>
        </is>
      </c>
      <c r="E983" s="13" t="inlineStr">
        <is>
          <t>Textiles</t>
        </is>
      </c>
      <c r="F983" s="13" t="inlineStr">
        <is>
          <t>Wool Throw</t>
        </is>
      </c>
      <c r="G983" s="13" t="inlineStr">
        <is>
          <t>Consumer</t>
        </is>
      </c>
      <c r="H983" s="13" t="n">
        <v>3</v>
      </c>
      <c r="I983" s="14" t="n">
        <v>79.72</v>
      </c>
      <c r="J983" s="15" t="n">
        <v>0.07000000000000001</v>
      </c>
      <c r="K983" s="14" t="n">
        <v>33.48</v>
      </c>
      <c r="L983" s="13" t="n">
        <v>6</v>
      </c>
      <c r="M983" s="13" t="inlineStr">
        <is>
          <t>Returned</t>
        </is>
      </c>
      <c r="N983" s="13" t="inlineStr">
        <is>
          <t>K. Mensah</t>
        </is>
      </c>
      <c r="O983" s="13" t="inlineStr">
        <is>
          <t>No</t>
        </is>
      </c>
      <c r="P983" s="14">
        <f>H983*I983</f>
        <v/>
      </c>
      <c r="Q983" s="14">
        <f>P983*(1-J983)</f>
        <v/>
      </c>
      <c r="R983" s="14">
        <f>H983*K983</f>
        <v/>
      </c>
      <c r="S983" s="15">
        <f>IF(Q983=0,"",(Q983-R983)/Q983)</f>
        <v/>
      </c>
      <c r="T983" s="13">
        <f>YEAR(B983)</f>
        <v/>
      </c>
      <c r="U983" s="13">
        <f>YEAR(B983)&amp;"-Q"&amp;ROUNDUP(MONTH(B983)/3,0)</f>
        <v/>
      </c>
      <c r="V983" s="13">
        <f>TEXT(B983,"YYYY-MM")</f>
        <v/>
      </c>
      <c r="W983" s="13">
        <f>IF(L983="","",IF(L983&gt;pLateDays,1,0))</f>
        <v/>
      </c>
      <c r="X983" s="13">
        <f>IF(Q983&gt;=pHighCutoff,1,0)</f>
        <v/>
      </c>
      <c r="Y983" s="13">
        <f>IF(M983="Returned",1,0)</f>
        <v/>
      </c>
    </row>
    <row r="984">
      <c r="A984" s="13" t="inlineStr">
        <is>
          <t>HC-100982</t>
        </is>
      </c>
      <c r="B984" s="18" t="n">
        <v>45707</v>
      </c>
      <c r="C984" s="13" t="inlineStr">
        <is>
          <t>East</t>
        </is>
      </c>
      <c r="D984" s="13" t="inlineStr">
        <is>
          <t>Online</t>
        </is>
      </c>
      <c r="E984" s="13" t="inlineStr">
        <is>
          <t>Furniture</t>
        </is>
      </c>
      <c r="F984" s="13" t="inlineStr">
        <is>
          <t>Linen Sofa</t>
        </is>
      </c>
      <c r="G984" s="13" t="inlineStr">
        <is>
          <t>Unknown</t>
        </is>
      </c>
      <c r="H984" s="13" t="n">
        <v>1</v>
      </c>
      <c r="I984" s="14" t="n">
        <v>1046.52</v>
      </c>
      <c r="J984" s="15" t="n">
        <v>0.04</v>
      </c>
      <c r="K984" s="14" t="n">
        <v>690.7</v>
      </c>
      <c r="L984" s="13" t="n">
        <v>10</v>
      </c>
      <c r="M984" s="13" t="inlineStr">
        <is>
          <t>Completed</t>
        </is>
      </c>
      <c r="N984" s="13" t="inlineStr">
        <is>
          <t>J. Patel</t>
        </is>
      </c>
      <c r="O984" s="13" t="inlineStr">
        <is>
          <t>No</t>
        </is>
      </c>
      <c r="P984" s="14">
        <f>H984*I984</f>
        <v/>
      </c>
      <c r="Q984" s="14">
        <f>P984*(1-J984)</f>
        <v/>
      </c>
      <c r="R984" s="14">
        <f>H984*K984</f>
        <v/>
      </c>
      <c r="S984" s="15">
        <f>IF(Q984=0,"",(Q984-R984)/Q984)</f>
        <v/>
      </c>
      <c r="T984" s="13">
        <f>YEAR(B984)</f>
        <v/>
      </c>
      <c r="U984" s="13">
        <f>YEAR(B984)&amp;"-Q"&amp;ROUNDUP(MONTH(B984)/3,0)</f>
        <v/>
      </c>
      <c r="V984" s="13">
        <f>TEXT(B984,"YYYY-MM")</f>
        <v/>
      </c>
      <c r="W984" s="13">
        <f>IF(L984="","",IF(L984&gt;pLateDays,1,0))</f>
        <v/>
      </c>
      <c r="X984" s="13">
        <f>IF(Q984&gt;=pHighCutoff,1,0)</f>
        <v/>
      </c>
      <c r="Y984" s="13">
        <f>IF(M984="Returned",1,0)</f>
        <v/>
      </c>
    </row>
    <row r="985">
      <c r="A985" s="13" t="inlineStr">
        <is>
          <t>HC-100983</t>
        </is>
      </c>
      <c r="B985" s="18" t="n">
        <v>45445</v>
      </c>
      <c r="C985" s="13" t="inlineStr">
        <is>
          <t>South</t>
        </is>
      </c>
      <c r="D985" s="13" t="inlineStr">
        <is>
          <t>Wholesale</t>
        </is>
      </c>
      <c r="E985" s="13" t="inlineStr">
        <is>
          <t>Kitchen</t>
        </is>
      </c>
      <c r="F985" s="13" t="inlineStr">
        <is>
          <t>Chef Knife</t>
        </is>
      </c>
      <c r="G985" s="13" t="inlineStr">
        <is>
          <t>Consumer</t>
        </is>
      </c>
      <c r="H985" s="13" t="n">
        <v>15</v>
      </c>
      <c r="I985" s="14" t="n">
        <v>63.73</v>
      </c>
      <c r="J985" s="15" t="n">
        <v>0.16</v>
      </c>
      <c r="K985" s="14" t="n">
        <v>22.94</v>
      </c>
      <c r="L985" s="13" t="n">
        <v>5</v>
      </c>
      <c r="M985" s="13" t="inlineStr">
        <is>
          <t>Completed</t>
        </is>
      </c>
      <c r="N985" s="13" t="inlineStr">
        <is>
          <t>P. Rossi</t>
        </is>
      </c>
      <c r="O985" s="13" t="inlineStr">
        <is>
          <t>No</t>
        </is>
      </c>
      <c r="P985" s="14">
        <f>H985*I985</f>
        <v/>
      </c>
      <c r="Q985" s="14">
        <f>P985*(1-J985)</f>
        <v/>
      </c>
      <c r="R985" s="14">
        <f>H985*K985</f>
        <v/>
      </c>
      <c r="S985" s="15">
        <f>IF(Q985=0,"",(Q985-R985)/Q985)</f>
        <v/>
      </c>
      <c r="T985" s="13">
        <f>YEAR(B985)</f>
        <v/>
      </c>
      <c r="U985" s="13">
        <f>YEAR(B985)&amp;"-Q"&amp;ROUNDUP(MONTH(B985)/3,0)</f>
        <v/>
      </c>
      <c r="V985" s="13">
        <f>TEXT(B985,"YYYY-MM")</f>
        <v/>
      </c>
      <c r="W985" s="13">
        <f>IF(L985="","",IF(L985&gt;pLateDays,1,0))</f>
        <v/>
      </c>
      <c r="X985" s="13">
        <f>IF(Q985&gt;=pHighCutoff,1,0)</f>
        <v/>
      </c>
      <c r="Y985" s="13">
        <f>IF(M985="Returned",1,0)</f>
        <v/>
      </c>
    </row>
    <row r="986">
      <c r="A986" s="13" t="inlineStr">
        <is>
          <t>HC-100984</t>
        </is>
      </c>
      <c r="B986" s="18" t="n">
        <v>45814</v>
      </c>
      <c r="C986" s="13" t="inlineStr">
        <is>
          <t>East</t>
        </is>
      </c>
      <c r="D986" s="13" t="inlineStr">
        <is>
          <t>Online</t>
        </is>
      </c>
      <c r="E986" s="13" t="inlineStr">
        <is>
          <t>Textiles</t>
        </is>
      </c>
      <c r="F986" s="13" t="inlineStr">
        <is>
          <t>Cotton Duvet</t>
        </is>
      </c>
      <c r="G986" s="13" t="inlineStr">
        <is>
          <t>Corporate</t>
        </is>
      </c>
      <c r="H986" s="13" t="n">
        <v>3</v>
      </c>
      <c r="I986" s="14" t="n">
        <v>108.57</v>
      </c>
      <c r="J986" s="15" t="n">
        <v>0.02</v>
      </c>
      <c r="K986" s="14" t="n">
        <v>47.77</v>
      </c>
      <c r="L986" s="13" t="n">
        <v>12</v>
      </c>
      <c r="M986" s="13" t="inlineStr">
        <is>
          <t>Completed</t>
        </is>
      </c>
      <c r="N986" s="13" t="inlineStr">
        <is>
          <t>P. Rossi</t>
        </is>
      </c>
      <c r="O986" s="13" t="inlineStr">
        <is>
          <t>No</t>
        </is>
      </c>
      <c r="P986" s="14">
        <f>H986*I986</f>
        <v/>
      </c>
      <c r="Q986" s="14">
        <f>P986*(1-J986)</f>
        <v/>
      </c>
      <c r="R986" s="14">
        <f>H986*K986</f>
        <v/>
      </c>
      <c r="S986" s="15">
        <f>IF(Q986=0,"",(Q986-R986)/Q986)</f>
        <v/>
      </c>
      <c r="T986" s="13">
        <f>YEAR(B986)</f>
        <v/>
      </c>
      <c r="U986" s="13">
        <f>YEAR(B986)&amp;"-Q"&amp;ROUNDUP(MONTH(B986)/3,0)</f>
        <v/>
      </c>
      <c r="V986" s="13">
        <f>TEXT(B986,"YYYY-MM")</f>
        <v/>
      </c>
      <c r="W986" s="13">
        <f>IF(L986="","",IF(L986&gt;pLateDays,1,0))</f>
        <v/>
      </c>
      <c r="X986" s="13">
        <f>IF(Q986&gt;=pHighCutoff,1,0)</f>
        <v/>
      </c>
      <c r="Y986" s="13">
        <f>IF(M986="Returned",1,0)</f>
        <v/>
      </c>
    </row>
    <row r="987">
      <c r="A987" s="13" t="inlineStr">
        <is>
          <t>HC-100985</t>
        </is>
      </c>
      <c r="B987" s="18" t="n">
        <v>45810</v>
      </c>
      <c r="C987" s="13" t="inlineStr">
        <is>
          <t>North</t>
        </is>
      </c>
      <c r="D987" s="13" t="inlineStr">
        <is>
          <t>Store</t>
        </is>
      </c>
      <c r="E987" s="13" t="inlineStr">
        <is>
          <t>Lighting</t>
        </is>
      </c>
      <c r="F987" s="13" t="inlineStr">
        <is>
          <t>Pendant Light</t>
        </is>
      </c>
      <c r="G987" s="13" t="inlineStr">
        <is>
          <t>Home Office</t>
        </is>
      </c>
      <c r="H987" s="13" t="n">
        <v>3</v>
      </c>
      <c r="I987" s="14" t="n">
        <v>182.16</v>
      </c>
      <c r="J987" s="15" t="n">
        <v>0</v>
      </c>
      <c r="K987" s="14" t="n">
        <v>91.08</v>
      </c>
      <c r="L987" s="13" t="n">
        <v>6</v>
      </c>
      <c r="M987" s="13" t="inlineStr">
        <is>
          <t>Completed</t>
        </is>
      </c>
      <c r="N987" s="13" t="inlineStr">
        <is>
          <t>P. Rossi</t>
        </is>
      </c>
      <c r="O987" s="13" t="inlineStr">
        <is>
          <t>No</t>
        </is>
      </c>
      <c r="P987" s="14">
        <f>H987*I987</f>
        <v/>
      </c>
      <c r="Q987" s="14">
        <f>P987*(1-J987)</f>
        <v/>
      </c>
      <c r="R987" s="14">
        <f>H987*K987</f>
        <v/>
      </c>
      <c r="S987" s="15">
        <f>IF(Q987=0,"",(Q987-R987)/Q987)</f>
        <v/>
      </c>
      <c r="T987" s="13">
        <f>YEAR(B987)</f>
        <v/>
      </c>
      <c r="U987" s="13">
        <f>YEAR(B987)&amp;"-Q"&amp;ROUNDUP(MONTH(B987)/3,0)</f>
        <v/>
      </c>
      <c r="V987" s="13">
        <f>TEXT(B987,"YYYY-MM")</f>
        <v/>
      </c>
      <c r="W987" s="13">
        <f>IF(L987="","",IF(L987&gt;pLateDays,1,0))</f>
        <v/>
      </c>
      <c r="X987" s="13">
        <f>IF(Q987&gt;=pHighCutoff,1,0)</f>
        <v/>
      </c>
      <c r="Y987" s="13">
        <f>IF(M987="Returned",1,0)</f>
        <v/>
      </c>
    </row>
    <row r="988">
      <c r="A988" s="13" t="inlineStr">
        <is>
          <t>HC-100986</t>
        </is>
      </c>
      <c r="B988" s="18" t="n">
        <v>45924</v>
      </c>
      <c r="C988" s="13" t="inlineStr">
        <is>
          <t>North</t>
        </is>
      </c>
      <c r="D988" s="13" t="inlineStr">
        <is>
          <t>Online</t>
        </is>
      </c>
      <c r="E988" s="13" t="inlineStr">
        <is>
          <t>Textiles</t>
        </is>
      </c>
      <c r="F988" s="13" t="inlineStr">
        <is>
          <t>Cotton Duvet</t>
        </is>
      </c>
      <c r="G988" s="13" t="inlineStr">
        <is>
          <t>Corporate</t>
        </is>
      </c>
      <c r="H988" s="13" t="n">
        <v>2</v>
      </c>
      <c r="I988" s="14" t="n">
        <v>127.24</v>
      </c>
      <c r="J988" s="15" t="n">
        <v>0.14</v>
      </c>
      <c r="K988" s="14" t="n">
        <v>55.99</v>
      </c>
      <c r="L988" s="13" t="n">
        <v>5</v>
      </c>
      <c r="M988" s="13" t="inlineStr">
        <is>
          <t>Completed</t>
        </is>
      </c>
      <c r="N988" s="13" t="inlineStr">
        <is>
          <t>J. Patel</t>
        </is>
      </c>
      <c r="O988" s="13" t="inlineStr">
        <is>
          <t>No</t>
        </is>
      </c>
      <c r="P988" s="14">
        <f>H988*I988</f>
        <v/>
      </c>
      <c r="Q988" s="14">
        <f>P988*(1-J988)</f>
        <v/>
      </c>
      <c r="R988" s="14">
        <f>H988*K988</f>
        <v/>
      </c>
      <c r="S988" s="15">
        <f>IF(Q988=0,"",(Q988-R988)/Q988)</f>
        <v/>
      </c>
      <c r="T988" s="13">
        <f>YEAR(B988)</f>
        <v/>
      </c>
      <c r="U988" s="13">
        <f>YEAR(B988)&amp;"-Q"&amp;ROUNDUP(MONTH(B988)/3,0)</f>
        <v/>
      </c>
      <c r="V988" s="13">
        <f>TEXT(B988,"YYYY-MM")</f>
        <v/>
      </c>
      <c r="W988" s="13">
        <f>IF(L988="","",IF(L988&gt;pLateDays,1,0))</f>
        <v/>
      </c>
      <c r="X988" s="13">
        <f>IF(Q988&gt;=pHighCutoff,1,0)</f>
        <v/>
      </c>
      <c r="Y988" s="13">
        <f>IF(M988="Returned",1,0)</f>
        <v/>
      </c>
    </row>
    <row r="989">
      <c r="A989" s="13" t="inlineStr">
        <is>
          <t>HC-100987</t>
        </is>
      </c>
      <c r="B989" s="18" t="n">
        <v>45840</v>
      </c>
      <c r="C989" s="13" t="inlineStr">
        <is>
          <t>South</t>
        </is>
      </c>
      <c r="D989" s="13" t="inlineStr">
        <is>
          <t>Store</t>
        </is>
      </c>
      <c r="E989" s="13" t="inlineStr">
        <is>
          <t>Textiles</t>
        </is>
      </c>
      <c r="F989" s="13" t="inlineStr">
        <is>
          <t>Cotton Duvet</t>
        </is>
      </c>
      <c r="G989" s="13" t="inlineStr">
        <is>
          <t>Consumer</t>
        </is>
      </c>
      <c r="H989" s="13" t="n">
        <v>1</v>
      </c>
      <c r="I989" s="14" t="n">
        <v>122.27</v>
      </c>
      <c r="J989" s="15" t="n">
        <v>0.09</v>
      </c>
      <c r="K989" s="14" t="n">
        <v>53.8</v>
      </c>
      <c r="L989" s="13" t="n">
        <v>4</v>
      </c>
      <c r="M989" s="13" t="inlineStr">
        <is>
          <t>Completed</t>
        </is>
      </c>
      <c r="N989" s="13" t="inlineStr">
        <is>
          <t>L. Berger</t>
        </is>
      </c>
      <c r="O989" s="13" t="inlineStr">
        <is>
          <t>No</t>
        </is>
      </c>
      <c r="P989" s="14">
        <f>H989*I989</f>
        <v/>
      </c>
      <c r="Q989" s="14">
        <f>P989*(1-J989)</f>
        <v/>
      </c>
      <c r="R989" s="14">
        <f>H989*K989</f>
        <v/>
      </c>
      <c r="S989" s="15">
        <f>IF(Q989=0,"",(Q989-R989)/Q989)</f>
        <v/>
      </c>
      <c r="T989" s="13">
        <f>YEAR(B989)</f>
        <v/>
      </c>
      <c r="U989" s="13">
        <f>YEAR(B989)&amp;"-Q"&amp;ROUNDUP(MONTH(B989)/3,0)</f>
        <v/>
      </c>
      <c r="V989" s="13">
        <f>TEXT(B989,"YYYY-MM")</f>
        <v/>
      </c>
      <c r="W989" s="13">
        <f>IF(L989="","",IF(L989&gt;pLateDays,1,0))</f>
        <v/>
      </c>
      <c r="X989" s="13">
        <f>IF(Q989&gt;=pHighCutoff,1,0)</f>
        <v/>
      </c>
      <c r="Y989" s="13">
        <f>IF(M989="Returned",1,0)</f>
        <v/>
      </c>
    </row>
    <row r="990">
      <c r="A990" s="13" t="inlineStr">
        <is>
          <t>HC-100988</t>
        </is>
      </c>
      <c r="B990" s="18" t="n">
        <v>45902</v>
      </c>
      <c r="C990" s="13" t="inlineStr">
        <is>
          <t>West</t>
        </is>
      </c>
      <c r="D990" s="13" t="inlineStr">
        <is>
          <t>Wholesale</t>
        </is>
      </c>
      <c r="E990" s="13" t="inlineStr">
        <is>
          <t>Lighting</t>
        </is>
      </c>
      <c r="F990" s="13" t="inlineStr">
        <is>
          <t>Pendant Light</t>
        </is>
      </c>
      <c r="G990" s="13" t="inlineStr">
        <is>
          <t>Consumer</t>
        </is>
      </c>
      <c r="H990" s="13" t="n">
        <v>18</v>
      </c>
      <c r="I990" s="14" t="n">
        <v>187.18</v>
      </c>
      <c r="J990" s="15" t="n">
        <v>0.25</v>
      </c>
      <c r="K990" s="14" t="n">
        <v>93.59</v>
      </c>
      <c r="L990" s="13" t="n">
        <v>6</v>
      </c>
      <c r="M990" s="13" t="inlineStr">
        <is>
          <t>Completed</t>
        </is>
      </c>
      <c r="N990" s="13" t="inlineStr">
        <is>
          <t>R. Ibarra</t>
        </is>
      </c>
      <c r="O990" s="13" t="inlineStr">
        <is>
          <t>No</t>
        </is>
      </c>
      <c r="P990" s="14">
        <f>H990*I990</f>
        <v/>
      </c>
      <c r="Q990" s="14">
        <f>P990*(1-J990)</f>
        <v/>
      </c>
      <c r="R990" s="14">
        <f>H990*K990</f>
        <v/>
      </c>
      <c r="S990" s="15">
        <f>IF(Q990=0,"",(Q990-R990)/Q990)</f>
        <v/>
      </c>
      <c r="T990" s="13">
        <f>YEAR(B990)</f>
        <v/>
      </c>
      <c r="U990" s="13">
        <f>YEAR(B990)&amp;"-Q"&amp;ROUNDUP(MONTH(B990)/3,0)</f>
        <v/>
      </c>
      <c r="V990" s="13">
        <f>TEXT(B990,"YYYY-MM")</f>
        <v/>
      </c>
      <c r="W990" s="13">
        <f>IF(L990="","",IF(L990&gt;pLateDays,1,0))</f>
        <v/>
      </c>
      <c r="X990" s="13">
        <f>IF(Q990&gt;=pHighCutoff,1,0)</f>
        <v/>
      </c>
      <c r="Y990" s="13">
        <f>IF(M990="Returned",1,0)</f>
        <v/>
      </c>
    </row>
    <row r="991">
      <c r="A991" s="13" t="inlineStr">
        <is>
          <t>HC-100989</t>
        </is>
      </c>
      <c r="B991" s="18" t="n">
        <v>45565</v>
      </c>
      <c r="C991" s="13" t="inlineStr">
        <is>
          <t>West</t>
        </is>
      </c>
      <c r="D991" s="13" t="inlineStr">
        <is>
          <t>Online</t>
        </is>
      </c>
      <c r="E991" s="13" t="inlineStr">
        <is>
          <t>Textiles</t>
        </is>
      </c>
      <c r="F991" s="13" t="inlineStr">
        <is>
          <t>Linen Curtain</t>
        </is>
      </c>
      <c r="G991" s="13" t="inlineStr">
        <is>
          <t>Consumer</t>
        </is>
      </c>
      <c r="H991" s="13" t="n">
        <v>1</v>
      </c>
      <c r="I991" s="14" t="n">
        <v>101.72</v>
      </c>
      <c r="J991" s="15" t="n">
        <v>0.07000000000000001</v>
      </c>
      <c r="K991" s="14" t="n">
        <v>45.77</v>
      </c>
      <c r="L991" s="13" t="n">
        <v>5</v>
      </c>
      <c r="M991" s="13" t="inlineStr">
        <is>
          <t>Completed</t>
        </is>
      </c>
      <c r="N991" s="13" t="inlineStr">
        <is>
          <t>M. Okonkwo</t>
        </is>
      </c>
      <c r="O991" s="13" t="inlineStr">
        <is>
          <t>No</t>
        </is>
      </c>
      <c r="P991" s="14">
        <f>H991*I991</f>
        <v/>
      </c>
      <c r="Q991" s="14">
        <f>P991*(1-J991)</f>
        <v/>
      </c>
      <c r="R991" s="14">
        <f>H991*K991</f>
        <v/>
      </c>
      <c r="S991" s="15">
        <f>IF(Q991=0,"",(Q991-R991)/Q991)</f>
        <v/>
      </c>
      <c r="T991" s="13">
        <f>YEAR(B991)</f>
        <v/>
      </c>
      <c r="U991" s="13">
        <f>YEAR(B991)&amp;"-Q"&amp;ROUNDUP(MONTH(B991)/3,0)</f>
        <v/>
      </c>
      <c r="V991" s="13">
        <f>TEXT(B991,"YYYY-MM")</f>
        <v/>
      </c>
      <c r="W991" s="13">
        <f>IF(L991="","",IF(L991&gt;pLateDays,1,0))</f>
        <v/>
      </c>
      <c r="X991" s="13">
        <f>IF(Q991&gt;=pHighCutoff,1,0)</f>
        <v/>
      </c>
      <c r="Y991" s="13">
        <f>IF(M991="Returned",1,0)</f>
        <v/>
      </c>
    </row>
    <row r="992">
      <c r="A992" s="13" t="inlineStr">
        <is>
          <t>HC-100990</t>
        </is>
      </c>
      <c r="B992" s="18" t="n">
        <v>45922</v>
      </c>
      <c r="C992" s="13" t="inlineStr">
        <is>
          <t>West</t>
        </is>
      </c>
      <c r="D992" s="13" t="inlineStr">
        <is>
          <t>Online</t>
        </is>
      </c>
      <c r="E992" s="13" t="inlineStr">
        <is>
          <t>Lighting</t>
        </is>
      </c>
      <c r="F992" s="13" t="inlineStr">
        <is>
          <t>Arc Lamp</t>
        </is>
      </c>
      <c r="G992" s="13" t="inlineStr">
        <is>
          <t>Corporate</t>
        </is>
      </c>
      <c r="H992" s="13" t="n">
        <v>2</v>
      </c>
      <c r="I992" s="14" t="n">
        <v>324.77</v>
      </c>
      <c r="J992" s="15" t="n">
        <v>0.11</v>
      </c>
      <c r="K992" s="14" t="n">
        <v>155.89</v>
      </c>
      <c r="L992" s="13" t="n">
        <v>4</v>
      </c>
      <c r="M992" s="13" t="inlineStr">
        <is>
          <t>Completed</t>
        </is>
      </c>
      <c r="N992" s="13" t="inlineStr">
        <is>
          <t>P. Rossi</t>
        </is>
      </c>
      <c r="O992" s="13" t="inlineStr">
        <is>
          <t>No</t>
        </is>
      </c>
      <c r="P992" s="14">
        <f>H992*I992</f>
        <v/>
      </c>
      <c r="Q992" s="14">
        <f>P992*(1-J992)</f>
        <v/>
      </c>
      <c r="R992" s="14">
        <f>H992*K992</f>
        <v/>
      </c>
      <c r="S992" s="15">
        <f>IF(Q992=0,"",(Q992-R992)/Q992)</f>
        <v/>
      </c>
      <c r="T992" s="13">
        <f>YEAR(B992)</f>
        <v/>
      </c>
      <c r="U992" s="13">
        <f>YEAR(B992)&amp;"-Q"&amp;ROUNDUP(MONTH(B992)/3,0)</f>
        <v/>
      </c>
      <c r="V992" s="13">
        <f>TEXT(B992,"YYYY-MM")</f>
        <v/>
      </c>
      <c r="W992" s="13">
        <f>IF(L992="","",IF(L992&gt;pLateDays,1,0))</f>
        <v/>
      </c>
      <c r="X992" s="13">
        <f>IF(Q992&gt;=pHighCutoff,1,0)</f>
        <v/>
      </c>
      <c r="Y992" s="13">
        <f>IF(M992="Returned",1,0)</f>
        <v/>
      </c>
    </row>
    <row r="993">
      <c r="A993" s="13" t="inlineStr">
        <is>
          <t>HC-100991</t>
        </is>
      </c>
      <c r="B993" s="18" t="n">
        <v>45421</v>
      </c>
      <c r="C993" s="13" t="inlineStr">
        <is>
          <t>West</t>
        </is>
      </c>
      <c r="D993" s="13" t="inlineStr">
        <is>
          <t>Store</t>
        </is>
      </c>
      <c r="E993" s="13" t="inlineStr">
        <is>
          <t>Textiles</t>
        </is>
      </c>
      <c r="F993" s="13" t="inlineStr">
        <is>
          <t>Linen Curtain</t>
        </is>
      </c>
      <c r="G993" s="13" t="inlineStr">
        <is>
          <t>Consumer</t>
        </is>
      </c>
      <c r="H993" s="13" t="n">
        <v>3</v>
      </c>
      <c r="I993" s="14" t="n">
        <v>95.48</v>
      </c>
      <c r="J993" s="15" t="n">
        <v>0.02</v>
      </c>
      <c r="K993" s="14" t="n">
        <v>42.97</v>
      </c>
      <c r="L993" s="13" t="n">
        <v>4</v>
      </c>
      <c r="M993" s="13" t="inlineStr">
        <is>
          <t>Completed</t>
        </is>
      </c>
      <c r="N993" s="13" t="inlineStr">
        <is>
          <t>M. Okonkwo</t>
        </is>
      </c>
      <c r="O993" s="13" t="inlineStr">
        <is>
          <t>No</t>
        </is>
      </c>
      <c r="P993" s="14">
        <f>H993*I993</f>
        <v/>
      </c>
      <c r="Q993" s="14">
        <f>P993*(1-J993)</f>
        <v/>
      </c>
      <c r="R993" s="14">
        <f>H993*K993</f>
        <v/>
      </c>
      <c r="S993" s="15">
        <f>IF(Q993=0,"",(Q993-R993)/Q993)</f>
        <v/>
      </c>
      <c r="T993" s="13">
        <f>YEAR(B993)</f>
        <v/>
      </c>
      <c r="U993" s="13">
        <f>YEAR(B993)&amp;"-Q"&amp;ROUNDUP(MONTH(B993)/3,0)</f>
        <v/>
      </c>
      <c r="V993" s="13">
        <f>TEXT(B993,"YYYY-MM")</f>
        <v/>
      </c>
      <c r="W993" s="13">
        <f>IF(L993="","",IF(L993&gt;pLateDays,1,0))</f>
        <v/>
      </c>
      <c r="X993" s="13">
        <f>IF(Q993&gt;=pHighCutoff,1,0)</f>
        <v/>
      </c>
      <c r="Y993" s="13">
        <f>IF(M993="Returned",1,0)</f>
        <v/>
      </c>
    </row>
    <row r="994">
      <c r="A994" s="13" t="inlineStr">
        <is>
          <t>HC-100992</t>
        </is>
      </c>
      <c r="B994" s="18" t="n">
        <v>45758</v>
      </c>
      <c r="C994" s="13" t="inlineStr">
        <is>
          <t>North</t>
        </is>
      </c>
      <c r="D994" s="13" t="inlineStr">
        <is>
          <t>Store</t>
        </is>
      </c>
      <c r="E994" s="13" t="inlineStr">
        <is>
          <t>Furniture</t>
        </is>
      </c>
      <c r="F994" s="13" t="inlineStr">
        <is>
          <t>Lounge Chair</t>
        </is>
      </c>
      <c r="G994" s="13" t="inlineStr">
        <is>
          <t>Consumer</t>
        </is>
      </c>
      <c r="H994" s="13" t="n">
        <v>3</v>
      </c>
      <c r="I994" s="14" t="n">
        <v>446.49</v>
      </c>
      <c r="J994" s="15" t="n">
        <v>0.11</v>
      </c>
      <c r="K994" s="14" t="n">
        <v>267.89</v>
      </c>
      <c r="L994" s="13" t="n">
        <v>4</v>
      </c>
      <c r="M994" s="13" t="inlineStr">
        <is>
          <t>Completed</t>
        </is>
      </c>
      <c r="N994" s="13" t="inlineStr">
        <is>
          <t>J. Patel</t>
        </is>
      </c>
      <c r="O994" s="13" t="inlineStr">
        <is>
          <t>No</t>
        </is>
      </c>
      <c r="P994" s="14">
        <f>H994*I994</f>
        <v/>
      </c>
      <c r="Q994" s="14">
        <f>P994*(1-J994)</f>
        <v/>
      </c>
      <c r="R994" s="14">
        <f>H994*K994</f>
        <v/>
      </c>
      <c r="S994" s="15">
        <f>IF(Q994=0,"",(Q994-R994)/Q994)</f>
        <v/>
      </c>
      <c r="T994" s="13">
        <f>YEAR(B994)</f>
        <v/>
      </c>
      <c r="U994" s="13">
        <f>YEAR(B994)&amp;"-Q"&amp;ROUNDUP(MONTH(B994)/3,0)</f>
        <v/>
      </c>
      <c r="V994" s="13">
        <f>TEXT(B994,"YYYY-MM")</f>
        <v/>
      </c>
      <c r="W994" s="13">
        <f>IF(L994="","",IF(L994&gt;pLateDays,1,0))</f>
        <v/>
      </c>
      <c r="X994" s="13">
        <f>IF(Q994&gt;=pHighCutoff,1,0)</f>
        <v/>
      </c>
      <c r="Y994" s="13">
        <f>IF(M994="Returned",1,0)</f>
        <v/>
      </c>
    </row>
    <row r="995">
      <c r="A995" s="13" t="inlineStr">
        <is>
          <t>HC-100993</t>
        </is>
      </c>
      <c r="B995" s="18" t="n">
        <v>45652</v>
      </c>
      <c r="C995" s="13" t="inlineStr">
        <is>
          <t>West</t>
        </is>
      </c>
      <c r="D995" s="13" t="inlineStr">
        <is>
          <t>Store</t>
        </is>
      </c>
      <c r="E995" s="13" t="inlineStr">
        <is>
          <t>Kitchen</t>
        </is>
      </c>
      <c r="F995" s="13" t="inlineStr">
        <is>
          <t>Ceramic Set</t>
        </is>
      </c>
      <c r="G995" s="13" t="inlineStr">
        <is>
          <t>Home Office</t>
        </is>
      </c>
      <c r="H995" s="13" t="n">
        <v>5</v>
      </c>
      <c r="I995" s="14" t="n">
        <v>89.16</v>
      </c>
      <c r="J995" s="15" t="n">
        <v>0.06</v>
      </c>
      <c r="K995" s="14" t="n">
        <v>33.88</v>
      </c>
      <c r="L995" s="13" t="n">
        <v>8</v>
      </c>
      <c r="M995" s="13" t="inlineStr">
        <is>
          <t>Completed</t>
        </is>
      </c>
      <c r="N995" s="13" t="inlineStr">
        <is>
          <t>J. Patel</t>
        </is>
      </c>
      <c r="O995" s="13" t="inlineStr">
        <is>
          <t>No</t>
        </is>
      </c>
      <c r="P995" s="14">
        <f>H995*I995</f>
        <v/>
      </c>
      <c r="Q995" s="14">
        <f>P995*(1-J995)</f>
        <v/>
      </c>
      <c r="R995" s="14">
        <f>H995*K995</f>
        <v/>
      </c>
      <c r="S995" s="15">
        <f>IF(Q995=0,"",(Q995-R995)/Q995)</f>
        <v/>
      </c>
      <c r="T995" s="13">
        <f>YEAR(B995)</f>
        <v/>
      </c>
      <c r="U995" s="13">
        <f>YEAR(B995)&amp;"-Q"&amp;ROUNDUP(MONTH(B995)/3,0)</f>
        <v/>
      </c>
      <c r="V995" s="13">
        <f>TEXT(B995,"YYYY-MM")</f>
        <v/>
      </c>
      <c r="W995" s="13">
        <f>IF(L995="","",IF(L995&gt;pLateDays,1,0))</f>
        <v/>
      </c>
      <c r="X995" s="13">
        <f>IF(Q995&gt;=pHighCutoff,1,0)</f>
        <v/>
      </c>
      <c r="Y995" s="13">
        <f>IF(M995="Returned",1,0)</f>
        <v/>
      </c>
    </row>
    <row r="996">
      <c r="A996" s="13" t="inlineStr">
        <is>
          <t>HC-100994</t>
        </is>
      </c>
      <c r="B996" s="18" t="n">
        <v>45600</v>
      </c>
      <c r="C996" s="13" t="inlineStr">
        <is>
          <t>South</t>
        </is>
      </c>
      <c r="D996" s="13" t="inlineStr">
        <is>
          <t>Store</t>
        </is>
      </c>
      <c r="E996" s="13" t="inlineStr">
        <is>
          <t>Textiles</t>
        </is>
      </c>
      <c r="F996" s="13" t="inlineStr">
        <is>
          <t>Cotton Duvet</t>
        </is>
      </c>
      <c r="G996" s="13" t="inlineStr">
        <is>
          <t>Consumer</t>
        </is>
      </c>
      <c r="H996" s="13" t="n">
        <v>2</v>
      </c>
      <c r="I996" s="14" t="n">
        <v>121.07</v>
      </c>
      <c r="J996" s="15" t="n">
        <v>0.07000000000000001</v>
      </c>
      <c r="K996" s="14" t="n">
        <v>53.27</v>
      </c>
      <c r="L996" s="13" t="n">
        <v>2</v>
      </c>
      <c r="M996" s="13" t="inlineStr">
        <is>
          <t>Completed</t>
        </is>
      </c>
      <c r="N996" s="13" t="inlineStr">
        <is>
          <t>L. Berger</t>
        </is>
      </c>
      <c r="O996" s="13" t="inlineStr">
        <is>
          <t>No</t>
        </is>
      </c>
      <c r="P996" s="14">
        <f>H996*I996</f>
        <v/>
      </c>
      <c r="Q996" s="14">
        <f>P996*(1-J996)</f>
        <v/>
      </c>
      <c r="R996" s="14">
        <f>H996*K996</f>
        <v/>
      </c>
      <c r="S996" s="15">
        <f>IF(Q996=0,"",(Q996-R996)/Q996)</f>
        <v/>
      </c>
      <c r="T996" s="13">
        <f>YEAR(B996)</f>
        <v/>
      </c>
      <c r="U996" s="13">
        <f>YEAR(B996)&amp;"-Q"&amp;ROUNDUP(MONTH(B996)/3,0)</f>
        <v/>
      </c>
      <c r="V996" s="13">
        <f>TEXT(B996,"YYYY-MM")</f>
        <v/>
      </c>
      <c r="W996" s="13">
        <f>IF(L996="","",IF(L996&gt;pLateDays,1,0))</f>
        <v/>
      </c>
      <c r="X996" s="13">
        <f>IF(Q996&gt;=pHighCutoff,1,0)</f>
        <v/>
      </c>
      <c r="Y996" s="13">
        <f>IF(M996="Returned",1,0)</f>
        <v/>
      </c>
    </row>
    <row r="997">
      <c r="A997" s="13" t="inlineStr">
        <is>
          <t>HC-100995</t>
        </is>
      </c>
      <c r="B997" s="18" t="n">
        <v>45333</v>
      </c>
      <c r="C997" s="13" t="inlineStr">
        <is>
          <t>South</t>
        </is>
      </c>
      <c r="D997" s="13" t="inlineStr">
        <is>
          <t>Store</t>
        </is>
      </c>
      <c r="E997" s="13" t="inlineStr">
        <is>
          <t>Textiles</t>
        </is>
      </c>
      <c r="F997" s="13" t="inlineStr">
        <is>
          <t>Linen Curtain</t>
        </is>
      </c>
      <c r="G997" s="13" t="inlineStr">
        <is>
          <t>Home Office</t>
        </is>
      </c>
      <c r="H997" s="13" t="n">
        <v>4</v>
      </c>
      <c r="I997" s="14" t="n">
        <v>89.67</v>
      </c>
      <c r="J997" s="15" t="n">
        <v>0.06</v>
      </c>
      <c r="K997" s="14" t="n">
        <v>40.35</v>
      </c>
      <c r="L997" s="13" t="n">
        <v>1</v>
      </c>
      <c r="M997" s="13" t="inlineStr">
        <is>
          <t>Returned</t>
        </is>
      </c>
      <c r="N997" s="13" t="inlineStr">
        <is>
          <t>K. Mensah</t>
        </is>
      </c>
      <c r="O997" s="13" t="inlineStr">
        <is>
          <t>No</t>
        </is>
      </c>
      <c r="P997" s="14">
        <f>H997*I997</f>
        <v/>
      </c>
      <c r="Q997" s="14">
        <f>P997*(1-J997)</f>
        <v/>
      </c>
      <c r="R997" s="14">
        <f>H997*K997</f>
        <v/>
      </c>
      <c r="S997" s="15">
        <f>IF(Q997=0,"",(Q997-R997)/Q997)</f>
        <v/>
      </c>
      <c r="T997" s="13">
        <f>YEAR(B997)</f>
        <v/>
      </c>
      <c r="U997" s="13">
        <f>YEAR(B997)&amp;"-Q"&amp;ROUNDUP(MONTH(B997)/3,0)</f>
        <v/>
      </c>
      <c r="V997" s="13">
        <f>TEXT(B997,"YYYY-MM")</f>
        <v/>
      </c>
      <c r="W997" s="13">
        <f>IF(L997="","",IF(L997&gt;pLateDays,1,0))</f>
        <v/>
      </c>
      <c r="X997" s="13">
        <f>IF(Q997&gt;=pHighCutoff,1,0)</f>
        <v/>
      </c>
      <c r="Y997" s="13">
        <f>IF(M997="Returned",1,0)</f>
        <v/>
      </c>
    </row>
    <row r="998">
      <c r="A998" s="13" t="inlineStr">
        <is>
          <t>HC-100996</t>
        </is>
      </c>
      <c r="B998" s="18" t="n">
        <v>45598</v>
      </c>
      <c r="C998" s="13" t="inlineStr">
        <is>
          <t>West</t>
        </is>
      </c>
      <c r="D998" s="13" t="inlineStr">
        <is>
          <t>Store</t>
        </is>
      </c>
      <c r="E998" s="13" t="inlineStr">
        <is>
          <t>Textiles</t>
        </is>
      </c>
      <c r="F998" s="13" t="inlineStr">
        <is>
          <t>Linen Curtain</t>
        </is>
      </c>
      <c r="G998" s="13" t="inlineStr">
        <is>
          <t>Consumer</t>
        </is>
      </c>
      <c r="H998" s="13" t="n">
        <v>4</v>
      </c>
      <c r="I998" s="14" t="n">
        <v>101.43</v>
      </c>
      <c r="J998" s="15" t="n">
        <v>0.03</v>
      </c>
      <c r="K998" s="14" t="n">
        <v>45.64</v>
      </c>
      <c r="L998" s="13" t="n">
        <v>3</v>
      </c>
      <c r="M998" s="13" t="inlineStr">
        <is>
          <t>Cancelled</t>
        </is>
      </c>
      <c r="N998" s="13" t="inlineStr">
        <is>
          <t>M. Okonkwo</t>
        </is>
      </c>
      <c r="O998" s="13" t="inlineStr">
        <is>
          <t>No</t>
        </is>
      </c>
      <c r="P998" s="14">
        <f>H998*I998</f>
        <v/>
      </c>
      <c r="Q998" s="14">
        <f>P998*(1-J998)</f>
        <v/>
      </c>
      <c r="R998" s="14">
        <f>H998*K998</f>
        <v/>
      </c>
      <c r="S998" s="15">
        <f>IF(Q998=0,"",(Q998-R998)/Q998)</f>
        <v/>
      </c>
      <c r="T998" s="13">
        <f>YEAR(B998)</f>
        <v/>
      </c>
      <c r="U998" s="13">
        <f>YEAR(B998)&amp;"-Q"&amp;ROUNDUP(MONTH(B998)/3,0)</f>
        <v/>
      </c>
      <c r="V998" s="13">
        <f>TEXT(B998,"YYYY-MM")</f>
        <v/>
      </c>
      <c r="W998" s="13">
        <f>IF(L998="","",IF(L998&gt;pLateDays,1,0))</f>
        <v/>
      </c>
      <c r="X998" s="13">
        <f>IF(Q998&gt;=pHighCutoff,1,0)</f>
        <v/>
      </c>
      <c r="Y998" s="13">
        <f>IF(M998="Returned",1,0)</f>
        <v/>
      </c>
    </row>
    <row r="999">
      <c r="A999" s="13" t="inlineStr">
        <is>
          <t>HC-100997</t>
        </is>
      </c>
      <c r="B999" s="18" t="n">
        <v>45417</v>
      </c>
      <c r="C999" s="13" t="inlineStr">
        <is>
          <t>West</t>
        </is>
      </c>
      <c r="D999" s="13" t="inlineStr">
        <is>
          <t>Store</t>
        </is>
      </c>
      <c r="E999" s="13" t="inlineStr">
        <is>
          <t>Kitchen</t>
        </is>
      </c>
      <c r="F999" s="13" t="inlineStr">
        <is>
          <t>Ceramic Set</t>
        </is>
      </c>
      <c r="G999" s="13" t="inlineStr">
        <is>
          <t>Consumer</t>
        </is>
      </c>
      <c r="H999" s="13" t="n">
        <v>1</v>
      </c>
      <c r="I999" s="14" t="n">
        <v>79.37</v>
      </c>
      <c r="J999" s="15" t="n">
        <v>0.1</v>
      </c>
      <c r="K999" s="14" t="n">
        <v>30.16</v>
      </c>
      <c r="L999" s="13" t="n">
        <v>3</v>
      </c>
      <c r="M999" s="13" t="inlineStr">
        <is>
          <t>Completed</t>
        </is>
      </c>
      <c r="N999" s="13" t="inlineStr">
        <is>
          <t>R. Ibarra</t>
        </is>
      </c>
      <c r="O999" s="13" t="inlineStr">
        <is>
          <t>No</t>
        </is>
      </c>
      <c r="P999" s="14">
        <f>H999*I999</f>
        <v/>
      </c>
      <c r="Q999" s="14">
        <f>P999*(1-J999)</f>
        <v/>
      </c>
      <c r="R999" s="14">
        <f>H999*K999</f>
        <v/>
      </c>
      <c r="S999" s="15">
        <f>IF(Q999=0,"",(Q999-R999)/Q999)</f>
        <v/>
      </c>
      <c r="T999" s="13">
        <f>YEAR(B999)</f>
        <v/>
      </c>
      <c r="U999" s="13">
        <f>YEAR(B999)&amp;"-Q"&amp;ROUNDUP(MONTH(B999)/3,0)</f>
        <v/>
      </c>
      <c r="V999" s="13">
        <f>TEXT(B999,"YYYY-MM")</f>
        <v/>
      </c>
      <c r="W999" s="13">
        <f>IF(L999="","",IF(L999&gt;pLateDays,1,0))</f>
        <v/>
      </c>
      <c r="X999" s="13">
        <f>IF(Q999&gt;=pHighCutoff,1,0)</f>
        <v/>
      </c>
      <c r="Y999" s="13">
        <f>IF(M999="Returned",1,0)</f>
        <v/>
      </c>
    </row>
    <row r="1000">
      <c r="A1000" s="13" t="inlineStr">
        <is>
          <t>HC-100998</t>
        </is>
      </c>
      <c r="B1000" s="18" t="n">
        <v>45597</v>
      </c>
      <c r="C1000" s="13" t="inlineStr">
        <is>
          <t>South</t>
        </is>
      </c>
      <c r="D1000" s="13" t="inlineStr">
        <is>
          <t>Store</t>
        </is>
      </c>
      <c r="E1000" s="13" t="inlineStr">
        <is>
          <t>Kitchen</t>
        </is>
      </c>
      <c r="F1000" s="13" t="inlineStr">
        <is>
          <t>Ceramic Set</t>
        </is>
      </c>
      <c r="G1000" s="13" t="inlineStr">
        <is>
          <t>Consumer</t>
        </is>
      </c>
      <c r="H1000" s="13" t="n">
        <v>3</v>
      </c>
      <c r="I1000" s="14" t="n">
        <v>80.64</v>
      </c>
      <c r="J1000" s="15" t="n">
        <v>0.08</v>
      </c>
      <c r="K1000" s="14" t="n">
        <v>30.64</v>
      </c>
      <c r="L1000" s="13" t="n">
        <v>5</v>
      </c>
      <c r="M1000" s="13" t="inlineStr">
        <is>
          <t>Completed</t>
        </is>
      </c>
      <c r="N1000" s="13" t="inlineStr">
        <is>
          <t>S. Nguyen</t>
        </is>
      </c>
      <c r="O1000" s="13" t="inlineStr">
        <is>
          <t>No</t>
        </is>
      </c>
      <c r="P1000" s="14">
        <f>H1000*I1000</f>
        <v/>
      </c>
      <c r="Q1000" s="14">
        <f>P1000*(1-J1000)</f>
        <v/>
      </c>
      <c r="R1000" s="14">
        <f>H1000*K1000</f>
        <v/>
      </c>
      <c r="S1000" s="15">
        <f>IF(Q1000=0,"",(Q1000-R1000)/Q1000)</f>
        <v/>
      </c>
      <c r="T1000" s="13">
        <f>YEAR(B1000)</f>
        <v/>
      </c>
      <c r="U1000" s="13">
        <f>YEAR(B1000)&amp;"-Q"&amp;ROUNDUP(MONTH(B1000)/3,0)</f>
        <v/>
      </c>
      <c r="V1000" s="13">
        <f>TEXT(B1000,"YYYY-MM")</f>
        <v/>
      </c>
      <c r="W1000" s="13">
        <f>IF(L1000="","",IF(L1000&gt;pLateDays,1,0))</f>
        <v/>
      </c>
      <c r="X1000" s="13">
        <f>IF(Q1000&gt;=pHighCutoff,1,0)</f>
        <v/>
      </c>
      <c r="Y1000" s="13">
        <f>IF(M1000="Returned",1,0)</f>
        <v/>
      </c>
    </row>
    <row r="1001">
      <c r="A1001" s="13" t="inlineStr">
        <is>
          <t>HC-100999</t>
        </is>
      </c>
      <c r="B1001" s="18" t="n">
        <v>45672</v>
      </c>
      <c r="C1001" s="13" t="inlineStr">
        <is>
          <t>North</t>
        </is>
      </c>
      <c r="D1001" s="13" t="inlineStr">
        <is>
          <t>Online</t>
        </is>
      </c>
      <c r="E1001" s="13" t="inlineStr">
        <is>
          <t>Textiles</t>
        </is>
      </c>
      <c r="F1001" s="13" t="inlineStr">
        <is>
          <t>Linen Curtain</t>
        </is>
      </c>
      <c r="G1001" s="13" t="inlineStr">
        <is>
          <t>Corporate</t>
        </is>
      </c>
      <c r="H1001" s="13" t="n">
        <v>1</v>
      </c>
      <c r="I1001" s="14" t="n">
        <v>91.66</v>
      </c>
      <c r="J1001" s="15" t="n">
        <v>0.03</v>
      </c>
      <c r="K1001" s="14" t="n">
        <v>41.25</v>
      </c>
      <c r="L1001" s="13" t="n">
        <v>7</v>
      </c>
      <c r="M1001" s="13" t="inlineStr">
        <is>
          <t>Completed</t>
        </is>
      </c>
      <c r="N1001" s="13" t="inlineStr">
        <is>
          <t>R. Ibarra</t>
        </is>
      </c>
      <c r="O1001" s="13" t="inlineStr">
        <is>
          <t>No</t>
        </is>
      </c>
      <c r="P1001" s="14">
        <f>H1001*I1001</f>
        <v/>
      </c>
      <c r="Q1001" s="14">
        <f>P1001*(1-J1001)</f>
        <v/>
      </c>
      <c r="R1001" s="14">
        <f>H1001*K1001</f>
        <v/>
      </c>
      <c r="S1001" s="15">
        <f>IF(Q1001=0,"",(Q1001-R1001)/Q1001)</f>
        <v/>
      </c>
      <c r="T1001" s="13">
        <f>YEAR(B1001)</f>
        <v/>
      </c>
      <c r="U1001" s="13">
        <f>YEAR(B1001)&amp;"-Q"&amp;ROUNDUP(MONTH(B1001)/3,0)</f>
        <v/>
      </c>
      <c r="V1001" s="13">
        <f>TEXT(B1001,"YYYY-MM")</f>
        <v/>
      </c>
      <c r="W1001" s="13">
        <f>IF(L1001="","",IF(L1001&gt;pLateDays,1,0))</f>
        <v/>
      </c>
      <c r="X1001" s="13">
        <f>IF(Q1001&gt;=pHighCutoff,1,0)</f>
        <v/>
      </c>
      <c r="Y1001" s="13">
        <f>IF(M1001="Returned",1,0)</f>
        <v/>
      </c>
    </row>
    <row r="1002">
      <c r="A1002" s="13" t="inlineStr">
        <is>
          <t>HC-101000</t>
        </is>
      </c>
      <c r="B1002" s="18" t="n">
        <v>45540</v>
      </c>
      <c r="C1002" s="13" t="inlineStr">
        <is>
          <t>South</t>
        </is>
      </c>
      <c r="D1002" s="13" t="inlineStr">
        <is>
          <t>Wholesale</t>
        </is>
      </c>
      <c r="E1002" s="13" t="inlineStr">
        <is>
          <t>Furniture</t>
        </is>
      </c>
      <c r="F1002" s="13" t="inlineStr">
        <is>
          <t>Linen Sofa</t>
        </is>
      </c>
      <c r="G1002" s="13" t="inlineStr">
        <is>
          <t>Home Office</t>
        </is>
      </c>
      <c r="H1002" s="13" t="n">
        <v>15</v>
      </c>
      <c r="I1002" s="14" t="n">
        <v>1225.09</v>
      </c>
      <c r="J1002" s="15" t="n">
        <v>0.16</v>
      </c>
      <c r="K1002" s="14" t="n">
        <v>808.5599999999999</v>
      </c>
      <c r="L1002" s="13" t="n">
        <v>5</v>
      </c>
      <c r="M1002" s="13" t="inlineStr">
        <is>
          <t>Completed</t>
        </is>
      </c>
      <c r="N1002" s="13" t="inlineStr">
        <is>
          <t>S. Nguyen</t>
        </is>
      </c>
      <c r="O1002" s="13" t="inlineStr">
        <is>
          <t>No</t>
        </is>
      </c>
      <c r="P1002" s="14">
        <f>H1002*I1002</f>
        <v/>
      </c>
      <c r="Q1002" s="14">
        <f>P1002*(1-J1002)</f>
        <v/>
      </c>
      <c r="R1002" s="14">
        <f>H1002*K1002</f>
        <v/>
      </c>
      <c r="S1002" s="15">
        <f>IF(Q1002=0,"",(Q1002-R1002)/Q1002)</f>
        <v/>
      </c>
      <c r="T1002" s="13">
        <f>YEAR(B1002)</f>
        <v/>
      </c>
      <c r="U1002" s="13">
        <f>YEAR(B1002)&amp;"-Q"&amp;ROUNDUP(MONTH(B1002)/3,0)</f>
        <v/>
      </c>
      <c r="V1002" s="13">
        <f>TEXT(B1002,"YYYY-MM")</f>
        <v/>
      </c>
      <c r="W1002" s="13">
        <f>IF(L1002="","",IF(L1002&gt;pLateDays,1,0))</f>
        <v/>
      </c>
      <c r="X1002" s="13">
        <f>IF(Q1002&gt;=pHighCutoff,1,0)</f>
        <v/>
      </c>
      <c r="Y1002" s="13">
        <f>IF(M1002="Returned",1,0)</f>
        <v/>
      </c>
    </row>
    <row r="1003">
      <c r="A1003" s="13" t="inlineStr">
        <is>
          <t>HC-101001</t>
        </is>
      </c>
      <c r="B1003" s="18" t="n">
        <v>45335</v>
      </c>
      <c r="C1003" s="13" t="inlineStr">
        <is>
          <t>North</t>
        </is>
      </c>
      <c r="D1003" s="13" t="inlineStr">
        <is>
          <t>Store</t>
        </is>
      </c>
      <c r="E1003" s="13" t="inlineStr">
        <is>
          <t>Lighting</t>
        </is>
      </c>
      <c r="F1003" s="13" t="inlineStr">
        <is>
          <t>Brass Sconce</t>
        </is>
      </c>
      <c r="G1003" s="13" t="inlineStr">
        <is>
          <t>Corporate</t>
        </is>
      </c>
      <c r="H1003" s="13" t="n">
        <v>2</v>
      </c>
      <c r="I1003" s="14" t="n">
        <v>133.21</v>
      </c>
      <c r="J1003" s="15" t="n">
        <v>0.01</v>
      </c>
      <c r="K1003" s="14" t="n">
        <v>61.28</v>
      </c>
      <c r="L1003" s="13" t="n">
        <v>5</v>
      </c>
      <c r="M1003" s="13" t="inlineStr">
        <is>
          <t>Completed</t>
        </is>
      </c>
      <c r="N1003" s="13" t="inlineStr">
        <is>
          <t>L. Berger</t>
        </is>
      </c>
      <c r="O1003" s="13" t="inlineStr">
        <is>
          <t>No</t>
        </is>
      </c>
      <c r="P1003" s="14">
        <f>H1003*I1003</f>
        <v/>
      </c>
      <c r="Q1003" s="14">
        <f>P1003*(1-J1003)</f>
        <v/>
      </c>
      <c r="R1003" s="14">
        <f>H1003*K1003</f>
        <v/>
      </c>
      <c r="S1003" s="15">
        <f>IF(Q1003=0,"",(Q1003-R1003)/Q1003)</f>
        <v/>
      </c>
      <c r="T1003" s="13">
        <f>YEAR(B1003)</f>
        <v/>
      </c>
      <c r="U1003" s="13">
        <f>YEAR(B1003)&amp;"-Q"&amp;ROUNDUP(MONTH(B1003)/3,0)</f>
        <v/>
      </c>
      <c r="V1003" s="13">
        <f>TEXT(B1003,"YYYY-MM")</f>
        <v/>
      </c>
      <c r="W1003" s="13">
        <f>IF(L1003="","",IF(L1003&gt;pLateDays,1,0))</f>
        <v/>
      </c>
      <c r="X1003" s="13">
        <f>IF(Q1003&gt;=pHighCutoff,1,0)</f>
        <v/>
      </c>
      <c r="Y1003" s="13">
        <f>IF(M1003="Returned",1,0)</f>
        <v/>
      </c>
    </row>
    <row r="1004">
      <c r="A1004" s="13" t="inlineStr">
        <is>
          <t>HC-101002</t>
        </is>
      </c>
      <c r="B1004" s="18" t="n">
        <v>45483</v>
      </c>
      <c r="C1004" s="13" t="inlineStr">
        <is>
          <t>West</t>
        </is>
      </c>
      <c r="D1004" s="13" t="inlineStr">
        <is>
          <t>Online</t>
        </is>
      </c>
      <c r="E1004" s="13" t="inlineStr">
        <is>
          <t>Lighting</t>
        </is>
      </c>
      <c r="F1004" s="13" t="inlineStr">
        <is>
          <t>Pendant Light</t>
        </is>
      </c>
      <c r="G1004" s="13" t="inlineStr">
        <is>
          <t>Unknown</t>
        </is>
      </c>
      <c r="H1004" s="13" t="n">
        <v>1</v>
      </c>
      <c r="I1004" s="14" t="n">
        <v>188.07</v>
      </c>
      <c r="J1004" s="15" t="n">
        <v>0.04</v>
      </c>
      <c r="K1004" s="14" t="n">
        <v>94.03</v>
      </c>
      <c r="L1004" s="13" t="n">
        <v>5</v>
      </c>
      <c r="M1004" s="13" t="inlineStr">
        <is>
          <t>Completed</t>
        </is>
      </c>
      <c r="N1004" s="13" t="inlineStr">
        <is>
          <t>J. Patel</t>
        </is>
      </c>
      <c r="O1004" s="13" t="inlineStr">
        <is>
          <t>No</t>
        </is>
      </c>
      <c r="P1004" s="14">
        <f>H1004*I1004</f>
        <v/>
      </c>
      <c r="Q1004" s="14">
        <f>P1004*(1-J1004)</f>
        <v/>
      </c>
      <c r="R1004" s="14">
        <f>H1004*K1004</f>
        <v/>
      </c>
      <c r="S1004" s="15">
        <f>IF(Q1004=0,"",(Q1004-R1004)/Q1004)</f>
        <v/>
      </c>
      <c r="T1004" s="13">
        <f>YEAR(B1004)</f>
        <v/>
      </c>
      <c r="U1004" s="13">
        <f>YEAR(B1004)&amp;"-Q"&amp;ROUNDUP(MONTH(B1004)/3,0)</f>
        <v/>
      </c>
      <c r="V1004" s="13">
        <f>TEXT(B1004,"YYYY-MM")</f>
        <v/>
      </c>
      <c r="W1004" s="13">
        <f>IF(L1004="","",IF(L1004&gt;pLateDays,1,0))</f>
        <v/>
      </c>
      <c r="X1004" s="13">
        <f>IF(Q1004&gt;=pHighCutoff,1,0)</f>
        <v/>
      </c>
      <c r="Y1004" s="13">
        <f>IF(M1004="Returned",1,0)</f>
        <v/>
      </c>
    </row>
    <row r="1005">
      <c r="A1005" s="13" t="inlineStr">
        <is>
          <t>HC-101003</t>
        </is>
      </c>
      <c r="B1005" s="18" t="n">
        <v>45764</v>
      </c>
      <c r="C1005" s="13" t="inlineStr">
        <is>
          <t>South</t>
        </is>
      </c>
      <c r="D1005" s="13" t="inlineStr">
        <is>
          <t>Store</t>
        </is>
      </c>
      <c r="E1005" s="13" t="inlineStr">
        <is>
          <t>Lighting</t>
        </is>
      </c>
      <c r="F1005" s="13" t="inlineStr">
        <is>
          <t>Arc Lamp</t>
        </is>
      </c>
      <c r="G1005" s="13" t="inlineStr">
        <is>
          <t>Consumer</t>
        </is>
      </c>
      <c r="H1005" s="13" t="n">
        <v>3</v>
      </c>
      <c r="I1005" s="14" t="n">
        <v>314.57</v>
      </c>
      <c r="J1005" s="15" t="n">
        <v>0.12</v>
      </c>
      <c r="K1005" s="14" t="n">
        <v>151</v>
      </c>
      <c r="L1005" s="13" t="n">
        <v>7</v>
      </c>
      <c r="M1005" s="13" t="inlineStr">
        <is>
          <t>Completed</t>
        </is>
      </c>
      <c r="N1005" s="13" t="inlineStr">
        <is>
          <t>M. Okonkwo</t>
        </is>
      </c>
      <c r="O1005" s="13" t="inlineStr">
        <is>
          <t>No</t>
        </is>
      </c>
      <c r="P1005" s="14">
        <f>H1005*I1005</f>
        <v/>
      </c>
      <c r="Q1005" s="14">
        <f>P1005*(1-J1005)</f>
        <v/>
      </c>
      <c r="R1005" s="14">
        <f>H1005*K1005</f>
        <v/>
      </c>
      <c r="S1005" s="15">
        <f>IF(Q1005=0,"",(Q1005-R1005)/Q1005)</f>
        <v/>
      </c>
      <c r="T1005" s="13">
        <f>YEAR(B1005)</f>
        <v/>
      </c>
      <c r="U1005" s="13">
        <f>YEAR(B1005)&amp;"-Q"&amp;ROUNDUP(MONTH(B1005)/3,0)</f>
        <v/>
      </c>
      <c r="V1005" s="13">
        <f>TEXT(B1005,"YYYY-MM")</f>
        <v/>
      </c>
      <c r="W1005" s="13">
        <f>IF(L1005="","",IF(L1005&gt;pLateDays,1,0))</f>
        <v/>
      </c>
      <c r="X1005" s="13">
        <f>IF(Q1005&gt;=pHighCutoff,1,0)</f>
        <v/>
      </c>
      <c r="Y1005" s="13">
        <f>IF(M1005="Returned",1,0)</f>
        <v/>
      </c>
    </row>
    <row r="1006">
      <c r="A1006" s="13" t="inlineStr">
        <is>
          <t>HC-101004</t>
        </is>
      </c>
      <c r="B1006" s="18" t="n">
        <v>45899</v>
      </c>
      <c r="C1006" s="13" t="inlineStr">
        <is>
          <t>West</t>
        </is>
      </c>
      <c r="D1006" s="13" t="inlineStr">
        <is>
          <t>Store</t>
        </is>
      </c>
      <c r="E1006" s="13" t="inlineStr">
        <is>
          <t>Textiles</t>
        </is>
      </c>
      <c r="F1006" s="13" t="inlineStr">
        <is>
          <t>Wool Throw</t>
        </is>
      </c>
      <c r="G1006" s="13" t="inlineStr">
        <is>
          <t>Consumer</t>
        </is>
      </c>
      <c r="H1006" s="13" t="n">
        <v>1</v>
      </c>
      <c r="I1006" s="14" t="n">
        <v>78.5</v>
      </c>
      <c r="J1006" s="15" t="n">
        <v>0.05</v>
      </c>
      <c r="K1006" s="14" t="n">
        <v>32.97</v>
      </c>
      <c r="L1006" s="13" t="n">
        <v>6</v>
      </c>
      <c r="M1006" s="13" t="inlineStr">
        <is>
          <t>Completed</t>
        </is>
      </c>
      <c r="N1006" s="13" t="inlineStr">
        <is>
          <t>A. Shah</t>
        </is>
      </c>
      <c r="O1006" s="13" t="inlineStr">
        <is>
          <t>No</t>
        </is>
      </c>
      <c r="P1006" s="14">
        <f>H1006*I1006</f>
        <v/>
      </c>
      <c r="Q1006" s="14">
        <f>P1006*(1-J1006)</f>
        <v/>
      </c>
      <c r="R1006" s="14">
        <f>H1006*K1006</f>
        <v/>
      </c>
      <c r="S1006" s="15">
        <f>IF(Q1006=0,"",(Q1006-R1006)/Q1006)</f>
        <v/>
      </c>
      <c r="T1006" s="13">
        <f>YEAR(B1006)</f>
        <v/>
      </c>
      <c r="U1006" s="13">
        <f>YEAR(B1006)&amp;"-Q"&amp;ROUNDUP(MONTH(B1006)/3,0)</f>
        <v/>
      </c>
      <c r="V1006" s="13">
        <f>TEXT(B1006,"YYYY-MM")</f>
        <v/>
      </c>
      <c r="W1006" s="13">
        <f>IF(L1006="","",IF(L1006&gt;pLateDays,1,0))</f>
        <v/>
      </c>
      <c r="X1006" s="13">
        <f>IF(Q1006&gt;=pHighCutoff,1,0)</f>
        <v/>
      </c>
      <c r="Y1006" s="13">
        <f>IF(M1006="Returned",1,0)</f>
        <v/>
      </c>
    </row>
    <row r="1007">
      <c r="A1007" s="13" t="inlineStr">
        <is>
          <t>HC-101005</t>
        </is>
      </c>
      <c r="B1007" s="18" t="n">
        <v>45825</v>
      </c>
      <c r="C1007" s="13" t="inlineStr">
        <is>
          <t>West</t>
        </is>
      </c>
      <c r="D1007" s="13" t="inlineStr">
        <is>
          <t>Online</t>
        </is>
      </c>
      <c r="E1007" s="13" t="inlineStr">
        <is>
          <t>Kitchen</t>
        </is>
      </c>
      <c r="F1007" s="13" t="inlineStr">
        <is>
          <t>Ceramic Set</t>
        </is>
      </c>
      <c r="G1007" s="13" t="inlineStr">
        <is>
          <t>Unknown</t>
        </is>
      </c>
      <c r="H1007" s="13" t="n">
        <v>3</v>
      </c>
      <c r="I1007" s="14" t="n">
        <v>91.87</v>
      </c>
      <c r="J1007" s="15" t="n">
        <v>0.12</v>
      </c>
      <c r="K1007" s="14" t="n">
        <v>34.91</v>
      </c>
      <c r="L1007" s="13" t="n">
        <v>2</v>
      </c>
      <c r="M1007" s="13" t="inlineStr">
        <is>
          <t>Completed</t>
        </is>
      </c>
      <c r="N1007" s="13" t="inlineStr">
        <is>
          <t>R. Ibarra</t>
        </is>
      </c>
      <c r="O1007" s="13" t="inlineStr">
        <is>
          <t>No</t>
        </is>
      </c>
      <c r="P1007" s="14">
        <f>H1007*I1007</f>
        <v/>
      </c>
      <c r="Q1007" s="14">
        <f>P1007*(1-J1007)</f>
        <v/>
      </c>
      <c r="R1007" s="14">
        <f>H1007*K1007</f>
        <v/>
      </c>
      <c r="S1007" s="15">
        <f>IF(Q1007=0,"",(Q1007-R1007)/Q1007)</f>
        <v/>
      </c>
      <c r="T1007" s="13">
        <f>YEAR(B1007)</f>
        <v/>
      </c>
      <c r="U1007" s="13">
        <f>YEAR(B1007)&amp;"-Q"&amp;ROUNDUP(MONTH(B1007)/3,0)</f>
        <v/>
      </c>
      <c r="V1007" s="13">
        <f>TEXT(B1007,"YYYY-MM")</f>
        <v/>
      </c>
      <c r="W1007" s="13">
        <f>IF(L1007="","",IF(L1007&gt;pLateDays,1,0))</f>
        <v/>
      </c>
      <c r="X1007" s="13">
        <f>IF(Q1007&gt;=pHighCutoff,1,0)</f>
        <v/>
      </c>
      <c r="Y1007" s="13">
        <f>IF(M1007="Returned",1,0)</f>
        <v/>
      </c>
    </row>
    <row r="1008">
      <c r="A1008" s="13" t="inlineStr">
        <is>
          <t>HC-101006</t>
        </is>
      </c>
      <c r="B1008" s="18" t="n">
        <v>45819</v>
      </c>
      <c r="C1008" s="13" t="inlineStr">
        <is>
          <t>East</t>
        </is>
      </c>
      <c r="D1008" s="13" t="inlineStr">
        <is>
          <t>Online</t>
        </is>
      </c>
      <c r="E1008" s="13" t="inlineStr">
        <is>
          <t>Kitchen</t>
        </is>
      </c>
      <c r="F1008" s="13" t="inlineStr">
        <is>
          <t>Cast Skillet</t>
        </is>
      </c>
      <c r="G1008" s="13" t="inlineStr">
        <is>
          <t>Consumer</t>
        </is>
      </c>
      <c r="H1008" s="13" t="n">
        <v>3</v>
      </c>
      <c r="I1008" s="14" t="n">
        <v>48.02</v>
      </c>
      <c r="J1008" s="15" t="n">
        <v>0.07000000000000001</v>
      </c>
      <c r="K1008" s="14" t="n">
        <v>19.21</v>
      </c>
      <c r="L1008" s="13" t="n">
        <v>9</v>
      </c>
      <c r="M1008" s="13" t="inlineStr">
        <is>
          <t>Cancelled</t>
        </is>
      </c>
      <c r="N1008" s="13" t="inlineStr">
        <is>
          <t>L. Berger</t>
        </is>
      </c>
      <c r="O1008" s="13" t="inlineStr">
        <is>
          <t>No</t>
        </is>
      </c>
      <c r="P1008" s="14">
        <f>H1008*I1008</f>
        <v/>
      </c>
      <c r="Q1008" s="14">
        <f>P1008*(1-J1008)</f>
        <v/>
      </c>
      <c r="R1008" s="14">
        <f>H1008*K1008</f>
        <v/>
      </c>
      <c r="S1008" s="15">
        <f>IF(Q1008=0,"",(Q1008-R1008)/Q1008)</f>
        <v/>
      </c>
      <c r="T1008" s="13">
        <f>YEAR(B1008)</f>
        <v/>
      </c>
      <c r="U1008" s="13">
        <f>YEAR(B1008)&amp;"-Q"&amp;ROUNDUP(MONTH(B1008)/3,0)</f>
        <v/>
      </c>
      <c r="V1008" s="13">
        <f>TEXT(B1008,"YYYY-MM")</f>
        <v/>
      </c>
      <c r="W1008" s="13">
        <f>IF(L1008="","",IF(L1008&gt;pLateDays,1,0))</f>
        <v/>
      </c>
      <c r="X1008" s="13">
        <f>IF(Q1008&gt;=pHighCutoff,1,0)</f>
        <v/>
      </c>
      <c r="Y1008" s="13">
        <f>IF(M1008="Returned",1,0)</f>
        <v/>
      </c>
    </row>
    <row r="1009">
      <c r="A1009" s="13" t="inlineStr">
        <is>
          <t>HC-101007</t>
        </is>
      </c>
      <c r="B1009" s="18" t="n">
        <v>45425</v>
      </c>
      <c r="C1009" s="13" t="inlineStr">
        <is>
          <t>South</t>
        </is>
      </c>
      <c r="D1009" s="13" t="inlineStr">
        <is>
          <t>Store</t>
        </is>
      </c>
      <c r="E1009" s="13" t="inlineStr">
        <is>
          <t>Kitchen</t>
        </is>
      </c>
      <c r="F1009" s="13" t="inlineStr">
        <is>
          <t>Chef Knife</t>
        </is>
      </c>
      <c r="G1009" s="13" t="inlineStr">
        <is>
          <t>Consumer</t>
        </is>
      </c>
      <c r="H1009" s="13" t="n">
        <v>3</v>
      </c>
      <c r="I1009" s="14" t="n">
        <v>60.63</v>
      </c>
      <c r="J1009" s="15" t="n">
        <v>0.1</v>
      </c>
      <c r="K1009" s="14" t="n">
        <v>21.83</v>
      </c>
      <c r="L1009" s="13" t="n">
        <v>6</v>
      </c>
      <c r="M1009" s="13" t="inlineStr">
        <is>
          <t>Completed</t>
        </is>
      </c>
      <c r="N1009" s="13" t="inlineStr">
        <is>
          <t>R. Ibarra</t>
        </is>
      </c>
      <c r="O1009" s="13" t="inlineStr">
        <is>
          <t>No</t>
        </is>
      </c>
      <c r="P1009" s="14">
        <f>H1009*I1009</f>
        <v/>
      </c>
      <c r="Q1009" s="14">
        <f>P1009*(1-J1009)</f>
        <v/>
      </c>
      <c r="R1009" s="14">
        <f>H1009*K1009</f>
        <v/>
      </c>
      <c r="S1009" s="15">
        <f>IF(Q1009=0,"",(Q1009-R1009)/Q1009)</f>
        <v/>
      </c>
      <c r="T1009" s="13">
        <f>YEAR(B1009)</f>
        <v/>
      </c>
      <c r="U1009" s="13">
        <f>YEAR(B1009)&amp;"-Q"&amp;ROUNDUP(MONTH(B1009)/3,0)</f>
        <v/>
      </c>
      <c r="V1009" s="13">
        <f>TEXT(B1009,"YYYY-MM")</f>
        <v/>
      </c>
      <c r="W1009" s="13">
        <f>IF(L1009="","",IF(L1009&gt;pLateDays,1,0))</f>
        <v/>
      </c>
      <c r="X1009" s="13">
        <f>IF(Q1009&gt;=pHighCutoff,1,0)</f>
        <v/>
      </c>
      <c r="Y1009" s="13">
        <f>IF(M1009="Returned",1,0)</f>
        <v/>
      </c>
    </row>
    <row r="1010">
      <c r="A1010" s="13" t="inlineStr">
        <is>
          <t>HC-101008</t>
        </is>
      </c>
      <c r="B1010" s="18" t="n">
        <v>45332</v>
      </c>
      <c r="C1010" s="13" t="inlineStr">
        <is>
          <t>South</t>
        </is>
      </c>
      <c r="D1010" s="13" t="inlineStr">
        <is>
          <t>Wholesale</t>
        </is>
      </c>
      <c r="E1010" s="13" t="inlineStr">
        <is>
          <t>Lighting</t>
        </is>
      </c>
      <c r="F1010" s="13" t="inlineStr">
        <is>
          <t>Brass Sconce</t>
        </is>
      </c>
      <c r="G1010" s="13" t="inlineStr">
        <is>
          <t>Home Office</t>
        </is>
      </c>
      <c r="H1010" s="13" t="n">
        <v>21</v>
      </c>
      <c r="I1010" s="14" t="n">
        <v>146.25</v>
      </c>
      <c r="J1010" s="15" t="n">
        <v>0.32</v>
      </c>
      <c r="K1010" s="14" t="n">
        <v>67.28</v>
      </c>
      <c r="L1010" s="13" t="n">
        <v>6</v>
      </c>
      <c r="M1010" s="13" t="inlineStr">
        <is>
          <t>Completed</t>
        </is>
      </c>
      <c r="N1010" s="13" t="inlineStr">
        <is>
          <t>K. Mensah</t>
        </is>
      </c>
      <c r="O1010" s="13" t="inlineStr">
        <is>
          <t>No</t>
        </is>
      </c>
      <c r="P1010" s="14">
        <f>H1010*I1010</f>
        <v/>
      </c>
      <c r="Q1010" s="14">
        <f>P1010*(1-J1010)</f>
        <v/>
      </c>
      <c r="R1010" s="14">
        <f>H1010*K1010</f>
        <v/>
      </c>
      <c r="S1010" s="15">
        <f>IF(Q1010=0,"",(Q1010-R1010)/Q1010)</f>
        <v/>
      </c>
      <c r="T1010" s="13">
        <f>YEAR(B1010)</f>
        <v/>
      </c>
      <c r="U1010" s="13">
        <f>YEAR(B1010)&amp;"-Q"&amp;ROUNDUP(MONTH(B1010)/3,0)</f>
        <v/>
      </c>
      <c r="V1010" s="13">
        <f>TEXT(B1010,"YYYY-MM")</f>
        <v/>
      </c>
      <c r="W1010" s="13">
        <f>IF(L1010="","",IF(L1010&gt;pLateDays,1,0))</f>
        <v/>
      </c>
      <c r="X1010" s="13">
        <f>IF(Q1010&gt;=pHighCutoff,1,0)</f>
        <v/>
      </c>
      <c r="Y1010" s="13">
        <f>IF(M1010="Returned",1,0)</f>
        <v/>
      </c>
    </row>
    <row r="1011">
      <c r="A1011" s="13" t="inlineStr">
        <is>
          <t>HC-101009</t>
        </is>
      </c>
      <c r="B1011" s="18" t="n">
        <v>45645</v>
      </c>
      <c r="C1011" s="13" t="inlineStr">
        <is>
          <t>North</t>
        </is>
      </c>
      <c r="D1011" s="13" t="inlineStr">
        <is>
          <t>Online</t>
        </is>
      </c>
      <c r="E1011" s="13" t="inlineStr">
        <is>
          <t>Kitchen</t>
        </is>
      </c>
      <c r="F1011" s="13" t="inlineStr">
        <is>
          <t>Cast Skillet</t>
        </is>
      </c>
      <c r="G1011" s="13" t="inlineStr">
        <is>
          <t>Consumer</t>
        </is>
      </c>
      <c r="H1011" s="13" t="n">
        <v>2</v>
      </c>
      <c r="I1011" s="14" t="n">
        <v>57.12</v>
      </c>
      <c r="J1011" s="15" t="n">
        <v>0.14</v>
      </c>
      <c r="K1011" s="14" t="n">
        <v>22.85</v>
      </c>
      <c r="L1011" s="13" t="n">
        <v>2</v>
      </c>
      <c r="M1011" s="13" t="inlineStr">
        <is>
          <t>Completed</t>
        </is>
      </c>
      <c r="N1011" s="13" t="inlineStr">
        <is>
          <t>L. Berger</t>
        </is>
      </c>
      <c r="O1011" s="13" t="inlineStr">
        <is>
          <t>No</t>
        </is>
      </c>
      <c r="P1011" s="14">
        <f>H1011*I1011</f>
        <v/>
      </c>
      <c r="Q1011" s="14">
        <f>P1011*(1-J1011)</f>
        <v/>
      </c>
      <c r="R1011" s="14">
        <f>H1011*K1011</f>
        <v/>
      </c>
      <c r="S1011" s="15">
        <f>IF(Q1011=0,"",(Q1011-R1011)/Q1011)</f>
        <v/>
      </c>
      <c r="T1011" s="13">
        <f>YEAR(B1011)</f>
        <v/>
      </c>
      <c r="U1011" s="13">
        <f>YEAR(B1011)&amp;"-Q"&amp;ROUNDUP(MONTH(B1011)/3,0)</f>
        <v/>
      </c>
      <c r="V1011" s="13">
        <f>TEXT(B1011,"YYYY-MM")</f>
        <v/>
      </c>
      <c r="W1011" s="13">
        <f>IF(L1011="","",IF(L1011&gt;pLateDays,1,0))</f>
        <v/>
      </c>
      <c r="X1011" s="13">
        <f>IF(Q1011&gt;=pHighCutoff,1,0)</f>
        <v/>
      </c>
      <c r="Y1011" s="13">
        <f>IF(M1011="Returned",1,0)</f>
        <v/>
      </c>
    </row>
    <row r="1012">
      <c r="A1012" s="13" t="inlineStr">
        <is>
          <t>HC-101010</t>
        </is>
      </c>
      <c r="B1012" s="18" t="n">
        <v>45416</v>
      </c>
      <c r="C1012" s="13" t="inlineStr">
        <is>
          <t>West</t>
        </is>
      </c>
      <c r="D1012" s="13" t="inlineStr">
        <is>
          <t>Online</t>
        </is>
      </c>
      <c r="E1012" s="13" t="inlineStr">
        <is>
          <t>Furniture</t>
        </is>
      </c>
      <c r="F1012" s="13" t="inlineStr">
        <is>
          <t>Walnut Shelf</t>
        </is>
      </c>
      <c r="G1012" s="13" t="inlineStr">
        <is>
          <t>Corporate</t>
        </is>
      </c>
      <c r="H1012" s="13" t="n">
        <v>2</v>
      </c>
      <c r="I1012" s="14" t="n">
        <v>219.92</v>
      </c>
      <c r="J1012" s="15" t="n">
        <v>0.12</v>
      </c>
      <c r="K1012" s="14" t="n">
        <v>120.95</v>
      </c>
      <c r="L1012" s="13" t="n">
        <v>9</v>
      </c>
      <c r="M1012" s="13" t="inlineStr">
        <is>
          <t>Completed</t>
        </is>
      </c>
      <c r="N1012" s="13" t="inlineStr">
        <is>
          <t>A. Shah</t>
        </is>
      </c>
      <c r="O1012" s="13" t="inlineStr">
        <is>
          <t>No</t>
        </is>
      </c>
      <c r="P1012" s="14">
        <f>H1012*I1012</f>
        <v/>
      </c>
      <c r="Q1012" s="14">
        <f>P1012*(1-J1012)</f>
        <v/>
      </c>
      <c r="R1012" s="14">
        <f>H1012*K1012</f>
        <v/>
      </c>
      <c r="S1012" s="15">
        <f>IF(Q1012=0,"",(Q1012-R1012)/Q1012)</f>
        <v/>
      </c>
      <c r="T1012" s="13">
        <f>YEAR(B1012)</f>
        <v/>
      </c>
      <c r="U1012" s="13">
        <f>YEAR(B1012)&amp;"-Q"&amp;ROUNDUP(MONTH(B1012)/3,0)</f>
        <v/>
      </c>
      <c r="V1012" s="13">
        <f>TEXT(B1012,"YYYY-MM")</f>
        <v/>
      </c>
      <c r="W1012" s="13">
        <f>IF(L1012="","",IF(L1012&gt;pLateDays,1,0))</f>
        <v/>
      </c>
      <c r="X1012" s="13">
        <f>IF(Q1012&gt;=pHighCutoff,1,0)</f>
        <v/>
      </c>
      <c r="Y1012" s="13">
        <f>IF(M1012="Returned",1,0)</f>
        <v/>
      </c>
    </row>
    <row r="1013">
      <c r="A1013" s="13" t="inlineStr">
        <is>
          <t>HC-101011</t>
        </is>
      </c>
      <c r="B1013" s="18" t="n">
        <v>45841</v>
      </c>
      <c r="C1013" s="13" t="inlineStr">
        <is>
          <t>North</t>
        </is>
      </c>
      <c r="D1013" s="13" t="inlineStr">
        <is>
          <t>Store</t>
        </is>
      </c>
      <c r="E1013" s="13" t="inlineStr">
        <is>
          <t>Textiles</t>
        </is>
      </c>
      <c r="F1013" s="13" t="inlineStr">
        <is>
          <t>Cotton Duvet</t>
        </is>
      </c>
      <c r="G1013" s="13" t="inlineStr">
        <is>
          <t>Consumer</t>
        </is>
      </c>
      <c r="H1013" s="13" t="n">
        <v>4</v>
      </c>
      <c r="I1013" s="14" t="n">
        <v>121.93</v>
      </c>
      <c r="J1013" s="15" t="n">
        <v>0.03</v>
      </c>
      <c r="K1013" s="14" t="n">
        <v>53.65</v>
      </c>
      <c r="L1013" s="13" t="n">
        <v>2</v>
      </c>
      <c r="M1013" s="13" t="inlineStr">
        <is>
          <t>Completed</t>
        </is>
      </c>
      <c r="N1013" s="13" t="inlineStr">
        <is>
          <t>R. Ibarra</t>
        </is>
      </c>
      <c r="O1013" s="13" t="inlineStr">
        <is>
          <t>No</t>
        </is>
      </c>
      <c r="P1013" s="14">
        <f>H1013*I1013</f>
        <v/>
      </c>
      <c r="Q1013" s="14">
        <f>P1013*(1-J1013)</f>
        <v/>
      </c>
      <c r="R1013" s="14">
        <f>H1013*K1013</f>
        <v/>
      </c>
      <c r="S1013" s="15">
        <f>IF(Q1013=0,"",(Q1013-R1013)/Q1013)</f>
        <v/>
      </c>
      <c r="T1013" s="13">
        <f>YEAR(B1013)</f>
        <v/>
      </c>
      <c r="U1013" s="13">
        <f>YEAR(B1013)&amp;"-Q"&amp;ROUNDUP(MONTH(B1013)/3,0)</f>
        <v/>
      </c>
      <c r="V1013" s="13">
        <f>TEXT(B1013,"YYYY-MM")</f>
        <v/>
      </c>
      <c r="W1013" s="13">
        <f>IF(L1013="","",IF(L1013&gt;pLateDays,1,0))</f>
        <v/>
      </c>
      <c r="X1013" s="13">
        <f>IF(Q1013&gt;=pHighCutoff,1,0)</f>
        <v/>
      </c>
      <c r="Y1013" s="13">
        <f>IF(M1013="Returned",1,0)</f>
        <v/>
      </c>
    </row>
    <row r="1014">
      <c r="A1014" s="13" t="inlineStr">
        <is>
          <t>HC-101012</t>
        </is>
      </c>
      <c r="B1014" s="18" t="n">
        <v>45895</v>
      </c>
      <c r="C1014" s="13" t="inlineStr">
        <is>
          <t>East</t>
        </is>
      </c>
      <c r="D1014" s="13" t="inlineStr">
        <is>
          <t>Wholesale</t>
        </is>
      </c>
      <c r="E1014" s="13" t="inlineStr">
        <is>
          <t>Kitchen</t>
        </is>
      </c>
      <c r="F1014" s="13" t="inlineStr">
        <is>
          <t>Ceramic Set</t>
        </is>
      </c>
      <c r="G1014" s="13" t="inlineStr">
        <is>
          <t>Consumer</t>
        </is>
      </c>
      <c r="H1014" s="13" t="n">
        <v>10</v>
      </c>
      <c r="I1014" s="14" t="n">
        <v>78.66</v>
      </c>
      <c r="J1014" s="15" t="n">
        <v>0.17</v>
      </c>
      <c r="K1014" s="14" t="n">
        <v>29.89</v>
      </c>
      <c r="L1014" s="13" t="n">
        <v>11</v>
      </c>
      <c r="M1014" s="13" t="inlineStr">
        <is>
          <t>Completed</t>
        </is>
      </c>
      <c r="N1014" s="13" t="inlineStr">
        <is>
          <t>M. Okonkwo</t>
        </is>
      </c>
      <c r="O1014" s="13" t="inlineStr">
        <is>
          <t>No</t>
        </is>
      </c>
      <c r="P1014" s="14">
        <f>H1014*I1014</f>
        <v/>
      </c>
      <c r="Q1014" s="14">
        <f>P1014*(1-J1014)</f>
        <v/>
      </c>
      <c r="R1014" s="14">
        <f>H1014*K1014</f>
        <v/>
      </c>
      <c r="S1014" s="15">
        <f>IF(Q1014=0,"",(Q1014-R1014)/Q1014)</f>
        <v/>
      </c>
      <c r="T1014" s="13">
        <f>YEAR(B1014)</f>
        <v/>
      </c>
      <c r="U1014" s="13">
        <f>YEAR(B1014)&amp;"-Q"&amp;ROUNDUP(MONTH(B1014)/3,0)</f>
        <v/>
      </c>
      <c r="V1014" s="13">
        <f>TEXT(B1014,"YYYY-MM")</f>
        <v/>
      </c>
      <c r="W1014" s="13">
        <f>IF(L1014="","",IF(L1014&gt;pLateDays,1,0))</f>
        <v/>
      </c>
      <c r="X1014" s="13">
        <f>IF(Q1014&gt;=pHighCutoff,1,0)</f>
        <v/>
      </c>
      <c r="Y1014" s="13">
        <f>IF(M1014="Returned",1,0)</f>
        <v/>
      </c>
    </row>
    <row r="1015">
      <c r="A1015" s="13" t="inlineStr">
        <is>
          <t>HC-101013</t>
        </is>
      </c>
      <c r="B1015" s="18" t="n">
        <v>45639</v>
      </c>
      <c r="C1015" s="13" t="inlineStr">
        <is>
          <t>West</t>
        </is>
      </c>
      <c r="D1015" s="13" t="inlineStr">
        <is>
          <t>Store</t>
        </is>
      </c>
      <c r="E1015" s="13" t="inlineStr">
        <is>
          <t>Textiles</t>
        </is>
      </c>
      <c r="F1015" s="13" t="inlineStr">
        <is>
          <t>Cotton Duvet</t>
        </is>
      </c>
      <c r="G1015" s="13" t="inlineStr">
        <is>
          <t>Home Office</t>
        </is>
      </c>
      <c r="H1015" s="13" t="n">
        <v>4</v>
      </c>
      <c r="I1015" s="14" t="n">
        <v>125.24</v>
      </c>
      <c r="J1015" s="15" t="n">
        <v>0.09</v>
      </c>
      <c r="K1015" s="14" t="n">
        <v>55.11</v>
      </c>
      <c r="L1015" s="13" t="n">
        <v>5</v>
      </c>
      <c r="M1015" s="13" t="inlineStr">
        <is>
          <t>Completed</t>
        </is>
      </c>
      <c r="N1015" s="13" t="inlineStr">
        <is>
          <t>K. Mensah</t>
        </is>
      </c>
      <c r="O1015" s="13" t="inlineStr">
        <is>
          <t>No</t>
        </is>
      </c>
      <c r="P1015" s="14">
        <f>H1015*I1015</f>
        <v/>
      </c>
      <c r="Q1015" s="14">
        <f>P1015*(1-J1015)</f>
        <v/>
      </c>
      <c r="R1015" s="14">
        <f>H1015*K1015</f>
        <v/>
      </c>
      <c r="S1015" s="15">
        <f>IF(Q1015=0,"",(Q1015-R1015)/Q1015)</f>
        <v/>
      </c>
      <c r="T1015" s="13">
        <f>YEAR(B1015)</f>
        <v/>
      </c>
      <c r="U1015" s="13">
        <f>YEAR(B1015)&amp;"-Q"&amp;ROUNDUP(MONTH(B1015)/3,0)</f>
        <v/>
      </c>
      <c r="V1015" s="13">
        <f>TEXT(B1015,"YYYY-MM")</f>
        <v/>
      </c>
      <c r="W1015" s="13">
        <f>IF(L1015="","",IF(L1015&gt;pLateDays,1,0))</f>
        <v/>
      </c>
      <c r="X1015" s="13">
        <f>IF(Q1015&gt;=pHighCutoff,1,0)</f>
        <v/>
      </c>
      <c r="Y1015" s="13">
        <f>IF(M1015="Returned",1,0)</f>
        <v/>
      </c>
    </row>
    <row r="1016">
      <c r="A1016" s="13" t="inlineStr">
        <is>
          <t>HC-101014</t>
        </is>
      </c>
      <c r="B1016" s="18" t="n">
        <v>45715</v>
      </c>
      <c r="C1016" s="13" t="inlineStr">
        <is>
          <t>South</t>
        </is>
      </c>
      <c r="D1016" s="13" t="inlineStr">
        <is>
          <t>Store</t>
        </is>
      </c>
      <c r="E1016" s="13" t="inlineStr">
        <is>
          <t>Furniture</t>
        </is>
      </c>
      <c r="F1016" s="13" t="inlineStr">
        <is>
          <t>Linen Sofa</t>
        </is>
      </c>
      <c r="G1016" s="13" t="inlineStr">
        <is>
          <t>Consumer</t>
        </is>
      </c>
      <c r="H1016" s="13" t="n">
        <v>2</v>
      </c>
      <c r="I1016" s="14" t="n">
        <v>1161.34</v>
      </c>
      <c r="J1016" s="15" t="n">
        <v>0.05</v>
      </c>
      <c r="K1016" s="14" t="n">
        <v>766.48</v>
      </c>
      <c r="L1016" s="13" t="n">
        <v>2</v>
      </c>
      <c r="M1016" s="13" t="inlineStr">
        <is>
          <t>Completed</t>
        </is>
      </c>
      <c r="N1016" s="13" t="inlineStr">
        <is>
          <t>P. Rossi</t>
        </is>
      </c>
      <c r="O1016" s="13" t="inlineStr">
        <is>
          <t>No</t>
        </is>
      </c>
      <c r="P1016" s="14">
        <f>H1016*I1016</f>
        <v/>
      </c>
      <c r="Q1016" s="14">
        <f>P1016*(1-J1016)</f>
        <v/>
      </c>
      <c r="R1016" s="14">
        <f>H1016*K1016</f>
        <v/>
      </c>
      <c r="S1016" s="15">
        <f>IF(Q1016=0,"",(Q1016-R1016)/Q1016)</f>
        <v/>
      </c>
      <c r="T1016" s="13">
        <f>YEAR(B1016)</f>
        <v/>
      </c>
      <c r="U1016" s="13">
        <f>YEAR(B1016)&amp;"-Q"&amp;ROUNDUP(MONTH(B1016)/3,0)</f>
        <v/>
      </c>
      <c r="V1016" s="13">
        <f>TEXT(B1016,"YYYY-MM")</f>
        <v/>
      </c>
      <c r="W1016" s="13">
        <f>IF(L1016="","",IF(L1016&gt;pLateDays,1,0))</f>
        <v/>
      </c>
      <c r="X1016" s="13">
        <f>IF(Q1016&gt;=pHighCutoff,1,0)</f>
        <v/>
      </c>
      <c r="Y1016" s="13">
        <f>IF(M1016="Returned",1,0)</f>
        <v/>
      </c>
    </row>
    <row r="1017">
      <c r="A1017" s="13" t="inlineStr">
        <is>
          <t>HC-101015</t>
        </is>
      </c>
      <c r="B1017" s="18" t="n">
        <v>45384</v>
      </c>
      <c r="C1017" s="13" t="inlineStr">
        <is>
          <t>East</t>
        </is>
      </c>
      <c r="D1017" s="13" t="inlineStr">
        <is>
          <t>Store</t>
        </is>
      </c>
      <c r="E1017" s="13" t="inlineStr">
        <is>
          <t>Furniture</t>
        </is>
      </c>
      <c r="F1017" s="13" t="inlineStr">
        <is>
          <t>Lounge Chair</t>
        </is>
      </c>
      <c r="G1017" s="13" t="inlineStr">
        <is>
          <t>Consumer</t>
        </is>
      </c>
      <c r="H1017" s="13" t="n">
        <v>3</v>
      </c>
      <c r="I1017" s="14" t="n">
        <v>412.49</v>
      </c>
      <c r="J1017" s="15" t="n">
        <v>0.07000000000000001</v>
      </c>
      <c r="K1017" s="14" t="n">
        <v>247.49</v>
      </c>
      <c r="L1017" s="13" t="n">
        <v>12</v>
      </c>
      <c r="M1017" s="13" t="inlineStr">
        <is>
          <t>Completed</t>
        </is>
      </c>
      <c r="N1017" s="13" t="inlineStr">
        <is>
          <t>M. Okonkwo</t>
        </is>
      </c>
      <c r="O1017" s="13" t="inlineStr">
        <is>
          <t>No</t>
        </is>
      </c>
      <c r="P1017" s="14">
        <f>H1017*I1017</f>
        <v/>
      </c>
      <c r="Q1017" s="14">
        <f>P1017*(1-J1017)</f>
        <v/>
      </c>
      <c r="R1017" s="14">
        <f>H1017*K1017</f>
        <v/>
      </c>
      <c r="S1017" s="15">
        <f>IF(Q1017=0,"",(Q1017-R1017)/Q1017)</f>
        <v/>
      </c>
      <c r="T1017" s="13">
        <f>YEAR(B1017)</f>
        <v/>
      </c>
      <c r="U1017" s="13">
        <f>YEAR(B1017)&amp;"-Q"&amp;ROUNDUP(MONTH(B1017)/3,0)</f>
        <v/>
      </c>
      <c r="V1017" s="13">
        <f>TEXT(B1017,"YYYY-MM")</f>
        <v/>
      </c>
      <c r="W1017" s="13">
        <f>IF(L1017="","",IF(L1017&gt;pLateDays,1,0))</f>
        <v/>
      </c>
      <c r="X1017" s="13">
        <f>IF(Q1017&gt;=pHighCutoff,1,0)</f>
        <v/>
      </c>
      <c r="Y1017" s="13">
        <f>IF(M1017="Returned",1,0)</f>
        <v/>
      </c>
    </row>
    <row r="1018">
      <c r="A1018" s="13" t="inlineStr">
        <is>
          <t>HC-101016</t>
        </is>
      </c>
      <c r="B1018" s="18" t="n">
        <v>45496</v>
      </c>
      <c r="C1018" s="13" t="inlineStr">
        <is>
          <t>South</t>
        </is>
      </c>
      <c r="D1018" s="13" t="inlineStr">
        <is>
          <t>Online</t>
        </is>
      </c>
      <c r="E1018" s="13" t="inlineStr">
        <is>
          <t>Textiles</t>
        </is>
      </c>
      <c r="F1018" s="13" t="inlineStr">
        <is>
          <t>Wool Throw</t>
        </is>
      </c>
      <c r="G1018" s="13" t="inlineStr">
        <is>
          <t>Consumer</t>
        </is>
      </c>
      <c r="H1018" s="13" t="n">
        <v>1</v>
      </c>
      <c r="I1018" s="14" t="n">
        <v>78.73999999999999</v>
      </c>
      <c r="J1018" s="15" t="n">
        <v>0.09</v>
      </c>
      <c r="K1018" s="14" t="n">
        <v>33.07</v>
      </c>
      <c r="L1018" s="13" t="n">
        <v>8</v>
      </c>
      <c r="M1018" s="13" t="inlineStr">
        <is>
          <t>Cancelled</t>
        </is>
      </c>
      <c r="N1018" s="13" t="inlineStr">
        <is>
          <t>R. Ibarra</t>
        </is>
      </c>
      <c r="O1018" s="13" t="inlineStr">
        <is>
          <t>No</t>
        </is>
      </c>
      <c r="P1018" s="14">
        <f>H1018*I1018</f>
        <v/>
      </c>
      <c r="Q1018" s="14">
        <f>P1018*(1-J1018)</f>
        <v/>
      </c>
      <c r="R1018" s="14">
        <f>H1018*K1018</f>
        <v/>
      </c>
      <c r="S1018" s="15">
        <f>IF(Q1018=0,"",(Q1018-R1018)/Q1018)</f>
        <v/>
      </c>
      <c r="T1018" s="13">
        <f>YEAR(B1018)</f>
        <v/>
      </c>
      <c r="U1018" s="13">
        <f>YEAR(B1018)&amp;"-Q"&amp;ROUNDUP(MONTH(B1018)/3,0)</f>
        <v/>
      </c>
      <c r="V1018" s="13">
        <f>TEXT(B1018,"YYYY-MM")</f>
        <v/>
      </c>
      <c r="W1018" s="13">
        <f>IF(L1018="","",IF(L1018&gt;pLateDays,1,0))</f>
        <v/>
      </c>
      <c r="X1018" s="13">
        <f>IF(Q1018&gt;=pHighCutoff,1,0)</f>
        <v/>
      </c>
      <c r="Y1018" s="13">
        <f>IF(M1018="Returned",1,0)</f>
        <v/>
      </c>
    </row>
    <row r="1019">
      <c r="A1019" s="13" t="inlineStr">
        <is>
          <t>HC-101017</t>
        </is>
      </c>
      <c r="B1019" s="18" t="n">
        <v>45705</v>
      </c>
      <c r="C1019" s="13" t="inlineStr">
        <is>
          <t>East</t>
        </is>
      </c>
      <c r="D1019" s="13" t="inlineStr">
        <is>
          <t>Wholesale</t>
        </is>
      </c>
      <c r="E1019" s="13" t="inlineStr">
        <is>
          <t>Lighting</t>
        </is>
      </c>
      <c r="F1019" s="13" t="inlineStr">
        <is>
          <t>Pendant Light</t>
        </is>
      </c>
      <c r="G1019" s="13" t="inlineStr">
        <is>
          <t>Consumer</t>
        </is>
      </c>
      <c r="H1019" s="13" t="n">
        <v>29</v>
      </c>
      <c r="I1019" s="14" t="n">
        <v>158.32</v>
      </c>
      <c r="J1019" s="15" t="n">
        <v>0.29</v>
      </c>
      <c r="K1019" s="14" t="n">
        <v>79.16</v>
      </c>
      <c r="L1019" s="13" t="n">
        <v>8</v>
      </c>
      <c r="M1019" s="13" t="inlineStr">
        <is>
          <t>Completed</t>
        </is>
      </c>
      <c r="N1019" s="13" t="inlineStr">
        <is>
          <t>R. Ibarra</t>
        </is>
      </c>
      <c r="O1019" s="13" t="inlineStr">
        <is>
          <t>No</t>
        </is>
      </c>
      <c r="P1019" s="14">
        <f>H1019*I1019</f>
        <v/>
      </c>
      <c r="Q1019" s="14">
        <f>P1019*(1-J1019)</f>
        <v/>
      </c>
      <c r="R1019" s="14">
        <f>H1019*K1019</f>
        <v/>
      </c>
      <c r="S1019" s="15">
        <f>IF(Q1019=0,"",(Q1019-R1019)/Q1019)</f>
        <v/>
      </c>
      <c r="T1019" s="13">
        <f>YEAR(B1019)</f>
        <v/>
      </c>
      <c r="U1019" s="13">
        <f>YEAR(B1019)&amp;"-Q"&amp;ROUNDUP(MONTH(B1019)/3,0)</f>
        <v/>
      </c>
      <c r="V1019" s="13">
        <f>TEXT(B1019,"YYYY-MM")</f>
        <v/>
      </c>
      <c r="W1019" s="13">
        <f>IF(L1019="","",IF(L1019&gt;pLateDays,1,0))</f>
        <v/>
      </c>
      <c r="X1019" s="13">
        <f>IF(Q1019&gt;=pHighCutoff,1,0)</f>
        <v/>
      </c>
      <c r="Y1019" s="13">
        <f>IF(M1019="Returned",1,0)</f>
        <v/>
      </c>
    </row>
    <row r="1020">
      <c r="A1020" s="13" t="inlineStr">
        <is>
          <t>HC-101018</t>
        </is>
      </c>
      <c r="B1020" s="18" t="n">
        <v>45301</v>
      </c>
      <c r="C1020" s="13" t="inlineStr">
        <is>
          <t>East</t>
        </is>
      </c>
      <c r="D1020" s="13" t="inlineStr">
        <is>
          <t>Store</t>
        </is>
      </c>
      <c r="E1020" s="13" t="inlineStr">
        <is>
          <t>Textiles</t>
        </is>
      </c>
      <c r="F1020" s="13" t="inlineStr">
        <is>
          <t>Cotton Duvet</t>
        </is>
      </c>
      <c r="G1020" s="13" t="inlineStr">
        <is>
          <t>Consumer</t>
        </is>
      </c>
      <c r="H1020" s="13" t="n">
        <v>1</v>
      </c>
      <c r="I1020" s="14" t="n">
        <v>115.51</v>
      </c>
      <c r="J1020" s="15" t="n">
        <v>0.01</v>
      </c>
      <c r="K1020" s="14" t="n">
        <v>50.83</v>
      </c>
      <c r="L1020" s="13" t="n">
        <v>9</v>
      </c>
      <c r="M1020" s="13" t="inlineStr">
        <is>
          <t>Returned</t>
        </is>
      </c>
      <c r="N1020" s="13" t="inlineStr">
        <is>
          <t>M. Okonkwo</t>
        </is>
      </c>
      <c r="O1020" s="13" t="inlineStr">
        <is>
          <t>No</t>
        </is>
      </c>
      <c r="P1020" s="14">
        <f>H1020*I1020</f>
        <v/>
      </c>
      <c r="Q1020" s="14">
        <f>P1020*(1-J1020)</f>
        <v/>
      </c>
      <c r="R1020" s="14">
        <f>H1020*K1020</f>
        <v/>
      </c>
      <c r="S1020" s="15">
        <f>IF(Q1020=0,"",(Q1020-R1020)/Q1020)</f>
        <v/>
      </c>
      <c r="T1020" s="13">
        <f>YEAR(B1020)</f>
        <v/>
      </c>
      <c r="U1020" s="13">
        <f>YEAR(B1020)&amp;"-Q"&amp;ROUNDUP(MONTH(B1020)/3,0)</f>
        <v/>
      </c>
      <c r="V1020" s="13">
        <f>TEXT(B1020,"YYYY-MM")</f>
        <v/>
      </c>
      <c r="W1020" s="13">
        <f>IF(L1020="","",IF(L1020&gt;pLateDays,1,0))</f>
        <v/>
      </c>
      <c r="X1020" s="13">
        <f>IF(Q1020&gt;=pHighCutoff,1,0)</f>
        <v/>
      </c>
      <c r="Y1020" s="13">
        <f>IF(M1020="Returned",1,0)</f>
        <v/>
      </c>
    </row>
    <row r="1021">
      <c r="A1021" s="13" t="inlineStr">
        <is>
          <t>HC-101019</t>
        </is>
      </c>
      <c r="B1021" s="18" t="n">
        <v>45842</v>
      </c>
      <c r="C1021" s="13" t="inlineStr">
        <is>
          <t>South</t>
        </is>
      </c>
      <c r="D1021" s="13" t="inlineStr">
        <is>
          <t>Online</t>
        </is>
      </c>
      <c r="E1021" s="13" t="inlineStr">
        <is>
          <t>Furniture</t>
        </is>
      </c>
      <c r="F1021" s="13" t="inlineStr">
        <is>
          <t>Linen Sofa</t>
        </is>
      </c>
      <c r="G1021" s="13" t="inlineStr">
        <is>
          <t>Consumer</t>
        </is>
      </c>
      <c r="H1021" s="13" t="n">
        <v>2</v>
      </c>
      <c r="I1021" s="14" t="n">
        <v>1167.54</v>
      </c>
      <c r="J1021" s="15" t="n">
        <v>0.09</v>
      </c>
      <c r="K1021" s="14" t="n">
        <v>770.58</v>
      </c>
      <c r="L1021" s="13" t="n">
        <v>7</v>
      </c>
      <c r="M1021" s="13" t="inlineStr">
        <is>
          <t>Completed</t>
        </is>
      </c>
      <c r="N1021" s="13" t="inlineStr">
        <is>
          <t>K. Mensah</t>
        </is>
      </c>
      <c r="O1021" s="13" t="inlineStr">
        <is>
          <t>No</t>
        </is>
      </c>
      <c r="P1021" s="14">
        <f>H1021*I1021</f>
        <v/>
      </c>
      <c r="Q1021" s="14">
        <f>P1021*(1-J1021)</f>
        <v/>
      </c>
      <c r="R1021" s="14">
        <f>H1021*K1021</f>
        <v/>
      </c>
      <c r="S1021" s="15">
        <f>IF(Q1021=0,"",(Q1021-R1021)/Q1021)</f>
        <v/>
      </c>
      <c r="T1021" s="13">
        <f>YEAR(B1021)</f>
        <v/>
      </c>
      <c r="U1021" s="13">
        <f>YEAR(B1021)&amp;"-Q"&amp;ROUNDUP(MONTH(B1021)/3,0)</f>
        <v/>
      </c>
      <c r="V1021" s="13">
        <f>TEXT(B1021,"YYYY-MM")</f>
        <v/>
      </c>
      <c r="W1021" s="13">
        <f>IF(L1021="","",IF(L1021&gt;pLateDays,1,0))</f>
        <v/>
      </c>
      <c r="X1021" s="13">
        <f>IF(Q1021&gt;=pHighCutoff,1,0)</f>
        <v/>
      </c>
      <c r="Y1021" s="13">
        <f>IF(M1021="Returned",1,0)</f>
        <v/>
      </c>
    </row>
    <row r="1022">
      <c r="A1022" s="13" t="inlineStr">
        <is>
          <t>HC-101020</t>
        </is>
      </c>
      <c r="B1022" s="18" t="n">
        <v>45823</v>
      </c>
      <c r="C1022" s="13" t="inlineStr">
        <is>
          <t>South</t>
        </is>
      </c>
      <c r="D1022" s="13" t="inlineStr">
        <is>
          <t>Wholesale</t>
        </is>
      </c>
      <c r="E1022" s="13" t="inlineStr">
        <is>
          <t>Textiles</t>
        </is>
      </c>
      <c r="F1022" s="13" t="inlineStr">
        <is>
          <t>Linen Curtain</t>
        </is>
      </c>
      <c r="G1022" s="13" t="inlineStr">
        <is>
          <t>Consumer</t>
        </is>
      </c>
      <c r="H1022" s="13" t="n">
        <v>24</v>
      </c>
      <c r="I1022" s="14" t="n">
        <v>90.29000000000001</v>
      </c>
      <c r="J1022" s="15" t="n">
        <v>0.16</v>
      </c>
      <c r="K1022" s="14" t="n">
        <v>40.63</v>
      </c>
      <c r="L1022" s="13" t="n">
        <v>8</v>
      </c>
      <c r="M1022" s="13" t="inlineStr">
        <is>
          <t>Completed</t>
        </is>
      </c>
      <c r="N1022" s="13" t="inlineStr">
        <is>
          <t>R. Ibarra</t>
        </is>
      </c>
      <c r="O1022" s="13" t="inlineStr">
        <is>
          <t>No</t>
        </is>
      </c>
      <c r="P1022" s="14">
        <f>H1022*I1022</f>
        <v/>
      </c>
      <c r="Q1022" s="14">
        <f>P1022*(1-J1022)</f>
        <v/>
      </c>
      <c r="R1022" s="14">
        <f>H1022*K1022</f>
        <v/>
      </c>
      <c r="S1022" s="15">
        <f>IF(Q1022=0,"",(Q1022-R1022)/Q1022)</f>
        <v/>
      </c>
      <c r="T1022" s="13">
        <f>YEAR(B1022)</f>
        <v/>
      </c>
      <c r="U1022" s="13">
        <f>YEAR(B1022)&amp;"-Q"&amp;ROUNDUP(MONTH(B1022)/3,0)</f>
        <v/>
      </c>
      <c r="V1022" s="13">
        <f>TEXT(B1022,"YYYY-MM")</f>
        <v/>
      </c>
      <c r="W1022" s="13">
        <f>IF(L1022="","",IF(L1022&gt;pLateDays,1,0))</f>
        <v/>
      </c>
      <c r="X1022" s="13">
        <f>IF(Q1022&gt;=pHighCutoff,1,0)</f>
        <v/>
      </c>
      <c r="Y1022" s="13">
        <f>IF(M1022="Returned",1,0)</f>
        <v/>
      </c>
    </row>
    <row r="1023">
      <c r="A1023" s="13" t="inlineStr">
        <is>
          <t>HC-101021</t>
        </is>
      </c>
      <c r="B1023" s="18" t="n">
        <v>45611</v>
      </c>
      <c r="C1023" s="13" t="inlineStr">
        <is>
          <t>North</t>
        </is>
      </c>
      <c r="D1023" s="13" t="inlineStr">
        <is>
          <t>Online</t>
        </is>
      </c>
      <c r="E1023" s="13" t="inlineStr">
        <is>
          <t>Lighting</t>
        </is>
      </c>
      <c r="F1023" s="13" t="inlineStr">
        <is>
          <t>Arc Lamp</t>
        </is>
      </c>
      <c r="G1023" s="13" t="inlineStr">
        <is>
          <t>Home Office</t>
        </is>
      </c>
      <c r="H1023" s="13" t="n">
        <v>4</v>
      </c>
      <c r="I1023" s="14" t="n">
        <v>333.32</v>
      </c>
      <c r="J1023" s="15" t="n">
        <v>0.04</v>
      </c>
      <c r="K1023" s="14" t="n">
        <v>159.99</v>
      </c>
      <c r="L1023" s="13" t="n">
        <v>7</v>
      </c>
      <c r="M1023" s="13" t="inlineStr">
        <is>
          <t>Completed</t>
        </is>
      </c>
      <c r="N1023" s="13" t="inlineStr">
        <is>
          <t>R. Ibarra</t>
        </is>
      </c>
      <c r="O1023" s="13" t="inlineStr">
        <is>
          <t>No</t>
        </is>
      </c>
      <c r="P1023" s="14">
        <f>H1023*I1023</f>
        <v/>
      </c>
      <c r="Q1023" s="14">
        <f>P1023*(1-J1023)</f>
        <v/>
      </c>
      <c r="R1023" s="14">
        <f>H1023*K1023</f>
        <v/>
      </c>
      <c r="S1023" s="15">
        <f>IF(Q1023=0,"",(Q1023-R1023)/Q1023)</f>
        <v/>
      </c>
      <c r="T1023" s="13">
        <f>YEAR(B1023)</f>
        <v/>
      </c>
      <c r="U1023" s="13">
        <f>YEAR(B1023)&amp;"-Q"&amp;ROUNDUP(MONTH(B1023)/3,0)</f>
        <v/>
      </c>
      <c r="V1023" s="13">
        <f>TEXT(B1023,"YYYY-MM")</f>
        <v/>
      </c>
      <c r="W1023" s="13">
        <f>IF(L1023="","",IF(L1023&gt;pLateDays,1,0))</f>
        <v/>
      </c>
      <c r="X1023" s="13">
        <f>IF(Q1023&gt;=pHighCutoff,1,0)</f>
        <v/>
      </c>
      <c r="Y1023" s="13">
        <f>IF(M1023="Returned",1,0)</f>
        <v/>
      </c>
    </row>
    <row r="1024">
      <c r="A1024" s="13" t="inlineStr">
        <is>
          <t>HC-101022</t>
        </is>
      </c>
      <c r="B1024" s="18" t="n">
        <v>45416</v>
      </c>
      <c r="C1024" s="13" t="inlineStr">
        <is>
          <t>South</t>
        </is>
      </c>
      <c r="D1024" s="13" t="inlineStr">
        <is>
          <t>Online</t>
        </is>
      </c>
      <c r="E1024" s="13" t="inlineStr">
        <is>
          <t>Furniture</t>
        </is>
      </c>
      <c r="F1024" s="13" t="inlineStr">
        <is>
          <t>Lounge Chair</t>
        </is>
      </c>
      <c r="G1024" s="13" t="inlineStr">
        <is>
          <t>Corporate</t>
        </is>
      </c>
      <c r="H1024" s="13" t="n">
        <v>2</v>
      </c>
      <c r="I1024" s="14" t="n">
        <v>507.03</v>
      </c>
      <c r="J1024" s="15" t="n">
        <v>0.13</v>
      </c>
      <c r="K1024" s="14" t="n">
        <v>304.22</v>
      </c>
      <c r="L1024" s="13" t="n">
        <v>5</v>
      </c>
      <c r="M1024" s="13" t="inlineStr">
        <is>
          <t>Completed</t>
        </is>
      </c>
      <c r="N1024" s="13" t="inlineStr">
        <is>
          <t>M. Okonkwo</t>
        </is>
      </c>
      <c r="O1024" s="13" t="inlineStr">
        <is>
          <t>No</t>
        </is>
      </c>
      <c r="P1024" s="14">
        <f>H1024*I1024</f>
        <v/>
      </c>
      <c r="Q1024" s="14">
        <f>P1024*(1-J1024)</f>
        <v/>
      </c>
      <c r="R1024" s="14">
        <f>H1024*K1024</f>
        <v/>
      </c>
      <c r="S1024" s="15">
        <f>IF(Q1024=0,"",(Q1024-R1024)/Q1024)</f>
        <v/>
      </c>
      <c r="T1024" s="13">
        <f>YEAR(B1024)</f>
        <v/>
      </c>
      <c r="U1024" s="13">
        <f>YEAR(B1024)&amp;"-Q"&amp;ROUNDUP(MONTH(B1024)/3,0)</f>
        <v/>
      </c>
      <c r="V1024" s="13">
        <f>TEXT(B1024,"YYYY-MM")</f>
        <v/>
      </c>
      <c r="W1024" s="13">
        <f>IF(L1024="","",IF(L1024&gt;pLateDays,1,0))</f>
        <v/>
      </c>
      <c r="X1024" s="13">
        <f>IF(Q1024&gt;=pHighCutoff,1,0)</f>
        <v/>
      </c>
      <c r="Y1024" s="13">
        <f>IF(M1024="Returned",1,0)</f>
        <v/>
      </c>
    </row>
    <row r="1025">
      <c r="A1025" s="13" t="inlineStr">
        <is>
          <t>HC-101023</t>
        </is>
      </c>
      <c r="B1025" s="18" t="n">
        <v>45588</v>
      </c>
      <c r="C1025" s="13" t="inlineStr">
        <is>
          <t>West</t>
        </is>
      </c>
      <c r="D1025" s="13" t="inlineStr">
        <is>
          <t>Store</t>
        </is>
      </c>
      <c r="E1025" s="13" t="inlineStr">
        <is>
          <t>Furniture</t>
        </is>
      </c>
      <c r="F1025" s="13" t="inlineStr">
        <is>
          <t>Linen Sofa</t>
        </is>
      </c>
      <c r="G1025" s="13" t="inlineStr">
        <is>
          <t>Unknown</t>
        </is>
      </c>
      <c r="H1025" s="13" t="n">
        <v>2</v>
      </c>
      <c r="I1025" s="14" t="n">
        <v>1286.43</v>
      </c>
      <c r="J1025" s="15" t="n">
        <v>0.11</v>
      </c>
      <c r="K1025" s="14" t="n">
        <v>849.04</v>
      </c>
      <c r="L1025" s="13" t="n">
        <v>4</v>
      </c>
      <c r="M1025" s="13" t="inlineStr">
        <is>
          <t>Completed</t>
        </is>
      </c>
      <c r="N1025" s="13" t="inlineStr">
        <is>
          <t>K. Mensah</t>
        </is>
      </c>
      <c r="O1025" s="13" t="inlineStr">
        <is>
          <t>No</t>
        </is>
      </c>
      <c r="P1025" s="14">
        <f>H1025*I1025</f>
        <v/>
      </c>
      <c r="Q1025" s="14">
        <f>P1025*(1-J1025)</f>
        <v/>
      </c>
      <c r="R1025" s="14">
        <f>H1025*K1025</f>
        <v/>
      </c>
      <c r="S1025" s="15">
        <f>IF(Q1025=0,"",(Q1025-R1025)/Q1025)</f>
        <v/>
      </c>
      <c r="T1025" s="13">
        <f>YEAR(B1025)</f>
        <v/>
      </c>
      <c r="U1025" s="13">
        <f>YEAR(B1025)&amp;"-Q"&amp;ROUNDUP(MONTH(B1025)/3,0)</f>
        <v/>
      </c>
      <c r="V1025" s="13">
        <f>TEXT(B1025,"YYYY-MM")</f>
        <v/>
      </c>
      <c r="W1025" s="13">
        <f>IF(L1025="","",IF(L1025&gt;pLateDays,1,0))</f>
        <v/>
      </c>
      <c r="X1025" s="13">
        <f>IF(Q1025&gt;=pHighCutoff,1,0)</f>
        <v/>
      </c>
      <c r="Y1025" s="13">
        <f>IF(M1025="Returned",1,0)</f>
        <v/>
      </c>
    </row>
    <row r="1026">
      <c r="A1026" s="13" t="inlineStr">
        <is>
          <t>HC-101024</t>
        </is>
      </c>
      <c r="B1026" s="18" t="n">
        <v>45318</v>
      </c>
      <c r="C1026" s="13" t="inlineStr">
        <is>
          <t>West</t>
        </is>
      </c>
      <c r="D1026" s="13" t="inlineStr">
        <is>
          <t>Online</t>
        </is>
      </c>
      <c r="E1026" s="13" t="inlineStr">
        <is>
          <t>Kitchen</t>
        </is>
      </c>
      <c r="F1026" s="13" t="inlineStr">
        <is>
          <t>Chef Knife</t>
        </is>
      </c>
      <c r="G1026" s="13" t="inlineStr">
        <is>
          <t>Consumer</t>
        </is>
      </c>
      <c r="H1026" s="13" t="n">
        <v>2</v>
      </c>
      <c r="I1026" s="14" t="n">
        <v>65.33</v>
      </c>
      <c r="J1026" s="15" t="n">
        <v>0.15</v>
      </c>
      <c r="K1026" s="14" t="n">
        <v>23.52</v>
      </c>
      <c r="L1026" s="13" t="n">
        <v>3</v>
      </c>
      <c r="M1026" s="13" t="inlineStr">
        <is>
          <t>Completed</t>
        </is>
      </c>
      <c r="N1026" s="13" t="inlineStr">
        <is>
          <t>J. Patel</t>
        </is>
      </c>
      <c r="O1026" s="13" t="inlineStr">
        <is>
          <t>No</t>
        </is>
      </c>
      <c r="P1026" s="14">
        <f>H1026*I1026</f>
        <v/>
      </c>
      <c r="Q1026" s="14">
        <f>P1026*(1-J1026)</f>
        <v/>
      </c>
      <c r="R1026" s="14">
        <f>H1026*K1026</f>
        <v/>
      </c>
      <c r="S1026" s="15">
        <f>IF(Q1026=0,"",(Q1026-R1026)/Q1026)</f>
        <v/>
      </c>
      <c r="T1026" s="13">
        <f>YEAR(B1026)</f>
        <v/>
      </c>
      <c r="U1026" s="13">
        <f>YEAR(B1026)&amp;"-Q"&amp;ROUNDUP(MONTH(B1026)/3,0)</f>
        <v/>
      </c>
      <c r="V1026" s="13">
        <f>TEXT(B1026,"YYYY-MM")</f>
        <v/>
      </c>
      <c r="W1026" s="13">
        <f>IF(L1026="","",IF(L1026&gt;pLateDays,1,0))</f>
        <v/>
      </c>
      <c r="X1026" s="13">
        <f>IF(Q1026&gt;=pHighCutoff,1,0)</f>
        <v/>
      </c>
      <c r="Y1026" s="13">
        <f>IF(M1026="Returned",1,0)</f>
        <v/>
      </c>
    </row>
    <row r="1027">
      <c r="A1027" s="13" t="inlineStr">
        <is>
          <t>HC-101025</t>
        </is>
      </c>
      <c r="B1027" s="18" t="n">
        <v>45366</v>
      </c>
      <c r="C1027" s="13" t="inlineStr">
        <is>
          <t>South</t>
        </is>
      </c>
      <c r="D1027" s="13" t="inlineStr">
        <is>
          <t>Store</t>
        </is>
      </c>
      <c r="E1027" s="13" t="inlineStr">
        <is>
          <t>Furniture</t>
        </is>
      </c>
      <c r="F1027" s="13" t="inlineStr">
        <is>
          <t>Lounge Chair</t>
        </is>
      </c>
      <c r="G1027" s="13" t="inlineStr">
        <is>
          <t>Consumer</t>
        </is>
      </c>
      <c r="H1027" s="13" t="n">
        <v>2</v>
      </c>
      <c r="I1027" s="14" t="n">
        <v>517.78</v>
      </c>
      <c r="J1027" s="15" t="n">
        <v>0.07000000000000001</v>
      </c>
      <c r="K1027" s="14" t="n">
        <v>310.67</v>
      </c>
      <c r="L1027" s="13" t="n">
        <v>5</v>
      </c>
      <c r="M1027" s="13" t="inlineStr">
        <is>
          <t>Completed</t>
        </is>
      </c>
      <c r="N1027" s="13" t="inlineStr">
        <is>
          <t>J. Patel</t>
        </is>
      </c>
      <c r="O1027" s="13" t="inlineStr">
        <is>
          <t>No</t>
        </is>
      </c>
      <c r="P1027" s="14">
        <f>H1027*I1027</f>
        <v/>
      </c>
      <c r="Q1027" s="14">
        <f>P1027*(1-J1027)</f>
        <v/>
      </c>
      <c r="R1027" s="14">
        <f>H1027*K1027</f>
        <v/>
      </c>
      <c r="S1027" s="15">
        <f>IF(Q1027=0,"",(Q1027-R1027)/Q1027)</f>
        <v/>
      </c>
      <c r="T1027" s="13">
        <f>YEAR(B1027)</f>
        <v/>
      </c>
      <c r="U1027" s="13">
        <f>YEAR(B1027)&amp;"-Q"&amp;ROUNDUP(MONTH(B1027)/3,0)</f>
        <v/>
      </c>
      <c r="V1027" s="13">
        <f>TEXT(B1027,"YYYY-MM")</f>
        <v/>
      </c>
      <c r="W1027" s="13">
        <f>IF(L1027="","",IF(L1027&gt;pLateDays,1,0))</f>
        <v/>
      </c>
      <c r="X1027" s="13">
        <f>IF(Q1027&gt;=pHighCutoff,1,0)</f>
        <v/>
      </c>
      <c r="Y1027" s="13">
        <f>IF(M1027="Returned",1,0)</f>
        <v/>
      </c>
    </row>
    <row r="1028">
      <c r="A1028" s="13" t="inlineStr">
        <is>
          <t>HC-101026</t>
        </is>
      </c>
      <c r="B1028" s="18" t="n">
        <v>45809</v>
      </c>
      <c r="C1028" s="13" t="inlineStr">
        <is>
          <t>North</t>
        </is>
      </c>
      <c r="D1028" s="13" t="inlineStr">
        <is>
          <t>Store</t>
        </is>
      </c>
      <c r="E1028" s="13" t="inlineStr">
        <is>
          <t>Kitchen</t>
        </is>
      </c>
      <c r="F1028" s="13" t="inlineStr">
        <is>
          <t>Ceramic Set</t>
        </is>
      </c>
      <c r="G1028" s="13" t="inlineStr">
        <is>
          <t>Consumer</t>
        </is>
      </c>
      <c r="H1028" s="13" t="n">
        <v>4</v>
      </c>
      <c r="I1028" s="14" t="n">
        <v>85.90000000000001</v>
      </c>
      <c r="J1028" s="15" t="n">
        <v>0.07000000000000001</v>
      </c>
      <c r="K1028" s="14" t="n">
        <v>32.64</v>
      </c>
      <c r="L1028" s="13" t="n">
        <v>3</v>
      </c>
      <c r="M1028" s="13" t="inlineStr">
        <is>
          <t>Completed</t>
        </is>
      </c>
      <c r="N1028" s="13" t="inlineStr">
        <is>
          <t>S. Nguyen</t>
        </is>
      </c>
      <c r="O1028" s="13" t="inlineStr">
        <is>
          <t>No</t>
        </is>
      </c>
      <c r="P1028" s="14">
        <f>H1028*I1028</f>
        <v/>
      </c>
      <c r="Q1028" s="14">
        <f>P1028*(1-J1028)</f>
        <v/>
      </c>
      <c r="R1028" s="14">
        <f>H1028*K1028</f>
        <v/>
      </c>
      <c r="S1028" s="15">
        <f>IF(Q1028=0,"",(Q1028-R1028)/Q1028)</f>
        <v/>
      </c>
      <c r="T1028" s="13">
        <f>YEAR(B1028)</f>
        <v/>
      </c>
      <c r="U1028" s="13">
        <f>YEAR(B1028)&amp;"-Q"&amp;ROUNDUP(MONTH(B1028)/3,0)</f>
        <v/>
      </c>
      <c r="V1028" s="13">
        <f>TEXT(B1028,"YYYY-MM")</f>
        <v/>
      </c>
      <c r="W1028" s="13">
        <f>IF(L1028="","",IF(L1028&gt;pLateDays,1,0))</f>
        <v/>
      </c>
      <c r="X1028" s="13">
        <f>IF(Q1028&gt;=pHighCutoff,1,0)</f>
        <v/>
      </c>
      <c r="Y1028" s="13">
        <f>IF(M1028="Returned",1,0)</f>
        <v/>
      </c>
    </row>
    <row r="1029">
      <c r="A1029" s="13" t="inlineStr">
        <is>
          <t>HC-101027</t>
        </is>
      </c>
      <c r="B1029" s="18" t="n">
        <v>45393</v>
      </c>
      <c r="C1029" s="13" t="inlineStr">
        <is>
          <t>East</t>
        </is>
      </c>
      <c r="D1029" s="13" t="inlineStr">
        <is>
          <t>Store</t>
        </is>
      </c>
      <c r="E1029" s="13" t="inlineStr">
        <is>
          <t>Kitchen</t>
        </is>
      </c>
      <c r="F1029" s="13" t="inlineStr">
        <is>
          <t>Chef Knife</t>
        </is>
      </c>
      <c r="G1029" s="13" t="inlineStr">
        <is>
          <t>Consumer</t>
        </is>
      </c>
      <c r="H1029" s="13" t="n">
        <v>4</v>
      </c>
      <c r="I1029" s="14" t="n">
        <v>58.95</v>
      </c>
      <c r="J1029" s="15" t="n">
        <v>0.09</v>
      </c>
      <c r="K1029" s="14" t="n">
        <v>21.22</v>
      </c>
      <c r="L1029" s="13" t="n">
        <v>11</v>
      </c>
      <c r="M1029" s="13" t="inlineStr">
        <is>
          <t>Completed</t>
        </is>
      </c>
      <c r="N1029" s="13" t="inlineStr">
        <is>
          <t>A. Shah</t>
        </is>
      </c>
      <c r="O1029" s="13" t="inlineStr">
        <is>
          <t>No</t>
        </is>
      </c>
      <c r="P1029" s="14">
        <f>H1029*I1029</f>
        <v/>
      </c>
      <c r="Q1029" s="14">
        <f>P1029*(1-J1029)</f>
        <v/>
      </c>
      <c r="R1029" s="14">
        <f>H1029*K1029</f>
        <v/>
      </c>
      <c r="S1029" s="15">
        <f>IF(Q1029=0,"",(Q1029-R1029)/Q1029)</f>
        <v/>
      </c>
      <c r="T1029" s="13">
        <f>YEAR(B1029)</f>
        <v/>
      </c>
      <c r="U1029" s="13">
        <f>YEAR(B1029)&amp;"-Q"&amp;ROUNDUP(MONTH(B1029)/3,0)</f>
        <v/>
      </c>
      <c r="V1029" s="13">
        <f>TEXT(B1029,"YYYY-MM")</f>
        <v/>
      </c>
      <c r="W1029" s="13">
        <f>IF(L1029="","",IF(L1029&gt;pLateDays,1,0))</f>
        <v/>
      </c>
      <c r="X1029" s="13">
        <f>IF(Q1029&gt;=pHighCutoff,1,0)</f>
        <v/>
      </c>
      <c r="Y1029" s="13">
        <f>IF(M1029="Returned",1,0)</f>
        <v/>
      </c>
    </row>
    <row r="1030">
      <c r="A1030" s="13" t="inlineStr">
        <is>
          <t>HC-101028</t>
        </is>
      </c>
      <c r="B1030" s="18" t="n">
        <v>45753</v>
      </c>
      <c r="C1030" s="13" t="inlineStr">
        <is>
          <t>North</t>
        </is>
      </c>
      <c r="D1030" s="13" t="inlineStr">
        <is>
          <t>Wholesale</t>
        </is>
      </c>
      <c r="E1030" s="13" t="inlineStr">
        <is>
          <t>Textiles</t>
        </is>
      </c>
      <c r="F1030" s="13" t="inlineStr">
        <is>
          <t>Cotton Duvet</t>
        </is>
      </c>
      <c r="G1030" s="13" t="inlineStr">
        <is>
          <t>Consumer</t>
        </is>
      </c>
      <c r="H1030" s="13" t="n">
        <v>16</v>
      </c>
      <c r="I1030" s="14" t="n">
        <v>119.79</v>
      </c>
      <c r="J1030" s="15" t="n">
        <v>0.21</v>
      </c>
      <c r="K1030" s="14" t="n">
        <v>52.71</v>
      </c>
      <c r="L1030" s="13" t="n"/>
      <c r="M1030" s="13" t="inlineStr">
        <is>
          <t>Completed</t>
        </is>
      </c>
      <c r="N1030" s="13" t="inlineStr">
        <is>
          <t>L. Berger</t>
        </is>
      </c>
      <c r="O1030" s="13" t="inlineStr">
        <is>
          <t>No</t>
        </is>
      </c>
      <c r="P1030" s="14">
        <f>H1030*I1030</f>
        <v/>
      </c>
      <c r="Q1030" s="14">
        <f>P1030*(1-J1030)</f>
        <v/>
      </c>
      <c r="R1030" s="14">
        <f>H1030*K1030</f>
        <v/>
      </c>
      <c r="S1030" s="15">
        <f>IF(Q1030=0,"",(Q1030-R1030)/Q1030)</f>
        <v/>
      </c>
      <c r="T1030" s="13">
        <f>YEAR(B1030)</f>
        <v/>
      </c>
      <c r="U1030" s="13">
        <f>YEAR(B1030)&amp;"-Q"&amp;ROUNDUP(MONTH(B1030)/3,0)</f>
        <v/>
      </c>
      <c r="V1030" s="13">
        <f>TEXT(B1030,"YYYY-MM")</f>
        <v/>
      </c>
      <c r="W1030" s="13">
        <f>IF(L1030="","",IF(L1030&gt;pLateDays,1,0))</f>
        <v/>
      </c>
      <c r="X1030" s="13">
        <f>IF(Q1030&gt;=pHighCutoff,1,0)</f>
        <v/>
      </c>
      <c r="Y1030" s="13">
        <f>IF(M1030="Returned",1,0)</f>
        <v/>
      </c>
    </row>
    <row r="1031">
      <c r="A1031" s="13" t="inlineStr">
        <is>
          <t>HC-101029</t>
        </is>
      </c>
      <c r="B1031" s="18" t="n">
        <v>45454</v>
      </c>
      <c r="C1031" s="13" t="inlineStr">
        <is>
          <t>West</t>
        </is>
      </c>
      <c r="D1031" s="13" t="inlineStr">
        <is>
          <t>Online</t>
        </is>
      </c>
      <c r="E1031" s="13" t="inlineStr">
        <is>
          <t>Furniture</t>
        </is>
      </c>
      <c r="F1031" s="13" t="inlineStr">
        <is>
          <t>Linen Sofa</t>
        </is>
      </c>
      <c r="G1031" s="13" t="inlineStr">
        <is>
          <t>Consumer</t>
        </is>
      </c>
      <c r="H1031" s="13" t="n">
        <v>2</v>
      </c>
      <c r="I1031" s="14" t="n">
        <v>1315.97</v>
      </c>
      <c r="J1031" s="15" t="n">
        <v>0.06</v>
      </c>
      <c r="K1031" s="14" t="n">
        <v>868.54</v>
      </c>
      <c r="L1031" s="13" t="n">
        <v>6</v>
      </c>
      <c r="M1031" s="13" t="inlineStr">
        <is>
          <t>Completed</t>
        </is>
      </c>
      <c r="N1031" s="13" t="inlineStr">
        <is>
          <t>R. Ibarra</t>
        </is>
      </c>
      <c r="O1031" s="13" t="inlineStr">
        <is>
          <t>No</t>
        </is>
      </c>
      <c r="P1031" s="14">
        <f>H1031*I1031</f>
        <v/>
      </c>
      <c r="Q1031" s="14">
        <f>P1031*(1-J1031)</f>
        <v/>
      </c>
      <c r="R1031" s="14">
        <f>H1031*K1031</f>
        <v/>
      </c>
      <c r="S1031" s="15">
        <f>IF(Q1031=0,"",(Q1031-R1031)/Q1031)</f>
        <v/>
      </c>
      <c r="T1031" s="13">
        <f>YEAR(B1031)</f>
        <v/>
      </c>
      <c r="U1031" s="13">
        <f>YEAR(B1031)&amp;"-Q"&amp;ROUNDUP(MONTH(B1031)/3,0)</f>
        <v/>
      </c>
      <c r="V1031" s="13">
        <f>TEXT(B1031,"YYYY-MM")</f>
        <v/>
      </c>
      <c r="W1031" s="13">
        <f>IF(L1031="","",IF(L1031&gt;pLateDays,1,0))</f>
        <v/>
      </c>
      <c r="X1031" s="13">
        <f>IF(Q1031&gt;=pHighCutoff,1,0)</f>
        <v/>
      </c>
      <c r="Y1031" s="13">
        <f>IF(M1031="Returned",1,0)</f>
        <v/>
      </c>
    </row>
    <row r="1032">
      <c r="A1032" s="13" t="inlineStr">
        <is>
          <t>HC-101030</t>
        </is>
      </c>
      <c r="B1032" s="18" t="n">
        <v>45597</v>
      </c>
      <c r="C1032" s="13" t="inlineStr">
        <is>
          <t>West</t>
        </is>
      </c>
      <c r="D1032" s="13" t="inlineStr">
        <is>
          <t>Store</t>
        </is>
      </c>
      <c r="E1032" s="13" t="inlineStr">
        <is>
          <t>Textiles</t>
        </is>
      </c>
      <c r="F1032" s="13" t="inlineStr">
        <is>
          <t>Linen Curtain</t>
        </is>
      </c>
      <c r="G1032" s="13" t="inlineStr">
        <is>
          <t>Corporate</t>
        </is>
      </c>
      <c r="H1032" s="13" t="n">
        <v>3</v>
      </c>
      <c r="I1032" s="14" t="n">
        <v>97.83</v>
      </c>
      <c r="J1032" s="15" t="n">
        <v>0.11</v>
      </c>
      <c r="K1032" s="14" t="n">
        <v>44.02</v>
      </c>
      <c r="L1032" s="13" t="n">
        <v>8</v>
      </c>
      <c r="M1032" s="13" t="inlineStr">
        <is>
          <t>Completed</t>
        </is>
      </c>
      <c r="N1032" s="13" t="inlineStr">
        <is>
          <t>M. Okonkwo</t>
        </is>
      </c>
      <c r="O1032" s="13" t="inlineStr">
        <is>
          <t>No</t>
        </is>
      </c>
      <c r="P1032" s="14">
        <f>H1032*I1032</f>
        <v/>
      </c>
      <c r="Q1032" s="14">
        <f>P1032*(1-J1032)</f>
        <v/>
      </c>
      <c r="R1032" s="14">
        <f>H1032*K1032</f>
        <v/>
      </c>
      <c r="S1032" s="15">
        <f>IF(Q1032=0,"",(Q1032-R1032)/Q1032)</f>
        <v/>
      </c>
      <c r="T1032" s="13">
        <f>YEAR(B1032)</f>
        <v/>
      </c>
      <c r="U1032" s="13">
        <f>YEAR(B1032)&amp;"-Q"&amp;ROUNDUP(MONTH(B1032)/3,0)</f>
        <v/>
      </c>
      <c r="V1032" s="13">
        <f>TEXT(B1032,"YYYY-MM")</f>
        <v/>
      </c>
      <c r="W1032" s="13">
        <f>IF(L1032="","",IF(L1032&gt;pLateDays,1,0))</f>
        <v/>
      </c>
      <c r="X1032" s="13">
        <f>IF(Q1032&gt;=pHighCutoff,1,0)</f>
        <v/>
      </c>
      <c r="Y1032" s="13">
        <f>IF(M1032="Returned",1,0)</f>
        <v/>
      </c>
    </row>
    <row r="1033">
      <c r="A1033" s="13" t="inlineStr">
        <is>
          <t>HC-101031</t>
        </is>
      </c>
      <c r="B1033" s="18" t="n">
        <v>45407</v>
      </c>
      <c r="C1033" s="13" t="inlineStr">
        <is>
          <t>South</t>
        </is>
      </c>
      <c r="D1033" s="13" t="inlineStr">
        <is>
          <t>Store</t>
        </is>
      </c>
      <c r="E1033" s="13" t="inlineStr">
        <is>
          <t>Kitchen</t>
        </is>
      </c>
      <c r="F1033" s="13" t="inlineStr">
        <is>
          <t>Cast Skillet</t>
        </is>
      </c>
      <c r="G1033" s="13" t="inlineStr">
        <is>
          <t>Consumer</t>
        </is>
      </c>
      <c r="H1033" s="13" t="n">
        <v>1</v>
      </c>
      <c r="I1033" s="14" t="n">
        <v>57.66</v>
      </c>
      <c r="J1033" s="15" t="n">
        <v>0.03</v>
      </c>
      <c r="K1033" s="14" t="n">
        <v>23.06</v>
      </c>
      <c r="L1033" s="13" t="n">
        <v>4</v>
      </c>
      <c r="M1033" s="13" t="inlineStr">
        <is>
          <t>Returned</t>
        </is>
      </c>
      <c r="N1033" s="13" t="inlineStr">
        <is>
          <t>K. Mensah</t>
        </is>
      </c>
      <c r="O1033" s="13" t="inlineStr">
        <is>
          <t>No</t>
        </is>
      </c>
      <c r="P1033" s="14">
        <f>H1033*I1033</f>
        <v/>
      </c>
      <c r="Q1033" s="14">
        <f>P1033*(1-J1033)</f>
        <v/>
      </c>
      <c r="R1033" s="14">
        <f>H1033*K1033</f>
        <v/>
      </c>
      <c r="S1033" s="15">
        <f>IF(Q1033=0,"",(Q1033-R1033)/Q1033)</f>
        <v/>
      </c>
      <c r="T1033" s="13">
        <f>YEAR(B1033)</f>
        <v/>
      </c>
      <c r="U1033" s="13">
        <f>YEAR(B1033)&amp;"-Q"&amp;ROUNDUP(MONTH(B1033)/3,0)</f>
        <v/>
      </c>
      <c r="V1033" s="13">
        <f>TEXT(B1033,"YYYY-MM")</f>
        <v/>
      </c>
      <c r="W1033" s="13">
        <f>IF(L1033="","",IF(L1033&gt;pLateDays,1,0))</f>
        <v/>
      </c>
      <c r="X1033" s="13">
        <f>IF(Q1033&gt;=pHighCutoff,1,0)</f>
        <v/>
      </c>
      <c r="Y1033" s="13">
        <f>IF(M1033="Returned",1,0)</f>
        <v/>
      </c>
    </row>
    <row r="1034">
      <c r="A1034" s="13" t="inlineStr">
        <is>
          <t>HC-101032</t>
        </is>
      </c>
      <c r="B1034" s="18" t="n">
        <v>45619</v>
      </c>
      <c r="C1034" s="13" t="inlineStr">
        <is>
          <t>West</t>
        </is>
      </c>
      <c r="D1034" s="13" t="inlineStr">
        <is>
          <t>Store</t>
        </is>
      </c>
      <c r="E1034" s="13" t="inlineStr">
        <is>
          <t>Furniture</t>
        </is>
      </c>
      <c r="F1034" s="13" t="inlineStr">
        <is>
          <t>Linen Sofa</t>
        </is>
      </c>
      <c r="G1034" s="13" t="inlineStr">
        <is>
          <t>Consumer</t>
        </is>
      </c>
      <c r="H1034" s="13" t="n">
        <v>3</v>
      </c>
      <c r="I1034" s="14" t="n">
        <v>1203.34</v>
      </c>
      <c r="J1034" s="15" t="n">
        <v>0.06</v>
      </c>
      <c r="K1034" s="14" t="n">
        <v>794.2</v>
      </c>
      <c r="L1034" s="13" t="n">
        <v>5</v>
      </c>
      <c r="M1034" s="13" t="inlineStr">
        <is>
          <t>Returned</t>
        </is>
      </c>
      <c r="N1034" s="13" t="inlineStr">
        <is>
          <t>J. Patel</t>
        </is>
      </c>
      <c r="O1034" s="13" t="inlineStr">
        <is>
          <t>No</t>
        </is>
      </c>
      <c r="P1034" s="14">
        <f>H1034*I1034</f>
        <v/>
      </c>
      <c r="Q1034" s="14">
        <f>P1034*(1-J1034)</f>
        <v/>
      </c>
      <c r="R1034" s="14">
        <f>H1034*K1034</f>
        <v/>
      </c>
      <c r="S1034" s="15">
        <f>IF(Q1034=0,"",(Q1034-R1034)/Q1034)</f>
        <v/>
      </c>
      <c r="T1034" s="13">
        <f>YEAR(B1034)</f>
        <v/>
      </c>
      <c r="U1034" s="13">
        <f>YEAR(B1034)&amp;"-Q"&amp;ROUNDUP(MONTH(B1034)/3,0)</f>
        <v/>
      </c>
      <c r="V1034" s="13">
        <f>TEXT(B1034,"YYYY-MM")</f>
        <v/>
      </c>
      <c r="W1034" s="13">
        <f>IF(L1034="","",IF(L1034&gt;pLateDays,1,0))</f>
        <v/>
      </c>
      <c r="X1034" s="13">
        <f>IF(Q1034&gt;=pHighCutoff,1,0)</f>
        <v/>
      </c>
      <c r="Y1034" s="13">
        <f>IF(M1034="Returned",1,0)</f>
        <v/>
      </c>
    </row>
    <row r="1035">
      <c r="A1035" s="13" t="inlineStr">
        <is>
          <t>HC-101033</t>
        </is>
      </c>
      <c r="B1035" s="18" t="n">
        <v>45447</v>
      </c>
      <c r="C1035" s="13" t="inlineStr">
        <is>
          <t>West</t>
        </is>
      </c>
      <c r="D1035" s="13" t="inlineStr">
        <is>
          <t>Store</t>
        </is>
      </c>
      <c r="E1035" s="13" t="inlineStr">
        <is>
          <t>Furniture</t>
        </is>
      </c>
      <c r="F1035" s="13" t="inlineStr">
        <is>
          <t>Oak Desk</t>
        </is>
      </c>
      <c r="G1035" s="13" t="inlineStr">
        <is>
          <t>Consumer</t>
        </is>
      </c>
      <c r="H1035" s="13" t="n">
        <v>3</v>
      </c>
      <c r="I1035" s="14" t="n">
        <v>853.45</v>
      </c>
      <c r="J1035" s="15" t="n">
        <v>0.07000000000000001</v>
      </c>
      <c r="K1035" s="14" t="n">
        <v>529.14</v>
      </c>
      <c r="L1035" s="13" t="n">
        <v>6</v>
      </c>
      <c r="M1035" s="13" t="inlineStr">
        <is>
          <t>Completed</t>
        </is>
      </c>
      <c r="N1035" s="13" t="inlineStr">
        <is>
          <t>A. Shah</t>
        </is>
      </c>
      <c r="O1035" s="13" t="inlineStr">
        <is>
          <t>No</t>
        </is>
      </c>
      <c r="P1035" s="14">
        <f>H1035*I1035</f>
        <v/>
      </c>
      <c r="Q1035" s="14">
        <f>P1035*(1-J1035)</f>
        <v/>
      </c>
      <c r="R1035" s="14">
        <f>H1035*K1035</f>
        <v/>
      </c>
      <c r="S1035" s="15">
        <f>IF(Q1035=0,"",(Q1035-R1035)/Q1035)</f>
        <v/>
      </c>
      <c r="T1035" s="13">
        <f>YEAR(B1035)</f>
        <v/>
      </c>
      <c r="U1035" s="13">
        <f>YEAR(B1035)&amp;"-Q"&amp;ROUNDUP(MONTH(B1035)/3,0)</f>
        <v/>
      </c>
      <c r="V1035" s="13">
        <f>TEXT(B1035,"YYYY-MM")</f>
        <v/>
      </c>
      <c r="W1035" s="13">
        <f>IF(L1035="","",IF(L1035&gt;pLateDays,1,0))</f>
        <v/>
      </c>
      <c r="X1035" s="13">
        <f>IF(Q1035&gt;=pHighCutoff,1,0)</f>
        <v/>
      </c>
      <c r="Y1035" s="13">
        <f>IF(M1035="Returned",1,0)</f>
        <v/>
      </c>
    </row>
    <row r="1036">
      <c r="A1036" s="13" t="inlineStr">
        <is>
          <t>HC-101034</t>
        </is>
      </c>
      <c r="B1036" s="18" t="n">
        <v>45652</v>
      </c>
      <c r="C1036" s="13" t="inlineStr">
        <is>
          <t>East</t>
        </is>
      </c>
      <c r="D1036" s="13" t="inlineStr">
        <is>
          <t>Online</t>
        </is>
      </c>
      <c r="E1036" s="13" t="inlineStr">
        <is>
          <t>Furniture</t>
        </is>
      </c>
      <c r="F1036" s="13" t="inlineStr">
        <is>
          <t>Linen Sofa</t>
        </is>
      </c>
      <c r="G1036" s="13" t="inlineStr">
        <is>
          <t>Consumer</t>
        </is>
      </c>
      <c r="H1036" s="13" t="n">
        <v>4</v>
      </c>
      <c r="I1036" s="14" t="n">
        <v>1205.66</v>
      </c>
      <c r="J1036" s="15" t="n">
        <v>0.06</v>
      </c>
      <c r="K1036" s="14" t="n">
        <v>795.73</v>
      </c>
      <c r="L1036" s="13" t="n">
        <v>8</v>
      </c>
      <c r="M1036" s="13" t="inlineStr">
        <is>
          <t>Completed</t>
        </is>
      </c>
      <c r="N1036" s="13" t="inlineStr">
        <is>
          <t>A. Shah</t>
        </is>
      </c>
      <c r="O1036" s="13" t="inlineStr">
        <is>
          <t>No</t>
        </is>
      </c>
      <c r="P1036" s="14">
        <f>H1036*I1036</f>
        <v/>
      </c>
      <c r="Q1036" s="14">
        <f>P1036*(1-J1036)</f>
        <v/>
      </c>
      <c r="R1036" s="14">
        <f>H1036*K1036</f>
        <v/>
      </c>
      <c r="S1036" s="15">
        <f>IF(Q1036=0,"",(Q1036-R1036)/Q1036)</f>
        <v/>
      </c>
      <c r="T1036" s="13">
        <f>YEAR(B1036)</f>
        <v/>
      </c>
      <c r="U1036" s="13">
        <f>YEAR(B1036)&amp;"-Q"&amp;ROUNDUP(MONTH(B1036)/3,0)</f>
        <v/>
      </c>
      <c r="V1036" s="13">
        <f>TEXT(B1036,"YYYY-MM")</f>
        <v/>
      </c>
      <c r="W1036" s="13">
        <f>IF(L1036="","",IF(L1036&gt;pLateDays,1,0))</f>
        <v/>
      </c>
      <c r="X1036" s="13">
        <f>IF(Q1036&gt;=pHighCutoff,1,0)</f>
        <v/>
      </c>
      <c r="Y1036" s="13">
        <f>IF(M1036="Returned",1,0)</f>
        <v/>
      </c>
    </row>
    <row r="1037">
      <c r="A1037" s="13" t="inlineStr">
        <is>
          <t>HC-101035</t>
        </is>
      </c>
      <c r="B1037" s="18" t="n">
        <v>45419</v>
      </c>
      <c r="C1037" s="13" t="inlineStr">
        <is>
          <t>North</t>
        </is>
      </c>
      <c r="D1037" s="13" t="inlineStr">
        <is>
          <t>Store</t>
        </is>
      </c>
      <c r="E1037" s="13" t="inlineStr">
        <is>
          <t>Furniture</t>
        </is>
      </c>
      <c r="F1037" s="13" t="inlineStr">
        <is>
          <t>Oak Desk</t>
        </is>
      </c>
      <c r="G1037" s="13" t="inlineStr">
        <is>
          <t>Consumer</t>
        </is>
      </c>
      <c r="H1037" s="13" t="n">
        <v>2</v>
      </c>
      <c r="I1037" s="14" t="n">
        <v>903.37</v>
      </c>
      <c r="J1037" s="15" t="n">
        <v>0.05</v>
      </c>
      <c r="K1037" s="14" t="n">
        <v>560.09</v>
      </c>
      <c r="L1037" s="13" t="n">
        <v>4</v>
      </c>
      <c r="M1037" s="13" t="inlineStr">
        <is>
          <t>Completed</t>
        </is>
      </c>
      <c r="N1037" s="13" t="inlineStr">
        <is>
          <t>J. Patel</t>
        </is>
      </c>
      <c r="O1037" s="13" t="inlineStr">
        <is>
          <t>No</t>
        </is>
      </c>
      <c r="P1037" s="14">
        <f>H1037*I1037</f>
        <v/>
      </c>
      <c r="Q1037" s="14">
        <f>P1037*(1-J1037)</f>
        <v/>
      </c>
      <c r="R1037" s="14">
        <f>H1037*K1037</f>
        <v/>
      </c>
      <c r="S1037" s="15">
        <f>IF(Q1037=0,"",(Q1037-R1037)/Q1037)</f>
        <v/>
      </c>
      <c r="T1037" s="13">
        <f>YEAR(B1037)</f>
        <v/>
      </c>
      <c r="U1037" s="13">
        <f>YEAR(B1037)&amp;"-Q"&amp;ROUNDUP(MONTH(B1037)/3,0)</f>
        <v/>
      </c>
      <c r="V1037" s="13">
        <f>TEXT(B1037,"YYYY-MM")</f>
        <v/>
      </c>
      <c r="W1037" s="13">
        <f>IF(L1037="","",IF(L1037&gt;pLateDays,1,0))</f>
        <v/>
      </c>
      <c r="X1037" s="13">
        <f>IF(Q1037&gt;=pHighCutoff,1,0)</f>
        <v/>
      </c>
      <c r="Y1037" s="13">
        <f>IF(M1037="Returned",1,0)</f>
        <v/>
      </c>
    </row>
    <row r="1038">
      <c r="A1038" s="13" t="inlineStr">
        <is>
          <t>HC-101036</t>
        </is>
      </c>
      <c r="B1038" s="18" t="n">
        <v>45567</v>
      </c>
      <c r="C1038" s="13" t="inlineStr">
        <is>
          <t>South</t>
        </is>
      </c>
      <c r="D1038" s="13" t="inlineStr">
        <is>
          <t>Store</t>
        </is>
      </c>
      <c r="E1038" s="13" t="inlineStr">
        <is>
          <t>Furniture</t>
        </is>
      </c>
      <c r="F1038" s="13" t="inlineStr">
        <is>
          <t>Linen Sofa</t>
        </is>
      </c>
      <c r="G1038" s="13" t="inlineStr">
        <is>
          <t>Consumer</t>
        </is>
      </c>
      <c r="H1038" s="13" t="n">
        <v>1</v>
      </c>
      <c r="I1038" s="14" t="n">
        <v>1273.45</v>
      </c>
      <c r="J1038" s="15" t="n">
        <v>0.08</v>
      </c>
      <c r="K1038" s="14" t="n">
        <v>840.48</v>
      </c>
      <c r="L1038" s="13" t="n">
        <v>4</v>
      </c>
      <c r="M1038" s="13" t="inlineStr">
        <is>
          <t>Completed</t>
        </is>
      </c>
      <c r="N1038" s="13" t="inlineStr">
        <is>
          <t>J. Patel</t>
        </is>
      </c>
      <c r="O1038" s="13" t="inlineStr">
        <is>
          <t>No</t>
        </is>
      </c>
      <c r="P1038" s="14">
        <f>H1038*I1038</f>
        <v/>
      </c>
      <c r="Q1038" s="14">
        <f>P1038*(1-J1038)</f>
        <v/>
      </c>
      <c r="R1038" s="14">
        <f>H1038*K1038</f>
        <v/>
      </c>
      <c r="S1038" s="15">
        <f>IF(Q1038=0,"",(Q1038-R1038)/Q1038)</f>
        <v/>
      </c>
      <c r="T1038" s="13">
        <f>YEAR(B1038)</f>
        <v/>
      </c>
      <c r="U1038" s="13">
        <f>YEAR(B1038)&amp;"-Q"&amp;ROUNDUP(MONTH(B1038)/3,0)</f>
        <v/>
      </c>
      <c r="V1038" s="13">
        <f>TEXT(B1038,"YYYY-MM")</f>
        <v/>
      </c>
      <c r="W1038" s="13">
        <f>IF(L1038="","",IF(L1038&gt;pLateDays,1,0))</f>
        <v/>
      </c>
      <c r="X1038" s="13">
        <f>IF(Q1038&gt;=pHighCutoff,1,0)</f>
        <v/>
      </c>
      <c r="Y1038" s="13">
        <f>IF(M1038="Returned",1,0)</f>
        <v/>
      </c>
    </row>
    <row r="1039">
      <c r="A1039" s="13" t="inlineStr">
        <is>
          <t>HC-101037</t>
        </is>
      </c>
      <c r="B1039" s="18" t="n">
        <v>45319</v>
      </c>
      <c r="C1039" s="13" t="inlineStr">
        <is>
          <t>North</t>
        </is>
      </c>
      <c r="D1039" s="13" t="inlineStr">
        <is>
          <t>Wholesale</t>
        </is>
      </c>
      <c r="E1039" s="13" t="inlineStr">
        <is>
          <t>Kitchen</t>
        </is>
      </c>
      <c r="F1039" s="13" t="inlineStr">
        <is>
          <t>Cast Skillet</t>
        </is>
      </c>
      <c r="G1039" s="13" t="inlineStr">
        <is>
          <t>Consumer</t>
        </is>
      </c>
      <c r="H1039" s="13" t="n">
        <v>25</v>
      </c>
      <c r="I1039" s="14" t="n">
        <v>52.86</v>
      </c>
      <c r="J1039" s="15" t="n">
        <v>0.16</v>
      </c>
      <c r="K1039" s="14" t="n">
        <v>21.14</v>
      </c>
      <c r="L1039" s="13" t="n">
        <v>6</v>
      </c>
      <c r="M1039" s="13" t="inlineStr">
        <is>
          <t>Completed</t>
        </is>
      </c>
      <c r="N1039" s="13" t="inlineStr">
        <is>
          <t>R. Ibarra</t>
        </is>
      </c>
      <c r="O1039" s="13" t="inlineStr">
        <is>
          <t>No</t>
        </is>
      </c>
      <c r="P1039" s="14">
        <f>H1039*I1039</f>
        <v/>
      </c>
      <c r="Q1039" s="14">
        <f>P1039*(1-J1039)</f>
        <v/>
      </c>
      <c r="R1039" s="14">
        <f>H1039*K1039</f>
        <v/>
      </c>
      <c r="S1039" s="15">
        <f>IF(Q1039=0,"",(Q1039-R1039)/Q1039)</f>
        <v/>
      </c>
      <c r="T1039" s="13">
        <f>YEAR(B1039)</f>
        <v/>
      </c>
      <c r="U1039" s="13">
        <f>YEAR(B1039)&amp;"-Q"&amp;ROUNDUP(MONTH(B1039)/3,0)</f>
        <v/>
      </c>
      <c r="V1039" s="13">
        <f>TEXT(B1039,"YYYY-MM")</f>
        <v/>
      </c>
      <c r="W1039" s="13">
        <f>IF(L1039="","",IF(L1039&gt;pLateDays,1,0))</f>
        <v/>
      </c>
      <c r="X1039" s="13">
        <f>IF(Q1039&gt;=pHighCutoff,1,0)</f>
        <v/>
      </c>
      <c r="Y1039" s="13">
        <f>IF(M1039="Returned",1,0)</f>
        <v/>
      </c>
    </row>
    <row r="1040">
      <c r="A1040" s="13" t="inlineStr">
        <is>
          <t>HC-101038</t>
        </is>
      </c>
      <c r="B1040" s="18" t="n">
        <v>45559</v>
      </c>
      <c r="C1040" s="13" t="inlineStr">
        <is>
          <t>South</t>
        </is>
      </c>
      <c r="D1040" s="13" t="inlineStr">
        <is>
          <t>Store</t>
        </is>
      </c>
      <c r="E1040" s="13" t="inlineStr">
        <is>
          <t>Furniture</t>
        </is>
      </c>
      <c r="F1040" s="13" t="inlineStr">
        <is>
          <t>Walnut Shelf</t>
        </is>
      </c>
      <c r="G1040" s="13" t="inlineStr">
        <is>
          <t>Home Office</t>
        </is>
      </c>
      <c r="H1040" s="13" t="n">
        <v>4</v>
      </c>
      <c r="I1040" s="14" t="n">
        <v>214.17</v>
      </c>
      <c r="J1040" s="15" t="n">
        <v>0.01</v>
      </c>
      <c r="K1040" s="14" t="n">
        <v>117.79</v>
      </c>
      <c r="L1040" s="13" t="n">
        <v>1</v>
      </c>
      <c r="M1040" s="13" t="inlineStr">
        <is>
          <t>Completed</t>
        </is>
      </c>
      <c r="N1040" s="13" t="inlineStr">
        <is>
          <t>L. Berger</t>
        </is>
      </c>
      <c r="O1040" s="13" t="inlineStr">
        <is>
          <t>No</t>
        </is>
      </c>
      <c r="P1040" s="14">
        <f>H1040*I1040</f>
        <v/>
      </c>
      <c r="Q1040" s="14">
        <f>P1040*(1-J1040)</f>
        <v/>
      </c>
      <c r="R1040" s="14">
        <f>H1040*K1040</f>
        <v/>
      </c>
      <c r="S1040" s="15">
        <f>IF(Q1040=0,"",(Q1040-R1040)/Q1040)</f>
        <v/>
      </c>
      <c r="T1040" s="13">
        <f>YEAR(B1040)</f>
        <v/>
      </c>
      <c r="U1040" s="13">
        <f>YEAR(B1040)&amp;"-Q"&amp;ROUNDUP(MONTH(B1040)/3,0)</f>
        <v/>
      </c>
      <c r="V1040" s="13">
        <f>TEXT(B1040,"YYYY-MM")</f>
        <v/>
      </c>
      <c r="W1040" s="13">
        <f>IF(L1040="","",IF(L1040&gt;pLateDays,1,0))</f>
        <v/>
      </c>
      <c r="X1040" s="13">
        <f>IF(Q1040&gt;=pHighCutoff,1,0)</f>
        <v/>
      </c>
      <c r="Y1040" s="13">
        <f>IF(M1040="Returned",1,0)</f>
        <v/>
      </c>
    </row>
    <row r="1041">
      <c r="A1041" s="13" t="inlineStr">
        <is>
          <t>HC-101039</t>
        </is>
      </c>
      <c r="B1041" s="18" t="n">
        <v>45499</v>
      </c>
      <c r="C1041" s="13" t="inlineStr">
        <is>
          <t>South</t>
        </is>
      </c>
      <c r="D1041" s="13" t="inlineStr">
        <is>
          <t>Store</t>
        </is>
      </c>
      <c r="E1041" s="13" t="inlineStr">
        <is>
          <t>Textiles</t>
        </is>
      </c>
      <c r="F1041" s="13" t="inlineStr">
        <is>
          <t>Wool Throw</t>
        </is>
      </c>
      <c r="G1041" s="13" t="inlineStr">
        <is>
          <t>Consumer</t>
        </is>
      </c>
      <c r="H1041" s="13" t="n">
        <v>2</v>
      </c>
      <c r="I1041" s="14" t="n">
        <v>79.54000000000001</v>
      </c>
      <c r="J1041" s="15" t="n">
        <v>0.11</v>
      </c>
      <c r="K1041" s="14" t="n">
        <v>33.41</v>
      </c>
      <c r="L1041" s="13" t="n">
        <v>7</v>
      </c>
      <c r="M1041" s="13" t="inlineStr">
        <is>
          <t>Completed</t>
        </is>
      </c>
      <c r="N1041" s="13" t="inlineStr">
        <is>
          <t>L. Berger</t>
        </is>
      </c>
      <c r="O1041" s="13" t="inlineStr">
        <is>
          <t>No</t>
        </is>
      </c>
      <c r="P1041" s="14">
        <f>H1041*I1041</f>
        <v/>
      </c>
      <c r="Q1041" s="14">
        <f>P1041*(1-J1041)</f>
        <v/>
      </c>
      <c r="R1041" s="14">
        <f>H1041*K1041</f>
        <v/>
      </c>
      <c r="S1041" s="15">
        <f>IF(Q1041=0,"",(Q1041-R1041)/Q1041)</f>
        <v/>
      </c>
      <c r="T1041" s="13">
        <f>YEAR(B1041)</f>
        <v/>
      </c>
      <c r="U1041" s="13">
        <f>YEAR(B1041)&amp;"-Q"&amp;ROUNDUP(MONTH(B1041)/3,0)</f>
        <v/>
      </c>
      <c r="V1041" s="13">
        <f>TEXT(B1041,"YYYY-MM")</f>
        <v/>
      </c>
      <c r="W1041" s="13">
        <f>IF(L1041="","",IF(L1041&gt;pLateDays,1,0))</f>
        <v/>
      </c>
      <c r="X1041" s="13">
        <f>IF(Q1041&gt;=pHighCutoff,1,0)</f>
        <v/>
      </c>
      <c r="Y1041" s="13">
        <f>IF(M1041="Returned",1,0)</f>
        <v/>
      </c>
    </row>
    <row r="1042">
      <c r="A1042" s="13" t="inlineStr">
        <is>
          <t>HC-101040</t>
        </is>
      </c>
      <c r="B1042" s="18" t="n">
        <v>45812</v>
      </c>
      <c r="C1042" s="13" t="inlineStr">
        <is>
          <t>South</t>
        </is>
      </c>
      <c r="D1042" s="13" t="inlineStr">
        <is>
          <t>Store</t>
        </is>
      </c>
      <c r="E1042" s="13" t="inlineStr">
        <is>
          <t>Lighting</t>
        </is>
      </c>
      <c r="F1042" s="13" t="inlineStr">
        <is>
          <t>Brass Sconce</t>
        </is>
      </c>
      <c r="G1042" s="13" t="inlineStr">
        <is>
          <t>Home Office</t>
        </is>
      </c>
      <c r="H1042" s="13" t="n">
        <v>2</v>
      </c>
      <c r="I1042" s="14" t="n">
        <v>133.27</v>
      </c>
      <c r="J1042" s="15" t="n">
        <v>0.01</v>
      </c>
      <c r="K1042" s="14" t="n">
        <v>61.3</v>
      </c>
      <c r="L1042" s="13" t="n">
        <v>6</v>
      </c>
      <c r="M1042" s="13" t="inlineStr">
        <is>
          <t>Completed</t>
        </is>
      </c>
      <c r="N1042" s="13" t="inlineStr">
        <is>
          <t>P. Rossi</t>
        </is>
      </c>
      <c r="O1042" s="13" t="inlineStr">
        <is>
          <t>No</t>
        </is>
      </c>
      <c r="P1042" s="14">
        <f>H1042*I1042</f>
        <v/>
      </c>
      <c r="Q1042" s="14">
        <f>P1042*(1-J1042)</f>
        <v/>
      </c>
      <c r="R1042" s="14">
        <f>H1042*K1042</f>
        <v/>
      </c>
      <c r="S1042" s="15">
        <f>IF(Q1042=0,"",(Q1042-R1042)/Q1042)</f>
        <v/>
      </c>
      <c r="T1042" s="13">
        <f>YEAR(B1042)</f>
        <v/>
      </c>
      <c r="U1042" s="13">
        <f>YEAR(B1042)&amp;"-Q"&amp;ROUNDUP(MONTH(B1042)/3,0)</f>
        <v/>
      </c>
      <c r="V1042" s="13">
        <f>TEXT(B1042,"YYYY-MM")</f>
        <v/>
      </c>
      <c r="W1042" s="13">
        <f>IF(L1042="","",IF(L1042&gt;pLateDays,1,0))</f>
        <v/>
      </c>
      <c r="X1042" s="13">
        <f>IF(Q1042&gt;=pHighCutoff,1,0)</f>
        <v/>
      </c>
      <c r="Y1042" s="13">
        <f>IF(M1042="Returned",1,0)</f>
        <v/>
      </c>
    </row>
    <row r="1043">
      <c r="A1043" s="13" t="inlineStr">
        <is>
          <t>HC-101041</t>
        </is>
      </c>
      <c r="B1043" s="18" t="n">
        <v>45683</v>
      </c>
      <c r="C1043" s="13" t="inlineStr">
        <is>
          <t>North</t>
        </is>
      </c>
      <c r="D1043" s="13" t="inlineStr">
        <is>
          <t>Online</t>
        </is>
      </c>
      <c r="E1043" s="13" t="inlineStr">
        <is>
          <t>Lighting</t>
        </is>
      </c>
      <c r="F1043" s="13" t="inlineStr">
        <is>
          <t>Arc Lamp</t>
        </is>
      </c>
      <c r="G1043" s="13" t="inlineStr">
        <is>
          <t>Consumer</t>
        </is>
      </c>
      <c r="H1043" s="13" t="n">
        <v>1</v>
      </c>
      <c r="I1043" s="14" t="n">
        <v>324.3</v>
      </c>
      <c r="J1043" s="15" t="n">
        <v>0.15</v>
      </c>
      <c r="K1043" s="14" t="n">
        <v>155.66</v>
      </c>
      <c r="L1043" s="13" t="n">
        <v>7</v>
      </c>
      <c r="M1043" s="13" t="inlineStr">
        <is>
          <t>Completed</t>
        </is>
      </c>
      <c r="N1043" s="13" t="inlineStr">
        <is>
          <t>J. Patel</t>
        </is>
      </c>
      <c r="O1043" s="13" t="inlineStr">
        <is>
          <t>No</t>
        </is>
      </c>
      <c r="P1043" s="14">
        <f>H1043*I1043</f>
        <v/>
      </c>
      <c r="Q1043" s="14">
        <f>P1043*(1-J1043)</f>
        <v/>
      </c>
      <c r="R1043" s="14">
        <f>H1043*K1043</f>
        <v/>
      </c>
      <c r="S1043" s="15">
        <f>IF(Q1043=0,"",(Q1043-R1043)/Q1043)</f>
        <v/>
      </c>
      <c r="T1043" s="13">
        <f>YEAR(B1043)</f>
        <v/>
      </c>
      <c r="U1043" s="13">
        <f>YEAR(B1043)&amp;"-Q"&amp;ROUNDUP(MONTH(B1043)/3,0)</f>
        <v/>
      </c>
      <c r="V1043" s="13">
        <f>TEXT(B1043,"YYYY-MM")</f>
        <v/>
      </c>
      <c r="W1043" s="13">
        <f>IF(L1043="","",IF(L1043&gt;pLateDays,1,0))</f>
        <v/>
      </c>
      <c r="X1043" s="13">
        <f>IF(Q1043&gt;=pHighCutoff,1,0)</f>
        <v/>
      </c>
      <c r="Y1043" s="13">
        <f>IF(M1043="Returned",1,0)</f>
        <v/>
      </c>
    </row>
    <row r="1044">
      <c r="A1044" s="13" t="inlineStr">
        <is>
          <t>HC-101042</t>
        </is>
      </c>
      <c r="B1044" s="18" t="n">
        <v>45606</v>
      </c>
      <c r="C1044" s="13" t="inlineStr">
        <is>
          <t>North</t>
        </is>
      </c>
      <c r="D1044" s="13" t="inlineStr">
        <is>
          <t>Store</t>
        </is>
      </c>
      <c r="E1044" s="13" t="inlineStr">
        <is>
          <t>Furniture</t>
        </is>
      </c>
      <c r="F1044" s="13" t="inlineStr">
        <is>
          <t>Linen Sofa</t>
        </is>
      </c>
      <c r="G1044" s="13" t="inlineStr">
        <is>
          <t>Consumer</t>
        </is>
      </c>
      <c r="H1044" s="13" t="n">
        <v>4</v>
      </c>
      <c r="I1044" s="14" t="n">
        <v>1332.5</v>
      </c>
      <c r="J1044" s="15" t="n">
        <v>0.1</v>
      </c>
      <c r="K1044" s="14" t="n">
        <v>879.45</v>
      </c>
      <c r="L1044" s="13" t="n">
        <v>5</v>
      </c>
      <c r="M1044" s="13" t="inlineStr">
        <is>
          <t>Completed</t>
        </is>
      </c>
      <c r="N1044" s="13" t="inlineStr">
        <is>
          <t>J. Patel</t>
        </is>
      </c>
      <c r="O1044" s="13" t="inlineStr">
        <is>
          <t>No</t>
        </is>
      </c>
      <c r="P1044" s="14">
        <f>H1044*I1044</f>
        <v/>
      </c>
      <c r="Q1044" s="14">
        <f>P1044*(1-J1044)</f>
        <v/>
      </c>
      <c r="R1044" s="14">
        <f>H1044*K1044</f>
        <v/>
      </c>
      <c r="S1044" s="15">
        <f>IF(Q1044=0,"",(Q1044-R1044)/Q1044)</f>
        <v/>
      </c>
      <c r="T1044" s="13">
        <f>YEAR(B1044)</f>
        <v/>
      </c>
      <c r="U1044" s="13">
        <f>YEAR(B1044)&amp;"-Q"&amp;ROUNDUP(MONTH(B1044)/3,0)</f>
        <v/>
      </c>
      <c r="V1044" s="13">
        <f>TEXT(B1044,"YYYY-MM")</f>
        <v/>
      </c>
      <c r="W1044" s="13">
        <f>IF(L1044="","",IF(L1044&gt;pLateDays,1,0))</f>
        <v/>
      </c>
      <c r="X1044" s="13">
        <f>IF(Q1044&gt;=pHighCutoff,1,0)</f>
        <v/>
      </c>
      <c r="Y1044" s="13">
        <f>IF(M1044="Returned",1,0)</f>
        <v/>
      </c>
    </row>
    <row r="1045">
      <c r="A1045" s="13" t="inlineStr">
        <is>
          <t>HC-101043</t>
        </is>
      </c>
      <c r="B1045" s="18" t="n">
        <v>45831</v>
      </c>
      <c r="C1045" s="13" t="inlineStr">
        <is>
          <t>North</t>
        </is>
      </c>
      <c r="D1045" s="13" t="inlineStr">
        <is>
          <t>Online</t>
        </is>
      </c>
      <c r="E1045" s="13" t="inlineStr">
        <is>
          <t>Textiles</t>
        </is>
      </c>
      <c r="F1045" s="13" t="inlineStr">
        <is>
          <t>Linen Curtain</t>
        </is>
      </c>
      <c r="G1045" s="13" t="inlineStr">
        <is>
          <t>Consumer</t>
        </is>
      </c>
      <c r="H1045" s="13" t="n">
        <v>3</v>
      </c>
      <c r="I1045" s="14" t="n">
        <v>91.94</v>
      </c>
      <c r="J1045" s="15" t="n">
        <v>0.15</v>
      </c>
      <c r="K1045" s="14" t="n">
        <v>41.37</v>
      </c>
      <c r="L1045" s="13" t="n">
        <v>7</v>
      </c>
      <c r="M1045" s="13" t="inlineStr">
        <is>
          <t>Returned</t>
        </is>
      </c>
      <c r="N1045" s="13" t="inlineStr">
        <is>
          <t>L. Berger</t>
        </is>
      </c>
      <c r="O1045" s="13" t="inlineStr">
        <is>
          <t>No</t>
        </is>
      </c>
      <c r="P1045" s="14">
        <f>H1045*I1045</f>
        <v/>
      </c>
      <c r="Q1045" s="14">
        <f>P1045*(1-J1045)</f>
        <v/>
      </c>
      <c r="R1045" s="14">
        <f>H1045*K1045</f>
        <v/>
      </c>
      <c r="S1045" s="15">
        <f>IF(Q1045=0,"",(Q1045-R1045)/Q1045)</f>
        <v/>
      </c>
      <c r="T1045" s="13">
        <f>YEAR(B1045)</f>
        <v/>
      </c>
      <c r="U1045" s="13">
        <f>YEAR(B1045)&amp;"-Q"&amp;ROUNDUP(MONTH(B1045)/3,0)</f>
        <v/>
      </c>
      <c r="V1045" s="13">
        <f>TEXT(B1045,"YYYY-MM")</f>
        <v/>
      </c>
      <c r="W1045" s="13">
        <f>IF(L1045="","",IF(L1045&gt;pLateDays,1,0))</f>
        <v/>
      </c>
      <c r="X1045" s="13">
        <f>IF(Q1045&gt;=pHighCutoff,1,0)</f>
        <v/>
      </c>
      <c r="Y1045" s="13">
        <f>IF(M1045="Returned",1,0)</f>
        <v/>
      </c>
    </row>
    <row r="1046">
      <c r="A1046" s="13" t="inlineStr">
        <is>
          <t>HC-101044</t>
        </is>
      </c>
      <c r="B1046" s="18" t="n">
        <v>45922</v>
      </c>
      <c r="C1046" s="13" t="inlineStr">
        <is>
          <t>West</t>
        </is>
      </c>
      <c r="D1046" s="13" t="inlineStr">
        <is>
          <t>Online</t>
        </is>
      </c>
      <c r="E1046" s="13" t="inlineStr">
        <is>
          <t>Kitchen</t>
        </is>
      </c>
      <c r="F1046" s="13" t="inlineStr">
        <is>
          <t>Chef Knife</t>
        </is>
      </c>
      <c r="G1046" s="13" t="inlineStr">
        <is>
          <t>Consumer</t>
        </is>
      </c>
      <c r="H1046" s="13" t="n">
        <v>2</v>
      </c>
      <c r="I1046" s="14" t="n">
        <v>59.64</v>
      </c>
      <c r="J1046" s="15" t="n">
        <v>0.03</v>
      </c>
      <c r="K1046" s="14" t="n">
        <v>21.47</v>
      </c>
      <c r="L1046" s="13" t="n">
        <v>6</v>
      </c>
      <c r="M1046" s="13" t="inlineStr">
        <is>
          <t>Completed</t>
        </is>
      </c>
      <c r="N1046" s="13" t="inlineStr">
        <is>
          <t>A. Shah</t>
        </is>
      </c>
      <c r="O1046" s="13" t="inlineStr">
        <is>
          <t>No</t>
        </is>
      </c>
      <c r="P1046" s="14">
        <f>H1046*I1046</f>
        <v/>
      </c>
      <c r="Q1046" s="14">
        <f>P1046*(1-J1046)</f>
        <v/>
      </c>
      <c r="R1046" s="14">
        <f>H1046*K1046</f>
        <v/>
      </c>
      <c r="S1046" s="15">
        <f>IF(Q1046=0,"",(Q1046-R1046)/Q1046)</f>
        <v/>
      </c>
      <c r="T1046" s="13">
        <f>YEAR(B1046)</f>
        <v/>
      </c>
      <c r="U1046" s="13">
        <f>YEAR(B1046)&amp;"-Q"&amp;ROUNDUP(MONTH(B1046)/3,0)</f>
        <v/>
      </c>
      <c r="V1046" s="13">
        <f>TEXT(B1046,"YYYY-MM")</f>
        <v/>
      </c>
      <c r="W1046" s="13">
        <f>IF(L1046="","",IF(L1046&gt;pLateDays,1,0))</f>
        <v/>
      </c>
      <c r="X1046" s="13">
        <f>IF(Q1046&gt;=pHighCutoff,1,0)</f>
        <v/>
      </c>
      <c r="Y1046" s="13">
        <f>IF(M1046="Returned",1,0)</f>
        <v/>
      </c>
    </row>
    <row r="1047">
      <c r="A1047" s="13" t="inlineStr">
        <is>
          <t>HC-101045</t>
        </is>
      </c>
      <c r="B1047" s="18" t="n">
        <v>45699</v>
      </c>
      <c r="C1047" s="13" t="inlineStr">
        <is>
          <t>North</t>
        </is>
      </c>
      <c r="D1047" s="13" t="inlineStr">
        <is>
          <t>Store</t>
        </is>
      </c>
      <c r="E1047" s="13" t="inlineStr">
        <is>
          <t>Furniture</t>
        </is>
      </c>
      <c r="F1047" s="13" t="inlineStr">
        <is>
          <t>Walnut Shelf</t>
        </is>
      </c>
      <c r="G1047" s="13" t="inlineStr">
        <is>
          <t>Corporate</t>
        </is>
      </c>
      <c r="H1047" s="13" t="n">
        <v>1</v>
      </c>
      <c r="I1047" s="14" t="n">
        <v>224.28</v>
      </c>
      <c r="J1047" s="15" t="n">
        <v>0.11</v>
      </c>
      <c r="K1047" s="14" t="n">
        <v>123.36</v>
      </c>
      <c r="L1047" s="13" t="n">
        <v>4</v>
      </c>
      <c r="M1047" s="13" t="inlineStr">
        <is>
          <t>Completed</t>
        </is>
      </c>
      <c r="N1047" s="13" t="inlineStr">
        <is>
          <t>A. Shah</t>
        </is>
      </c>
      <c r="O1047" s="13" t="inlineStr">
        <is>
          <t>No</t>
        </is>
      </c>
      <c r="P1047" s="14">
        <f>H1047*I1047</f>
        <v/>
      </c>
      <c r="Q1047" s="14">
        <f>P1047*(1-J1047)</f>
        <v/>
      </c>
      <c r="R1047" s="14">
        <f>H1047*K1047</f>
        <v/>
      </c>
      <c r="S1047" s="15">
        <f>IF(Q1047=0,"",(Q1047-R1047)/Q1047)</f>
        <v/>
      </c>
      <c r="T1047" s="13">
        <f>YEAR(B1047)</f>
        <v/>
      </c>
      <c r="U1047" s="13">
        <f>YEAR(B1047)&amp;"-Q"&amp;ROUNDUP(MONTH(B1047)/3,0)</f>
        <v/>
      </c>
      <c r="V1047" s="13">
        <f>TEXT(B1047,"YYYY-MM")</f>
        <v/>
      </c>
      <c r="W1047" s="13">
        <f>IF(L1047="","",IF(L1047&gt;pLateDays,1,0))</f>
        <v/>
      </c>
      <c r="X1047" s="13">
        <f>IF(Q1047&gt;=pHighCutoff,1,0)</f>
        <v/>
      </c>
      <c r="Y1047" s="13">
        <f>IF(M1047="Returned",1,0)</f>
        <v/>
      </c>
    </row>
    <row r="1048">
      <c r="A1048" s="13" t="inlineStr">
        <is>
          <t>HC-101046</t>
        </is>
      </c>
      <c r="B1048" s="18" t="n">
        <v>45824</v>
      </c>
      <c r="C1048" s="13" t="inlineStr">
        <is>
          <t>North</t>
        </is>
      </c>
      <c r="D1048" s="13" t="inlineStr">
        <is>
          <t>Online</t>
        </is>
      </c>
      <c r="E1048" s="13" t="inlineStr">
        <is>
          <t>Furniture</t>
        </is>
      </c>
      <c r="F1048" s="13" t="inlineStr">
        <is>
          <t>Oak Desk</t>
        </is>
      </c>
      <c r="G1048" s="13" t="inlineStr">
        <is>
          <t>Consumer</t>
        </is>
      </c>
      <c r="H1048" s="13" t="n">
        <v>2</v>
      </c>
      <c r="I1048" s="14" t="n">
        <v>824.71</v>
      </c>
      <c r="J1048" s="15" t="n">
        <v>0.14</v>
      </c>
      <c r="K1048" s="14" t="n">
        <v>511.32</v>
      </c>
      <c r="L1048" s="13" t="n">
        <v>4</v>
      </c>
      <c r="M1048" s="13" t="inlineStr">
        <is>
          <t>Completed</t>
        </is>
      </c>
      <c r="N1048" s="13" t="inlineStr">
        <is>
          <t>S. Nguyen</t>
        </is>
      </c>
      <c r="O1048" s="13" t="inlineStr">
        <is>
          <t>No</t>
        </is>
      </c>
      <c r="P1048" s="14">
        <f>H1048*I1048</f>
        <v/>
      </c>
      <c r="Q1048" s="14">
        <f>P1048*(1-J1048)</f>
        <v/>
      </c>
      <c r="R1048" s="14">
        <f>H1048*K1048</f>
        <v/>
      </c>
      <c r="S1048" s="15">
        <f>IF(Q1048=0,"",(Q1048-R1048)/Q1048)</f>
        <v/>
      </c>
      <c r="T1048" s="13">
        <f>YEAR(B1048)</f>
        <v/>
      </c>
      <c r="U1048" s="13">
        <f>YEAR(B1048)&amp;"-Q"&amp;ROUNDUP(MONTH(B1048)/3,0)</f>
        <v/>
      </c>
      <c r="V1048" s="13">
        <f>TEXT(B1048,"YYYY-MM")</f>
        <v/>
      </c>
      <c r="W1048" s="13">
        <f>IF(L1048="","",IF(L1048&gt;pLateDays,1,0))</f>
        <v/>
      </c>
      <c r="X1048" s="13">
        <f>IF(Q1048&gt;=pHighCutoff,1,0)</f>
        <v/>
      </c>
      <c r="Y1048" s="13">
        <f>IF(M1048="Returned",1,0)</f>
        <v/>
      </c>
    </row>
    <row r="1049">
      <c r="A1049" s="13" t="inlineStr">
        <is>
          <t>HC-101047</t>
        </is>
      </c>
      <c r="B1049" s="18" t="n">
        <v>45635</v>
      </c>
      <c r="C1049" s="13" t="inlineStr">
        <is>
          <t>South</t>
        </is>
      </c>
      <c r="D1049" s="13" t="inlineStr">
        <is>
          <t>Online</t>
        </is>
      </c>
      <c r="E1049" s="13" t="inlineStr">
        <is>
          <t>Furniture</t>
        </is>
      </c>
      <c r="F1049" s="13" t="inlineStr">
        <is>
          <t>Oak Desk</t>
        </is>
      </c>
      <c r="G1049" s="13" t="inlineStr">
        <is>
          <t>Consumer</t>
        </is>
      </c>
      <c r="H1049" s="13" t="n">
        <v>3</v>
      </c>
      <c r="I1049" s="14" t="n">
        <v>832.63</v>
      </c>
      <c r="J1049" s="15" t="n">
        <v>0.04</v>
      </c>
      <c r="K1049" s="14" t="n">
        <v>516.23</v>
      </c>
      <c r="L1049" s="13" t="n">
        <v>5</v>
      </c>
      <c r="M1049" s="13" t="inlineStr">
        <is>
          <t>Completed</t>
        </is>
      </c>
      <c r="N1049" s="13" t="inlineStr">
        <is>
          <t>S. Nguyen</t>
        </is>
      </c>
      <c r="O1049" s="13" t="inlineStr">
        <is>
          <t>No</t>
        </is>
      </c>
      <c r="P1049" s="14">
        <f>H1049*I1049</f>
        <v/>
      </c>
      <c r="Q1049" s="14">
        <f>P1049*(1-J1049)</f>
        <v/>
      </c>
      <c r="R1049" s="14">
        <f>H1049*K1049</f>
        <v/>
      </c>
      <c r="S1049" s="15">
        <f>IF(Q1049=0,"",(Q1049-R1049)/Q1049)</f>
        <v/>
      </c>
      <c r="T1049" s="13">
        <f>YEAR(B1049)</f>
        <v/>
      </c>
      <c r="U1049" s="13">
        <f>YEAR(B1049)&amp;"-Q"&amp;ROUNDUP(MONTH(B1049)/3,0)</f>
        <v/>
      </c>
      <c r="V1049" s="13">
        <f>TEXT(B1049,"YYYY-MM")</f>
        <v/>
      </c>
      <c r="W1049" s="13">
        <f>IF(L1049="","",IF(L1049&gt;pLateDays,1,0))</f>
        <v/>
      </c>
      <c r="X1049" s="13">
        <f>IF(Q1049&gt;=pHighCutoff,1,0)</f>
        <v/>
      </c>
      <c r="Y1049" s="13">
        <f>IF(M1049="Returned",1,0)</f>
        <v/>
      </c>
    </row>
    <row r="1050">
      <c r="A1050" s="13" t="inlineStr">
        <is>
          <t>HC-101048</t>
        </is>
      </c>
      <c r="B1050" s="18" t="n">
        <v>45668</v>
      </c>
      <c r="C1050" s="13" t="inlineStr">
        <is>
          <t>North</t>
        </is>
      </c>
      <c r="D1050" s="13" t="inlineStr">
        <is>
          <t>Store</t>
        </is>
      </c>
      <c r="E1050" s="13" t="inlineStr">
        <is>
          <t>Furniture</t>
        </is>
      </c>
      <c r="F1050" s="13" t="inlineStr">
        <is>
          <t>Oak Desk</t>
        </is>
      </c>
      <c r="G1050" s="13" t="inlineStr">
        <is>
          <t>Home Office</t>
        </is>
      </c>
      <c r="H1050" s="13" t="n">
        <v>3</v>
      </c>
      <c r="I1050" s="14" t="n">
        <v>874.87</v>
      </c>
      <c r="J1050" s="15" t="n">
        <v>0.12</v>
      </c>
      <c r="K1050" s="14" t="n">
        <v>542.42</v>
      </c>
      <c r="L1050" s="13" t="n">
        <v>5</v>
      </c>
      <c r="M1050" s="13" t="inlineStr">
        <is>
          <t>Completed</t>
        </is>
      </c>
      <c r="N1050" s="13" t="inlineStr">
        <is>
          <t>J. Patel</t>
        </is>
      </c>
      <c r="O1050" s="13" t="inlineStr">
        <is>
          <t>No</t>
        </is>
      </c>
      <c r="P1050" s="14">
        <f>H1050*I1050</f>
        <v/>
      </c>
      <c r="Q1050" s="14">
        <f>P1050*(1-J1050)</f>
        <v/>
      </c>
      <c r="R1050" s="14">
        <f>H1050*K1050</f>
        <v/>
      </c>
      <c r="S1050" s="15">
        <f>IF(Q1050=0,"",(Q1050-R1050)/Q1050)</f>
        <v/>
      </c>
      <c r="T1050" s="13">
        <f>YEAR(B1050)</f>
        <v/>
      </c>
      <c r="U1050" s="13">
        <f>YEAR(B1050)&amp;"-Q"&amp;ROUNDUP(MONTH(B1050)/3,0)</f>
        <v/>
      </c>
      <c r="V1050" s="13">
        <f>TEXT(B1050,"YYYY-MM")</f>
        <v/>
      </c>
      <c r="W1050" s="13">
        <f>IF(L1050="","",IF(L1050&gt;pLateDays,1,0))</f>
        <v/>
      </c>
      <c r="X1050" s="13">
        <f>IF(Q1050&gt;=pHighCutoff,1,0)</f>
        <v/>
      </c>
      <c r="Y1050" s="13">
        <f>IF(M1050="Returned",1,0)</f>
        <v/>
      </c>
    </row>
    <row r="1051">
      <c r="A1051" s="13" t="inlineStr">
        <is>
          <t>HC-101049</t>
        </is>
      </c>
      <c r="B1051" s="18" t="n">
        <v>45811</v>
      </c>
      <c r="C1051" s="13" t="inlineStr">
        <is>
          <t>West</t>
        </is>
      </c>
      <c r="D1051" s="13" t="inlineStr">
        <is>
          <t>Online</t>
        </is>
      </c>
      <c r="E1051" s="13" t="inlineStr">
        <is>
          <t>Kitchen</t>
        </is>
      </c>
      <c r="F1051" s="13" t="inlineStr">
        <is>
          <t>Ceramic Set</t>
        </is>
      </c>
      <c r="G1051" s="13" t="inlineStr">
        <is>
          <t>Consumer</t>
        </is>
      </c>
      <c r="H1051" s="13" t="n">
        <v>2</v>
      </c>
      <c r="I1051" s="14" t="n">
        <v>84.08</v>
      </c>
      <c r="J1051" s="15" t="n">
        <v>0.12</v>
      </c>
      <c r="K1051" s="14" t="n">
        <v>31.95</v>
      </c>
      <c r="L1051" s="13" t="n">
        <v>6</v>
      </c>
      <c r="M1051" s="13" t="inlineStr">
        <is>
          <t>Completed</t>
        </is>
      </c>
      <c r="N1051" s="13" t="inlineStr">
        <is>
          <t>S. Nguyen</t>
        </is>
      </c>
      <c r="O1051" s="13" t="inlineStr">
        <is>
          <t>No</t>
        </is>
      </c>
      <c r="P1051" s="14">
        <f>H1051*I1051</f>
        <v/>
      </c>
      <c r="Q1051" s="14">
        <f>P1051*(1-J1051)</f>
        <v/>
      </c>
      <c r="R1051" s="14">
        <f>H1051*K1051</f>
        <v/>
      </c>
      <c r="S1051" s="15">
        <f>IF(Q1051=0,"",(Q1051-R1051)/Q1051)</f>
        <v/>
      </c>
      <c r="T1051" s="13">
        <f>YEAR(B1051)</f>
        <v/>
      </c>
      <c r="U1051" s="13">
        <f>YEAR(B1051)&amp;"-Q"&amp;ROUNDUP(MONTH(B1051)/3,0)</f>
        <v/>
      </c>
      <c r="V1051" s="13">
        <f>TEXT(B1051,"YYYY-MM")</f>
        <v/>
      </c>
      <c r="W1051" s="13">
        <f>IF(L1051="","",IF(L1051&gt;pLateDays,1,0))</f>
        <v/>
      </c>
      <c r="X1051" s="13">
        <f>IF(Q1051&gt;=pHighCutoff,1,0)</f>
        <v/>
      </c>
      <c r="Y1051" s="13">
        <f>IF(M1051="Returned",1,0)</f>
        <v/>
      </c>
    </row>
    <row r="1052">
      <c r="A1052" s="13" t="inlineStr">
        <is>
          <t>HC-101050</t>
        </is>
      </c>
      <c r="B1052" s="18" t="n">
        <v>45526</v>
      </c>
      <c r="C1052" s="13" t="inlineStr">
        <is>
          <t>North</t>
        </is>
      </c>
      <c r="D1052" s="13" t="inlineStr">
        <is>
          <t>Store</t>
        </is>
      </c>
      <c r="E1052" s="13" t="inlineStr">
        <is>
          <t>Lighting</t>
        </is>
      </c>
      <c r="F1052" s="13" t="inlineStr">
        <is>
          <t>Brass Sconce</t>
        </is>
      </c>
      <c r="G1052" s="13" t="inlineStr">
        <is>
          <t>Corporate</t>
        </is>
      </c>
      <c r="H1052" s="13" t="n">
        <v>3</v>
      </c>
      <c r="I1052" s="14" t="n">
        <v>130.36</v>
      </c>
      <c r="J1052" s="15" t="n">
        <v>0.04</v>
      </c>
      <c r="K1052" s="14" t="n">
        <v>59.96</v>
      </c>
      <c r="L1052" s="13" t="n">
        <v>8</v>
      </c>
      <c r="M1052" s="13" t="inlineStr">
        <is>
          <t>Returned</t>
        </is>
      </c>
      <c r="N1052" s="13" t="inlineStr">
        <is>
          <t>K. Mensah</t>
        </is>
      </c>
      <c r="O1052" s="13" t="inlineStr">
        <is>
          <t>No</t>
        </is>
      </c>
      <c r="P1052" s="14">
        <f>H1052*I1052</f>
        <v/>
      </c>
      <c r="Q1052" s="14">
        <f>P1052*(1-J1052)</f>
        <v/>
      </c>
      <c r="R1052" s="14">
        <f>H1052*K1052</f>
        <v/>
      </c>
      <c r="S1052" s="15">
        <f>IF(Q1052=0,"",(Q1052-R1052)/Q1052)</f>
        <v/>
      </c>
      <c r="T1052" s="13">
        <f>YEAR(B1052)</f>
        <v/>
      </c>
      <c r="U1052" s="13">
        <f>YEAR(B1052)&amp;"-Q"&amp;ROUNDUP(MONTH(B1052)/3,0)</f>
        <v/>
      </c>
      <c r="V1052" s="13">
        <f>TEXT(B1052,"YYYY-MM")</f>
        <v/>
      </c>
      <c r="W1052" s="13">
        <f>IF(L1052="","",IF(L1052&gt;pLateDays,1,0))</f>
        <v/>
      </c>
      <c r="X1052" s="13">
        <f>IF(Q1052&gt;=pHighCutoff,1,0)</f>
        <v/>
      </c>
      <c r="Y1052" s="13">
        <f>IF(M1052="Returned",1,0)</f>
        <v/>
      </c>
    </row>
    <row r="1053">
      <c r="A1053" s="13" t="inlineStr">
        <is>
          <t>HC-101051</t>
        </is>
      </c>
      <c r="B1053" s="18" t="n">
        <v>45831</v>
      </c>
      <c r="C1053" s="13" t="inlineStr">
        <is>
          <t>West</t>
        </is>
      </c>
      <c r="D1053" s="13" t="inlineStr">
        <is>
          <t>Store</t>
        </is>
      </c>
      <c r="E1053" s="13" t="inlineStr">
        <is>
          <t>Textiles</t>
        </is>
      </c>
      <c r="F1053" s="13" t="inlineStr">
        <is>
          <t>Wool Throw</t>
        </is>
      </c>
      <c r="G1053" s="13" t="inlineStr">
        <is>
          <t>Corporate</t>
        </is>
      </c>
      <c r="H1053" s="13" t="n">
        <v>1</v>
      </c>
      <c r="I1053" s="14" t="n">
        <v>79.51000000000001</v>
      </c>
      <c r="J1053" s="15" t="n">
        <v>0.1</v>
      </c>
      <c r="K1053" s="14" t="n">
        <v>33.39</v>
      </c>
      <c r="L1053" s="13" t="n">
        <v>4</v>
      </c>
      <c r="M1053" s="13" t="inlineStr">
        <is>
          <t>Completed</t>
        </is>
      </c>
      <c r="N1053" s="13" t="inlineStr">
        <is>
          <t>J. Patel</t>
        </is>
      </c>
      <c r="O1053" s="13" t="inlineStr">
        <is>
          <t>No</t>
        </is>
      </c>
      <c r="P1053" s="14">
        <f>H1053*I1053</f>
        <v/>
      </c>
      <c r="Q1053" s="14">
        <f>P1053*(1-J1053)</f>
        <v/>
      </c>
      <c r="R1053" s="14">
        <f>H1053*K1053</f>
        <v/>
      </c>
      <c r="S1053" s="15">
        <f>IF(Q1053=0,"",(Q1053-R1053)/Q1053)</f>
        <v/>
      </c>
      <c r="T1053" s="13">
        <f>YEAR(B1053)</f>
        <v/>
      </c>
      <c r="U1053" s="13">
        <f>YEAR(B1053)&amp;"-Q"&amp;ROUNDUP(MONTH(B1053)/3,0)</f>
        <v/>
      </c>
      <c r="V1053" s="13">
        <f>TEXT(B1053,"YYYY-MM")</f>
        <v/>
      </c>
      <c r="W1053" s="13">
        <f>IF(L1053="","",IF(L1053&gt;pLateDays,1,0))</f>
        <v/>
      </c>
      <c r="X1053" s="13">
        <f>IF(Q1053&gt;=pHighCutoff,1,0)</f>
        <v/>
      </c>
      <c r="Y1053" s="13">
        <f>IF(M1053="Returned",1,0)</f>
        <v/>
      </c>
    </row>
    <row r="1054">
      <c r="A1054" s="13" t="inlineStr">
        <is>
          <t>HC-101052</t>
        </is>
      </c>
      <c r="B1054" s="18" t="n">
        <v>45864</v>
      </c>
      <c r="C1054" s="13" t="inlineStr">
        <is>
          <t>West</t>
        </is>
      </c>
      <c r="D1054" s="13" t="inlineStr">
        <is>
          <t>Store</t>
        </is>
      </c>
      <c r="E1054" s="13" t="inlineStr">
        <is>
          <t>Kitchen</t>
        </is>
      </c>
      <c r="F1054" s="13" t="inlineStr">
        <is>
          <t>Ceramic Set</t>
        </is>
      </c>
      <c r="G1054" s="13" t="inlineStr">
        <is>
          <t>Consumer</t>
        </is>
      </c>
      <c r="H1054" s="13" t="n">
        <v>4</v>
      </c>
      <c r="I1054" s="14" t="n">
        <v>91.09</v>
      </c>
      <c r="J1054" s="15" t="n">
        <v>0.11</v>
      </c>
      <c r="K1054" s="14" t="n">
        <v>34.62</v>
      </c>
      <c r="L1054" s="13" t="n">
        <v>6</v>
      </c>
      <c r="M1054" s="13" t="inlineStr">
        <is>
          <t>Completed</t>
        </is>
      </c>
      <c r="N1054" s="13" t="inlineStr">
        <is>
          <t>P. Rossi</t>
        </is>
      </c>
      <c r="O1054" s="13" t="inlineStr">
        <is>
          <t>No</t>
        </is>
      </c>
      <c r="P1054" s="14">
        <f>H1054*I1054</f>
        <v/>
      </c>
      <c r="Q1054" s="14">
        <f>P1054*(1-J1054)</f>
        <v/>
      </c>
      <c r="R1054" s="14">
        <f>H1054*K1054</f>
        <v/>
      </c>
      <c r="S1054" s="15">
        <f>IF(Q1054=0,"",(Q1054-R1054)/Q1054)</f>
        <v/>
      </c>
      <c r="T1054" s="13">
        <f>YEAR(B1054)</f>
        <v/>
      </c>
      <c r="U1054" s="13">
        <f>YEAR(B1054)&amp;"-Q"&amp;ROUNDUP(MONTH(B1054)/3,0)</f>
        <v/>
      </c>
      <c r="V1054" s="13">
        <f>TEXT(B1054,"YYYY-MM")</f>
        <v/>
      </c>
      <c r="W1054" s="13">
        <f>IF(L1054="","",IF(L1054&gt;pLateDays,1,0))</f>
        <v/>
      </c>
      <c r="X1054" s="13">
        <f>IF(Q1054&gt;=pHighCutoff,1,0)</f>
        <v/>
      </c>
      <c r="Y1054" s="13">
        <f>IF(M1054="Returned",1,0)</f>
        <v/>
      </c>
    </row>
    <row r="1055">
      <c r="A1055" s="13" t="inlineStr">
        <is>
          <t>HC-101053</t>
        </is>
      </c>
      <c r="B1055" s="18" t="n">
        <v>45468</v>
      </c>
      <c r="C1055" s="13" t="inlineStr">
        <is>
          <t>East</t>
        </is>
      </c>
      <c r="D1055" s="13" t="inlineStr">
        <is>
          <t>Store</t>
        </is>
      </c>
      <c r="E1055" s="13" t="inlineStr">
        <is>
          <t>Lighting</t>
        </is>
      </c>
      <c r="F1055" s="13" t="inlineStr">
        <is>
          <t>Brass Sconce</t>
        </is>
      </c>
      <c r="G1055" s="13" t="inlineStr">
        <is>
          <t>Consumer</t>
        </is>
      </c>
      <c r="H1055" s="13" t="n">
        <v>2</v>
      </c>
      <c r="I1055" s="14" t="n">
        <v>133.82</v>
      </c>
      <c r="J1055" s="15" t="n">
        <v>0.07000000000000001</v>
      </c>
      <c r="K1055" s="14" t="n">
        <v>61.56</v>
      </c>
      <c r="L1055" s="13" t="n">
        <v>8</v>
      </c>
      <c r="M1055" s="13" t="inlineStr">
        <is>
          <t>Completed</t>
        </is>
      </c>
      <c r="N1055" s="13" t="inlineStr">
        <is>
          <t>A. Shah</t>
        </is>
      </c>
      <c r="O1055" s="13" t="inlineStr">
        <is>
          <t>No</t>
        </is>
      </c>
      <c r="P1055" s="14">
        <f>H1055*I1055</f>
        <v/>
      </c>
      <c r="Q1055" s="14">
        <f>P1055*(1-J1055)</f>
        <v/>
      </c>
      <c r="R1055" s="14">
        <f>H1055*K1055</f>
        <v/>
      </c>
      <c r="S1055" s="15">
        <f>IF(Q1055=0,"",(Q1055-R1055)/Q1055)</f>
        <v/>
      </c>
      <c r="T1055" s="13">
        <f>YEAR(B1055)</f>
        <v/>
      </c>
      <c r="U1055" s="13">
        <f>YEAR(B1055)&amp;"-Q"&amp;ROUNDUP(MONTH(B1055)/3,0)</f>
        <v/>
      </c>
      <c r="V1055" s="13">
        <f>TEXT(B1055,"YYYY-MM")</f>
        <v/>
      </c>
      <c r="W1055" s="13">
        <f>IF(L1055="","",IF(L1055&gt;pLateDays,1,0))</f>
        <v/>
      </c>
      <c r="X1055" s="13">
        <f>IF(Q1055&gt;=pHighCutoff,1,0)</f>
        <v/>
      </c>
      <c r="Y1055" s="13">
        <f>IF(M1055="Returned",1,0)</f>
        <v/>
      </c>
    </row>
    <row r="1056">
      <c r="A1056" s="13" t="inlineStr">
        <is>
          <t>HC-101054</t>
        </is>
      </c>
      <c r="B1056" s="18" t="n">
        <v>45878</v>
      </c>
      <c r="C1056" s="13" t="inlineStr">
        <is>
          <t>North</t>
        </is>
      </c>
      <c r="D1056" s="13" t="inlineStr">
        <is>
          <t>Online</t>
        </is>
      </c>
      <c r="E1056" s="13" t="inlineStr">
        <is>
          <t>Textiles</t>
        </is>
      </c>
      <c r="F1056" s="13" t="inlineStr">
        <is>
          <t>Linen Curtain</t>
        </is>
      </c>
      <c r="G1056" s="13" t="inlineStr">
        <is>
          <t>Consumer</t>
        </is>
      </c>
      <c r="H1056" s="13" t="n">
        <v>1</v>
      </c>
      <c r="I1056" s="14" t="n">
        <v>91.59</v>
      </c>
      <c r="J1056" s="15" t="n">
        <v>0.15</v>
      </c>
      <c r="K1056" s="14" t="n">
        <v>41.22</v>
      </c>
      <c r="L1056" s="13" t="n">
        <v>4</v>
      </c>
      <c r="M1056" s="13" t="inlineStr">
        <is>
          <t>Returned</t>
        </is>
      </c>
      <c r="N1056" s="13" t="inlineStr">
        <is>
          <t>A. Shah</t>
        </is>
      </c>
      <c r="O1056" s="13" t="inlineStr">
        <is>
          <t>No</t>
        </is>
      </c>
      <c r="P1056" s="14">
        <f>H1056*I1056</f>
        <v/>
      </c>
      <c r="Q1056" s="14">
        <f>P1056*(1-J1056)</f>
        <v/>
      </c>
      <c r="R1056" s="14">
        <f>H1056*K1056</f>
        <v/>
      </c>
      <c r="S1056" s="15">
        <f>IF(Q1056=0,"",(Q1056-R1056)/Q1056)</f>
        <v/>
      </c>
      <c r="T1056" s="13">
        <f>YEAR(B1056)</f>
        <v/>
      </c>
      <c r="U1056" s="13">
        <f>YEAR(B1056)&amp;"-Q"&amp;ROUNDUP(MONTH(B1056)/3,0)</f>
        <v/>
      </c>
      <c r="V1056" s="13">
        <f>TEXT(B1056,"YYYY-MM")</f>
        <v/>
      </c>
      <c r="W1056" s="13">
        <f>IF(L1056="","",IF(L1056&gt;pLateDays,1,0))</f>
        <v/>
      </c>
      <c r="X1056" s="13">
        <f>IF(Q1056&gt;=pHighCutoff,1,0)</f>
        <v/>
      </c>
      <c r="Y1056" s="13">
        <f>IF(M1056="Returned",1,0)</f>
        <v/>
      </c>
    </row>
    <row r="1057">
      <c r="A1057" s="13" t="inlineStr">
        <is>
          <t>HC-101055</t>
        </is>
      </c>
      <c r="B1057" s="18" t="n">
        <v>45777</v>
      </c>
      <c r="C1057" s="13" t="inlineStr">
        <is>
          <t>East</t>
        </is>
      </c>
      <c r="D1057" s="13" t="inlineStr">
        <is>
          <t>Store</t>
        </is>
      </c>
      <c r="E1057" s="13" t="inlineStr">
        <is>
          <t>Lighting</t>
        </is>
      </c>
      <c r="F1057" s="13" t="inlineStr">
        <is>
          <t>Brass Sconce</t>
        </is>
      </c>
      <c r="G1057" s="13" t="inlineStr">
        <is>
          <t>Corporate</t>
        </is>
      </c>
      <c r="H1057" s="13" t="n">
        <v>2</v>
      </c>
      <c r="I1057" s="14" t="n">
        <v>132.21</v>
      </c>
      <c r="J1057" s="15" t="n">
        <v>0.1</v>
      </c>
      <c r="K1057" s="14" t="n">
        <v>60.82</v>
      </c>
      <c r="L1057" s="13" t="n">
        <v>12</v>
      </c>
      <c r="M1057" s="13" t="inlineStr">
        <is>
          <t>Completed</t>
        </is>
      </c>
      <c r="N1057" s="13" t="inlineStr">
        <is>
          <t>R. Ibarra</t>
        </is>
      </c>
      <c r="O1057" s="13" t="inlineStr">
        <is>
          <t>No</t>
        </is>
      </c>
      <c r="P1057" s="14">
        <f>H1057*I1057</f>
        <v/>
      </c>
      <c r="Q1057" s="14">
        <f>P1057*(1-J1057)</f>
        <v/>
      </c>
      <c r="R1057" s="14">
        <f>H1057*K1057</f>
        <v/>
      </c>
      <c r="S1057" s="15">
        <f>IF(Q1057=0,"",(Q1057-R1057)/Q1057)</f>
        <v/>
      </c>
      <c r="T1057" s="13">
        <f>YEAR(B1057)</f>
        <v/>
      </c>
      <c r="U1057" s="13">
        <f>YEAR(B1057)&amp;"-Q"&amp;ROUNDUP(MONTH(B1057)/3,0)</f>
        <v/>
      </c>
      <c r="V1057" s="13">
        <f>TEXT(B1057,"YYYY-MM")</f>
        <v/>
      </c>
      <c r="W1057" s="13">
        <f>IF(L1057="","",IF(L1057&gt;pLateDays,1,0))</f>
        <v/>
      </c>
      <c r="X1057" s="13">
        <f>IF(Q1057&gt;=pHighCutoff,1,0)</f>
        <v/>
      </c>
      <c r="Y1057" s="13">
        <f>IF(M1057="Returned",1,0)</f>
        <v/>
      </c>
    </row>
    <row r="1058">
      <c r="A1058" s="13" t="inlineStr">
        <is>
          <t>HC-101056</t>
        </is>
      </c>
      <c r="B1058" s="18" t="n">
        <v>45845</v>
      </c>
      <c r="C1058" s="13" t="inlineStr">
        <is>
          <t>West</t>
        </is>
      </c>
      <c r="D1058" s="13" t="inlineStr">
        <is>
          <t>Store</t>
        </is>
      </c>
      <c r="E1058" s="13" t="inlineStr">
        <is>
          <t>Kitchen</t>
        </is>
      </c>
      <c r="F1058" s="13" t="inlineStr">
        <is>
          <t>Chef Knife</t>
        </is>
      </c>
      <c r="G1058" s="13" t="inlineStr">
        <is>
          <t>Consumer</t>
        </is>
      </c>
      <c r="H1058" s="13" t="n">
        <v>2</v>
      </c>
      <c r="I1058" s="14" t="n">
        <v>63.29</v>
      </c>
      <c r="J1058" s="15" t="n">
        <v>0.08</v>
      </c>
      <c r="K1058" s="14" t="n">
        <v>22.79</v>
      </c>
      <c r="L1058" s="13" t="n">
        <v>9</v>
      </c>
      <c r="M1058" s="13" t="inlineStr">
        <is>
          <t>Completed</t>
        </is>
      </c>
      <c r="N1058" s="13" t="inlineStr">
        <is>
          <t>J. Patel</t>
        </is>
      </c>
      <c r="O1058" s="13" t="inlineStr">
        <is>
          <t>No</t>
        </is>
      </c>
      <c r="P1058" s="14">
        <f>H1058*I1058</f>
        <v/>
      </c>
      <c r="Q1058" s="14">
        <f>P1058*(1-J1058)</f>
        <v/>
      </c>
      <c r="R1058" s="14">
        <f>H1058*K1058</f>
        <v/>
      </c>
      <c r="S1058" s="15">
        <f>IF(Q1058=0,"",(Q1058-R1058)/Q1058)</f>
        <v/>
      </c>
      <c r="T1058" s="13">
        <f>YEAR(B1058)</f>
        <v/>
      </c>
      <c r="U1058" s="13">
        <f>YEAR(B1058)&amp;"-Q"&amp;ROUNDUP(MONTH(B1058)/3,0)</f>
        <v/>
      </c>
      <c r="V1058" s="13">
        <f>TEXT(B1058,"YYYY-MM")</f>
        <v/>
      </c>
      <c r="W1058" s="13">
        <f>IF(L1058="","",IF(L1058&gt;pLateDays,1,0))</f>
        <v/>
      </c>
      <c r="X1058" s="13">
        <f>IF(Q1058&gt;=pHighCutoff,1,0)</f>
        <v/>
      </c>
      <c r="Y1058" s="13">
        <f>IF(M1058="Returned",1,0)</f>
        <v/>
      </c>
    </row>
    <row r="1059">
      <c r="A1059" s="13" t="inlineStr">
        <is>
          <t>HC-101057</t>
        </is>
      </c>
      <c r="B1059" s="18" t="n">
        <v>45743</v>
      </c>
      <c r="C1059" s="13" t="inlineStr">
        <is>
          <t>South</t>
        </is>
      </c>
      <c r="D1059" s="13" t="inlineStr">
        <is>
          <t>Store</t>
        </is>
      </c>
      <c r="E1059" s="13" t="inlineStr">
        <is>
          <t>Lighting</t>
        </is>
      </c>
      <c r="F1059" s="13" t="inlineStr">
        <is>
          <t>Arc Lamp</t>
        </is>
      </c>
      <c r="G1059" s="13" t="inlineStr">
        <is>
          <t>Home Office</t>
        </is>
      </c>
      <c r="H1059" s="13" t="n">
        <v>4</v>
      </c>
      <c r="I1059" s="14" t="n">
        <v>290.05</v>
      </c>
      <c r="J1059" s="15" t="n">
        <v>0.1</v>
      </c>
      <c r="K1059" s="14" t="n">
        <v>139.22</v>
      </c>
      <c r="L1059" s="13" t="n">
        <v>5</v>
      </c>
      <c r="M1059" s="13" t="inlineStr">
        <is>
          <t>Completed</t>
        </is>
      </c>
      <c r="N1059" s="13" t="inlineStr">
        <is>
          <t>M. Okonkwo</t>
        </is>
      </c>
      <c r="O1059" s="13" t="inlineStr">
        <is>
          <t>No</t>
        </is>
      </c>
      <c r="P1059" s="14">
        <f>H1059*I1059</f>
        <v/>
      </c>
      <c r="Q1059" s="14">
        <f>P1059*(1-J1059)</f>
        <v/>
      </c>
      <c r="R1059" s="14">
        <f>H1059*K1059</f>
        <v/>
      </c>
      <c r="S1059" s="15">
        <f>IF(Q1059=0,"",(Q1059-R1059)/Q1059)</f>
        <v/>
      </c>
      <c r="T1059" s="13">
        <f>YEAR(B1059)</f>
        <v/>
      </c>
      <c r="U1059" s="13">
        <f>YEAR(B1059)&amp;"-Q"&amp;ROUNDUP(MONTH(B1059)/3,0)</f>
        <v/>
      </c>
      <c r="V1059" s="13">
        <f>TEXT(B1059,"YYYY-MM")</f>
        <v/>
      </c>
      <c r="W1059" s="13">
        <f>IF(L1059="","",IF(L1059&gt;pLateDays,1,0))</f>
        <v/>
      </c>
      <c r="X1059" s="13">
        <f>IF(Q1059&gt;=pHighCutoff,1,0)</f>
        <v/>
      </c>
      <c r="Y1059" s="13">
        <f>IF(M1059="Returned",1,0)</f>
        <v/>
      </c>
    </row>
    <row r="1060">
      <c r="A1060" s="13" t="inlineStr">
        <is>
          <t>HC-101058</t>
        </is>
      </c>
      <c r="B1060" s="18" t="n">
        <v>45355</v>
      </c>
      <c r="C1060" s="13" t="inlineStr">
        <is>
          <t>South</t>
        </is>
      </c>
      <c r="D1060" s="13" t="inlineStr">
        <is>
          <t>Store</t>
        </is>
      </c>
      <c r="E1060" s="13" t="inlineStr">
        <is>
          <t>Textiles</t>
        </is>
      </c>
      <c r="F1060" s="13" t="inlineStr">
        <is>
          <t>Wool Throw</t>
        </is>
      </c>
      <c r="G1060" s="13" t="inlineStr">
        <is>
          <t>Home Office</t>
        </is>
      </c>
      <c r="H1060" s="13" t="n">
        <v>4</v>
      </c>
      <c r="I1060" s="14" t="n">
        <v>74.69</v>
      </c>
      <c r="J1060" s="15" t="n">
        <v>0.08</v>
      </c>
      <c r="K1060" s="14" t="n">
        <v>31.37</v>
      </c>
      <c r="L1060" s="13" t="n">
        <v>9</v>
      </c>
      <c r="M1060" s="13" t="inlineStr">
        <is>
          <t>Completed</t>
        </is>
      </c>
      <c r="N1060" s="13" t="inlineStr">
        <is>
          <t>R. Ibarra</t>
        </is>
      </c>
      <c r="O1060" s="13" t="inlineStr">
        <is>
          <t>No</t>
        </is>
      </c>
      <c r="P1060" s="14">
        <f>H1060*I1060</f>
        <v/>
      </c>
      <c r="Q1060" s="14">
        <f>P1060*(1-J1060)</f>
        <v/>
      </c>
      <c r="R1060" s="14">
        <f>H1060*K1060</f>
        <v/>
      </c>
      <c r="S1060" s="15">
        <f>IF(Q1060=0,"",(Q1060-R1060)/Q1060)</f>
        <v/>
      </c>
      <c r="T1060" s="13">
        <f>YEAR(B1060)</f>
        <v/>
      </c>
      <c r="U1060" s="13">
        <f>YEAR(B1060)&amp;"-Q"&amp;ROUNDUP(MONTH(B1060)/3,0)</f>
        <v/>
      </c>
      <c r="V1060" s="13">
        <f>TEXT(B1060,"YYYY-MM")</f>
        <v/>
      </c>
      <c r="W1060" s="13">
        <f>IF(L1060="","",IF(L1060&gt;pLateDays,1,0))</f>
        <v/>
      </c>
      <c r="X1060" s="13">
        <f>IF(Q1060&gt;=pHighCutoff,1,0)</f>
        <v/>
      </c>
      <c r="Y1060" s="13">
        <f>IF(M1060="Returned",1,0)</f>
        <v/>
      </c>
    </row>
    <row r="1061">
      <c r="A1061" s="13" t="inlineStr">
        <is>
          <t>HC-101059</t>
        </is>
      </c>
      <c r="B1061" s="18" t="n">
        <v>45313</v>
      </c>
      <c r="C1061" s="13" t="inlineStr">
        <is>
          <t>East</t>
        </is>
      </c>
      <c r="D1061" s="13" t="inlineStr">
        <is>
          <t>Wholesale</t>
        </is>
      </c>
      <c r="E1061" s="13" t="inlineStr">
        <is>
          <t>Textiles</t>
        </is>
      </c>
      <c r="F1061" s="13" t="inlineStr">
        <is>
          <t>Linen Curtain</t>
        </is>
      </c>
      <c r="G1061" s="13" t="inlineStr">
        <is>
          <t>Consumer</t>
        </is>
      </c>
      <c r="H1061" s="13" t="n">
        <v>8</v>
      </c>
      <c r="I1061" s="14" t="n">
        <v>87.09</v>
      </c>
      <c r="J1061" s="15" t="n">
        <v>0.26</v>
      </c>
      <c r="K1061" s="14" t="n">
        <v>39.19</v>
      </c>
      <c r="L1061" s="13" t="n">
        <v>10</v>
      </c>
      <c r="M1061" s="13" t="inlineStr">
        <is>
          <t>Completed</t>
        </is>
      </c>
      <c r="N1061" s="13" t="inlineStr">
        <is>
          <t>R. Ibarra</t>
        </is>
      </c>
      <c r="O1061" s="13" t="inlineStr">
        <is>
          <t>No</t>
        </is>
      </c>
      <c r="P1061" s="14">
        <f>H1061*I1061</f>
        <v/>
      </c>
      <c r="Q1061" s="14">
        <f>P1061*(1-J1061)</f>
        <v/>
      </c>
      <c r="R1061" s="14">
        <f>H1061*K1061</f>
        <v/>
      </c>
      <c r="S1061" s="15">
        <f>IF(Q1061=0,"",(Q1061-R1061)/Q1061)</f>
        <v/>
      </c>
      <c r="T1061" s="13">
        <f>YEAR(B1061)</f>
        <v/>
      </c>
      <c r="U1061" s="13">
        <f>YEAR(B1061)&amp;"-Q"&amp;ROUNDUP(MONTH(B1061)/3,0)</f>
        <v/>
      </c>
      <c r="V1061" s="13">
        <f>TEXT(B1061,"YYYY-MM")</f>
        <v/>
      </c>
      <c r="W1061" s="13">
        <f>IF(L1061="","",IF(L1061&gt;pLateDays,1,0))</f>
        <v/>
      </c>
      <c r="X1061" s="13">
        <f>IF(Q1061&gt;=pHighCutoff,1,0)</f>
        <v/>
      </c>
      <c r="Y1061" s="13">
        <f>IF(M1061="Returned",1,0)</f>
        <v/>
      </c>
    </row>
    <row r="1062">
      <c r="A1062" s="13" t="inlineStr">
        <is>
          <t>HC-101060</t>
        </is>
      </c>
      <c r="B1062" s="18" t="n">
        <v>45800</v>
      </c>
      <c r="C1062" s="13" t="inlineStr">
        <is>
          <t>South</t>
        </is>
      </c>
      <c r="D1062" s="13" t="inlineStr">
        <is>
          <t>Store</t>
        </is>
      </c>
      <c r="E1062" s="13" t="inlineStr">
        <is>
          <t>Textiles</t>
        </is>
      </c>
      <c r="F1062" s="13" t="inlineStr">
        <is>
          <t>Wool Throw</t>
        </is>
      </c>
      <c r="G1062" s="13" t="inlineStr">
        <is>
          <t>Corporate</t>
        </is>
      </c>
      <c r="H1062" s="13" t="n">
        <v>2</v>
      </c>
      <c r="I1062" s="14" t="n">
        <v>73.59</v>
      </c>
      <c r="J1062" s="15" t="n">
        <v>0.03</v>
      </c>
      <c r="K1062" s="14" t="n">
        <v>30.91</v>
      </c>
      <c r="L1062" s="13" t="n">
        <v>2</v>
      </c>
      <c r="M1062" s="13" t="inlineStr">
        <is>
          <t>Completed</t>
        </is>
      </c>
      <c r="N1062" s="13" t="inlineStr">
        <is>
          <t>S. Nguyen</t>
        </is>
      </c>
      <c r="O1062" s="13" t="inlineStr">
        <is>
          <t>No</t>
        </is>
      </c>
      <c r="P1062" s="14">
        <f>H1062*I1062</f>
        <v/>
      </c>
      <c r="Q1062" s="14">
        <f>P1062*(1-J1062)</f>
        <v/>
      </c>
      <c r="R1062" s="14">
        <f>H1062*K1062</f>
        <v/>
      </c>
      <c r="S1062" s="15">
        <f>IF(Q1062=0,"",(Q1062-R1062)/Q1062)</f>
        <v/>
      </c>
      <c r="T1062" s="13">
        <f>YEAR(B1062)</f>
        <v/>
      </c>
      <c r="U1062" s="13">
        <f>YEAR(B1062)&amp;"-Q"&amp;ROUNDUP(MONTH(B1062)/3,0)</f>
        <v/>
      </c>
      <c r="V1062" s="13">
        <f>TEXT(B1062,"YYYY-MM")</f>
        <v/>
      </c>
      <c r="W1062" s="13">
        <f>IF(L1062="","",IF(L1062&gt;pLateDays,1,0))</f>
        <v/>
      </c>
      <c r="X1062" s="13">
        <f>IF(Q1062&gt;=pHighCutoff,1,0)</f>
        <v/>
      </c>
      <c r="Y1062" s="13">
        <f>IF(M1062="Returned",1,0)</f>
        <v/>
      </c>
    </row>
    <row r="1063">
      <c r="A1063" s="13" t="inlineStr">
        <is>
          <t>HC-101061</t>
        </is>
      </c>
      <c r="B1063" s="18" t="n">
        <v>45814</v>
      </c>
      <c r="C1063" s="13" t="inlineStr">
        <is>
          <t>South</t>
        </is>
      </c>
      <c r="D1063" s="13" t="inlineStr">
        <is>
          <t>Online</t>
        </is>
      </c>
      <c r="E1063" s="13" t="inlineStr">
        <is>
          <t>Furniture</t>
        </is>
      </c>
      <c r="F1063" s="13" t="inlineStr">
        <is>
          <t>Linen Sofa</t>
        </is>
      </c>
      <c r="G1063" s="13" t="inlineStr">
        <is>
          <t>Consumer</t>
        </is>
      </c>
      <c r="H1063" s="13" t="n">
        <v>3</v>
      </c>
      <c r="I1063" s="14" t="n">
        <v>1200.71</v>
      </c>
      <c r="J1063" s="15" t="n">
        <v>0.18</v>
      </c>
      <c r="K1063" s="14" t="n">
        <v>792.47</v>
      </c>
      <c r="L1063" s="13" t="n">
        <v>2</v>
      </c>
      <c r="M1063" s="13" t="inlineStr">
        <is>
          <t>Completed</t>
        </is>
      </c>
      <c r="N1063" s="13" t="inlineStr">
        <is>
          <t>S. Nguyen</t>
        </is>
      </c>
      <c r="O1063" s="13" t="inlineStr">
        <is>
          <t>No</t>
        </is>
      </c>
      <c r="P1063" s="14">
        <f>H1063*I1063</f>
        <v/>
      </c>
      <c r="Q1063" s="14">
        <f>P1063*(1-J1063)</f>
        <v/>
      </c>
      <c r="R1063" s="14">
        <f>H1063*K1063</f>
        <v/>
      </c>
      <c r="S1063" s="15">
        <f>IF(Q1063=0,"",(Q1063-R1063)/Q1063)</f>
        <v/>
      </c>
      <c r="T1063" s="13">
        <f>YEAR(B1063)</f>
        <v/>
      </c>
      <c r="U1063" s="13">
        <f>YEAR(B1063)&amp;"-Q"&amp;ROUNDUP(MONTH(B1063)/3,0)</f>
        <v/>
      </c>
      <c r="V1063" s="13">
        <f>TEXT(B1063,"YYYY-MM")</f>
        <v/>
      </c>
      <c r="W1063" s="13">
        <f>IF(L1063="","",IF(L1063&gt;pLateDays,1,0))</f>
        <v/>
      </c>
      <c r="X1063" s="13">
        <f>IF(Q1063&gt;=pHighCutoff,1,0)</f>
        <v/>
      </c>
      <c r="Y1063" s="13">
        <f>IF(M1063="Returned",1,0)</f>
        <v/>
      </c>
    </row>
    <row r="1064">
      <c r="A1064" s="13" t="inlineStr">
        <is>
          <t>HC-101062</t>
        </is>
      </c>
      <c r="B1064" s="18" t="n">
        <v>45519</v>
      </c>
      <c r="C1064" s="13" t="inlineStr">
        <is>
          <t>West</t>
        </is>
      </c>
      <c r="D1064" s="13" t="inlineStr">
        <is>
          <t>Store</t>
        </is>
      </c>
      <c r="E1064" s="13" t="inlineStr">
        <is>
          <t>Kitchen</t>
        </is>
      </c>
      <c r="F1064" s="13" t="inlineStr">
        <is>
          <t>Chef Knife</t>
        </is>
      </c>
      <c r="G1064" s="13" t="inlineStr">
        <is>
          <t>Consumer</t>
        </is>
      </c>
      <c r="H1064" s="13" t="n">
        <v>3</v>
      </c>
      <c r="I1064" s="14" t="n">
        <v>63.27</v>
      </c>
      <c r="J1064" s="15" t="n">
        <v>0.06</v>
      </c>
      <c r="K1064" s="14" t="n">
        <v>22.78</v>
      </c>
      <c r="L1064" s="13" t="n">
        <v>3</v>
      </c>
      <c r="M1064" s="13" t="inlineStr">
        <is>
          <t>Completed</t>
        </is>
      </c>
      <c r="N1064" s="13" t="inlineStr">
        <is>
          <t>K. Mensah</t>
        </is>
      </c>
      <c r="O1064" s="13" t="inlineStr">
        <is>
          <t>No</t>
        </is>
      </c>
      <c r="P1064" s="14">
        <f>H1064*I1064</f>
        <v/>
      </c>
      <c r="Q1064" s="14">
        <f>P1064*(1-J1064)</f>
        <v/>
      </c>
      <c r="R1064" s="14">
        <f>H1064*K1064</f>
        <v/>
      </c>
      <c r="S1064" s="15">
        <f>IF(Q1064=0,"",(Q1064-R1064)/Q1064)</f>
        <v/>
      </c>
      <c r="T1064" s="13">
        <f>YEAR(B1064)</f>
        <v/>
      </c>
      <c r="U1064" s="13">
        <f>YEAR(B1064)&amp;"-Q"&amp;ROUNDUP(MONTH(B1064)/3,0)</f>
        <v/>
      </c>
      <c r="V1064" s="13">
        <f>TEXT(B1064,"YYYY-MM")</f>
        <v/>
      </c>
      <c r="W1064" s="13">
        <f>IF(L1064="","",IF(L1064&gt;pLateDays,1,0))</f>
        <v/>
      </c>
      <c r="X1064" s="13">
        <f>IF(Q1064&gt;=pHighCutoff,1,0)</f>
        <v/>
      </c>
      <c r="Y1064" s="13">
        <f>IF(M1064="Returned",1,0)</f>
        <v/>
      </c>
    </row>
    <row r="1065">
      <c r="A1065" s="13" t="inlineStr">
        <is>
          <t>HC-101063</t>
        </is>
      </c>
      <c r="B1065" s="18" t="n">
        <v>45580</v>
      </c>
      <c r="C1065" s="13" t="inlineStr">
        <is>
          <t>North</t>
        </is>
      </c>
      <c r="D1065" s="13" t="inlineStr">
        <is>
          <t>Online</t>
        </is>
      </c>
      <c r="E1065" s="13" t="inlineStr">
        <is>
          <t>Furniture</t>
        </is>
      </c>
      <c r="F1065" s="13" t="inlineStr">
        <is>
          <t>Lounge Chair</t>
        </is>
      </c>
      <c r="G1065" s="13" t="inlineStr">
        <is>
          <t>Corporate</t>
        </is>
      </c>
      <c r="H1065" s="13" t="n">
        <v>2</v>
      </c>
      <c r="I1065" s="14" t="n">
        <v>504.51</v>
      </c>
      <c r="J1065" s="15" t="n">
        <v>0.17</v>
      </c>
      <c r="K1065" s="14" t="n">
        <v>302.71</v>
      </c>
      <c r="L1065" s="13" t="n"/>
      <c r="M1065" s="13" t="inlineStr">
        <is>
          <t>Completed</t>
        </is>
      </c>
      <c r="N1065" s="13" t="inlineStr">
        <is>
          <t>K. Mensah</t>
        </is>
      </c>
      <c r="O1065" s="13" t="inlineStr">
        <is>
          <t>No</t>
        </is>
      </c>
      <c r="P1065" s="14">
        <f>H1065*I1065</f>
        <v/>
      </c>
      <c r="Q1065" s="14">
        <f>P1065*(1-J1065)</f>
        <v/>
      </c>
      <c r="R1065" s="14">
        <f>H1065*K1065</f>
        <v/>
      </c>
      <c r="S1065" s="15">
        <f>IF(Q1065=0,"",(Q1065-R1065)/Q1065)</f>
        <v/>
      </c>
      <c r="T1065" s="13">
        <f>YEAR(B1065)</f>
        <v/>
      </c>
      <c r="U1065" s="13">
        <f>YEAR(B1065)&amp;"-Q"&amp;ROUNDUP(MONTH(B1065)/3,0)</f>
        <v/>
      </c>
      <c r="V1065" s="13">
        <f>TEXT(B1065,"YYYY-MM")</f>
        <v/>
      </c>
      <c r="W1065" s="13">
        <f>IF(L1065="","",IF(L1065&gt;pLateDays,1,0))</f>
        <v/>
      </c>
      <c r="X1065" s="13">
        <f>IF(Q1065&gt;=pHighCutoff,1,0)</f>
        <v/>
      </c>
      <c r="Y1065" s="13">
        <f>IF(M1065="Returned",1,0)</f>
        <v/>
      </c>
    </row>
    <row r="1066">
      <c r="A1066" s="13" t="inlineStr">
        <is>
          <t>HC-101064</t>
        </is>
      </c>
      <c r="B1066" s="18" t="n">
        <v>45639</v>
      </c>
      <c r="C1066" s="13" t="inlineStr">
        <is>
          <t>West</t>
        </is>
      </c>
      <c r="D1066" s="13" t="inlineStr">
        <is>
          <t>Online</t>
        </is>
      </c>
      <c r="E1066" s="13" t="inlineStr">
        <is>
          <t>Lighting</t>
        </is>
      </c>
      <c r="F1066" s="13" t="inlineStr">
        <is>
          <t>Pendant Light</t>
        </is>
      </c>
      <c r="G1066" s="13" t="inlineStr">
        <is>
          <t>Consumer</t>
        </is>
      </c>
      <c r="H1066" s="13" t="n">
        <v>3</v>
      </c>
      <c r="I1066" s="14" t="n">
        <v>181.77</v>
      </c>
      <c r="J1066" s="15" t="n">
        <v>0.06</v>
      </c>
      <c r="K1066" s="14" t="n">
        <v>90.88</v>
      </c>
      <c r="L1066" s="13" t="n"/>
      <c r="M1066" s="13" t="inlineStr">
        <is>
          <t>Completed</t>
        </is>
      </c>
      <c r="N1066" s="13" t="inlineStr">
        <is>
          <t>P. Rossi</t>
        </is>
      </c>
      <c r="O1066" s="13" t="inlineStr">
        <is>
          <t>No</t>
        </is>
      </c>
      <c r="P1066" s="14">
        <f>H1066*I1066</f>
        <v/>
      </c>
      <c r="Q1066" s="14">
        <f>P1066*(1-J1066)</f>
        <v/>
      </c>
      <c r="R1066" s="14">
        <f>H1066*K1066</f>
        <v/>
      </c>
      <c r="S1066" s="15">
        <f>IF(Q1066=0,"",(Q1066-R1066)/Q1066)</f>
        <v/>
      </c>
      <c r="T1066" s="13">
        <f>YEAR(B1066)</f>
        <v/>
      </c>
      <c r="U1066" s="13">
        <f>YEAR(B1066)&amp;"-Q"&amp;ROUNDUP(MONTH(B1066)/3,0)</f>
        <v/>
      </c>
      <c r="V1066" s="13">
        <f>TEXT(B1066,"YYYY-MM")</f>
        <v/>
      </c>
      <c r="W1066" s="13">
        <f>IF(L1066="","",IF(L1066&gt;pLateDays,1,0))</f>
        <v/>
      </c>
      <c r="X1066" s="13">
        <f>IF(Q1066&gt;=pHighCutoff,1,0)</f>
        <v/>
      </c>
      <c r="Y1066" s="13">
        <f>IF(M1066="Returned",1,0)</f>
        <v/>
      </c>
    </row>
    <row r="1067">
      <c r="A1067" s="13" t="inlineStr">
        <is>
          <t>HC-101065</t>
        </is>
      </c>
      <c r="B1067" s="18" t="n">
        <v>45638</v>
      </c>
      <c r="C1067" s="13" t="inlineStr">
        <is>
          <t>North</t>
        </is>
      </c>
      <c r="D1067" s="13" t="inlineStr">
        <is>
          <t>Store</t>
        </is>
      </c>
      <c r="E1067" s="13" t="inlineStr">
        <is>
          <t>Furniture</t>
        </is>
      </c>
      <c r="F1067" s="13" t="inlineStr">
        <is>
          <t>Oak Desk</t>
        </is>
      </c>
      <c r="G1067" s="13" t="inlineStr">
        <is>
          <t>Consumer</t>
        </is>
      </c>
      <c r="H1067" s="13" t="n">
        <v>5</v>
      </c>
      <c r="I1067" s="14" t="n">
        <v>836.83</v>
      </c>
      <c r="J1067" s="15" t="n">
        <v>0.05</v>
      </c>
      <c r="K1067" s="14" t="n">
        <v>518.83</v>
      </c>
      <c r="L1067" s="13" t="n">
        <v>8</v>
      </c>
      <c r="M1067" s="13" t="inlineStr">
        <is>
          <t>Completed</t>
        </is>
      </c>
      <c r="N1067" s="13" t="inlineStr">
        <is>
          <t>A. Shah</t>
        </is>
      </c>
      <c r="O1067" s="13" t="inlineStr">
        <is>
          <t>No</t>
        </is>
      </c>
      <c r="P1067" s="14">
        <f>H1067*I1067</f>
        <v/>
      </c>
      <c r="Q1067" s="14">
        <f>P1067*(1-J1067)</f>
        <v/>
      </c>
      <c r="R1067" s="14">
        <f>H1067*K1067</f>
        <v/>
      </c>
      <c r="S1067" s="15">
        <f>IF(Q1067=0,"",(Q1067-R1067)/Q1067)</f>
        <v/>
      </c>
      <c r="T1067" s="13">
        <f>YEAR(B1067)</f>
        <v/>
      </c>
      <c r="U1067" s="13">
        <f>YEAR(B1067)&amp;"-Q"&amp;ROUNDUP(MONTH(B1067)/3,0)</f>
        <v/>
      </c>
      <c r="V1067" s="13">
        <f>TEXT(B1067,"YYYY-MM")</f>
        <v/>
      </c>
      <c r="W1067" s="13">
        <f>IF(L1067="","",IF(L1067&gt;pLateDays,1,0))</f>
        <v/>
      </c>
      <c r="X1067" s="13">
        <f>IF(Q1067&gt;=pHighCutoff,1,0)</f>
        <v/>
      </c>
      <c r="Y1067" s="13">
        <f>IF(M1067="Returned",1,0)</f>
        <v/>
      </c>
    </row>
    <row r="1068">
      <c r="A1068" s="13" t="inlineStr">
        <is>
          <t>HC-101066</t>
        </is>
      </c>
      <c r="B1068" s="18" t="n">
        <v>45574</v>
      </c>
      <c r="C1068" s="13" t="inlineStr">
        <is>
          <t>West</t>
        </is>
      </c>
      <c r="D1068" s="13" t="inlineStr">
        <is>
          <t>Online</t>
        </is>
      </c>
      <c r="E1068" s="13" t="inlineStr">
        <is>
          <t>Kitchen</t>
        </is>
      </c>
      <c r="F1068" s="13" t="inlineStr">
        <is>
          <t>Chef Knife</t>
        </is>
      </c>
      <c r="G1068" s="13" t="inlineStr">
        <is>
          <t>Consumer</t>
        </is>
      </c>
      <c r="H1068" s="13" t="n">
        <v>3</v>
      </c>
      <c r="I1068" s="14" t="n">
        <v>61.23</v>
      </c>
      <c r="J1068" s="15" t="n">
        <v>0.06</v>
      </c>
      <c r="K1068" s="14" t="n">
        <v>22.04</v>
      </c>
      <c r="L1068" s="13" t="n">
        <v>6</v>
      </c>
      <c r="M1068" s="13" t="inlineStr">
        <is>
          <t>Completed</t>
        </is>
      </c>
      <c r="N1068" s="13" t="inlineStr">
        <is>
          <t>K. Mensah</t>
        </is>
      </c>
      <c r="O1068" s="13" t="inlineStr">
        <is>
          <t>No</t>
        </is>
      </c>
      <c r="P1068" s="14">
        <f>H1068*I1068</f>
        <v/>
      </c>
      <c r="Q1068" s="14">
        <f>P1068*(1-J1068)</f>
        <v/>
      </c>
      <c r="R1068" s="14">
        <f>H1068*K1068</f>
        <v/>
      </c>
      <c r="S1068" s="15">
        <f>IF(Q1068=0,"",(Q1068-R1068)/Q1068)</f>
        <v/>
      </c>
      <c r="T1068" s="13">
        <f>YEAR(B1068)</f>
        <v/>
      </c>
      <c r="U1068" s="13">
        <f>YEAR(B1068)&amp;"-Q"&amp;ROUNDUP(MONTH(B1068)/3,0)</f>
        <v/>
      </c>
      <c r="V1068" s="13">
        <f>TEXT(B1068,"YYYY-MM")</f>
        <v/>
      </c>
      <c r="W1068" s="13">
        <f>IF(L1068="","",IF(L1068&gt;pLateDays,1,0))</f>
        <v/>
      </c>
      <c r="X1068" s="13">
        <f>IF(Q1068&gt;=pHighCutoff,1,0)</f>
        <v/>
      </c>
      <c r="Y1068" s="13">
        <f>IF(M1068="Returned",1,0)</f>
        <v/>
      </c>
    </row>
    <row r="1069">
      <c r="A1069" s="13" t="inlineStr">
        <is>
          <t>HC-101067</t>
        </is>
      </c>
      <c r="B1069" s="18" t="n">
        <v>45838</v>
      </c>
      <c r="C1069" s="13" t="inlineStr">
        <is>
          <t>North</t>
        </is>
      </c>
      <c r="D1069" s="13" t="inlineStr">
        <is>
          <t>Wholesale</t>
        </is>
      </c>
      <c r="E1069" s="13" t="inlineStr">
        <is>
          <t>Textiles</t>
        </is>
      </c>
      <c r="F1069" s="13" t="inlineStr">
        <is>
          <t>Cotton Duvet</t>
        </is>
      </c>
      <c r="G1069" s="13" t="inlineStr">
        <is>
          <t>Consumer</t>
        </is>
      </c>
      <c r="H1069" s="13" t="n">
        <v>13</v>
      </c>
      <c r="I1069" s="14" t="n">
        <v>121.7</v>
      </c>
      <c r="J1069" s="15" t="n">
        <v>0.2</v>
      </c>
      <c r="K1069" s="14" t="n">
        <v>53.55</v>
      </c>
      <c r="L1069" s="13" t="n">
        <v>7</v>
      </c>
      <c r="M1069" s="13" t="inlineStr">
        <is>
          <t>Completed</t>
        </is>
      </c>
      <c r="N1069" s="13" t="inlineStr">
        <is>
          <t>K. Mensah</t>
        </is>
      </c>
      <c r="O1069" s="13" t="inlineStr">
        <is>
          <t>No</t>
        </is>
      </c>
      <c r="P1069" s="14">
        <f>H1069*I1069</f>
        <v/>
      </c>
      <c r="Q1069" s="14">
        <f>P1069*(1-J1069)</f>
        <v/>
      </c>
      <c r="R1069" s="14">
        <f>H1069*K1069</f>
        <v/>
      </c>
      <c r="S1069" s="15">
        <f>IF(Q1069=0,"",(Q1069-R1069)/Q1069)</f>
        <v/>
      </c>
      <c r="T1069" s="13">
        <f>YEAR(B1069)</f>
        <v/>
      </c>
      <c r="U1069" s="13">
        <f>YEAR(B1069)&amp;"-Q"&amp;ROUNDUP(MONTH(B1069)/3,0)</f>
        <v/>
      </c>
      <c r="V1069" s="13">
        <f>TEXT(B1069,"YYYY-MM")</f>
        <v/>
      </c>
      <c r="W1069" s="13">
        <f>IF(L1069="","",IF(L1069&gt;pLateDays,1,0))</f>
        <v/>
      </c>
      <c r="X1069" s="13">
        <f>IF(Q1069&gt;=pHighCutoff,1,0)</f>
        <v/>
      </c>
      <c r="Y1069" s="13">
        <f>IF(M1069="Returned",1,0)</f>
        <v/>
      </c>
    </row>
    <row r="1070">
      <c r="A1070" s="13" t="inlineStr">
        <is>
          <t>HC-101068</t>
        </is>
      </c>
      <c r="B1070" s="18" t="n">
        <v>45614</v>
      </c>
      <c r="C1070" s="13" t="inlineStr">
        <is>
          <t>South</t>
        </is>
      </c>
      <c r="D1070" s="13" t="inlineStr">
        <is>
          <t>Wholesale</t>
        </is>
      </c>
      <c r="E1070" s="13" t="inlineStr">
        <is>
          <t>Lighting</t>
        </is>
      </c>
      <c r="F1070" s="13" t="inlineStr">
        <is>
          <t>Arc Lamp</t>
        </is>
      </c>
      <c r="G1070" s="13" t="inlineStr">
        <is>
          <t>Corporate</t>
        </is>
      </c>
      <c r="H1070" s="13" t="n">
        <v>27</v>
      </c>
      <c r="I1070" s="14" t="n">
        <v>321.75</v>
      </c>
      <c r="J1070" s="15" t="n">
        <v>0.15</v>
      </c>
      <c r="K1070" s="14" t="n">
        <v>154.44</v>
      </c>
      <c r="L1070" s="13" t="n">
        <v>7</v>
      </c>
      <c r="M1070" s="13" t="inlineStr">
        <is>
          <t>Completed</t>
        </is>
      </c>
      <c r="N1070" s="13" t="inlineStr">
        <is>
          <t>J. Patel</t>
        </is>
      </c>
      <c r="O1070" s="13" t="inlineStr">
        <is>
          <t>No</t>
        </is>
      </c>
      <c r="P1070" s="14">
        <f>H1070*I1070</f>
        <v/>
      </c>
      <c r="Q1070" s="14">
        <f>P1070*(1-J1070)</f>
        <v/>
      </c>
      <c r="R1070" s="14">
        <f>H1070*K1070</f>
        <v/>
      </c>
      <c r="S1070" s="15">
        <f>IF(Q1070=0,"",(Q1070-R1070)/Q1070)</f>
        <v/>
      </c>
      <c r="T1070" s="13">
        <f>YEAR(B1070)</f>
        <v/>
      </c>
      <c r="U1070" s="13">
        <f>YEAR(B1070)&amp;"-Q"&amp;ROUNDUP(MONTH(B1070)/3,0)</f>
        <v/>
      </c>
      <c r="V1070" s="13">
        <f>TEXT(B1070,"YYYY-MM")</f>
        <v/>
      </c>
      <c r="W1070" s="13">
        <f>IF(L1070="","",IF(L1070&gt;pLateDays,1,0))</f>
        <v/>
      </c>
      <c r="X1070" s="13">
        <f>IF(Q1070&gt;=pHighCutoff,1,0)</f>
        <v/>
      </c>
      <c r="Y1070" s="13">
        <f>IF(M1070="Returned",1,0)</f>
        <v/>
      </c>
    </row>
    <row r="1071">
      <c r="A1071" s="13" t="inlineStr">
        <is>
          <t>HC-101069</t>
        </is>
      </c>
      <c r="B1071" s="18" t="n">
        <v>45681</v>
      </c>
      <c r="C1071" s="13" t="inlineStr">
        <is>
          <t>West</t>
        </is>
      </c>
      <c r="D1071" s="13" t="inlineStr">
        <is>
          <t>Wholesale</t>
        </is>
      </c>
      <c r="E1071" s="13" t="inlineStr">
        <is>
          <t>Textiles</t>
        </is>
      </c>
      <c r="F1071" s="13" t="inlineStr">
        <is>
          <t>Linen Curtain</t>
        </is>
      </c>
      <c r="G1071" s="13" t="inlineStr">
        <is>
          <t>Consumer</t>
        </is>
      </c>
      <c r="H1071" s="13" t="n">
        <v>15</v>
      </c>
      <c r="I1071" s="14" t="n">
        <v>91.44</v>
      </c>
      <c r="J1071" s="15" t="n">
        <v>0.13</v>
      </c>
      <c r="K1071" s="14" t="n">
        <v>41.15</v>
      </c>
      <c r="L1071" s="13" t="n">
        <v>5</v>
      </c>
      <c r="M1071" s="13" t="inlineStr">
        <is>
          <t>Completed</t>
        </is>
      </c>
      <c r="N1071" s="13" t="inlineStr">
        <is>
          <t>R. Ibarra</t>
        </is>
      </c>
      <c r="O1071" s="13" t="inlineStr">
        <is>
          <t>No</t>
        </is>
      </c>
      <c r="P1071" s="14">
        <f>H1071*I1071</f>
        <v/>
      </c>
      <c r="Q1071" s="14">
        <f>P1071*(1-J1071)</f>
        <v/>
      </c>
      <c r="R1071" s="14">
        <f>H1071*K1071</f>
        <v/>
      </c>
      <c r="S1071" s="15">
        <f>IF(Q1071=0,"",(Q1071-R1071)/Q1071)</f>
        <v/>
      </c>
      <c r="T1071" s="13">
        <f>YEAR(B1071)</f>
        <v/>
      </c>
      <c r="U1071" s="13">
        <f>YEAR(B1071)&amp;"-Q"&amp;ROUNDUP(MONTH(B1071)/3,0)</f>
        <v/>
      </c>
      <c r="V1071" s="13">
        <f>TEXT(B1071,"YYYY-MM")</f>
        <v/>
      </c>
      <c r="W1071" s="13">
        <f>IF(L1071="","",IF(L1071&gt;pLateDays,1,0))</f>
        <v/>
      </c>
      <c r="X1071" s="13">
        <f>IF(Q1071&gt;=pHighCutoff,1,0)</f>
        <v/>
      </c>
      <c r="Y1071" s="13">
        <f>IF(M1071="Returned",1,0)</f>
        <v/>
      </c>
    </row>
    <row r="1072">
      <c r="A1072" s="13" t="inlineStr">
        <is>
          <t>HC-101070</t>
        </is>
      </c>
      <c r="B1072" s="18" t="n">
        <v>45608</v>
      </c>
      <c r="C1072" s="13" t="inlineStr">
        <is>
          <t>West</t>
        </is>
      </c>
      <c r="D1072" s="13" t="inlineStr">
        <is>
          <t>Online</t>
        </is>
      </c>
      <c r="E1072" s="13" t="inlineStr">
        <is>
          <t>Furniture</t>
        </is>
      </c>
      <c r="F1072" s="13" t="inlineStr">
        <is>
          <t>Linen Sofa</t>
        </is>
      </c>
      <c r="G1072" s="13" t="inlineStr">
        <is>
          <t>Unknown</t>
        </is>
      </c>
      <c r="H1072" s="13" t="n">
        <v>4</v>
      </c>
      <c r="I1072" s="14" t="n">
        <v>1300.24</v>
      </c>
      <c r="J1072" s="15" t="n">
        <v>0.06</v>
      </c>
      <c r="K1072" s="14" t="n">
        <v>858.16</v>
      </c>
      <c r="L1072" s="13" t="n">
        <v>2</v>
      </c>
      <c r="M1072" s="13" t="inlineStr">
        <is>
          <t>Completed</t>
        </is>
      </c>
      <c r="N1072" s="13" t="inlineStr">
        <is>
          <t>R. Ibarra</t>
        </is>
      </c>
      <c r="O1072" s="13" t="inlineStr">
        <is>
          <t>No</t>
        </is>
      </c>
      <c r="P1072" s="14">
        <f>H1072*I1072</f>
        <v/>
      </c>
      <c r="Q1072" s="14">
        <f>P1072*(1-J1072)</f>
        <v/>
      </c>
      <c r="R1072" s="14">
        <f>H1072*K1072</f>
        <v/>
      </c>
      <c r="S1072" s="15">
        <f>IF(Q1072=0,"",(Q1072-R1072)/Q1072)</f>
        <v/>
      </c>
      <c r="T1072" s="13">
        <f>YEAR(B1072)</f>
        <v/>
      </c>
      <c r="U1072" s="13">
        <f>YEAR(B1072)&amp;"-Q"&amp;ROUNDUP(MONTH(B1072)/3,0)</f>
        <v/>
      </c>
      <c r="V1072" s="13">
        <f>TEXT(B1072,"YYYY-MM")</f>
        <v/>
      </c>
      <c r="W1072" s="13">
        <f>IF(L1072="","",IF(L1072&gt;pLateDays,1,0))</f>
        <v/>
      </c>
      <c r="X1072" s="13">
        <f>IF(Q1072&gt;=pHighCutoff,1,0)</f>
        <v/>
      </c>
      <c r="Y1072" s="13">
        <f>IF(M1072="Returned",1,0)</f>
        <v/>
      </c>
    </row>
    <row r="1073">
      <c r="A1073" s="13" t="inlineStr">
        <is>
          <t>HC-101071</t>
        </is>
      </c>
      <c r="B1073" s="18" t="n">
        <v>45882</v>
      </c>
      <c r="C1073" s="13" t="inlineStr">
        <is>
          <t>South</t>
        </is>
      </c>
      <c r="D1073" s="13" t="inlineStr">
        <is>
          <t>Store</t>
        </is>
      </c>
      <c r="E1073" s="13" t="inlineStr">
        <is>
          <t>Textiles</t>
        </is>
      </c>
      <c r="F1073" s="13" t="inlineStr">
        <is>
          <t>Wool Throw</t>
        </is>
      </c>
      <c r="G1073" s="13" t="inlineStr">
        <is>
          <t>Consumer</t>
        </is>
      </c>
      <c r="H1073" s="13" t="n">
        <v>2</v>
      </c>
      <c r="I1073" s="14" t="n">
        <v>79.04000000000001</v>
      </c>
      <c r="J1073" s="15" t="n">
        <v>0.03</v>
      </c>
      <c r="K1073" s="14" t="n">
        <v>33.2</v>
      </c>
      <c r="L1073" s="13" t="n">
        <v>4</v>
      </c>
      <c r="M1073" s="13" t="inlineStr">
        <is>
          <t>Completed</t>
        </is>
      </c>
      <c r="N1073" s="13" t="inlineStr">
        <is>
          <t>L. Berger</t>
        </is>
      </c>
      <c r="O1073" s="13" t="inlineStr">
        <is>
          <t>No</t>
        </is>
      </c>
      <c r="P1073" s="14">
        <f>H1073*I1073</f>
        <v/>
      </c>
      <c r="Q1073" s="14">
        <f>P1073*(1-J1073)</f>
        <v/>
      </c>
      <c r="R1073" s="14">
        <f>H1073*K1073</f>
        <v/>
      </c>
      <c r="S1073" s="15">
        <f>IF(Q1073=0,"",(Q1073-R1073)/Q1073)</f>
        <v/>
      </c>
      <c r="T1073" s="13">
        <f>YEAR(B1073)</f>
        <v/>
      </c>
      <c r="U1073" s="13">
        <f>YEAR(B1073)&amp;"-Q"&amp;ROUNDUP(MONTH(B1073)/3,0)</f>
        <v/>
      </c>
      <c r="V1073" s="13">
        <f>TEXT(B1073,"YYYY-MM")</f>
        <v/>
      </c>
      <c r="W1073" s="13">
        <f>IF(L1073="","",IF(L1073&gt;pLateDays,1,0))</f>
        <v/>
      </c>
      <c r="X1073" s="13">
        <f>IF(Q1073&gt;=pHighCutoff,1,0)</f>
        <v/>
      </c>
      <c r="Y1073" s="13">
        <f>IF(M1073="Returned",1,0)</f>
        <v/>
      </c>
    </row>
    <row r="1074">
      <c r="A1074" s="13" t="inlineStr">
        <is>
          <t>HC-101072</t>
        </is>
      </c>
      <c r="B1074" s="18" t="n">
        <v>45695</v>
      </c>
      <c r="C1074" s="13" t="inlineStr">
        <is>
          <t>West</t>
        </is>
      </c>
      <c r="D1074" s="13" t="inlineStr">
        <is>
          <t>Wholesale</t>
        </is>
      </c>
      <c r="E1074" s="13" t="inlineStr">
        <is>
          <t>Lighting</t>
        </is>
      </c>
      <c r="F1074" s="13" t="inlineStr">
        <is>
          <t>Arc Lamp</t>
        </is>
      </c>
      <c r="G1074" s="13" t="inlineStr">
        <is>
          <t>Consumer</t>
        </is>
      </c>
      <c r="H1074" s="13" t="n">
        <v>26</v>
      </c>
      <c r="I1074" s="14" t="n">
        <v>289.54</v>
      </c>
      <c r="J1074" s="15" t="n">
        <v>0.18</v>
      </c>
      <c r="K1074" s="14" t="n">
        <v>138.98</v>
      </c>
      <c r="L1074" s="13" t="n"/>
      <c r="M1074" s="13" t="inlineStr">
        <is>
          <t>Completed</t>
        </is>
      </c>
      <c r="N1074" s="13" t="inlineStr">
        <is>
          <t>J. Patel</t>
        </is>
      </c>
      <c r="O1074" s="13" t="inlineStr">
        <is>
          <t>No</t>
        </is>
      </c>
      <c r="P1074" s="14">
        <f>H1074*I1074</f>
        <v/>
      </c>
      <c r="Q1074" s="14">
        <f>P1074*(1-J1074)</f>
        <v/>
      </c>
      <c r="R1074" s="14">
        <f>H1074*K1074</f>
        <v/>
      </c>
      <c r="S1074" s="15">
        <f>IF(Q1074=0,"",(Q1074-R1074)/Q1074)</f>
        <v/>
      </c>
      <c r="T1074" s="13">
        <f>YEAR(B1074)</f>
        <v/>
      </c>
      <c r="U1074" s="13">
        <f>YEAR(B1074)&amp;"-Q"&amp;ROUNDUP(MONTH(B1074)/3,0)</f>
        <v/>
      </c>
      <c r="V1074" s="13">
        <f>TEXT(B1074,"YYYY-MM")</f>
        <v/>
      </c>
      <c r="W1074" s="13">
        <f>IF(L1074="","",IF(L1074&gt;pLateDays,1,0))</f>
        <v/>
      </c>
      <c r="X1074" s="13">
        <f>IF(Q1074&gt;=pHighCutoff,1,0)</f>
        <v/>
      </c>
      <c r="Y1074" s="13">
        <f>IF(M1074="Returned",1,0)</f>
        <v/>
      </c>
    </row>
    <row r="1075">
      <c r="A1075" s="13" t="inlineStr">
        <is>
          <t>HC-101073</t>
        </is>
      </c>
      <c r="B1075" s="18" t="n">
        <v>45669</v>
      </c>
      <c r="C1075" s="13" t="inlineStr">
        <is>
          <t>South</t>
        </is>
      </c>
      <c r="D1075" s="13" t="inlineStr">
        <is>
          <t>Online</t>
        </is>
      </c>
      <c r="E1075" s="13" t="inlineStr">
        <is>
          <t>Textiles</t>
        </is>
      </c>
      <c r="F1075" s="13" t="inlineStr">
        <is>
          <t>Cotton Duvet</t>
        </is>
      </c>
      <c r="G1075" s="13" t="inlineStr">
        <is>
          <t>Consumer</t>
        </is>
      </c>
      <c r="H1075" s="13" t="n">
        <v>3</v>
      </c>
      <c r="I1075" s="14" t="n">
        <v>112.48</v>
      </c>
      <c r="J1075" s="15" t="n">
        <v>0.16</v>
      </c>
      <c r="K1075" s="14" t="n">
        <v>49.49</v>
      </c>
      <c r="L1075" s="13" t="n">
        <v>7</v>
      </c>
      <c r="M1075" s="13" t="inlineStr">
        <is>
          <t>Completed</t>
        </is>
      </c>
      <c r="N1075" s="13" t="inlineStr">
        <is>
          <t>S. Nguyen</t>
        </is>
      </c>
      <c r="O1075" s="13" t="inlineStr">
        <is>
          <t>No</t>
        </is>
      </c>
      <c r="P1075" s="14">
        <f>H1075*I1075</f>
        <v/>
      </c>
      <c r="Q1075" s="14">
        <f>P1075*(1-J1075)</f>
        <v/>
      </c>
      <c r="R1075" s="14">
        <f>H1075*K1075</f>
        <v/>
      </c>
      <c r="S1075" s="15">
        <f>IF(Q1075=0,"",(Q1075-R1075)/Q1075)</f>
        <v/>
      </c>
      <c r="T1075" s="13">
        <f>YEAR(B1075)</f>
        <v/>
      </c>
      <c r="U1075" s="13">
        <f>YEAR(B1075)&amp;"-Q"&amp;ROUNDUP(MONTH(B1075)/3,0)</f>
        <v/>
      </c>
      <c r="V1075" s="13">
        <f>TEXT(B1075,"YYYY-MM")</f>
        <v/>
      </c>
      <c r="W1075" s="13">
        <f>IF(L1075="","",IF(L1075&gt;pLateDays,1,0))</f>
        <v/>
      </c>
      <c r="X1075" s="13">
        <f>IF(Q1075&gt;=pHighCutoff,1,0)</f>
        <v/>
      </c>
      <c r="Y1075" s="13">
        <f>IF(M1075="Returned",1,0)</f>
        <v/>
      </c>
    </row>
    <row r="1076">
      <c r="A1076" s="13" t="inlineStr">
        <is>
          <t>HC-101074</t>
        </is>
      </c>
      <c r="B1076" s="18" t="n">
        <v>45878</v>
      </c>
      <c r="C1076" s="13" t="inlineStr">
        <is>
          <t>South</t>
        </is>
      </c>
      <c r="D1076" s="13" t="inlineStr">
        <is>
          <t>Online</t>
        </is>
      </c>
      <c r="E1076" s="13" t="inlineStr">
        <is>
          <t>Kitchen</t>
        </is>
      </c>
      <c r="F1076" s="13" t="inlineStr">
        <is>
          <t>Cast Skillet</t>
        </is>
      </c>
      <c r="G1076" s="13" t="inlineStr">
        <is>
          <t>Consumer</t>
        </is>
      </c>
      <c r="H1076" s="13" t="n">
        <v>2</v>
      </c>
      <c r="I1076" s="14" t="n">
        <v>55.39</v>
      </c>
      <c r="J1076" s="15" t="n">
        <v>0.12</v>
      </c>
      <c r="K1076" s="14" t="n">
        <v>22.15</v>
      </c>
      <c r="L1076" s="13" t="n">
        <v>5</v>
      </c>
      <c r="M1076" s="13" t="inlineStr">
        <is>
          <t>Completed</t>
        </is>
      </c>
      <c r="N1076" s="13" t="inlineStr">
        <is>
          <t>P. Rossi</t>
        </is>
      </c>
      <c r="O1076" s="13" t="inlineStr">
        <is>
          <t>No</t>
        </is>
      </c>
      <c r="P1076" s="14">
        <f>H1076*I1076</f>
        <v/>
      </c>
      <c r="Q1076" s="14">
        <f>P1076*(1-J1076)</f>
        <v/>
      </c>
      <c r="R1076" s="14">
        <f>H1076*K1076</f>
        <v/>
      </c>
      <c r="S1076" s="15">
        <f>IF(Q1076=0,"",(Q1076-R1076)/Q1076)</f>
        <v/>
      </c>
      <c r="T1076" s="13">
        <f>YEAR(B1076)</f>
        <v/>
      </c>
      <c r="U1076" s="13">
        <f>YEAR(B1076)&amp;"-Q"&amp;ROUNDUP(MONTH(B1076)/3,0)</f>
        <v/>
      </c>
      <c r="V1076" s="13">
        <f>TEXT(B1076,"YYYY-MM")</f>
        <v/>
      </c>
      <c r="W1076" s="13">
        <f>IF(L1076="","",IF(L1076&gt;pLateDays,1,0))</f>
        <v/>
      </c>
      <c r="X1076" s="13">
        <f>IF(Q1076&gt;=pHighCutoff,1,0)</f>
        <v/>
      </c>
      <c r="Y1076" s="13">
        <f>IF(M1076="Returned",1,0)</f>
        <v/>
      </c>
    </row>
    <row r="1077">
      <c r="A1077" s="13" t="inlineStr">
        <is>
          <t>HC-101075</t>
        </is>
      </c>
      <c r="B1077" s="18" t="n">
        <v>45371</v>
      </c>
      <c r="C1077" s="13" t="inlineStr">
        <is>
          <t>North</t>
        </is>
      </c>
      <c r="D1077" s="13" t="inlineStr">
        <is>
          <t>Online</t>
        </is>
      </c>
      <c r="E1077" s="13" t="inlineStr">
        <is>
          <t>Textiles</t>
        </is>
      </c>
      <c r="F1077" s="13" t="inlineStr">
        <is>
          <t>Cotton Duvet</t>
        </is>
      </c>
      <c r="G1077" s="13" t="inlineStr">
        <is>
          <t>Consumer</t>
        </is>
      </c>
      <c r="H1077" s="13" t="n">
        <v>1</v>
      </c>
      <c r="I1077" s="14" t="n">
        <v>128.86</v>
      </c>
      <c r="J1077" s="15" t="n">
        <v>0.1</v>
      </c>
      <c r="K1077" s="14" t="n">
        <v>56.7</v>
      </c>
      <c r="L1077" s="13" t="n">
        <v>7</v>
      </c>
      <c r="M1077" s="13" t="inlineStr">
        <is>
          <t>Completed</t>
        </is>
      </c>
      <c r="N1077" s="13" t="inlineStr">
        <is>
          <t>A. Shah</t>
        </is>
      </c>
      <c r="O1077" s="13" t="inlineStr">
        <is>
          <t>No</t>
        </is>
      </c>
      <c r="P1077" s="14">
        <f>H1077*I1077</f>
        <v/>
      </c>
      <c r="Q1077" s="14">
        <f>P1077*(1-J1077)</f>
        <v/>
      </c>
      <c r="R1077" s="14">
        <f>H1077*K1077</f>
        <v/>
      </c>
      <c r="S1077" s="15">
        <f>IF(Q1077=0,"",(Q1077-R1077)/Q1077)</f>
        <v/>
      </c>
      <c r="T1077" s="13">
        <f>YEAR(B1077)</f>
        <v/>
      </c>
      <c r="U1077" s="13">
        <f>YEAR(B1077)&amp;"-Q"&amp;ROUNDUP(MONTH(B1077)/3,0)</f>
        <v/>
      </c>
      <c r="V1077" s="13">
        <f>TEXT(B1077,"YYYY-MM")</f>
        <v/>
      </c>
      <c r="W1077" s="13">
        <f>IF(L1077="","",IF(L1077&gt;pLateDays,1,0))</f>
        <v/>
      </c>
      <c r="X1077" s="13">
        <f>IF(Q1077&gt;=pHighCutoff,1,0)</f>
        <v/>
      </c>
      <c r="Y1077" s="13">
        <f>IF(M1077="Returned",1,0)</f>
        <v/>
      </c>
    </row>
    <row r="1078">
      <c r="A1078" s="13" t="inlineStr">
        <is>
          <t>HC-101076</t>
        </is>
      </c>
      <c r="B1078" s="18" t="n">
        <v>45643</v>
      </c>
      <c r="C1078" s="13" t="inlineStr">
        <is>
          <t>South</t>
        </is>
      </c>
      <c r="D1078" s="13" t="inlineStr">
        <is>
          <t>Online</t>
        </is>
      </c>
      <c r="E1078" s="13" t="inlineStr">
        <is>
          <t>Lighting</t>
        </is>
      </c>
      <c r="F1078" s="13" t="inlineStr">
        <is>
          <t>Brass Sconce</t>
        </is>
      </c>
      <c r="G1078" s="13" t="inlineStr">
        <is>
          <t>Unknown</t>
        </is>
      </c>
      <c r="H1078" s="13" t="n">
        <v>2</v>
      </c>
      <c r="I1078" s="14" t="n">
        <v>137.42</v>
      </c>
      <c r="J1078" s="15" t="n">
        <v>0.09</v>
      </c>
      <c r="K1078" s="14" t="n">
        <v>63.21</v>
      </c>
      <c r="L1078" s="13" t="n">
        <v>7</v>
      </c>
      <c r="M1078" s="13" t="inlineStr">
        <is>
          <t>Completed</t>
        </is>
      </c>
      <c r="N1078" s="13" t="inlineStr">
        <is>
          <t>P. Rossi</t>
        </is>
      </c>
      <c r="O1078" s="13" t="inlineStr">
        <is>
          <t>No</t>
        </is>
      </c>
      <c r="P1078" s="14">
        <f>H1078*I1078</f>
        <v/>
      </c>
      <c r="Q1078" s="14">
        <f>P1078*(1-J1078)</f>
        <v/>
      </c>
      <c r="R1078" s="14">
        <f>H1078*K1078</f>
        <v/>
      </c>
      <c r="S1078" s="15">
        <f>IF(Q1078=0,"",(Q1078-R1078)/Q1078)</f>
        <v/>
      </c>
      <c r="T1078" s="13">
        <f>YEAR(B1078)</f>
        <v/>
      </c>
      <c r="U1078" s="13">
        <f>YEAR(B1078)&amp;"-Q"&amp;ROUNDUP(MONTH(B1078)/3,0)</f>
        <v/>
      </c>
      <c r="V1078" s="13">
        <f>TEXT(B1078,"YYYY-MM")</f>
        <v/>
      </c>
      <c r="W1078" s="13">
        <f>IF(L1078="","",IF(L1078&gt;pLateDays,1,0))</f>
        <v/>
      </c>
      <c r="X1078" s="13">
        <f>IF(Q1078&gt;=pHighCutoff,1,0)</f>
        <v/>
      </c>
      <c r="Y1078" s="13">
        <f>IF(M1078="Returned",1,0)</f>
        <v/>
      </c>
    </row>
    <row r="1079">
      <c r="A1079" s="13" t="inlineStr">
        <is>
          <t>HC-101077</t>
        </is>
      </c>
      <c r="B1079" s="18" t="n">
        <v>45788</v>
      </c>
      <c r="C1079" s="13" t="inlineStr">
        <is>
          <t>West</t>
        </is>
      </c>
      <c r="D1079" s="13" t="inlineStr">
        <is>
          <t>Online</t>
        </is>
      </c>
      <c r="E1079" s="13" t="inlineStr">
        <is>
          <t>Kitchen</t>
        </is>
      </c>
      <c r="F1079" s="13" t="inlineStr">
        <is>
          <t>Chef Knife</t>
        </is>
      </c>
      <c r="G1079" s="13" t="inlineStr">
        <is>
          <t>Home Office</t>
        </is>
      </c>
      <c r="H1079" s="13" t="n">
        <v>3</v>
      </c>
      <c r="I1079" s="14" t="n">
        <v>67.20999999999999</v>
      </c>
      <c r="J1079" s="15" t="n">
        <v>0.07000000000000001</v>
      </c>
      <c r="K1079" s="14" t="n">
        <v>24.2</v>
      </c>
      <c r="L1079" s="13" t="n">
        <v>5</v>
      </c>
      <c r="M1079" s="13" t="inlineStr">
        <is>
          <t>Completed</t>
        </is>
      </c>
      <c r="N1079" s="13" t="inlineStr">
        <is>
          <t>R. Ibarra</t>
        </is>
      </c>
      <c r="O1079" s="13" t="inlineStr">
        <is>
          <t>No</t>
        </is>
      </c>
      <c r="P1079" s="14">
        <f>H1079*I1079</f>
        <v/>
      </c>
      <c r="Q1079" s="14">
        <f>P1079*(1-J1079)</f>
        <v/>
      </c>
      <c r="R1079" s="14">
        <f>H1079*K1079</f>
        <v/>
      </c>
      <c r="S1079" s="15">
        <f>IF(Q1079=0,"",(Q1079-R1079)/Q1079)</f>
        <v/>
      </c>
      <c r="T1079" s="13">
        <f>YEAR(B1079)</f>
        <v/>
      </c>
      <c r="U1079" s="13">
        <f>YEAR(B1079)&amp;"-Q"&amp;ROUNDUP(MONTH(B1079)/3,0)</f>
        <v/>
      </c>
      <c r="V1079" s="13">
        <f>TEXT(B1079,"YYYY-MM")</f>
        <v/>
      </c>
      <c r="W1079" s="13">
        <f>IF(L1079="","",IF(L1079&gt;pLateDays,1,0))</f>
        <v/>
      </c>
      <c r="X1079" s="13">
        <f>IF(Q1079&gt;=pHighCutoff,1,0)</f>
        <v/>
      </c>
      <c r="Y1079" s="13">
        <f>IF(M1079="Returned",1,0)</f>
        <v/>
      </c>
    </row>
    <row r="1080">
      <c r="A1080" s="13" t="inlineStr">
        <is>
          <t>HC-101078</t>
        </is>
      </c>
      <c r="B1080" s="18" t="n">
        <v>45640</v>
      </c>
      <c r="C1080" s="13" t="inlineStr">
        <is>
          <t>North</t>
        </is>
      </c>
      <c r="D1080" s="13" t="inlineStr">
        <is>
          <t>Online</t>
        </is>
      </c>
      <c r="E1080" s="13" t="inlineStr">
        <is>
          <t>Textiles</t>
        </is>
      </c>
      <c r="F1080" s="13" t="inlineStr">
        <is>
          <t>Cotton Duvet</t>
        </is>
      </c>
      <c r="G1080" s="13" t="inlineStr">
        <is>
          <t>Consumer</t>
        </is>
      </c>
      <c r="H1080" s="13" t="n">
        <v>3</v>
      </c>
      <c r="I1080" s="14" t="n">
        <v>116.37</v>
      </c>
      <c r="J1080" s="15" t="n">
        <v>0.07000000000000001</v>
      </c>
      <c r="K1080" s="14" t="n">
        <v>51.2</v>
      </c>
      <c r="L1080" s="13" t="n">
        <v>8</v>
      </c>
      <c r="M1080" s="13" t="inlineStr">
        <is>
          <t>Completed</t>
        </is>
      </c>
      <c r="N1080" s="13" t="inlineStr">
        <is>
          <t>M. Okonkwo</t>
        </is>
      </c>
      <c r="O1080" s="13" t="inlineStr">
        <is>
          <t>No</t>
        </is>
      </c>
      <c r="P1080" s="14">
        <f>H1080*I1080</f>
        <v/>
      </c>
      <c r="Q1080" s="14">
        <f>P1080*(1-J1080)</f>
        <v/>
      </c>
      <c r="R1080" s="14">
        <f>H1080*K1080</f>
        <v/>
      </c>
      <c r="S1080" s="15">
        <f>IF(Q1080=0,"",(Q1080-R1080)/Q1080)</f>
        <v/>
      </c>
      <c r="T1080" s="13">
        <f>YEAR(B1080)</f>
        <v/>
      </c>
      <c r="U1080" s="13">
        <f>YEAR(B1080)&amp;"-Q"&amp;ROUNDUP(MONTH(B1080)/3,0)</f>
        <v/>
      </c>
      <c r="V1080" s="13">
        <f>TEXT(B1080,"YYYY-MM")</f>
        <v/>
      </c>
      <c r="W1080" s="13">
        <f>IF(L1080="","",IF(L1080&gt;pLateDays,1,0))</f>
        <v/>
      </c>
      <c r="X1080" s="13">
        <f>IF(Q1080&gt;=pHighCutoff,1,0)</f>
        <v/>
      </c>
      <c r="Y1080" s="13">
        <f>IF(M1080="Returned",1,0)</f>
        <v/>
      </c>
    </row>
    <row r="1081">
      <c r="A1081" s="13" t="inlineStr">
        <is>
          <t>HC-101079</t>
        </is>
      </c>
      <c r="B1081" s="18" t="n">
        <v>45407</v>
      </c>
      <c r="C1081" s="13" t="inlineStr">
        <is>
          <t>West</t>
        </is>
      </c>
      <c r="D1081" s="13" t="inlineStr">
        <is>
          <t>Online</t>
        </is>
      </c>
      <c r="E1081" s="13" t="inlineStr">
        <is>
          <t>Furniture</t>
        </is>
      </c>
      <c r="F1081" s="13" t="inlineStr">
        <is>
          <t>Lounge Chair</t>
        </is>
      </c>
      <c r="G1081" s="13" t="inlineStr">
        <is>
          <t>Consumer</t>
        </is>
      </c>
      <c r="H1081" s="13" t="n">
        <v>3</v>
      </c>
      <c r="I1081" s="14" t="n">
        <v>449.11</v>
      </c>
      <c r="J1081" s="15" t="n">
        <v>0.05</v>
      </c>
      <c r="K1081" s="14" t="n">
        <v>269.46</v>
      </c>
      <c r="L1081" s="13" t="n">
        <v>6</v>
      </c>
      <c r="M1081" s="13" t="inlineStr">
        <is>
          <t>Completed</t>
        </is>
      </c>
      <c r="N1081" s="13" t="inlineStr">
        <is>
          <t>A. Shah</t>
        </is>
      </c>
      <c r="O1081" s="13" t="inlineStr">
        <is>
          <t>No</t>
        </is>
      </c>
      <c r="P1081" s="14">
        <f>H1081*I1081</f>
        <v/>
      </c>
      <c r="Q1081" s="14">
        <f>P1081*(1-J1081)</f>
        <v/>
      </c>
      <c r="R1081" s="14">
        <f>H1081*K1081</f>
        <v/>
      </c>
      <c r="S1081" s="15">
        <f>IF(Q1081=0,"",(Q1081-R1081)/Q1081)</f>
        <v/>
      </c>
      <c r="T1081" s="13">
        <f>YEAR(B1081)</f>
        <v/>
      </c>
      <c r="U1081" s="13">
        <f>YEAR(B1081)&amp;"-Q"&amp;ROUNDUP(MONTH(B1081)/3,0)</f>
        <v/>
      </c>
      <c r="V1081" s="13">
        <f>TEXT(B1081,"YYYY-MM")</f>
        <v/>
      </c>
      <c r="W1081" s="13">
        <f>IF(L1081="","",IF(L1081&gt;pLateDays,1,0))</f>
        <v/>
      </c>
      <c r="X1081" s="13">
        <f>IF(Q1081&gt;=pHighCutoff,1,0)</f>
        <v/>
      </c>
      <c r="Y1081" s="13">
        <f>IF(M1081="Returned",1,0)</f>
        <v/>
      </c>
    </row>
    <row r="1082">
      <c r="A1082" s="13" t="inlineStr">
        <is>
          <t>HC-101080</t>
        </is>
      </c>
      <c r="B1082" s="18" t="n">
        <v>45651</v>
      </c>
      <c r="C1082" s="13" t="inlineStr">
        <is>
          <t>South</t>
        </is>
      </c>
      <c r="D1082" s="13" t="inlineStr">
        <is>
          <t>Store</t>
        </is>
      </c>
      <c r="E1082" s="13" t="inlineStr">
        <is>
          <t>Lighting</t>
        </is>
      </c>
      <c r="F1082" s="13" t="inlineStr">
        <is>
          <t>Pendant Light</t>
        </is>
      </c>
      <c r="G1082" s="13" t="inlineStr">
        <is>
          <t>Consumer</t>
        </is>
      </c>
      <c r="H1082" s="13" t="n">
        <v>2</v>
      </c>
      <c r="I1082" s="14" t="n">
        <v>166.9</v>
      </c>
      <c r="J1082" s="15" t="n">
        <v>0.08</v>
      </c>
      <c r="K1082" s="14" t="n">
        <v>83.45</v>
      </c>
      <c r="L1082" s="13" t="n">
        <v>5</v>
      </c>
      <c r="M1082" s="13" t="inlineStr">
        <is>
          <t>Completed</t>
        </is>
      </c>
      <c r="N1082" s="13" t="inlineStr">
        <is>
          <t>R. Ibarra</t>
        </is>
      </c>
      <c r="O1082" s="13" t="inlineStr">
        <is>
          <t>No</t>
        </is>
      </c>
      <c r="P1082" s="14">
        <f>H1082*I1082</f>
        <v/>
      </c>
      <c r="Q1082" s="14">
        <f>P1082*(1-J1082)</f>
        <v/>
      </c>
      <c r="R1082" s="14">
        <f>H1082*K1082</f>
        <v/>
      </c>
      <c r="S1082" s="15">
        <f>IF(Q1082=0,"",(Q1082-R1082)/Q1082)</f>
        <v/>
      </c>
      <c r="T1082" s="13">
        <f>YEAR(B1082)</f>
        <v/>
      </c>
      <c r="U1082" s="13">
        <f>YEAR(B1082)&amp;"-Q"&amp;ROUNDUP(MONTH(B1082)/3,0)</f>
        <v/>
      </c>
      <c r="V1082" s="13">
        <f>TEXT(B1082,"YYYY-MM")</f>
        <v/>
      </c>
      <c r="W1082" s="13">
        <f>IF(L1082="","",IF(L1082&gt;pLateDays,1,0))</f>
        <v/>
      </c>
      <c r="X1082" s="13">
        <f>IF(Q1082&gt;=pHighCutoff,1,0)</f>
        <v/>
      </c>
      <c r="Y1082" s="13">
        <f>IF(M1082="Returned",1,0)</f>
        <v/>
      </c>
    </row>
    <row r="1083">
      <c r="A1083" s="13" t="inlineStr">
        <is>
          <t>HC-101081</t>
        </is>
      </c>
      <c r="B1083" s="18" t="n">
        <v>45644</v>
      </c>
      <c r="C1083" s="13" t="inlineStr">
        <is>
          <t>East</t>
        </is>
      </c>
      <c r="D1083" s="13" t="inlineStr">
        <is>
          <t>Online</t>
        </is>
      </c>
      <c r="E1083" s="13" t="inlineStr">
        <is>
          <t>Furniture</t>
        </is>
      </c>
      <c r="F1083" s="13" t="inlineStr">
        <is>
          <t>Walnut Shelf</t>
        </is>
      </c>
      <c r="G1083" s="13" t="inlineStr">
        <is>
          <t>Unknown</t>
        </is>
      </c>
      <c r="H1083" s="13" t="n">
        <v>3</v>
      </c>
      <c r="I1083" s="14" t="n">
        <v>198.72</v>
      </c>
      <c r="J1083" s="15" t="n">
        <v>0.17</v>
      </c>
      <c r="K1083" s="14" t="n">
        <v>109.3</v>
      </c>
      <c r="L1083" s="13" t="n">
        <v>10</v>
      </c>
      <c r="M1083" s="13" t="inlineStr">
        <is>
          <t>Completed</t>
        </is>
      </c>
      <c r="N1083" s="13" t="inlineStr">
        <is>
          <t>P. Rossi</t>
        </is>
      </c>
      <c r="O1083" s="13" t="inlineStr">
        <is>
          <t>No</t>
        </is>
      </c>
      <c r="P1083" s="14">
        <f>H1083*I1083</f>
        <v/>
      </c>
      <c r="Q1083" s="14">
        <f>P1083*(1-J1083)</f>
        <v/>
      </c>
      <c r="R1083" s="14">
        <f>H1083*K1083</f>
        <v/>
      </c>
      <c r="S1083" s="15">
        <f>IF(Q1083=0,"",(Q1083-R1083)/Q1083)</f>
        <v/>
      </c>
      <c r="T1083" s="13">
        <f>YEAR(B1083)</f>
        <v/>
      </c>
      <c r="U1083" s="13">
        <f>YEAR(B1083)&amp;"-Q"&amp;ROUNDUP(MONTH(B1083)/3,0)</f>
        <v/>
      </c>
      <c r="V1083" s="13">
        <f>TEXT(B1083,"YYYY-MM")</f>
        <v/>
      </c>
      <c r="W1083" s="13">
        <f>IF(L1083="","",IF(L1083&gt;pLateDays,1,0))</f>
        <v/>
      </c>
      <c r="X1083" s="13">
        <f>IF(Q1083&gt;=pHighCutoff,1,0)</f>
        <v/>
      </c>
      <c r="Y1083" s="13">
        <f>IF(M1083="Returned",1,0)</f>
        <v/>
      </c>
    </row>
    <row r="1084">
      <c r="A1084" s="13" t="inlineStr">
        <is>
          <t>HC-101082</t>
        </is>
      </c>
      <c r="B1084" s="18" t="n">
        <v>45881</v>
      </c>
      <c r="C1084" s="13" t="inlineStr">
        <is>
          <t>East</t>
        </is>
      </c>
      <c r="D1084" s="13" t="inlineStr">
        <is>
          <t>Store</t>
        </is>
      </c>
      <c r="E1084" s="13" t="inlineStr">
        <is>
          <t>Lighting</t>
        </is>
      </c>
      <c r="F1084" s="13" t="inlineStr">
        <is>
          <t>Pendant Light</t>
        </is>
      </c>
      <c r="G1084" s="13" t="inlineStr">
        <is>
          <t>Corporate</t>
        </is>
      </c>
      <c r="H1084" s="13" t="n">
        <v>1</v>
      </c>
      <c r="I1084" s="14" t="n">
        <v>172.78</v>
      </c>
      <c r="J1084" s="15" t="n">
        <v>0</v>
      </c>
      <c r="K1084" s="14" t="n">
        <v>86.39</v>
      </c>
      <c r="L1084" s="13" t="n">
        <v>9</v>
      </c>
      <c r="M1084" s="13" t="inlineStr">
        <is>
          <t>Completed</t>
        </is>
      </c>
      <c r="N1084" s="13" t="inlineStr">
        <is>
          <t>M. Okonkwo</t>
        </is>
      </c>
      <c r="O1084" s="13" t="inlineStr">
        <is>
          <t>No</t>
        </is>
      </c>
      <c r="P1084" s="14">
        <f>H1084*I1084</f>
        <v/>
      </c>
      <c r="Q1084" s="14">
        <f>P1084*(1-J1084)</f>
        <v/>
      </c>
      <c r="R1084" s="14">
        <f>H1084*K1084</f>
        <v/>
      </c>
      <c r="S1084" s="15">
        <f>IF(Q1084=0,"",(Q1084-R1084)/Q1084)</f>
        <v/>
      </c>
      <c r="T1084" s="13">
        <f>YEAR(B1084)</f>
        <v/>
      </c>
      <c r="U1084" s="13">
        <f>YEAR(B1084)&amp;"-Q"&amp;ROUNDUP(MONTH(B1084)/3,0)</f>
        <v/>
      </c>
      <c r="V1084" s="13">
        <f>TEXT(B1084,"YYYY-MM")</f>
        <v/>
      </c>
      <c r="W1084" s="13">
        <f>IF(L1084="","",IF(L1084&gt;pLateDays,1,0))</f>
        <v/>
      </c>
      <c r="X1084" s="13">
        <f>IF(Q1084&gt;=pHighCutoff,1,0)</f>
        <v/>
      </c>
      <c r="Y1084" s="13">
        <f>IF(M1084="Returned",1,0)</f>
        <v/>
      </c>
    </row>
    <row r="1085">
      <c r="A1085" s="13" t="inlineStr">
        <is>
          <t>HC-101083</t>
        </is>
      </c>
      <c r="B1085" s="18" t="n">
        <v>45304</v>
      </c>
      <c r="C1085" s="13" t="inlineStr">
        <is>
          <t>West</t>
        </is>
      </c>
      <c r="D1085" s="13" t="inlineStr">
        <is>
          <t>Store</t>
        </is>
      </c>
      <c r="E1085" s="13" t="inlineStr">
        <is>
          <t>Textiles</t>
        </is>
      </c>
      <c r="F1085" s="13" t="inlineStr">
        <is>
          <t>Linen Curtain</t>
        </is>
      </c>
      <c r="G1085" s="13" t="inlineStr">
        <is>
          <t>Home Office</t>
        </is>
      </c>
      <c r="H1085" s="13" t="n">
        <v>4</v>
      </c>
      <c r="I1085" s="14" t="n">
        <v>91.38</v>
      </c>
      <c r="J1085" s="15" t="n">
        <v>0</v>
      </c>
      <c r="K1085" s="14" t="n">
        <v>41.12</v>
      </c>
      <c r="L1085" s="13" t="n">
        <v>3</v>
      </c>
      <c r="M1085" s="13" t="inlineStr">
        <is>
          <t>Completed</t>
        </is>
      </c>
      <c r="N1085" s="13" t="inlineStr">
        <is>
          <t>S. Nguyen</t>
        </is>
      </c>
      <c r="O1085" s="13" t="inlineStr">
        <is>
          <t>No</t>
        </is>
      </c>
      <c r="P1085" s="14">
        <f>H1085*I1085</f>
        <v/>
      </c>
      <c r="Q1085" s="14">
        <f>P1085*(1-J1085)</f>
        <v/>
      </c>
      <c r="R1085" s="14">
        <f>H1085*K1085</f>
        <v/>
      </c>
      <c r="S1085" s="15">
        <f>IF(Q1085=0,"",(Q1085-R1085)/Q1085)</f>
        <v/>
      </c>
      <c r="T1085" s="13">
        <f>YEAR(B1085)</f>
        <v/>
      </c>
      <c r="U1085" s="13">
        <f>YEAR(B1085)&amp;"-Q"&amp;ROUNDUP(MONTH(B1085)/3,0)</f>
        <v/>
      </c>
      <c r="V1085" s="13">
        <f>TEXT(B1085,"YYYY-MM")</f>
        <v/>
      </c>
      <c r="W1085" s="13">
        <f>IF(L1085="","",IF(L1085&gt;pLateDays,1,0))</f>
        <v/>
      </c>
      <c r="X1085" s="13">
        <f>IF(Q1085&gt;=pHighCutoff,1,0)</f>
        <v/>
      </c>
      <c r="Y1085" s="13">
        <f>IF(M1085="Returned",1,0)</f>
        <v/>
      </c>
    </row>
    <row r="1086">
      <c r="A1086" s="13" t="inlineStr">
        <is>
          <t>HC-101084</t>
        </is>
      </c>
      <c r="B1086" s="18" t="n">
        <v>45651</v>
      </c>
      <c r="C1086" s="13" t="inlineStr">
        <is>
          <t>East</t>
        </is>
      </c>
      <c r="D1086" s="13" t="inlineStr">
        <is>
          <t>Store</t>
        </is>
      </c>
      <c r="E1086" s="13" t="inlineStr">
        <is>
          <t>Textiles</t>
        </is>
      </c>
      <c r="F1086" s="13" t="inlineStr">
        <is>
          <t>Wool Throw</t>
        </is>
      </c>
      <c r="G1086" s="13" t="inlineStr">
        <is>
          <t>Consumer</t>
        </is>
      </c>
      <c r="H1086" s="13" t="n">
        <v>3</v>
      </c>
      <c r="I1086" s="14" t="n">
        <v>69.01000000000001</v>
      </c>
      <c r="J1086" s="15" t="n">
        <v>0.08</v>
      </c>
      <c r="K1086" s="14" t="n">
        <v>28.98</v>
      </c>
      <c r="L1086" s="13" t="n">
        <v>7</v>
      </c>
      <c r="M1086" s="13" t="inlineStr">
        <is>
          <t>Completed</t>
        </is>
      </c>
      <c r="N1086" s="13" t="inlineStr">
        <is>
          <t>J. Patel</t>
        </is>
      </c>
      <c r="O1086" s="13" t="inlineStr">
        <is>
          <t>No</t>
        </is>
      </c>
      <c r="P1086" s="14">
        <f>H1086*I1086</f>
        <v/>
      </c>
      <c r="Q1086" s="14">
        <f>P1086*(1-J1086)</f>
        <v/>
      </c>
      <c r="R1086" s="14">
        <f>H1086*K1086</f>
        <v/>
      </c>
      <c r="S1086" s="15">
        <f>IF(Q1086=0,"",(Q1086-R1086)/Q1086)</f>
        <v/>
      </c>
      <c r="T1086" s="13">
        <f>YEAR(B1086)</f>
        <v/>
      </c>
      <c r="U1086" s="13">
        <f>YEAR(B1086)&amp;"-Q"&amp;ROUNDUP(MONTH(B1086)/3,0)</f>
        <v/>
      </c>
      <c r="V1086" s="13">
        <f>TEXT(B1086,"YYYY-MM")</f>
        <v/>
      </c>
      <c r="W1086" s="13">
        <f>IF(L1086="","",IF(L1086&gt;pLateDays,1,0))</f>
        <v/>
      </c>
      <c r="X1086" s="13">
        <f>IF(Q1086&gt;=pHighCutoff,1,0)</f>
        <v/>
      </c>
      <c r="Y1086" s="13">
        <f>IF(M1086="Returned",1,0)</f>
        <v/>
      </c>
    </row>
    <row r="1087">
      <c r="A1087" s="13" t="inlineStr">
        <is>
          <t>HC-101085</t>
        </is>
      </c>
      <c r="B1087" s="18" t="n">
        <v>45375</v>
      </c>
      <c r="C1087" s="13" t="inlineStr">
        <is>
          <t>South</t>
        </is>
      </c>
      <c r="D1087" s="13" t="inlineStr">
        <is>
          <t>Store</t>
        </is>
      </c>
      <c r="E1087" s="13" t="inlineStr">
        <is>
          <t>Lighting</t>
        </is>
      </c>
      <c r="F1087" s="13" t="inlineStr">
        <is>
          <t>Brass Sconce</t>
        </is>
      </c>
      <c r="G1087" s="13" t="inlineStr">
        <is>
          <t>Consumer</t>
        </is>
      </c>
      <c r="H1087" s="13" t="n">
        <v>1</v>
      </c>
      <c r="I1087" s="14" t="n">
        <v>144.95</v>
      </c>
      <c r="J1087" s="15" t="n">
        <v>0.1</v>
      </c>
      <c r="K1087" s="14" t="n">
        <v>66.68000000000001</v>
      </c>
      <c r="L1087" s="13" t="n">
        <v>7</v>
      </c>
      <c r="M1087" s="13" t="inlineStr">
        <is>
          <t>Completed</t>
        </is>
      </c>
      <c r="N1087" s="13" t="inlineStr">
        <is>
          <t>R. Ibarra</t>
        </is>
      </c>
      <c r="O1087" s="13" t="inlineStr">
        <is>
          <t>No</t>
        </is>
      </c>
      <c r="P1087" s="14">
        <f>H1087*I1087</f>
        <v/>
      </c>
      <c r="Q1087" s="14">
        <f>P1087*(1-J1087)</f>
        <v/>
      </c>
      <c r="R1087" s="14">
        <f>H1087*K1087</f>
        <v/>
      </c>
      <c r="S1087" s="15">
        <f>IF(Q1087=0,"",(Q1087-R1087)/Q1087)</f>
        <v/>
      </c>
      <c r="T1087" s="13">
        <f>YEAR(B1087)</f>
        <v/>
      </c>
      <c r="U1087" s="13">
        <f>YEAR(B1087)&amp;"-Q"&amp;ROUNDUP(MONTH(B1087)/3,0)</f>
        <v/>
      </c>
      <c r="V1087" s="13">
        <f>TEXT(B1087,"YYYY-MM")</f>
        <v/>
      </c>
      <c r="W1087" s="13">
        <f>IF(L1087="","",IF(L1087&gt;pLateDays,1,0))</f>
        <v/>
      </c>
      <c r="X1087" s="13">
        <f>IF(Q1087&gt;=pHighCutoff,1,0)</f>
        <v/>
      </c>
      <c r="Y1087" s="13">
        <f>IF(M1087="Returned",1,0)</f>
        <v/>
      </c>
    </row>
    <row r="1088">
      <c r="A1088" s="13" t="inlineStr">
        <is>
          <t>HC-101086</t>
        </is>
      </c>
      <c r="B1088" s="18" t="n">
        <v>45833</v>
      </c>
      <c r="C1088" s="13" t="inlineStr">
        <is>
          <t>South</t>
        </is>
      </c>
      <c r="D1088" s="13" t="inlineStr">
        <is>
          <t>Online</t>
        </is>
      </c>
      <c r="E1088" s="13" t="inlineStr">
        <is>
          <t>Kitchen</t>
        </is>
      </c>
      <c r="F1088" s="13" t="inlineStr">
        <is>
          <t>Cast Skillet</t>
        </is>
      </c>
      <c r="G1088" s="13" t="inlineStr">
        <is>
          <t>Consumer</t>
        </is>
      </c>
      <c r="H1088" s="13" t="n">
        <v>3</v>
      </c>
      <c r="I1088" s="14" t="n">
        <v>55.02</v>
      </c>
      <c r="J1088" s="15" t="n">
        <v>0.05</v>
      </c>
      <c r="K1088" s="14" t="n">
        <v>22.01</v>
      </c>
      <c r="L1088" s="13" t="n">
        <v>5</v>
      </c>
      <c r="M1088" s="13" t="inlineStr">
        <is>
          <t>Completed</t>
        </is>
      </c>
      <c r="N1088" s="13" t="inlineStr">
        <is>
          <t>L. Berger</t>
        </is>
      </c>
      <c r="O1088" s="13" t="inlineStr">
        <is>
          <t>No</t>
        </is>
      </c>
      <c r="P1088" s="14">
        <f>H1088*I1088</f>
        <v/>
      </c>
      <c r="Q1088" s="14">
        <f>P1088*(1-J1088)</f>
        <v/>
      </c>
      <c r="R1088" s="14">
        <f>H1088*K1088</f>
        <v/>
      </c>
      <c r="S1088" s="15">
        <f>IF(Q1088=0,"",(Q1088-R1088)/Q1088)</f>
        <v/>
      </c>
      <c r="T1088" s="13">
        <f>YEAR(B1088)</f>
        <v/>
      </c>
      <c r="U1088" s="13">
        <f>YEAR(B1088)&amp;"-Q"&amp;ROUNDUP(MONTH(B1088)/3,0)</f>
        <v/>
      </c>
      <c r="V1088" s="13">
        <f>TEXT(B1088,"YYYY-MM")</f>
        <v/>
      </c>
      <c r="W1088" s="13">
        <f>IF(L1088="","",IF(L1088&gt;pLateDays,1,0))</f>
        <v/>
      </c>
      <c r="X1088" s="13">
        <f>IF(Q1088&gt;=pHighCutoff,1,0)</f>
        <v/>
      </c>
      <c r="Y1088" s="13">
        <f>IF(M1088="Returned",1,0)</f>
        <v/>
      </c>
    </row>
    <row r="1089">
      <c r="A1089" s="13" t="inlineStr">
        <is>
          <t>HC-101087</t>
        </is>
      </c>
      <c r="B1089" s="18" t="n">
        <v>45646</v>
      </c>
      <c r="C1089" s="13" t="inlineStr">
        <is>
          <t>South</t>
        </is>
      </c>
      <c r="D1089" s="13" t="inlineStr">
        <is>
          <t>Store</t>
        </is>
      </c>
      <c r="E1089" s="13" t="inlineStr">
        <is>
          <t>Furniture</t>
        </is>
      </c>
      <c r="F1089" s="13" t="inlineStr">
        <is>
          <t>Lounge Chair</t>
        </is>
      </c>
      <c r="G1089" s="13" t="inlineStr">
        <is>
          <t>Consumer</t>
        </is>
      </c>
      <c r="H1089" s="13" t="n">
        <v>2</v>
      </c>
      <c r="I1089" s="14" t="n">
        <v>512.73</v>
      </c>
      <c r="J1089" s="15" t="n">
        <v>0.05</v>
      </c>
      <c r="K1089" s="14" t="n">
        <v>307.64</v>
      </c>
      <c r="L1089" s="13" t="n">
        <v>5</v>
      </c>
      <c r="M1089" s="13" t="inlineStr">
        <is>
          <t>Completed</t>
        </is>
      </c>
      <c r="N1089" s="13" t="inlineStr">
        <is>
          <t>S. Nguyen</t>
        </is>
      </c>
      <c r="O1089" s="13" t="inlineStr">
        <is>
          <t>No</t>
        </is>
      </c>
      <c r="P1089" s="14">
        <f>H1089*I1089</f>
        <v/>
      </c>
      <c r="Q1089" s="14">
        <f>P1089*(1-J1089)</f>
        <v/>
      </c>
      <c r="R1089" s="14">
        <f>H1089*K1089</f>
        <v/>
      </c>
      <c r="S1089" s="15">
        <f>IF(Q1089=0,"",(Q1089-R1089)/Q1089)</f>
        <v/>
      </c>
      <c r="T1089" s="13">
        <f>YEAR(B1089)</f>
        <v/>
      </c>
      <c r="U1089" s="13">
        <f>YEAR(B1089)&amp;"-Q"&amp;ROUNDUP(MONTH(B1089)/3,0)</f>
        <v/>
      </c>
      <c r="V1089" s="13">
        <f>TEXT(B1089,"YYYY-MM")</f>
        <v/>
      </c>
      <c r="W1089" s="13">
        <f>IF(L1089="","",IF(L1089&gt;pLateDays,1,0))</f>
        <v/>
      </c>
      <c r="X1089" s="13">
        <f>IF(Q1089&gt;=pHighCutoff,1,0)</f>
        <v/>
      </c>
      <c r="Y1089" s="13">
        <f>IF(M1089="Returned",1,0)</f>
        <v/>
      </c>
    </row>
    <row r="1090">
      <c r="A1090" s="13" t="inlineStr">
        <is>
          <t>HC-101088</t>
        </is>
      </c>
      <c r="B1090" s="18" t="n">
        <v>45702</v>
      </c>
      <c r="C1090" s="13" t="inlineStr">
        <is>
          <t>West</t>
        </is>
      </c>
      <c r="D1090" s="13" t="inlineStr">
        <is>
          <t>Store</t>
        </is>
      </c>
      <c r="E1090" s="13" t="inlineStr">
        <is>
          <t>Lighting</t>
        </is>
      </c>
      <c r="F1090" s="13" t="inlineStr">
        <is>
          <t>Brass Sconce</t>
        </is>
      </c>
      <c r="G1090" s="13" t="inlineStr">
        <is>
          <t>Consumer</t>
        </is>
      </c>
      <c r="H1090" s="13" t="n">
        <v>3</v>
      </c>
      <c r="I1090" s="14" t="n">
        <v>130.62</v>
      </c>
      <c r="J1090" s="15" t="n">
        <v>0.01</v>
      </c>
      <c r="K1090" s="14" t="n">
        <v>60.08</v>
      </c>
      <c r="L1090" s="13" t="n">
        <v>5</v>
      </c>
      <c r="M1090" s="13" t="inlineStr">
        <is>
          <t>Completed</t>
        </is>
      </c>
      <c r="N1090" s="13" t="inlineStr">
        <is>
          <t>A. Shah</t>
        </is>
      </c>
      <c r="O1090" s="13" t="inlineStr">
        <is>
          <t>No</t>
        </is>
      </c>
      <c r="P1090" s="14">
        <f>H1090*I1090</f>
        <v/>
      </c>
      <c r="Q1090" s="14">
        <f>P1090*(1-J1090)</f>
        <v/>
      </c>
      <c r="R1090" s="14">
        <f>H1090*K1090</f>
        <v/>
      </c>
      <c r="S1090" s="15">
        <f>IF(Q1090=0,"",(Q1090-R1090)/Q1090)</f>
        <v/>
      </c>
      <c r="T1090" s="13">
        <f>YEAR(B1090)</f>
        <v/>
      </c>
      <c r="U1090" s="13">
        <f>YEAR(B1090)&amp;"-Q"&amp;ROUNDUP(MONTH(B1090)/3,0)</f>
        <v/>
      </c>
      <c r="V1090" s="13">
        <f>TEXT(B1090,"YYYY-MM")</f>
        <v/>
      </c>
      <c r="W1090" s="13">
        <f>IF(L1090="","",IF(L1090&gt;pLateDays,1,0))</f>
        <v/>
      </c>
      <c r="X1090" s="13">
        <f>IF(Q1090&gt;=pHighCutoff,1,0)</f>
        <v/>
      </c>
      <c r="Y1090" s="13">
        <f>IF(M1090="Returned",1,0)</f>
        <v/>
      </c>
    </row>
    <row r="1091">
      <c r="A1091" s="13" t="inlineStr">
        <is>
          <t>HC-101089</t>
        </is>
      </c>
      <c r="B1091" s="18" t="n">
        <v>45776</v>
      </c>
      <c r="C1091" s="13" t="inlineStr">
        <is>
          <t>West</t>
        </is>
      </c>
      <c r="D1091" s="13" t="inlineStr">
        <is>
          <t>Store</t>
        </is>
      </c>
      <c r="E1091" s="13" t="inlineStr">
        <is>
          <t>Furniture</t>
        </is>
      </c>
      <c r="F1091" s="13" t="inlineStr">
        <is>
          <t>Lounge Chair</t>
        </is>
      </c>
      <c r="G1091" s="13" t="inlineStr">
        <is>
          <t>Corporate</t>
        </is>
      </c>
      <c r="H1091" s="13" t="n">
        <v>2</v>
      </c>
      <c r="I1091" s="14" t="n">
        <v>463.79</v>
      </c>
      <c r="J1091" s="15" t="n">
        <v>0.03</v>
      </c>
      <c r="K1091" s="14" t="n">
        <v>278.27</v>
      </c>
      <c r="L1091" s="13" t="n">
        <v>5</v>
      </c>
      <c r="M1091" s="13" t="inlineStr">
        <is>
          <t>Completed</t>
        </is>
      </c>
      <c r="N1091" s="13" t="inlineStr">
        <is>
          <t>R. Ibarra</t>
        </is>
      </c>
      <c r="O1091" s="13" t="inlineStr">
        <is>
          <t>No</t>
        </is>
      </c>
      <c r="P1091" s="14">
        <f>H1091*I1091</f>
        <v/>
      </c>
      <c r="Q1091" s="14">
        <f>P1091*(1-J1091)</f>
        <v/>
      </c>
      <c r="R1091" s="14">
        <f>H1091*K1091</f>
        <v/>
      </c>
      <c r="S1091" s="15">
        <f>IF(Q1091=0,"",(Q1091-R1091)/Q1091)</f>
        <v/>
      </c>
      <c r="T1091" s="13">
        <f>YEAR(B1091)</f>
        <v/>
      </c>
      <c r="U1091" s="13">
        <f>YEAR(B1091)&amp;"-Q"&amp;ROUNDUP(MONTH(B1091)/3,0)</f>
        <v/>
      </c>
      <c r="V1091" s="13">
        <f>TEXT(B1091,"YYYY-MM")</f>
        <v/>
      </c>
      <c r="W1091" s="13">
        <f>IF(L1091="","",IF(L1091&gt;pLateDays,1,0))</f>
        <v/>
      </c>
      <c r="X1091" s="13">
        <f>IF(Q1091&gt;=pHighCutoff,1,0)</f>
        <v/>
      </c>
      <c r="Y1091" s="13">
        <f>IF(M1091="Returned",1,0)</f>
        <v/>
      </c>
    </row>
    <row r="1092">
      <c r="A1092" s="13" t="inlineStr">
        <is>
          <t>HC-101090</t>
        </is>
      </c>
      <c r="B1092" s="18" t="n">
        <v>45829</v>
      </c>
      <c r="C1092" s="13" t="inlineStr">
        <is>
          <t>North</t>
        </is>
      </c>
      <c r="D1092" s="13" t="inlineStr">
        <is>
          <t>Store</t>
        </is>
      </c>
      <c r="E1092" s="13" t="inlineStr">
        <is>
          <t>Textiles</t>
        </is>
      </c>
      <c r="F1092" s="13" t="inlineStr">
        <is>
          <t>Cotton Duvet</t>
        </is>
      </c>
      <c r="G1092" s="13" t="inlineStr">
        <is>
          <t>Home Office</t>
        </is>
      </c>
      <c r="H1092" s="13" t="n">
        <v>3</v>
      </c>
      <c r="I1092" s="14" t="n">
        <v>114.71</v>
      </c>
      <c r="J1092" s="15" t="n">
        <v>0.05</v>
      </c>
      <c r="K1092" s="14" t="n">
        <v>50.47</v>
      </c>
      <c r="L1092" s="13" t="n">
        <v>6</v>
      </c>
      <c r="M1092" s="13" t="inlineStr">
        <is>
          <t>Returned</t>
        </is>
      </c>
      <c r="N1092" s="13" t="inlineStr">
        <is>
          <t>S. Nguyen</t>
        </is>
      </c>
      <c r="O1092" s="13" t="inlineStr">
        <is>
          <t>No</t>
        </is>
      </c>
      <c r="P1092" s="14">
        <f>H1092*I1092</f>
        <v/>
      </c>
      <c r="Q1092" s="14">
        <f>P1092*(1-J1092)</f>
        <v/>
      </c>
      <c r="R1092" s="14">
        <f>H1092*K1092</f>
        <v/>
      </c>
      <c r="S1092" s="15">
        <f>IF(Q1092=0,"",(Q1092-R1092)/Q1092)</f>
        <v/>
      </c>
      <c r="T1092" s="13">
        <f>YEAR(B1092)</f>
        <v/>
      </c>
      <c r="U1092" s="13">
        <f>YEAR(B1092)&amp;"-Q"&amp;ROUNDUP(MONTH(B1092)/3,0)</f>
        <v/>
      </c>
      <c r="V1092" s="13">
        <f>TEXT(B1092,"YYYY-MM")</f>
        <v/>
      </c>
      <c r="W1092" s="13">
        <f>IF(L1092="","",IF(L1092&gt;pLateDays,1,0))</f>
        <v/>
      </c>
      <c r="X1092" s="13">
        <f>IF(Q1092&gt;=pHighCutoff,1,0)</f>
        <v/>
      </c>
      <c r="Y1092" s="13">
        <f>IF(M1092="Returned",1,0)</f>
        <v/>
      </c>
    </row>
    <row r="1093">
      <c r="A1093" s="13" t="inlineStr">
        <is>
          <t>HC-101091</t>
        </is>
      </c>
      <c r="B1093" s="18" t="n">
        <v>45475</v>
      </c>
      <c r="C1093" s="13" t="inlineStr">
        <is>
          <t>East</t>
        </is>
      </c>
      <c r="D1093" s="13" t="inlineStr">
        <is>
          <t>Store</t>
        </is>
      </c>
      <c r="E1093" s="13" t="inlineStr">
        <is>
          <t>Textiles</t>
        </is>
      </c>
      <c r="F1093" s="13" t="inlineStr">
        <is>
          <t>Cotton Duvet</t>
        </is>
      </c>
      <c r="G1093" s="13" t="inlineStr">
        <is>
          <t>Home Office</t>
        </is>
      </c>
      <c r="H1093" s="13" t="n">
        <v>1</v>
      </c>
      <c r="I1093" s="14" t="n">
        <v>112.52</v>
      </c>
      <c r="J1093" s="15" t="n">
        <v>0.07000000000000001</v>
      </c>
      <c r="K1093" s="14" t="n">
        <v>49.51</v>
      </c>
      <c r="L1093" s="13" t="n">
        <v>8</v>
      </c>
      <c r="M1093" s="13" t="inlineStr">
        <is>
          <t>Completed</t>
        </is>
      </c>
      <c r="N1093" s="13" t="inlineStr">
        <is>
          <t>L. Berger</t>
        </is>
      </c>
      <c r="O1093" s="13" t="inlineStr">
        <is>
          <t>No</t>
        </is>
      </c>
      <c r="P1093" s="14">
        <f>H1093*I1093</f>
        <v/>
      </c>
      <c r="Q1093" s="14">
        <f>P1093*(1-J1093)</f>
        <v/>
      </c>
      <c r="R1093" s="14">
        <f>H1093*K1093</f>
        <v/>
      </c>
      <c r="S1093" s="15">
        <f>IF(Q1093=0,"",(Q1093-R1093)/Q1093)</f>
        <v/>
      </c>
      <c r="T1093" s="13">
        <f>YEAR(B1093)</f>
        <v/>
      </c>
      <c r="U1093" s="13">
        <f>YEAR(B1093)&amp;"-Q"&amp;ROUNDUP(MONTH(B1093)/3,0)</f>
        <v/>
      </c>
      <c r="V1093" s="13">
        <f>TEXT(B1093,"YYYY-MM")</f>
        <v/>
      </c>
      <c r="W1093" s="13">
        <f>IF(L1093="","",IF(L1093&gt;pLateDays,1,0))</f>
        <v/>
      </c>
      <c r="X1093" s="13">
        <f>IF(Q1093&gt;=pHighCutoff,1,0)</f>
        <v/>
      </c>
      <c r="Y1093" s="13">
        <f>IF(M1093="Returned",1,0)</f>
        <v/>
      </c>
    </row>
    <row r="1094">
      <c r="A1094" s="13" t="inlineStr">
        <is>
          <t>HC-101092</t>
        </is>
      </c>
      <c r="B1094" s="18" t="n">
        <v>45788</v>
      </c>
      <c r="C1094" s="13" t="inlineStr">
        <is>
          <t>East</t>
        </is>
      </c>
      <c r="D1094" s="13" t="inlineStr">
        <is>
          <t>Wholesale</t>
        </is>
      </c>
      <c r="E1094" s="13" t="inlineStr">
        <is>
          <t>Lighting</t>
        </is>
      </c>
      <c r="F1094" s="13" t="inlineStr">
        <is>
          <t>Brass Sconce</t>
        </is>
      </c>
      <c r="G1094" s="13" t="inlineStr">
        <is>
          <t>Consumer</t>
        </is>
      </c>
      <c r="H1094" s="13" t="n">
        <v>17</v>
      </c>
      <c r="I1094" s="14" t="n">
        <v>125.63</v>
      </c>
      <c r="J1094" s="15" t="n">
        <v>0.18</v>
      </c>
      <c r="K1094" s="14" t="n">
        <v>57.79</v>
      </c>
      <c r="L1094" s="13" t="n">
        <v>10</v>
      </c>
      <c r="M1094" s="13" t="inlineStr">
        <is>
          <t>Completed</t>
        </is>
      </c>
      <c r="N1094" s="13" t="inlineStr">
        <is>
          <t>A. Shah</t>
        </is>
      </c>
      <c r="O1094" s="13" t="inlineStr">
        <is>
          <t>No</t>
        </is>
      </c>
      <c r="P1094" s="14">
        <f>H1094*I1094</f>
        <v/>
      </c>
      <c r="Q1094" s="14">
        <f>P1094*(1-J1094)</f>
        <v/>
      </c>
      <c r="R1094" s="14">
        <f>H1094*K1094</f>
        <v/>
      </c>
      <c r="S1094" s="15">
        <f>IF(Q1094=0,"",(Q1094-R1094)/Q1094)</f>
        <v/>
      </c>
      <c r="T1094" s="13">
        <f>YEAR(B1094)</f>
        <v/>
      </c>
      <c r="U1094" s="13">
        <f>YEAR(B1094)&amp;"-Q"&amp;ROUNDUP(MONTH(B1094)/3,0)</f>
        <v/>
      </c>
      <c r="V1094" s="13">
        <f>TEXT(B1094,"YYYY-MM")</f>
        <v/>
      </c>
      <c r="W1094" s="13">
        <f>IF(L1094="","",IF(L1094&gt;pLateDays,1,0))</f>
        <v/>
      </c>
      <c r="X1094" s="13">
        <f>IF(Q1094&gt;=pHighCutoff,1,0)</f>
        <v/>
      </c>
      <c r="Y1094" s="13">
        <f>IF(M1094="Returned",1,0)</f>
        <v/>
      </c>
    </row>
    <row r="1095">
      <c r="A1095" s="13" t="inlineStr">
        <is>
          <t>HC-101093</t>
        </is>
      </c>
      <c r="B1095" s="18" t="n">
        <v>45815</v>
      </c>
      <c r="C1095" s="13" t="inlineStr">
        <is>
          <t>West</t>
        </is>
      </c>
      <c r="D1095" s="13" t="inlineStr">
        <is>
          <t>Online</t>
        </is>
      </c>
      <c r="E1095" s="13" t="inlineStr">
        <is>
          <t>Lighting</t>
        </is>
      </c>
      <c r="F1095" s="13" t="inlineStr">
        <is>
          <t>Arc Lamp</t>
        </is>
      </c>
      <c r="G1095" s="13" t="inlineStr">
        <is>
          <t>Consumer</t>
        </is>
      </c>
      <c r="H1095" s="13" t="n">
        <v>2</v>
      </c>
      <c r="I1095" s="14" t="n">
        <v>300.24</v>
      </c>
      <c r="J1095" s="15" t="n">
        <v>0.1</v>
      </c>
      <c r="K1095" s="14" t="n">
        <v>144.12</v>
      </c>
      <c r="L1095" s="13" t="n">
        <v>4</v>
      </c>
      <c r="M1095" s="13" t="inlineStr">
        <is>
          <t>Completed</t>
        </is>
      </c>
      <c r="N1095" s="13" t="inlineStr">
        <is>
          <t>M. Okonkwo</t>
        </is>
      </c>
      <c r="O1095" s="13" t="inlineStr">
        <is>
          <t>No</t>
        </is>
      </c>
      <c r="P1095" s="14">
        <f>H1095*I1095</f>
        <v/>
      </c>
      <c r="Q1095" s="14">
        <f>P1095*(1-J1095)</f>
        <v/>
      </c>
      <c r="R1095" s="14">
        <f>H1095*K1095</f>
        <v/>
      </c>
      <c r="S1095" s="15">
        <f>IF(Q1095=0,"",(Q1095-R1095)/Q1095)</f>
        <v/>
      </c>
      <c r="T1095" s="13">
        <f>YEAR(B1095)</f>
        <v/>
      </c>
      <c r="U1095" s="13">
        <f>YEAR(B1095)&amp;"-Q"&amp;ROUNDUP(MONTH(B1095)/3,0)</f>
        <v/>
      </c>
      <c r="V1095" s="13">
        <f>TEXT(B1095,"YYYY-MM")</f>
        <v/>
      </c>
      <c r="W1095" s="13">
        <f>IF(L1095="","",IF(L1095&gt;pLateDays,1,0))</f>
        <v/>
      </c>
      <c r="X1095" s="13">
        <f>IF(Q1095&gt;=pHighCutoff,1,0)</f>
        <v/>
      </c>
      <c r="Y1095" s="13">
        <f>IF(M1095="Returned",1,0)</f>
        <v/>
      </c>
    </row>
    <row r="1096">
      <c r="A1096" s="13" t="inlineStr">
        <is>
          <t>HC-101094</t>
        </is>
      </c>
      <c r="B1096" s="18" t="n">
        <v>45892</v>
      </c>
      <c r="C1096" s="13" t="inlineStr">
        <is>
          <t>North</t>
        </is>
      </c>
      <c r="D1096" s="13" t="inlineStr">
        <is>
          <t>Online</t>
        </is>
      </c>
      <c r="E1096" s="13" t="inlineStr">
        <is>
          <t>Kitchen</t>
        </is>
      </c>
      <c r="F1096" s="13" t="inlineStr">
        <is>
          <t>Ceramic Set</t>
        </is>
      </c>
      <c r="G1096" s="13" t="inlineStr">
        <is>
          <t>Home Office</t>
        </is>
      </c>
      <c r="H1096" s="13" t="n">
        <v>1</v>
      </c>
      <c r="I1096" s="14" t="n">
        <v>79.55</v>
      </c>
      <c r="J1096" s="15" t="n">
        <v>0.14</v>
      </c>
      <c r="K1096" s="14" t="n">
        <v>30.23</v>
      </c>
      <c r="L1096" s="13" t="n">
        <v>6</v>
      </c>
      <c r="M1096" s="13" t="inlineStr">
        <is>
          <t>Completed</t>
        </is>
      </c>
      <c r="N1096" s="13" t="inlineStr">
        <is>
          <t>R. Ibarra</t>
        </is>
      </c>
      <c r="O1096" s="13" t="inlineStr">
        <is>
          <t>No</t>
        </is>
      </c>
      <c r="P1096" s="14">
        <f>H1096*I1096</f>
        <v/>
      </c>
      <c r="Q1096" s="14">
        <f>P1096*(1-J1096)</f>
        <v/>
      </c>
      <c r="R1096" s="14">
        <f>H1096*K1096</f>
        <v/>
      </c>
      <c r="S1096" s="15">
        <f>IF(Q1096=0,"",(Q1096-R1096)/Q1096)</f>
        <v/>
      </c>
      <c r="T1096" s="13">
        <f>YEAR(B1096)</f>
        <v/>
      </c>
      <c r="U1096" s="13">
        <f>YEAR(B1096)&amp;"-Q"&amp;ROUNDUP(MONTH(B1096)/3,0)</f>
        <v/>
      </c>
      <c r="V1096" s="13">
        <f>TEXT(B1096,"YYYY-MM")</f>
        <v/>
      </c>
      <c r="W1096" s="13">
        <f>IF(L1096="","",IF(L1096&gt;pLateDays,1,0))</f>
        <v/>
      </c>
      <c r="X1096" s="13">
        <f>IF(Q1096&gt;=pHighCutoff,1,0)</f>
        <v/>
      </c>
      <c r="Y1096" s="13">
        <f>IF(M1096="Returned",1,0)</f>
        <v/>
      </c>
    </row>
    <row r="1097">
      <c r="A1097" s="13" t="inlineStr">
        <is>
          <t>HC-101095</t>
        </is>
      </c>
      <c r="B1097" s="18" t="n">
        <v>45821</v>
      </c>
      <c r="C1097" s="13" t="inlineStr">
        <is>
          <t>West</t>
        </is>
      </c>
      <c r="D1097" s="13" t="inlineStr">
        <is>
          <t>Store</t>
        </is>
      </c>
      <c r="E1097" s="13" t="inlineStr">
        <is>
          <t>Textiles</t>
        </is>
      </c>
      <c r="F1097" s="13" t="inlineStr">
        <is>
          <t>Wool Throw</t>
        </is>
      </c>
      <c r="G1097" s="13" t="inlineStr">
        <is>
          <t>Consumer</t>
        </is>
      </c>
      <c r="H1097" s="13" t="n">
        <v>3</v>
      </c>
      <c r="I1097" s="14" t="n">
        <v>73.36</v>
      </c>
      <c r="J1097" s="15" t="n">
        <v>0.09</v>
      </c>
      <c r="K1097" s="14" t="n">
        <v>30.81</v>
      </c>
      <c r="L1097" s="13" t="n">
        <v>9</v>
      </c>
      <c r="M1097" s="13" t="inlineStr">
        <is>
          <t>Returned</t>
        </is>
      </c>
      <c r="N1097" s="13" t="inlineStr">
        <is>
          <t>A. Shah</t>
        </is>
      </c>
      <c r="O1097" s="13" t="inlineStr">
        <is>
          <t>No</t>
        </is>
      </c>
      <c r="P1097" s="14">
        <f>H1097*I1097</f>
        <v/>
      </c>
      <c r="Q1097" s="14">
        <f>P1097*(1-J1097)</f>
        <v/>
      </c>
      <c r="R1097" s="14">
        <f>H1097*K1097</f>
        <v/>
      </c>
      <c r="S1097" s="15">
        <f>IF(Q1097=0,"",(Q1097-R1097)/Q1097)</f>
        <v/>
      </c>
      <c r="T1097" s="13">
        <f>YEAR(B1097)</f>
        <v/>
      </c>
      <c r="U1097" s="13">
        <f>YEAR(B1097)&amp;"-Q"&amp;ROUNDUP(MONTH(B1097)/3,0)</f>
        <v/>
      </c>
      <c r="V1097" s="13">
        <f>TEXT(B1097,"YYYY-MM")</f>
        <v/>
      </c>
      <c r="W1097" s="13">
        <f>IF(L1097="","",IF(L1097&gt;pLateDays,1,0))</f>
        <v/>
      </c>
      <c r="X1097" s="13">
        <f>IF(Q1097&gt;=pHighCutoff,1,0)</f>
        <v/>
      </c>
      <c r="Y1097" s="13">
        <f>IF(M1097="Returned",1,0)</f>
        <v/>
      </c>
    </row>
    <row r="1098">
      <c r="A1098" s="13" t="inlineStr">
        <is>
          <t>HC-101096</t>
        </is>
      </c>
      <c r="B1098" s="18" t="n">
        <v>45314</v>
      </c>
      <c r="C1098" s="13" t="inlineStr">
        <is>
          <t>West</t>
        </is>
      </c>
      <c r="D1098" s="13" t="inlineStr">
        <is>
          <t>Online</t>
        </is>
      </c>
      <c r="E1098" s="13" t="inlineStr">
        <is>
          <t>Textiles</t>
        </is>
      </c>
      <c r="F1098" s="13" t="inlineStr">
        <is>
          <t>Linen Curtain</t>
        </is>
      </c>
      <c r="G1098" s="13" t="inlineStr">
        <is>
          <t>Consumer</t>
        </is>
      </c>
      <c r="H1098" s="13" t="n">
        <v>1</v>
      </c>
      <c r="I1098" s="14" t="n">
        <v>98.72</v>
      </c>
      <c r="J1098" s="15" t="n">
        <v>0.16</v>
      </c>
      <c r="K1098" s="14" t="n">
        <v>44.42</v>
      </c>
      <c r="L1098" s="13" t="n">
        <v>9</v>
      </c>
      <c r="M1098" s="13" t="inlineStr">
        <is>
          <t>Returned</t>
        </is>
      </c>
      <c r="N1098" s="13" t="inlineStr">
        <is>
          <t>M. Okonkwo</t>
        </is>
      </c>
      <c r="O1098" s="13" t="inlineStr">
        <is>
          <t>No</t>
        </is>
      </c>
      <c r="P1098" s="14">
        <f>H1098*I1098</f>
        <v/>
      </c>
      <c r="Q1098" s="14">
        <f>P1098*(1-J1098)</f>
        <v/>
      </c>
      <c r="R1098" s="14">
        <f>H1098*K1098</f>
        <v/>
      </c>
      <c r="S1098" s="15">
        <f>IF(Q1098=0,"",(Q1098-R1098)/Q1098)</f>
        <v/>
      </c>
      <c r="T1098" s="13">
        <f>YEAR(B1098)</f>
        <v/>
      </c>
      <c r="U1098" s="13">
        <f>YEAR(B1098)&amp;"-Q"&amp;ROUNDUP(MONTH(B1098)/3,0)</f>
        <v/>
      </c>
      <c r="V1098" s="13">
        <f>TEXT(B1098,"YYYY-MM")</f>
        <v/>
      </c>
      <c r="W1098" s="13">
        <f>IF(L1098="","",IF(L1098&gt;pLateDays,1,0))</f>
        <v/>
      </c>
      <c r="X1098" s="13">
        <f>IF(Q1098&gt;=pHighCutoff,1,0)</f>
        <v/>
      </c>
      <c r="Y1098" s="13">
        <f>IF(M1098="Returned",1,0)</f>
        <v/>
      </c>
    </row>
    <row r="1099">
      <c r="A1099" s="13" t="inlineStr">
        <is>
          <t>HC-101097</t>
        </is>
      </c>
      <c r="B1099" s="18" t="n">
        <v>45747</v>
      </c>
      <c r="C1099" s="13" t="inlineStr">
        <is>
          <t>South</t>
        </is>
      </c>
      <c r="D1099" s="13" t="inlineStr">
        <is>
          <t>Store</t>
        </is>
      </c>
      <c r="E1099" s="13" t="inlineStr">
        <is>
          <t>Textiles</t>
        </is>
      </c>
      <c r="F1099" s="13" t="inlineStr">
        <is>
          <t>Linen Curtain</t>
        </is>
      </c>
      <c r="G1099" s="13" t="inlineStr">
        <is>
          <t>Home Office</t>
        </is>
      </c>
      <c r="H1099" s="13" t="n">
        <v>2</v>
      </c>
      <c r="I1099" s="14" t="n">
        <v>94.55</v>
      </c>
      <c r="J1099" s="15" t="n">
        <v>0.03</v>
      </c>
      <c r="K1099" s="14" t="n">
        <v>42.55</v>
      </c>
      <c r="L1099" s="13" t="n">
        <v>9</v>
      </c>
      <c r="M1099" s="13" t="inlineStr">
        <is>
          <t>Returned</t>
        </is>
      </c>
      <c r="N1099" s="13" t="inlineStr">
        <is>
          <t>R. Ibarra</t>
        </is>
      </c>
      <c r="O1099" s="13" t="inlineStr">
        <is>
          <t>No</t>
        </is>
      </c>
      <c r="P1099" s="14">
        <f>H1099*I1099</f>
        <v/>
      </c>
      <c r="Q1099" s="14">
        <f>P1099*(1-J1099)</f>
        <v/>
      </c>
      <c r="R1099" s="14">
        <f>H1099*K1099</f>
        <v/>
      </c>
      <c r="S1099" s="15">
        <f>IF(Q1099=0,"",(Q1099-R1099)/Q1099)</f>
        <v/>
      </c>
      <c r="T1099" s="13">
        <f>YEAR(B1099)</f>
        <v/>
      </c>
      <c r="U1099" s="13">
        <f>YEAR(B1099)&amp;"-Q"&amp;ROUNDUP(MONTH(B1099)/3,0)</f>
        <v/>
      </c>
      <c r="V1099" s="13">
        <f>TEXT(B1099,"YYYY-MM")</f>
        <v/>
      </c>
      <c r="W1099" s="13">
        <f>IF(L1099="","",IF(L1099&gt;pLateDays,1,0))</f>
        <v/>
      </c>
      <c r="X1099" s="13">
        <f>IF(Q1099&gt;=pHighCutoff,1,0)</f>
        <v/>
      </c>
      <c r="Y1099" s="13">
        <f>IF(M1099="Returned",1,0)</f>
        <v/>
      </c>
    </row>
    <row r="1100">
      <c r="A1100" s="13" t="inlineStr">
        <is>
          <t>HC-101098</t>
        </is>
      </c>
      <c r="B1100" s="18" t="n">
        <v>45628</v>
      </c>
      <c r="C1100" s="13" t="inlineStr">
        <is>
          <t>South</t>
        </is>
      </c>
      <c r="D1100" s="13" t="inlineStr">
        <is>
          <t>Store</t>
        </is>
      </c>
      <c r="E1100" s="13" t="inlineStr">
        <is>
          <t>Textiles</t>
        </is>
      </c>
      <c r="F1100" s="13" t="inlineStr">
        <is>
          <t>Linen Curtain</t>
        </is>
      </c>
      <c r="G1100" s="13" t="inlineStr">
        <is>
          <t>Consumer</t>
        </is>
      </c>
      <c r="H1100" s="13" t="n">
        <v>2</v>
      </c>
      <c r="I1100" s="14" t="n">
        <v>95.06</v>
      </c>
      <c r="J1100" s="15" t="n">
        <v>0.04</v>
      </c>
      <c r="K1100" s="14" t="n">
        <v>42.78</v>
      </c>
      <c r="L1100" s="13" t="n">
        <v>7</v>
      </c>
      <c r="M1100" s="13" t="inlineStr">
        <is>
          <t>Completed</t>
        </is>
      </c>
      <c r="N1100" s="13" t="inlineStr">
        <is>
          <t>M. Okonkwo</t>
        </is>
      </c>
      <c r="O1100" s="13" t="inlineStr">
        <is>
          <t>No</t>
        </is>
      </c>
      <c r="P1100" s="14">
        <f>H1100*I1100</f>
        <v/>
      </c>
      <c r="Q1100" s="14">
        <f>P1100*(1-J1100)</f>
        <v/>
      </c>
      <c r="R1100" s="14">
        <f>H1100*K1100</f>
        <v/>
      </c>
      <c r="S1100" s="15">
        <f>IF(Q1100=0,"",(Q1100-R1100)/Q1100)</f>
        <v/>
      </c>
      <c r="T1100" s="13">
        <f>YEAR(B1100)</f>
        <v/>
      </c>
      <c r="U1100" s="13">
        <f>YEAR(B1100)&amp;"-Q"&amp;ROUNDUP(MONTH(B1100)/3,0)</f>
        <v/>
      </c>
      <c r="V1100" s="13">
        <f>TEXT(B1100,"YYYY-MM")</f>
        <v/>
      </c>
      <c r="W1100" s="13">
        <f>IF(L1100="","",IF(L1100&gt;pLateDays,1,0))</f>
        <v/>
      </c>
      <c r="X1100" s="13">
        <f>IF(Q1100&gt;=pHighCutoff,1,0)</f>
        <v/>
      </c>
      <c r="Y1100" s="13">
        <f>IF(M1100="Returned",1,0)</f>
        <v/>
      </c>
    </row>
    <row r="1101">
      <c r="A1101" s="13" t="inlineStr">
        <is>
          <t>HC-101099</t>
        </is>
      </c>
      <c r="B1101" s="18" t="n">
        <v>45482</v>
      </c>
      <c r="C1101" s="13" t="inlineStr">
        <is>
          <t>West</t>
        </is>
      </c>
      <c r="D1101" s="13" t="inlineStr">
        <is>
          <t>Store</t>
        </is>
      </c>
      <c r="E1101" s="13" t="inlineStr">
        <is>
          <t>Textiles</t>
        </is>
      </c>
      <c r="F1101" s="13" t="inlineStr">
        <is>
          <t>Cotton Duvet</t>
        </is>
      </c>
      <c r="G1101" s="13" t="inlineStr">
        <is>
          <t>Consumer</t>
        </is>
      </c>
      <c r="H1101" s="13" t="n">
        <v>3</v>
      </c>
      <c r="I1101" s="14" t="n">
        <v>111.45</v>
      </c>
      <c r="J1101" s="15" t="n">
        <v>0.08</v>
      </c>
      <c r="K1101" s="14" t="n">
        <v>49.04</v>
      </c>
      <c r="L1101" s="13" t="n">
        <v>3</v>
      </c>
      <c r="M1101" s="13" t="inlineStr">
        <is>
          <t>Completed</t>
        </is>
      </c>
      <c r="N1101" s="13" t="inlineStr">
        <is>
          <t>K. Mensah</t>
        </is>
      </c>
      <c r="O1101" s="13" t="inlineStr">
        <is>
          <t>No</t>
        </is>
      </c>
      <c r="P1101" s="14">
        <f>H1101*I1101</f>
        <v/>
      </c>
      <c r="Q1101" s="14">
        <f>P1101*(1-J1101)</f>
        <v/>
      </c>
      <c r="R1101" s="14">
        <f>H1101*K1101</f>
        <v/>
      </c>
      <c r="S1101" s="15">
        <f>IF(Q1101=0,"",(Q1101-R1101)/Q1101)</f>
        <v/>
      </c>
      <c r="T1101" s="13">
        <f>YEAR(B1101)</f>
        <v/>
      </c>
      <c r="U1101" s="13">
        <f>YEAR(B1101)&amp;"-Q"&amp;ROUNDUP(MONTH(B1101)/3,0)</f>
        <v/>
      </c>
      <c r="V1101" s="13">
        <f>TEXT(B1101,"YYYY-MM")</f>
        <v/>
      </c>
      <c r="W1101" s="13">
        <f>IF(L1101="","",IF(L1101&gt;pLateDays,1,0))</f>
        <v/>
      </c>
      <c r="X1101" s="13">
        <f>IF(Q1101&gt;=pHighCutoff,1,0)</f>
        <v/>
      </c>
      <c r="Y1101" s="13">
        <f>IF(M1101="Returned",1,0)</f>
        <v/>
      </c>
    </row>
    <row r="1102">
      <c r="A1102" s="13" t="inlineStr">
        <is>
          <t>HC-101100</t>
        </is>
      </c>
      <c r="B1102" s="18" t="n">
        <v>45687</v>
      </c>
      <c r="C1102" s="13" t="inlineStr">
        <is>
          <t>South</t>
        </is>
      </c>
      <c r="D1102" s="13" t="inlineStr">
        <is>
          <t>Store</t>
        </is>
      </c>
      <c r="E1102" s="13" t="inlineStr">
        <is>
          <t>Furniture</t>
        </is>
      </c>
      <c r="F1102" s="13" t="inlineStr">
        <is>
          <t>Walnut Shelf</t>
        </is>
      </c>
      <c r="G1102" s="13" t="inlineStr">
        <is>
          <t>Home Office</t>
        </is>
      </c>
      <c r="H1102" s="13" t="n">
        <v>4</v>
      </c>
      <c r="I1102" s="14" t="n">
        <v>234.88</v>
      </c>
      <c r="J1102" s="15" t="n">
        <v>0.09</v>
      </c>
      <c r="K1102" s="14" t="n">
        <v>129.18</v>
      </c>
      <c r="L1102" s="13" t="n">
        <v>7</v>
      </c>
      <c r="M1102" s="13" t="inlineStr">
        <is>
          <t>Completed</t>
        </is>
      </c>
      <c r="N1102" s="13" t="inlineStr">
        <is>
          <t>J. Patel</t>
        </is>
      </c>
      <c r="O1102" s="13" t="inlineStr">
        <is>
          <t>No</t>
        </is>
      </c>
      <c r="P1102" s="14">
        <f>H1102*I1102</f>
        <v/>
      </c>
      <c r="Q1102" s="14">
        <f>P1102*(1-J1102)</f>
        <v/>
      </c>
      <c r="R1102" s="14">
        <f>H1102*K1102</f>
        <v/>
      </c>
      <c r="S1102" s="15">
        <f>IF(Q1102=0,"",(Q1102-R1102)/Q1102)</f>
        <v/>
      </c>
      <c r="T1102" s="13">
        <f>YEAR(B1102)</f>
        <v/>
      </c>
      <c r="U1102" s="13">
        <f>YEAR(B1102)&amp;"-Q"&amp;ROUNDUP(MONTH(B1102)/3,0)</f>
        <v/>
      </c>
      <c r="V1102" s="13">
        <f>TEXT(B1102,"YYYY-MM")</f>
        <v/>
      </c>
      <c r="W1102" s="13">
        <f>IF(L1102="","",IF(L1102&gt;pLateDays,1,0))</f>
        <v/>
      </c>
      <c r="X1102" s="13">
        <f>IF(Q1102&gt;=pHighCutoff,1,0)</f>
        <v/>
      </c>
      <c r="Y1102" s="13">
        <f>IF(M1102="Returned",1,0)</f>
        <v/>
      </c>
    </row>
    <row r="1103">
      <c r="A1103" s="13" t="inlineStr">
        <is>
          <t>HC-101101</t>
        </is>
      </c>
      <c r="B1103" s="18" t="n">
        <v>45508</v>
      </c>
      <c r="C1103" s="13" t="inlineStr">
        <is>
          <t>West</t>
        </is>
      </c>
      <c r="D1103" s="13" t="inlineStr">
        <is>
          <t>Online</t>
        </is>
      </c>
      <c r="E1103" s="13" t="inlineStr">
        <is>
          <t>Kitchen</t>
        </is>
      </c>
      <c r="F1103" s="13" t="inlineStr">
        <is>
          <t>Chef Knife</t>
        </is>
      </c>
      <c r="G1103" s="13" t="inlineStr">
        <is>
          <t>Consumer</t>
        </is>
      </c>
      <c r="H1103" s="13" t="n">
        <v>1</v>
      </c>
      <c r="I1103" s="14" t="n">
        <v>68.55</v>
      </c>
      <c r="J1103" s="15" t="n">
        <v>0.02</v>
      </c>
      <c r="K1103" s="14" t="n">
        <v>24.68</v>
      </c>
      <c r="L1103" s="13" t="n">
        <v>7</v>
      </c>
      <c r="M1103" s="13" t="inlineStr">
        <is>
          <t>Completed</t>
        </is>
      </c>
      <c r="N1103" s="13" t="inlineStr">
        <is>
          <t>P. Rossi</t>
        </is>
      </c>
      <c r="O1103" s="13" t="inlineStr">
        <is>
          <t>No</t>
        </is>
      </c>
      <c r="P1103" s="14">
        <f>H1103*I1103</f>
        <v/>
      </c>
      <c r="Q1103" s="14">
        <f>P1103*(1-J1103)</f>
        <v/>
      </c>
      <c r="R1103" s="14">
        <f>H1103*K1103</f>
        <v/>
      </c>
      <c r="S1103" s="15">
        <f>IF(Q1103=0,"",(Q1103-R1103)/Q1103)</f>
        <v/>
      </c>
      <c r="T1103" s="13">
        <f>YEAR(B1103)</f>
        <v/>
      </c>
      <c r="U1103" s="13">
        <f>YEAR(B1103)&amp;"-Q"&amp;ROUNDUP(MONTH(B1103)/3,0)</f>
        <v/>
      </c>
      <c r="V1103" s="13">
        <f>TEXT(B1103,"YYYY-MM")</f>
        <v/>
      </c>
      <c r="W1103" s="13">
        <f>IF(L1103="","",IF(L1103&gt;pLateDays,1,0))</f>
        <v/>
      </c>
      <c r="X1103" s="13">
        <f>IF(Q1103&gt;=pHighCutoff,1,0)</f>
        <v/>
      </c>
      <c r="Y1103" s="13">
        <f>IF(M1103="Returned",1,0)</f>
        <v/>
      </c>
    </row>
    <row r="1104">
      <c r="A1104" s="13" t="inlineStr">
        <is>
          <t>HC-101102</t>
        </is>
      </c>
      <c r="B1104" s="18" t="n">
        <v>45555</v>
      </c>
      <c r="C1104" s="13" t="inlineStr">
        <is>
          <t>West</t>
        </is>
      </c>
      <c r="D1104" s="13" t="inlineStr">
        <is>
          <t>Store</t>
        </is>
      </c>
      <c r="E1104" s="13" t="inlineStr">
        <is>
          <t>Kitchen</t>
        </is>
      </c>
      <c r="F1104" s="13" t="inlineStr">
        <is>
          <t>Chef Knife</t>
        </is>
      </c>
      <c r="G1104" s="13" t="inlineStr">
        <is>
          <t>Home Office</t>
        </is>
      </c>
      <c r="H1104" s="13" t="n">
        <v>3</v>
      </c>
      <c r="I1104" s="14" t="n">
        <v>66.31</v>
      </c>
      <c r="J1104" s="15" t="n">
        <v>0.04</v>
      </c>
      <c r="K1104" s="14" t="n">
        <v>23.87</v>
      </c>
      <c r="L1104" s="13" t="n">
        <v>11</v>
      </c>
      <c r="M1104" s="13" t="inlineStr">
        <is>
          <t>Completed</t>
        </is>
      </c>
      <c r="N1104" s="13" t="inlineStr">
        <is>
          <t>L. Berger</t>
        </is>
      </c>
      <c r="O1104" s="13" t="inlineStr">
        <is>
          <t>No</t>
        </is>
      </c>
      <c r="P1104" s="14">
        <f>H1104*I1104</f>
        <v/>
      </c>
      <c r="Q1104" s="14">
        <f>P1104*(1-J1104)</f>
        <v/>
      </c>
      <c r="R1104" s="14">
        <f>H1104*K1104</f>
        <v/>
      </c>
      <c r="S1104" s="15">
        <f>IF(Q1104=0,"",(Q1104-R1104)/Q1104)</f>
        <v/>
      </c>
      <c r="T1104" s="13">
        <f>YEAR(B1104)</f>
        <v/>
      </c>
      <c r="U1104" s="13">
        <f>YEAR(B1104)&amp;"-Q"&amp;ROUNDUP(MONTH(B1104)/3,0)</f>
        <v/>
      </c>
      <c r="V1104" s="13">
        <f>TEXT(B1104,"YYYY-MM")</f>
        <v/>
      </c>
      <c r="W1104" s="13">
        <f>IF(L1104="","",IF(L1104&gt;pLateDays,1,0))</f>
        <v/>
      </c>
      <c r="X1104" s="13">
        <f>IF(Q1104&gt;=pHighCutoff,1,0)</f>
        <v/>
      </c>
      <c r="Y1104" s="13">
        <f>IF(M1104="Returned",1,0)</f>
        <v/>
      </c>
    </row>
    <row r="1105">
      <c r="A1105" s="13" t="inlineStr">
        <is>
          <t>HC-101103</t>
        </is>
      </c>
      <c r="B1105" s="18" t="n">
        <v>45370</v>
      </c>
      <c r="C1105" s="13" t="inlineStr">
        <is>
          <t>East</t>
        </is>
      </c>
      <c r="D1105" s="13" t="inlineStr">
        <is>
          <t>Online</t>
        </is>
      </c>
      <c r="E1105" s="13" t="inlineStr">
        <is>
          <t>Kitchen</t>
        </is>
      </c>
      <c r="F1105" s="13" t="inlineStr">
        <is>
          <t>Ceramic Set</t>
        </is>
      </c>
      <c r="G1105" s="13" t="inlineStr">
        <is>
          <t>Corporate</t>
        </is>
      </c>
      <c r="H1105" s="13" t="n">
        <v>1</v>
      </c>
      <c r="I1105" s="14" t="n">
        <v>71.48999999999999</v>
      </c>
      <c r="J1105" s="15" t="n">
        <v>0.04</v>
      </c>
      <c r="K1105" s="14" t="n">
        <v>27.17</v>
      </c>
      <c r="L1105" s="13" t="n">
        <v>4</v>
      </c>
      <c r="M1105" s="13" t="inlineStr">
        <is>
          <t>Completed</t>
        </is>
      </c>
      <c r="N1105" s="13" t="inlineStr">
        <is>
          <t>M. Okonkwo</t>
        </is>
      </c>
      <c r="O1105" s="13" t="inlineStr">
        <is>
          <t>No</t>
        </is>
      </c>
      <c r="P1105" s="14">
        <f>H1105*I1105</f>
        <v/>
      </c>
      <c r="Q1105" s="14">
        <f>P1105*(1-J1105)</f>
        <v/>
      </c>
      <c r="R1105" s="14">
        <f>H1105*K1105</f>
        <v/>
      </c>
      <c r="S1105" s="15">
        <f>IF(Q1105=0,"",(Q1105-R1105)/Q1105)</f>
        <v/>
      </c>
      <c r="T1105" s="13">
        <f>YEAR(B1105)</f>
        <v/>
      </c>
      <c r="U1105" s="13">
        <f>YEAR(B1105)&amp;"-Q"&amp;ROUNDUP(MONTH(B1105)/3,0)</f>
        <v/>
      </c>
      <c r="V1105" s="13">
        <f>TEXT(B1105,"YYYY-MM")</f>
        <v/>
      </c>
      <c r="W1105" s="13">
        <f>IF(L1105="","",IF(L1105&gt;pLateDays,1,0))</f>
        <v/>
      </c>
      <c r="X1105" s="13">
        <f>IF(Q1105&gt;=pHighCutoff,1,0)</f>
        <v/>
      </c>
      <c r="Y1105" s="13">
        <f>IF(M1105="Returned",1,0)</f>
        <v/>
      </c>
    </row>
    <row r="1106">
      <c r="A1106" s="13" t="inlineStr">
        <is>
          <t>HC-101104</t>
        </is>
      </c>
      <c r="B1106" s="18" t="n">
        <v>45928</v>
      </c>
      <c r="C1106" s="13" t="inlineStr">
        <is>
          <t>North</t>
        </is>
      </c>
      <c r="D1106" s="13" t="inlineStr">
        <is>
          <t>Store</t>
        </is>
      </c>
      <c r="E1106" s="13" t="inlineStr">
        <is>
          <t>Lighting</t>
        </is>
      </c>
      <c r="F1106" s="13" t="inlineStr">
        <is>
          <t>Pendant Light</t>
        </is>
      </c>
      <c r="G1106" s="13" t="inlineStr">
        <is>
          <t>Consumer</t>
        </is>
      </c>
      <c r="H1106" s="13" t="n">
        <v>2</v>
      </c>
      <c r="I1106" s="14" t="n">
        <v>183.56</v>
      </c>
      <c r="J1106" s="15" t="n">
        <v>0.05</v>
      </c>
      <c r="K1106" s="14" t="n">
        <v>91.78</v>
      </c>
      <c r="L1106" s="13" t="n">
        <v>2</v>
      </c>
      <c r="M1106" s="13" t="inlineStr">
        <is>
          <t>Completed</t>
        </is>
      </c>
      <c r="N1106" s="13" t="inlineStr">
        <is>
          <t>K. Mensah</t>
        </is>
      </c>
      <c r="O1106" s="13" t="inlineStr">
        <is>
          <t>No</t>
        </is>
      </c>
      <c r="P1106" s="14">
        <f>H1106*I1106</f>
        <v/>
      </c>
      <c r="Q1106" s="14">
        <f>P1106*(1-J1106)</f>
        <v/>
      </c>
      <c r="R1106" s="14">
        <f>H1106*K1106</f>
        <v/>
      </c>
      <c r="S1106" s="15">
        <f>IF(Q1106=0,"",(Q1106-R1106)/Q1106)</f>
        <v/>
      </c>
      <c r="T1106" s="13">
        <f>YEAR(B1106)</f>
        <v/>
      </c>
      <c r="U1106" s="13">
        <f>YEAR(B1106)&amp;"-Q"&amp;ROUNDUP(MONTH(B1106)/3,0)</f>
        <v/>
      </c>
      <c r="V1106" s="13">
        <f>TEXT(B1106,"YYYY-MM")</f>
        <v/>
      </c>
      <c r="W1106" s="13">
        <f>IF(L1106="","",IF(L1106&gt;pLateDays,1,0))</f>
        <v/>
      </c>
      <c r="X1106" s="13">
        <f>IF(Q1106&gt;=pHighCutoff,1,0)</f>
        <v/>
      </c>
      <c r="Y1106" s="13">
        <f>IF(M1106="Returned",1,0)</f>
        <v/>
      </c>
    </row>
    <row r="1107">
      <c r="A1107" s="13" t="inlineStr">
        <is>
          <t>HC-101105</t>
        </is>
      </c>
      <c r="B1107" s="18" t="n">
        <v>45761</v>
      </c>
      <c r="C1107" s="13" t="inlineStr">
        <is>
          <t>West</t>
        </is>
      </c>
      <c r="D1107" s="13" t="inlineStr">
        <is>
          <t>Online</t>
        </is>
      </c>
      <c r="E1107" s="13" t="inlineStr">
        <is>
          <t>Kitchen</t>
        </is>
      </c>
      <c r="F1107" s="13" t="inlineStr">
        <is>
          <t>Chef Knife</t>
        </is>
      </c>
      <c r="G1107" s="13" t="inlineStr">
        <is>
          <t>Home Office</t>
        </is>
      </c>
      <c r="H1107" s="13" t="n">
        <v>1</v>
      </c>
      <c r="I1107" s="14" t="n">
        <v>61.44</v>
      </c>
      <c r="J1107" s="15" t="n">
        <v>0.11</v>
      </c>
      <c r="K1107" s="14" t="n">
        <v>22.12</v>
      </c>
      <c r="L1107" s="13" t="n">
        <v>4</v>
      </c>
      <c r="M1107" s="13" t="inlineStr">
        <is>
          <t>Completed</t>
        </is>
      </c>
      <c r="N1107" s="13" t="inlineStr">
        <is>
          <t>K. Mensah</t>
        </is>
      </c>
      <c r="O1107" s="13" t="inlineStr">
        <is>
          <t>No</t>
        </is>
      </c>
      <c r="P1107" s="14">
        <f>H1107*I1107</f>
        <v/>
      </c>
      <c r="Q1107" s="14">
        <f>P1107*(1-J1107)</f>
        <v/>
      </c>
      <c r="R1107" s="14">
        <f>H1107*K1107</f>
        <v/>
      </c>
      <c r="S1107" s="15">
        <f>IF(Q1107=0,"",(Q1107-R1107)/Q1107)</f>
        <v/>
      </c>
      <c r="T1107" s="13">
        <f>YEAR(B1107)</f>
        <v/>
      </c>
      <c r="U1107" s="13">
        <f>YEAR(B1107)&amp;"-Q"&amp;ROUNDUP(MONTH(B1107)/3,0)</f>
        <v/>
      </c>
      <c r="V1107" s="13">
        <f>TEXT(B1107,"YYYY-MM")</f>
        <v/>
      </c>
      <c r="W1107" s="13">
        <f>IF(L1107="","",IF(L1107&gt;pLateDays,1,0))</f>
        <v/>
      </c>
      <c r="X1107" s="13">
        <f>IF(Q1107&gt;=pHighCutoff,1,0)</f>
        <v/>
      </c>
      <c r="Y1107" s="13">
        <f>IF(M1107="Returned",1,0)</f>
        <v/>
      </c>
    </row>
    <row r="1108">
      <c r="A1108" s="13" t="inlineStr">
        <is>
          <t>HC-101106</t>
        </is>
      </c>
      <c r="B1108" s="18" t="n">
        <v>45650</v>
      </c>
      <c r="C1108" s="13" t="inlineStr">
        <is>
          <t>West</t>
        </is>
      </c>
      <c r="D1108" s="13" t="inlineStr">
        <is>
          <t>Online</t>
        </is>
      </c>
      <c r="E1108" s="13" t="inlineStr">
        <is>
          <t>Furniture</t>
        </is>
      </c>
      <c r="F1108" s="13" t="inlineStr">
        <is>
          <t>Oak Desk</t>
        </is>
      </c>
      <c r="G1108" s="13" t="inlineStr">
        <is>
          <t>Consumer</t>
        </is>
      </c>
      <c r="H1108" s="13" t="n">
        <v>3</v>
      </c>
      <c r="I1108" s="14" t="n">
        <v>793.8</v>
      </c>
      <c r="J1108" s="15" t="n">
        <v>0.07000000000000001</v>
      </c>
      <c r="K1108" s="14" t="n">
        <v>492.16</v>
      </c>
      <c r="L1108" s="13" t="n">
        <v>3</v>
      </c>
      <c r="M1108" s="13" t="inlineStr">
        <is>
          <t>Cancelled</t>
        </is>
      </c>
      <c r="N1108" s="13" t="inlineStr">
        <is>
          <t>J. Patel</t>
        </is>
      </c>
      <c r="O1108" s="13" t="inlineStr">
        <is>
          <t>No</t>
        </is>
      </c>
      <c r="P1108" s="14">
        <f>H1108*I1108</f>
        <v/>
      </c>
      <c r="Q1108" s="14">
        <f>P1108*(1-J1108)</f>
        <v/>
      </c>
      <c r="R1108" s="14">
        <f>H1108*K1108</f>
        <v/>
      </c>
      <c r="S1108" s="15">
        <f>IF(Q1108=0,"",(Q1108-R1108)/Q1108)</f>
        <v/>
      </c>
      <c r="T1108" s="13">
        <f>YEAR(B1108)</f>
        <v/>
      </c>
      <c r="U1108" s="13">
        <f>YEAR(B1108)&amp;"-Q"&amp;ROUNDUP(MONTH(B1108)/3,0)</f>
        <v/>
      </c>
      <c r="V1108" s="13">
        <f>TEXT(B1108,"YYYY-MM")</f>
        <v/>
      </c>
      <c r="W1108" s="13">
        <f>IF(L1108="","",IF(L1108&gt;pLateDays,1,0))</f>
        <v/>
      </c>
      <c r="X1108" s="13">
        <f>IF(Q1108&gt;=pHighCutoff,1,0)</f>
        <v/>
      </c>
      <c r="Y1108" s="13">
        <f>IF(M1108="Returned",1,0)</f>
        <v/>
      </c>
    </row>
    <row r="1109">
      <c r="A1109" s="13" t="inlineStr">
        <is>
          <t>HC-101107</t>
        </is>
      </c>
      <c r="B1109" s="18" t="n">
        <v>45606</v>
      </c>
      <c r="C1109" s="13" t="inlineStr">
        <is>
          <t>West</t>
        </is>
      </c>
      <c r="D1109" s="13" t="inlineStr">
        <is>
          <t>Wholesale</t>
        </is>
      </c>
      <c r="E1109" s="13" t="inlineStr">
        <is>
          <t>Textiles</t>
        </is>
      </c>
      <c r="F1109" s="13" t="inlineStr">
        <is>
          <t>Linen Curtain</t>
        </is>
      </c>
      <c r="G1109" s="13" t="inlineStr">
        <is>
          <t>Consumer</t>
        </is>
      </c>
      <c r="H1109" s="13" t="n">
        <v>24</v>
      </c>
      <c r="I1109" s="14" t="n">
        <v>89.20999999999999</v>
      </c>
      <c r="J1109" s="15" t="n">
        <v>0.13</v>
      </c>
      <c r="K1109" s="14" t="n">
        <v>40.15</v>
      </c>
      <c r="L1109" s="13" t="n">
        <v>8</v>
      </c>
      <c r="M1109" s="13" t="inlineStr">
        <is>
          <t>Completed</t>
        </is>
      </c>
      <c r="N1109" s="13" t="inlineStr">
        <is>
          <t>M. Okonkwo</t>
        </is>
      </c>
      <c r="O1109" s="13" t="inlineStr">
        <is>
          <t>No</t>
        </is>
      </c>
      <c r="P1109" s="14">
        <f>H1109*I1109</f>
        <v/>
      </c>
      <c r="Q1109" s="14">
        <f>P1109*(1-J1109)</f>
        <v/>
      </c>
      <c r="R1109" s="14">
        <f>H1109*K1109</f>
        <v/>
      </c>
      <c r="S1109" s="15">
        <f>IF(Q1109=0,"",(Q1109-R1109)/Q1109)</f>
        <v/>
      </c>
      <c r="T1109" s="13">
        <f>YEAR(B1109)</f>
        <v/>
      </c>
      <c r="U1109" s="13">
        <f>YEAR(B1109)&amp;"-Q"&amp;ROUNDUP(MONTH(B1109)/3,0)</f>
        <v/>
      </c>
      <c r="V1109" s="13">
        <f>TEXT(B1109,"YYYY-MM")</f>
        <v/>
      </c>
      <c r="W1109" s="13">
        <f>IF(L1109="","",IF(L1109&gt;pLateDays,1,0))</f>
        <v/>
      </c>
      <c r="X1109" s="13">
        <f>IF(Q1109&gt;=pHighCutoff,1,0)</f>
        <v/>
      </c>
      <c r="Y1109" s="13">
        <f>IF(M1109="Returned",1,0)</f>
        <v/>
      </c>
    </row>
    <row r="1110">
      <c r="A1110" s="13" t="inlineStr">
        <is>
          <t>HC-101108</t>
        </is>
      </c>
      <c r="B1110" s="18" t="n">
        <v>45671</v>
      </c>
      <c r="C1110" s="13" t="inlineStr">
        <is>
          <t>South</t>
        </is>
      </c>
      <c r="D1110" s="13" t="inlineStr">
        <is>
          <t>Online</t>
        </is>
      </c>
      <c r="E1110" s="13" t="inlineStr">
        <is>
          <t>Kitchen</t>
        </is>
      </c>
      <c r="F1110" s="13" t="inlineStr">
        <is>
          <t>Chef Knife</t>
        </is>
      </c>
      <c r="G1110" s="13" t="inlineStr">
        <is>
          <t>Consumer</t>
        </is>
      </c>
      <c r="H1110" s="13" t="n">
        <v>2</v>
      </c>
      <c r="I1110" s="14" t="n">
        <v>67.92</v>
      </c>
      <c r="J1110" s="15" t="n">
        <v>0.14</v>
      </c>
      <c r="K1110" s="14" t="n">
        <v>24.45</v>
      </c>
      <c r="L1110" s="13" t="n">
        <v>6</v>
      </c>
      <c r="M1110" s="13" t="inlineStr">
        <is>
          <t>Completed</t>
        </is>
      </c>
      <c r="N1110" s="13" t="inlineStr">
        <is>
          <t>J. Patel</t>
        </is>
      </c>
      <c r="O1110" s="13" t="inlineStr">
        <is>
          <t>No</t>
        </is>
      </c>
      <c r="P1110" s="14">
        <f>H1110*I1110</f>
        <v/>
      </c>
      <c r="Q1110" s="14">
        <f>P1110*(1-J1110)</f>
        <v/>
      </c>
      <c r="R1110" s="14">
        <f>H1110*K1110</f>
        <v/>
      </c>
      <c r="S1110" s="15">
        <f>IF(Q1110=0,"",(Q1110-R1110)/Q1110)</f>
        <v/>
      </c>
      <c r="T1110" s="13">
        <f>YEAR(B1110)</f>
        <v/>
      </c>
      <c r="U1110" s="13">
        <f>YEAR(B1110)&amp;"-Q"&amp;ROUNDUP(MONTH(B1110)/3,0)</f>
        <v/>
      </c>
      <c r="V1110" s="13">
        <f>TEXT(B1110,"YYYY-MM")</f>
        <v/>
      </c>
      <c r="W1110" s="13">
        <f>IF(L1110="","",IF(L1110&gt;pLateDays,1,0))</f>
        <v/>
      </c>
      <c r="X1110" s="13">
        <f>IF(Q1110&gt;=pHighCutoff,1,0)</f>
        <v/>
      </c>
      <c r="Y1110" s="13">
        <f>IF(M1110="Returned",1,0)</f>
        <v/>
      </c>
    </row>
    <row r="1111">
      <c r="A1111" s="13" t="inlineStr">
        <is>
          <t>HC-101109</t>
        </is>
      </c>
      <c r="B1111" s="18" t="n">
        <v>45532</v>
      </c>
      <c r="C1111" s="13" t="inlineStr">
        <is>
          <t>North</t>
        </is>
      </c>
      <c r="D1111" s="13" t="inlineStr">
        <is>
          <t>Wholesale</t>
        </is>
      </c>
      <c r="E1111" s="13" t="inlineStr">
        <is>
          <t>Furniture</t>
        </is>
      </c>
      <c r="F1111" s="13" t="inlineStr">
        <is>
          <t>Walnut Shelf</t>
        </is>
      </c>
      <c r="G1111" s="13" t="inlineStr">
        <is>
          <t>Consumer</t>
        </is>
      </c>
      <c r="H1111" s="13" t="n">
        <v>19</v>
      </c>
      <c r="I1111" s="14" t="n">
        <v>236.61</v>
      </c>
      <c r="J1111" s="15" t="n">
        <v>0.24</v>
      </c>
      <c r="K1111" s="14" t="n">
        <v>130.13</v>
      </c>
      <c r="L1111" s="13" t="n">
        <v>4</v>
      </c>
      <c r="M1111" s="13" t="inlineStr">
        <is>
          <t>Completed</t>
        </is>
      </c>
      <c r="N1111" s="13" t="inlineStr">
        <is>
          <t>R. Ibarra</t>
        </is>
      </c>
      <c r="O1111" s="13" t="inlineStr">
        <is>
          <t>No</t>
        </is>
      </c>
      <c r="P1111" s="14">
        <f>H1111*I1111</f>
        <v/>
      </c>
      <c r="Q1111" s="14">
        <f>P1111*(1-J1111)</f>
        <v/>
      </c>
      <c r="R1111" s="14">
        <f>H1111*K1111</f>
        <v/>
      </c>
      <c r="S1111" s="15">
        <f>IF(Q1111=0,"",(Q1111-R1111)/Q1111)</f>
        <v/>
      </c>
      <c r="T1111" s="13">
        <f>YEAR(B1111)</f>
        <v/>
      </c>
      <c r="U1111" s="13">
        <f>YEAR(B1111)&amp;"-Q"&amp;ROUNDUP(MONTH(B1111)/3,0)</f>
        <v/>
      </c>
      <c r="V1111" s="13">
        <f>TEXT(B1111,"YYYY-MM")</f>
        <v/>
      </c>
      <c r="W1111" s="13">
        <f>IF(L1111="","",IF(L1111&gt;pLateDays,1,0))</f>
        <v/>
      </c>
      <c r="X1111" s="13">
        <f>IF(Q1111&gt;=pHighCutoff,1,0)</f>
        <v/>
      </c>
      <c r="Y1111" s="13">
        <f>IF(M1111="Returned",1,0)</f>
        <v/>
      </c>
    </row>
    <row r="1112">
      <c r="A1112" s="13" t="inlineStr">
        <is>
          <t>HC-101110</t>
        </is>
      </c>
      <c r="B1112" s="18" t="n">
        <v>45427</v>
      </c>
      <c r="C1112" s="13" t="inlineStr">
        <is>
          <t>West</t>
        </is>
      </c>
      <c r="D1112" s="13" t="inlineStr">
        <is>
          <t>Online</t>
        </is>
      </c>
      <c r="E1112" s="13" t="inlineStr">
        <is>
          <t>Textiles</t>
        </is>
      </c>
      <c r="F1112" s="13" t="inlineStr">
        <is>
          <t>Linen Curtain</t>
        </is>
      </c>
      <c r="G1112" s="13" t="inlineStr">
        <is>
          <t>Unknown</t>
        </is>
      </c>
      <c r="H1112" s="13" t="n">
        <v>3</v>
      </c>
      <c r="I1112" s="14" t="n">
        <v>94.56</v>
      </c>
      <c r="J1112" s="15" t="n">
        <v>0.15</v>
      </c>
      <c r="K1112" s="14" t="n">
        <v>42.55</v>
      </c>
      <c r="L1112" s="13" t="n">
        <v>7</v>
      </c>
      <c r="M1112" s="13" t="inlineStr">
        <is>
          <t>Completed</t>
        </is>
      </c>
      <c r="N1112" s="13" t="inlineStr">
        <is>
          <t>A. Shah</t>
        </is>
      </c>
      <c r="O1112" s="13" t="inlineStr">
        <is>
          <t>No</t>
        </is>
      </c>
      <c r="P1112" s="14">
        <f>H1112*I1112</f>
        <v/>
      </c>
      <c r="Q1112" s="14">
        <f>P1112*(1-J1112)</f>
        <v/>
      </c>
      <c r="R1112" s="14">
        <f>H1112*K1112</f>
        <v/>
      </c>
      <c r="S1112" s="15">
        <f>IF(Q1112=0,"",(Q1112-R1112)/Q1112)</f>
        <v/>
      </c>
      <c r="T1112" s="13">
        <f>YEAR(B1112)</f>
        <v/>
      </c>
      <c r="U1112" s="13">
        <f>YEAR(B1112)&amp;"-Q"&amp;ROUNDUP(MONTH(B1112)/3,0)</f>
        <v/>
      </c>
      <c r="V1112" s="13">
        <f>TEXT(B1112,"YYYY-MM")</f>
        <v/>
      </c>
      <c r="W1112" s="13">
        <f>IF(L1112="","",IF(L1112&gt;pLateDays,1,0))</f>
        <v/>
      </c>
      <c r="X1112" s="13">
        <f>IF(Q1112&gt;=pHighCutoff,1,0)</f>
        <v/>
      </c>
      <c r="Y1112" s="13">
        <f>IF(M1112="Returned",1,0)</f>
        <v/>
      </c>
    </row>
    <row r="1113">
      <c r="A1113" s="13" t="inlineStr">
        <is>
          <t>HC-101111</t>
        </is>
      </c>
      <c r="B1113" s="18" t="n">
        <v>45665</v>
      </c>
      <c r="C1113" s="13" t="inlineStr">
        <is>
          <t>East</t>
        </is>
      </c>
      <c r="D1113" s="13" t="inlineStr">
        <is>
          <t>Store</t>
        </is>
      </c>
      <c r="E1113" s="13" t="inlineStr">
        <is>
          <t>Textiles</t>
        </is>
      </c>
      <c r="F1113" s="13" t="inlineStr">
        <is>
          <t>Wool Throw</t>
        </is>
      </c>
      <c r="G1113" s="13" t="inlineStr">
        <is>
          <t>Consumer</t>
        </is>
      </c>
      <c r="H1113" s="13" t="n">
        <v>4</v>
      </c>
      <c r="I1113" s="14" t="n">
        <v>67.84999999999999</v>
      </c>
      <c r="J1113" s="15" t="n">
        <v>0.02</v>
      </c>
      <c r="K1113" s="14" t="n">
        <v>28.5</v>
      </c>
      <c r="L1113" s="13" t="n">
        <v>6</v>
      </c>
      <c r="M1113" s="13" t="inlineStr">
        <is>
          <t>Completed</t>
        </is>
      </c>
      <c r="N1113" s="13" t="inlineStr">
        <is>
          <t>A. Shah</t>
        </is>
      </c>
      <c r="O1113" s="13" t="inlineStr">
        <is>
          <t>No</t>
        </is>
      </c>
      <c r="P1113" s="14">
        <f>H1113*I1113</f>
        <v/>
      </c>
      <c r="Q1113" s="14">
        <f>P1113*(1-J1113)</f>
        <v/>
      </c>
      <c r="R1113" s="14">
        <f>H1113*K1113</f>
        <v/>
      </c>
      <c r="S1113" s="15">
        <f>IF(Q1113=0,"",(Q1113-R1113)/Q1113)</f>
        <v/>
      </c>
      <c r="T1113" s="13">
        <f>YEAR(B1113)</f>
        <v/>
      </c>
      <c r="U1113" s="13">
        <f>YEAR(B1113)&amp;"-Q"&amp;ROUNDUP(MONTH(B1113)/3,0)</f>
        <v/>
      </c>
      <c r="V1113" s="13">
        <f>TEXT(B1113,"YYYY-MM")</f>
        <v/>
      </c>
      <c r="W1113" s="13">
        <f>IF(L1113="","",IF(L1113&gt;pLateDays,1,0))</f>
        <v/>
      </c>
      <c r="X1113" s="13">
        <f>IF(Q1113&gt;=pHighCutoff,1,0)</f>
        <v/>
      </c>
      <c r="Y1113" s="13">
        <f>IF(M1113="Returned",1,0)</f>
        <v/>
      </c>
    </row>
    <row r="1114">
      <c r="A1114" s="13" t="inlineStr">
        <is>
          <t>HC-101112</t>
        </is>
      </c>
      <c r="B1114" s="18" t="n">
        <v>45472</v>
      </c>
      <c r="C1114" s="13" t="inlineStr">
        <is>
          <t>West</t>
        </is>
      </c>
      <c r="D1114" s="13" t="inlineStr">
        <is>
          <t>Online</t>
        </is>
      </c>
      <c r="E1114" s="13" t="inlineStr">
        <is>
          <t>Kitchen</t>
        </is>
      </c>
      <c r="F1114" s="13" t="inlineStr">
        <is>
          <t>Cast Skillet</t>
        </is>
      </c>
      <c r="G1114" s="13" t="inlineStr">
        <is>
          <t>Consumer</t>
        </is>
      </c>
      <c r="H1114" s="13" t="n">
        <v>3</v>
      </c>
      <c r="I1114" s="14" t="n">
        <v>57.26</v>
      </c>
      <c r="J1114" s="15" t="n">
        <v>0.06</v>
      </c>
      <c r="K1114" s="14" t="n">
        <v>22.91</v>
      </c>
      <c r="L1114" s="13" t="n">
        <v>8</v>
      </c>
      <c r="M1114" s="13" t="inlineStr">
        <is>
          <t>Completed</t>
        </is>
      </c>
      <c r="N1114" s="13" t="inlineStr">
        <is>
          <t>A. Shah</t>
        </is>
      </c>
      <c r="O1114" s="13" t="inlineStr">
        <is>
          <t>No</t>
        </is>
      </c>
      <c r="P1114" s="14">
        <f>H1114*I1114</f>
        <v/>
      </c>
      <c r="Q1114" s="14">
        <f>P1114*(1-J1114)</f>
        <v/>
      </c>
      <c r="R1114" s="14">
        <f>H1114*K1114</f>
        <v/>
      </c>
      <c r="S1114" s="15">
        <f>IF(Q1114=0,"",(Q1114-R1114)/Q1114)</f>
        <v/>
      </c>
      <c r="T1114" s="13">
        <f>YEAR(B1114)</f>
        <v/>
      </c>
      <c r="U1114" s="13">
        <f>YEAR(B1114)&amp;"-Q"&amp;ROUNDUP(MONTH(B1114)/3,0)</f>
        <v/>
      </c>
      <c r="V1114" s="13">
        <f>TEXT(B1114,"YYYY-MM")</f>
        <v/>
      </c>
      <c r="W1114" s="13">
        <f>IF(L1114="","",IF(L1114&gt;pLateDays,1,0))</f>
        <v/>
      </c>
      <c r="X1114" s="13">
        <f>IF(Q1114&gt;=pHighCutoff,1,0)</f>
        <v/>
      </c>
      <c r="Y1114" s="13">
        <f>IF(M1114="Returned",1,0)</f>
        <v/>
      </c>
    </row>
    <row r="1115">
      <c r="A1115" s="13" t="inlineStr">
        <is>
          <t>HC-101113</t>
        </is>
      </c>
      <c r="B1115" s="18" t="n">
        <v>45921</v>
      </c>
      <c r="C1115" s="13" t="inlineStr">
        <is>
          <t>North</t>
        </is>
      </c>
      <c r="D1115" s="13" t="inlineStr">
        <is>
          <t>Online</t>
        </is>
      </c>
      <c r="E1115" s="13" t="inlineStr">
        <is>
          <t>Furniture</t>
        </is>
      </c>
      <c r="F1115" s="13" t="inlineStr">
        <is>
          <t>Oak Desk</t>
        </is>
      </c>
      <c r="G1115" s="13" t="inlineStr">
        <is>
          <t>Home Office</t>
        </is>
      </c>
      <c r="H1115" s="13" t="n">
        <v>2</v>
      </c>
      <c r="I1115" s="14" t="n">
        <v>887.7</v>
      </c>
      <c r="J1115" s="15" t="n">
        <v>0.11</v>
      </c>
      <c r="K1115" s="14" t="n">
        <v>550.37</v>
      </c>
      <c r="L1115" s="13" t="n">
        <v>9</v>
      </c>
      <c r="M1115" s="13" t="inlineStr">
        <is>
          <t>Completed</t>
        </is>
      </c>
      <c r="N1115" s="13" t="inlineStr">
        <is>
          <t>P. Rossi</t>
        </is>
      </c>
      <c r="O1115" s="13" t="inlineStr">
        <is>
          <t>No</t>
        </is>
      </c>
      <c r="P1115" s="14">
        <f>H1115*I1115</f>
        <v/>
      </c>
      <c r="Q1115" s="14">
        <f>P1115*(1-J1115)</f>
        <v/>
      </c>
      <c r="R1115" s="14">
        <f>H1115*K1115</f>
        <v/>
      </c>
      <c r="S1115" s="15">
        <f>IF(Q1115=0,"",(Q1115-R1115)/Q1115)</f>
        <v/>
      </c>
      <c r="T1115" s="13">
        <f>YEAR(B1115)</f>
        <v/>
      </c>
      <c r="U1115" s="13">
        <f>YEAR(B1115)&amp;"-Q"&amp;ROUNDUP(MONTH(B1115)/3,0)</f>
        <v/>
      </c>
      <c r="V1115" s="13">
        <f>TEXT(B1115,"YYYY-MM")</f>
        <v/>
      </c>
      <c r="W1115" s="13">
        <f>IF(L1115="","",IF(L1115&gt;pLateDays,1,0))</f>
        <v/>
      </c>
      <c r="X1115" s="13">
        <f>IF(Q1115&gt;=pHighCutoff,1,0)</f>
        <v/>
      </c>
      <c r="Y1115" s="13">
        <f>IF(M1115="Returned",1,0)</f>
        <v/>
      </c>
    </row>
    <row r="1116">
      <c r="A1116" s="13" t="inlineStr">
        <is>
          <t>HC-101114</t>
        </is>
      </c>
      <c r="B1116" s="18" t="n">
        <v>45702</v>
      </c>
      <c r="C1116" s="13" t="inlineStr">
        <is>
          <t>North</t>
        </is>
      </c>
      <c r="D1116" s="13" t="inlineStr">
        <is>
          <t>Online</t>
        </is>
      </c>
      <c r="E1116" s="13" t="inlineStr">
        <is>
          <t>Lighting</t>
        </is>
      </c>
      <c r="F1116" s="13" t="inlineStr">
        <is>
          <t>Brass Sconce</t>
        </is>
      </c>
      <c r="G1116" s="13" t="inlineStr">
        <is>
          <t>Consumer</t>
        </is>
      </c>
      <c r="H1116" s="13" t="n">
        <v>2</v>
      </c>
      <c r="I1116" s="14" t="n">
        <v>150.65</v>
      </c>
      <c r="J1116" s="15" t="n">
        <v>0.11</v>
      </c>
      <c r="K1116" s="14" t="n">
        <v>69.3</v>
      </c>
      <c r="L1116" s="13" t="n">
        <v>7</v>
      </c>
      <c r="M1116" s="13" t="inlineStr">
        <is>
          <t>Completed</t>
        </is>
      </c>
      <c r="N1116" s="13" t="inlineStr">
        <is>
          <t>K. Mensah</t>
        </is>
      </c>
      <c r="O1116" s="13" t="inlineStr">
        <is>
          <t>No</t>
        </is>
      </c>
      <c r="P1116" s="14">
        <f>H1116*I1116</f>
        <v/>
      </c>
      <c r="Q1116" s="14">
        <f>P1116*(1-J1116)</f>
        <v/>
      </c>
      <c r="R1116" s="14">
        <f>H1116*K1116</f>
        <v/>
      </c>
      <c r="S1116" s="15">
        <f>IF(Q1116=0,"",(Q1116-R1116)/Q1116)</f>
        <v/>
      </c>
      <c r="T1116" s="13">
        <f>YEAR(B1116)</f>
        <v/>
      </c>
      <c r="U1116" s="13">
        <f>YEAR(B1116)&amp;"-Q"&amp;ROUNDUP(MONTH(B1116)/3,0)</f>
        <v/>
      </c>
      <c r="V1116" s="13">
        <f>TEXT(B1116,"YYYY-MM")</f>
        <v/>
      </c>
      <c r="W1116" s="13">
        <f>IF(L1116="","",IF(L1116&gt;pLateDays,1,0))</f>
        <v/>
      </c>
      <c r="X1116" s="13">
        <f>IF(Q1116&gt;=pHighCutoff,1,0)</f>
        <v/>
      </c>
      <c r="Y1116" s="13">
        <f>IF(M1116="Returned",1,0)</f>
        <v/>
      </c>
    </row>
    <row r="1117">
      <c r="A1117" s="13" t="inlineStr">
        <is>
          <t>HC-101115</t>
        </is>
      </c>
      <c r="B1117" s="18" t="n">
        <v>45718</v>
      </c>
      <c r="C1117" s="13" t="inlineStr">
        <is>
          <t>East</t>
        </is>
      </c>
      <c r="D1117" s="13" t="inlineStr">
        <is>
          <t>Store</t>
        </is>
      </c>
      <c r="E1117" s="13" t="inlineStr">
        <is>
          <t>Furniture</t>
        </is>
      </c>
      <c r="F1117" s="13" t="inlineStr">
        <is>
          <t>Oak Desk</t>
        </is>
      </c>
      <c r="G1117" s="13" t="inlineStr">
        <is>
          <t>Corporate</t>
        </is>
      </c>
      <c r="H1117" s="13" t="n">
        <v>1</v>
      </c>
      <c r="I1117" s="14" t="n">
        <v>697.4</v>
      </c>
      <c r="J1117" s="15" t="n">
        <v>0.11</v>
      </c>
      <c r="K1117" s="14" t="n">
        <v>432.39</v>
      </c>
      <c r="L1117" s="13" t="n">
        <v>8</v>
      </c>
      <c r="M1117" s="13" t="inlineStr">
        <is>
          <t>Completed</t>
        </is>
      </c>
      <c r="N1117" s="13" t="inlineStr">
        <is>
          <t>P. Rossi</t>
        </is>
      </c>
      <c r="O1117" s="13" t="inlineStr">
        <is>
          <t>No</t>
        </is>
      </c>
      <c r="P1117" s="14">
        <f>H1117*I1117</f>
        <v/>
      </c>
      <c r="Q1117" s="14">
        <f>P1117*(1-J1117)</f>
        <v/>
      </c>
      <c r="R1117" s="14">
        <f>H1117*K1117</f>
        <v/>
      </c>
      <c r="S1117" s="15">
        <f>IF(Q1117=0,"",(Q1117-R1117)/Q1117)</f>
        <v/>
      </c>
      <c r="T1117" s="13">
        <f>YEAR(B1117)</f>
        <v/>
      </c>
      <c r="U1117" s="13">
        <f>YEAR(B1117)&amp;"-Q"&amp;ROUNDUP(MONTH(B1117)/3,0)</f>
        <v/>
      </c>
      <c r="V1117" s="13">
        <f>TEXT(B1117,"YYYY-MM")</f>
        <v/>
      </c>
      <c r="W1117" s="13">
        <f>IF(L1117="","",IF(L1117&gt;pLateDays,1,0))</f>
        <v/>
      </c>
      <c r="X1117" s="13">
        <f>IF(Q1117&gt;=pHighCutoff,1,0)</f>
        <v/>
      </c>
      <c r="Y1117" s="13">
        <f>IF(M1117="Returned",1,0)</f>
        <v/>
      </c>
    </row>
    <row r="1118">
      <c r="A1118" s="13" t="inlineStr">
        <is>
          <t>HC-101116</t>
        </is>
      </c>
      <c r="B1118" s="18" t="n">
        <v>45633</v>
      </c>
      <c r="C1118" s="13" t="inlineStr">
        <is>
          <t>West</t>
        </is>
      </c>
      <c r="D1118" s="13" t="inlineStr">
        <is>
          <t>Online</t>
        </is>
      </c>
      <c r="E1118" s="13" t="inlineStr">
        <is>
          <t>Lighting</t>
        </is>
      </c>
      <c r="F1118" s="13" t="inlineStr">
        <is>
          <t>Brass Sconce</t>
        </is>
      </c>
      <c r="G1118" s="13" t="inlineStr">
        <is>
          <t>Corporate</t>
        </is>
      </c>
      <c r="H1118" s="13" t="n">
        <v>2</v>
      </c>
      <c r="I1118" s="14" t="n">
        <v>141.68</v>
      </c>
      <c r="J1118" s="15" t="n">
        <v>0.06</v>
      </c>
      <c r="K1118" s="14" t="n">
        <v>65.17</v>
      </c>
      <c r="L1118" s="13" t="n">
        <v>9</v>
      </c>
      <c r="M1118" s="13" t="inlineStr">
        <is>
          <t>Completed</t>
        </is>
      </c>
      <c r="N1118" s="13" t="inlineStr">
        <is>
          <t>P. Rossi</t>
        </is>
      </c>
      <c r="O1118" s="13" t="inlineStr">
        <is>
          <t>No</t>
        </is>
      </c>
      <c r="P1118" s="14">
        <f>H1118*I1118</f>
        <v/>
      </c>
      <c r="Q1118" s="14">
        <f>P1118*(1-J1118)</f>
        <v/>
      </c>
      <c r="R1118" s="14">
        <f>H1118*K1118</f>
        <v/>
      </c>
      <c r="S1118" s="15">
        <f>IF(Q1118=0,"",(Q1118-R1118)/Q1118)</f>
        <v/>
      </c>
      <c r="T1118" s="13">
        <f>YEAR(B1118)</f>
        <v/>
      </c>
      <c r="U1118" s="13">
        <f>YEAR(B1118)&amp;"-Q"&amp;ROUNDUP(MONTH(B1118)/3,0)</f>
        <v/>
      </c>
      <c r="V1118" s="13">
        <f>TEXT(B1118,"YYYY-MM")</f>
        <v/>
      </c>
      <c r="W1118" s="13">
        <f>IF(L1118="","",IF(L1118&gt;pLateDays,1,0))</f>
        <v/>
      </c>
      <c r="X1118" s="13">
        <f>IF(Q1118&gt;=pHighCutoff,1,0)</f>
        <v/>
      </c>
      <c r="Y1118" s="13">
        <f>IF(M1118="Returned",1,0)</f>
        <v/>
      </c>
    </row>
    <row r="1119">
      <c r="A1119" s="13" t="inlineStr">
        <is>
          <t>HC-101117</t>
        </is>
      </c>
      <c r="B1119" s="18" t="n">
        <v>45864</v>
      </c>
      <c r="C1119" s="13" t="inlineStr">
        <is>
          <t>South</t>
        </is>
      </c>
      <c r="D1119" s="13" t="inlineStr">
        <is>
          <t>Online</t>
        </is>
      </c>
      <c r="E1119" s="13" t="inlineStr">
        <is>
          <t>Kitchen</t>
        </is>
      </c>
      <c r="F1119" s="13" t="inlineStr">
        <is>
          <t>Ceramic Set</t>
        </is>
      </c>
      <c r="G1119" s="13" t="inlineStr">
        <is>
          <t>Consumer</t>
        </is>
      </c>
      <c r="H1119" s="13" t="n">
        <v>1</v>
      </c>
      <c r="I1119" s="14" t="n">
        <v>92.3</v>
      </c>
      <c r="J1119" s="15" t="n">
        <v>0.1</v>
      </c>
      <c r="K1119" s="14" t="n">
        <v>35.08</v>
      </c>
      <c r="L1119" s="13" t="n">
        <v>10</v>
      </c>
      <c r="M1119" s="13" t="inlineStr">
        <is>
          <t>Completed</t>
        </is>
      </c>
      <c r="N1119" s="13" t="inlineStr">
        <is>
          <t>L. Berger</t>
        </is>
      </c>
      <c r="O1119" s="13" t="inlineStr">
        <is>
          <t>No</t>
        </is>
      </c>
      <c r="P1119" s="14">
        <f>H1119*I1119</f>
        <v/>
      </c>
      <c r="Q1119" s="14">
        <f>P1119*(1-J1119)</f>
        <v/>
      </c>
      <c r="R1119" s="14">
        <f>H1119*K1119</f>
        <v/>
      </c>
      <c r="S1119" s="15">
        <f>IF(Q1119=0,"",(Q1119-R1119)/Q1119)</f>
        <v/>
      </c>
      <c r="T1119" s="13">
        <f>YEAR(B1119)</f>
        <v/>
      </c>
      <c r="U1119" s="13">
        <f>YEAR(B1119)&amp;"-Q"&amp;ROUNDUP(MONTH(B1119)/3,0)</f>
        <v/>
      </c>
      <c r="V1119" s="13">
        <f>TEXT(B1119,"YYYY-MM")</f>
        <v/>
      </c>
      <c r="W1119" s="13">
        <f>IF(L1119="","",IF(L1119&gt;pLateDays,1,0))</f>
        <v/>
      </c>
      <c r="X1119" s="13">
        <f>IF(Q1119&gt;=pHighCutoff,1,0)</f>
        <v/>
      </c>
      <c r="Y1119" s="13">
        <f>IF(M1119="Returned",1,0)</f>
        <v/>
      </c>
    </row>
    <row r="1120">
      <c r="A1120" s="13" t="inlineStr">
        <is>
          <t>HC-101118</t>
        </is>
      </c>
      <c r="B1120" s="18" t="n">
        <v>45385</v>
      </c>
      <c r="C1120" s="13" t="inlineStr">
        <is>
          <t>West</t>
        </is>
      </c>
      <c r="D1120" s="13" t="inlineStr">
        <is>
          <t>Online</t>
        </is>
      </c>
      <c r="E1120" s="13" t="inlineStr">
        <is>
          <t>Lighting</t>
        </is>
      </c>
      <c r="F1120" s="13" t="inlineStr">
        <is>
          <t>Brass Sconce</t>
        </is>
      </c>
      <c r="G1120" s="13" t="inlineStr">
        <is>
          <t>Consumer</t>
        </is>
      </c>
      <c r="H1120" s="13" t="n">
        <v>1</v>
      </c>
      <c r="I1120" s="14" t="n">
        <v>143.77</v>
      </c>
      <c r="J1120" s="15" t="n">
        <v>0.1</v>
      </c>
      <c r="K1120" s="14" t="n">
        <v>66.14</v>
      </c>
      <c r="L1120" s="13" t="n">
        <v>8</v>
      </c>
      <c r="M1120" s="13" t="inlineStr">
        <is>
          <t>Completed</t>
        </is>
      </c>
      <c r="N1120" s="13" t="inlineStr">
        <is>
          <t>A. Shah</t>
        </is>
      </c>
      <c r="O1120" s="13" t="inlineStr">
        <is>
          <t>No</t>
        </is>
      </c>
      <c r="P1120" s="14">
        <f>H1120*I1120</f>
        <v/>
      </c>
      <c r="Q1120" s="14">
        <f>P1120*(1-J1120)</f>
        <v/>
      </c>
      <c r="R1120" s="14">
        <f>H1120*K1120</f>
        <v/>
      </c>
      <c r="S1120" s="15">
        <f>IF(Q1120=0,"",(Q1120-R1120)/Q1120)</f>
        <v/>
      </c>
      <c r="T1120" s="13">
        <f>YEAR(B1120)</f>
        <v/>
      </c>
      <c r="U1120" s="13">
        <f>YEAR(B1120)&amp;"-Q"&amp;ROUNDUP(MONTH(B1120)/3,0)</f>
        <v/>
      </c>
      <c r="V1120" s="13">
        <f>TEXT(B1120,"YYYY-MM")</f>
        <v/>
      </c>
      <c r="W1120" s="13">
        <f>IF(L1120="","",IF(L1120&gt;pLateDays,1,0))</f>
        <v/>
      </c>
      <c r="X1120" s="13">
        <f>IF(Q1120&gt;=pHighCutoff,1,0)</f>
        <v/>
      </c>
      <c r="Y1120" s="13">
        <f>IF(M1120="Returned",1,0)</f>
        <v/>
      </c>
    </row>
    <row r="1121">
      <c r="A1121" s="13" t="inlineStr">
        <is>
          <t>HC-101119</t>
        </is>
      </c>
      <c r="B1121" s="18" t="n">
        <v>45651</v>
      </c>
      <c r="C1121" s="13" t="inlineStr">
        <is>
          <t>East</t>
        </is>
      </c>
      <c r="D1121" s="13" t="inlineStr">
        <is>
          <t>Store</t>
        </is>
      </c>
      <c r="E1121" s="13" t="inlineStr">
        <is>
          <t>Furniture</t>
        </is>
      </c>
      <c r="F1121" s="13" t="inlineStr">
        <is>
          <t>Linen Sofa</t>
        </is>
      </c>
      <c r="G1121" s="13" t="inlineStr">
        <is>
          <t>Consumer</t>
        </is>
      </c>
      <c r="H1121" s="13" t="n">
        <v>4</v>
      </c>
      <c r="I1121" s="14" t="n">
        <v>1084.32</v>
      </c>
      <c r="J1121" s="15" t="n">
        <v>0.05</v>
      </c>
      <c r="K1121" s="14" t="n">
        <v>715.65</v>
      </c>
      <c r="L1121" s="13" t="n">
        <v>9</v>
      </c>
      <c r="M1121" s="13" t="inlineStr">
        <is>
          <t>Completed</t>
        </is>
      </c>
      <c r="N1121" s="13" t="inlineStr">
        <is>
          <t>K. Mensah</t>
        </is>
      </c>
      <c r="O1121" s="13" t="inlineStr">
        <is>
          <t>No</t>
        </is>
      </c>
      <c r="P1121" s="14">
        <f>H1121*I1121</f>
        <v/>
      </c>
      <c r="Q1121" s="14">
        <f>P1121*(1-J1121)</f>
        <v/>
      </c>
      <c r="R1121" s="14">
        <f>H1121*K1121</f>
        <v/>
      </c>
      <c r="S1121" s="15">
        <f>IF(Q1121=0,"",(Q1121-R1121)/Q1121)</f>
        <v/>
      </c>
      <c r="T1121" s="13">
        <f>YEAR(B1121)</f>
        <v/>
      </c>
      <c r="U1121" s="13">
        <f>YEAR(B1121)&amp;"-Q"&amp;ROUNDUP(MONTH(B1121)/3,0)</f>
        <v/>
      </c>
      <c r="V1121" s="13">
        <f>TEXT(B1121,"YYYY-MM")</f>
        <v/>
      </c>
      <c r="W1121" s="13">
        <f>IF(L1121="","",IF(L1121&gt;pLateDays,1,0))</f>
        <v/>
      </c>
      <c r="X1121" s="13">
        <f>IF(Q1121&gt;=pHighCutoff,1,0)</f>
        <v/>
      </c>
      <c r="Y1121" s="13">
        <f>IF(M1121="Returned",1,0)</f>
        <v/>
      </c>
    </row>
    <row r="1122">
      <c r="A1122" s="13" t="inlineStr">
        <is>
          <t>HC-101120</t>
        </is>
      </c>
      <c r="B1122" s="18" t="n">
        <v>45901</v>
      </c>
      <c r="C1122" s="13" t="inlineStr">
        <is>
          <t>East</t>
        </is>
      </c>
      <c r="D1122" s="13" t="inlineStr">
        <is>
          <t>Online</t>
        </is>
      </c>
      <c r="E1122" s="13" t="inlineStr">
        <is>
          <t>Lighting</t>
        </is>
      </c>
      <c r="F1122" s="13" t="inlineStr">
        <is>
          <t>Arc Lamp</t>
        </is>
      </c>
      <c r="G1122" s="13" t="inlineStr">
        <is>
          <t>Consumer</t>
        </is>
      </c>
      <c r="H1122" s="13" t="n">
        <v>3</v>
      </c>
      <c r="I1122" s="14" t="n">
        <v>259.69</v>
      </c>
      <c r="J1122" s="15" t="n">
        <v>0.04</v>
      </c>
      <c r="K1122" s="14" t="n">
        <v>124.65</v>
      </c>
      <c r="L1122" s="13" t="n">
        <v>8</v>
      </c>
      <c r="M1122" s="13" t="inlineStr">
        <is>
          <t>Completed</t>
        </is>
      </c>
      <c r="N1122" s="13" t="inlineStr">
        <is>
          <t>S. Nguyen</t>
        </is>
      </c>
      <c r="O1122" s="13" t="inlineStr">
        <is>
          <t>No</t>
        </is>
      </c>
      <c r="P1122" s="14">
        <f>H1122*I1122</f>
        <v/>
      </c>
      <c r="Q1122" s="14">
        <f>P1122*(1-J1122)</f>
        <v/>
      </c>
      <c r="R1122" s="14">
        <f>H1122*K1122</f>
        <v/>
      </c>
      <c r="S1122" s="15">
        <f>IF(Q1122=0,"",(Q1122-R1122)/Q1122)</f>
        <v/>
      </c>
      <c r="T1122" s="13">
        <f>YEAR(B1122)</f>
        <v/>
      </c>
      <c r="U1122" s="13">
        <f>YEAR(B1122)&amp;"-Q"&amp;ROUNDUP(MONTH(B1122)/3,0)</f>
        <v/>
      </c>
      <c r="V1122" s="13">
        <f>TEXT(B1122,"YYYY-MM")</f>
        <v/>
      </c>
      <c r="W1122" s="13">
        <f>IF(L1122="","",IF(L1122&gt;pLateDays,1,0))</f>
        <v/>
      </c>
      <c r="X1122" s="13">
        <f>IF(Q1122&gt;=pHighCutoff,1,0)</f>
        <v/>
      </c>
      <c r="Y1122" s="13">
        <f>IF(M1122="Returned",1,0)</f>
        <v/>
      </c>
    </row>
    <row r="1123">
      <c r="A1123" s="13" t="inlineStr">
        <is>
          <t>HC-101121</t>
        </is>
      </c>
      <c r="B1123" s="18" t="n">
        <v>45505</v>
      </c>
      <c r="C1123" s="13" t="inlineStr">
        <is>
          <t>South</t>
        </is>
      </c>
      <c r="D1123" s="13" t="inlineStr">
        <is>
          <t>Online</t>
        </is>
      </c>
      <c r="E1123" s="13" t="inlineStr">
        <is>
          <t>Lighting</t>
        </is>
      </c>
      <c r="F1123" s="13" t="inlineStr">
        <is>
          <t>Arc Lamp</t>
        </is>
      </c>
      <c r="G1123" s="13" t="inlineStr">
        <is>
          <t>Consumer</t>
        </is>
      </c>
      <c r="H1123" s="13" t="n">
        <v>1</v>
      </c>
      <c r="I1123" s="14" t="n">
        <v>291.67</v>
      </c>
      <c r="J1123" s="15" t="n">
        <v>0.17</v>
      </c>
      <c r="K1123" s="14" t="n">
        <v>140</v>
      </c>
      <c r="L1123" s="13" t="n">
        <v>6</v>
      </c>
      <c r="M1123" s="13" t="inlineStr">
        <is>
          <t>Completed</t>
        </is>
      </c>
      <c r="N1123" s="13" t="inlineStr">
        <is>
          <t>R. Ibarra</t>
        </is>
      </c>
      <c r="O1123" s="13" t="inlineStr">
        <is>
          <t>No</t>
        </is>
      </c>
      <c r="P1123" s="14">
        <f>H1123*I1123</f>
        <v/>
      </c>
      <c r="Q1123" s="14">
        <f>P1123*(1-J1123)</f>
        <v/>
      </c>
      <c r="R1123" s="14">
        <f>H1123*K1123</f>
        <v/>
      </c>
      <c r="S1123" s="15">
        <f>IF(Q1123=0,"",(Q1123-R1123)/Q1123)</f>
        <v/>
      </c>
      <c r="T1123" s="13">
        <f>YEAR(B1123)</f>
        <v/>
      </c>
      <c r="U1123" s="13">
        <f>YEAR(B1123)&amp;"-Q"&amp;ROUNDUP(MONTH(B1123)/3,0)</f>
        <v/>
      </c>
      <c r="V1123" s="13">
        <f>TEXT(B1123,"YYYY-MM")</f>
        <v/>
      </c>
      <c r="W1123" s="13">
        <f>IF(L1123="","",IF(L1123&gt;pLateDays,1,0))</f>
        <v/>
      </c>
      <c r="X1123" s="13">
        <f>IF(Q1123&gt;=pHighCutoff,1,0)</f>
        <v/>
      </c>
      <c r="Y1123" s="13">
        <f>IF(M1123="Returned",1,0)</f>
        <v/>
      </c>
    </row>
    <row r="1124">
      <c r="A1124" s="13" t="inlineStr">
        <is>
          <t>HC-101122</t>
        </is>
      </c>
      <c r="B1124" s="18" t="n">
        <v>45632</v>
      </c>
      <c r="C1124" s="13" t="inlineStr">
        <is>
          <t>South</t>
        </is>
      </c>
      <c r="D1124" s="13" t="inlineStr">
        <is>
          <t>Store</t>
        </is>
      </c>
      <c r="E1124" s="13" t="inlineStr">
        <is>
          <t>Furniture</t>
        </is>
      </c>
      <c r="F1124" s="13" t="inlineStr">
        <is>
          <t>Walnut Shelf</t>
        </is>
      </c>
      <c r="G1124" s="13" t="inlineStr">
        <is>
          <t>Unknown</t>
        </is>
      </c>
      <c r="H1124" s="13" t="n">
        <v>2</v>
      </c>
      <c r="I1124" s="14" t="n">
        <v>210.91</v>
      </c>
      <c r="J1124" s="15" t="n">
        <v>0.05</v>
      </c>
      <c r="K1124" s="14" t="n">
        <v>116</v>
      </c>
      <c r="L1124" s="13" t="n">
        <v>7</v>
      </c>
      <c r="M1124" s="13" t="inlineStr">
        <is>
          <t>Completed</t>
        </is>
      </c>
      <c r="N1124" s="13" t="inlineStr">
        <is>
          <t>M. Okonkwo</t>
        </is>
      </c>
      <c r="O1124" s="13" t="inlineStr">
        <is>
          <t>No</t>
        </is>
      </c>
      <c r="P1124" s="14">
        <f>H1124*I1124</f>
        <v/>
      </c>
      <c r="Q1124" s="14">
        <f>P1124*(1-J1124)</f>
        <v/>
      </c>
      <c r="R1124" s="14">
        <f>H1124*K1124</f>
        <v/>
      </c>
      <c r="S1124" s="15">
        <f>IF(Q1124=0,"",(Q1124-R1124)/Q1124)</f>
        <v/>
      </c>
      <c r="T1124" s="13">
        <f>YEAR(B1124)</f>
        <v/>
      </c>
      <c r="U1124" s="13">
        <f>YEAR(B1124)&amp;"-Q"&amp;ROUNDUP(MONTH(B1124)/3,0)</f>
        <v/>
      </c>
      <c r="V1124" s="13">
        <f>TEXT(B1124,"YYYY-MM")</f>
        <v/>
      </c>
      <c r="W1124" s="13">
        <f>IF(L1124="","",IF(L1124&gt;pLateDays,1,0))</f>
        <v/>
      </c>
      <c r="X1124" s="13">
        <f>IF(Q1124&gt;=pHighCutoff,1,0)</f>
        <v/>
      </c>
      <c r="Y1124" s="13">
        <f>IF(M1124="Returned",1,0)</f>
        <v/>
      </c>
    </row>
    <row r="1125">
      <c r="A1125" s="13" t="inlineStr">
        <is>
          <t>HC-101123</t>
        </is>
      </c>
      <c r="B1125" s="18" t="n">
        <v>45651</v>
      </c>
      <c r="C1125" s="13" t="inlineStr">
        <is>
          <t>North</t>
        </is>
      </c>
      <c r="D1125" s="13" t="inlineStr">
        <is>
          <t>Store</t>
        </is>
      </c>
      <c r="E1125" s="13" t="inlineStr">
        <is>
          <t>Furniture</t>
        </is>
      </c>
      <c r="F1125" s="13" t="inlineStr">
        <is>
          <t>Linen Sofa</t>
        </is>
      </c>
      <c r="G1125" s="13" t="inlineStr">
        <is>
          <t>Consumer</t>
        </is>
      </c>
      <c r="H1125" s="13" t="n">
        <v>5</v>
      </c>
      <c r="I1125" s="14" t="n">
        <v>1212.22</v>
      </c>
      <c r="J1125" s="15" t="n">
        <v>0.06</v>
      </c>
      <c r="K1125" s="14" t="n">
        <v>800.0700000000001</v>
      </c>
      <c r="L1125" s="13" t="n">
        <v>5</v>
      </c>
      <c r="M1125" s="13" t="inlineStr">
        <is>
          <t>Completed</t>
        </is>
      </c>
      <c r="N1125" s="13" t="inlineStr">
        <is>
          <t>A. Shah</t>
        </is>
      </c>
      <c r="O1125" s="13" t="inlineStr">
        <is>
          <t>No</t>
        </is>
      </c>
      <c r="P1125" s="14">
        <f>H1125*I1125</f>
        <v/>
      </c>
      <c r="Q1125" s="14">
        <f>P1125*(1-J1125)</f>
        <v/>
      </c>
      <c r="R1125" s="14">
        <f>H1125*K1125</f>
        <v/>
      </c>
      <c r="S1125" s="15">
        <f>IF(Q1125=0,"",(Q1125-R1125)/Q1125)</f>
        <v/>
      </c>
      <c r="T1125" s="13">
        <f>YEAR(B1125)</f>
        <v/>
      </c>
      <c r="U1125" s="13">
        <f>YEAR(B1125)&amp;"-Q"&amp;ROUNDUP(MONTH(B1125)/3,0)</f>
        <v/>
      </c>
      <c r="V1125" s="13">
        <f>TEXT(B1125,"YYYY-MM")</f>
        <v/>
      </c>
      <c r="W1125" s="13">
        <f>IF(L1125="","",IF(L1125&gt;pLateDays,1,0))</f>
        <v/>
      </c>
      <c r="X1125" s="13">
        <f>IF(Q1125&gt;=pHighCutoff,1,0)</f>
        <v/>
      </c>
      <c r="Y1125" s="13">
        <f>IF(M1125="Returned",1,0)</f>
        <v/>
      </c>
    </row>
    <row r="1126">
      <c r="A1126" s="13" t="inlineStr">
        <is>
          <t>HC-101124</t>
        </is>
      </c>
      <c r="B1126" s="18" t="n">
        <v>45769</v>
      </c>
      <c r="C1126" s="13" t="inlineStr">
        <is>
          <t>North</t>
        </is>
      </c>
      <c r="D1126" s="13" t="inlineStr">
        <is>
          <t>Online</t>
        </is>
      </c>
      <c r="E1126" s="13" t="inlineStr">
        <is>
          <t>Textiles</t>
        </is>
      </c>
      <c r="F1126" s="13" t="inlineStr">
        <is>
          <t>Wool Throw</t>
        </is>
      </c>
      <c r="G1126" s="13" t="inlineStr">
        <is>
          <t>Corporate</t>
        </is>
      </c>
      <c r="H1126" s="13" t="n">
        <v>3</v>
      </c>
      <c r="I1126" s="14" t="n">
        <v>71.48</v>
      </c>
      <c r="J1126" s="15" t="n">
        <v>0.18</v>
      </c>
      <c r="K1126" s="14" t="n">
        <v>30.02</v>
      </c>
      <c r="L1126" s="13" t="n">
        <v>7</v>
      </c>
      <c r="M1126" s="13" t="inlineStr">
        <is>
          <t>Completed</t>
        </is>
      </c>
      <c r="N1126" s="13" t="inlineStr">
        <is>
          <t>K. Mensah</t>
        </is>
      </c>
      <c r="O1126" s="13" t="inlineStr">
        <is>
          <t>No</t>
        </is>
      </c>
      <c r="P1126" s="14">
        <f>H1126*I1126</f>
        <v/>
      </c>
      <c r="Q1126" s="14">
        <f>P1126*(1-J1126)</f>
        <v/>
      </c>
      <c r="R1126" s="14">
        <f>H1126*K1126</f>
        <v/>
      </c>
      <c r="S1126" s="15">
        <f>IF(Q1126=0,"",(Q1126-R1126)/Q1126)</f>
        <v/>
      </c>
      <c r="T1126" s="13">
        <f>YEAR(B1126)</f>
        <v/>
      </c>
      <c r="U1126" s="13">
        <f>YEAR(B1126)&amp;"-Q"&amp;ROUNDUP(MONTH(B1126)/3,0)</f>
        <v/>
      </c>
      <c r="V1126" s="13">
        <f>TEXT(B1126,"YYYY-MM")</f>
        <v/>
      </c>
      <c r="W1126" s="13">
        <f>IF(L1126="","",IF(L1126&gt;pLateDays,1,0))</f>
        <v/>
      </c>
      <c r="X1126" s="13">
        <f>IF(Q1126&gt;=pHighCutoff,1,0)</f>
        <v/>
      </c>
      <c r="Y1126" s="13">
        <f>IF(M1126="Returned",1,0)</f>
        <v/>
      </c>
    </row>
    <row r="1127">
      <c r="A1127" s="13" t="inlineStr">
        <is>
          <t>HC-101125</t>
        </is>
      </c>
      <c r="B1127" s="18" t="n">
        <v>45539</v>
      </c>
      <c r="C1127" s="13" t="inlineStr">
        <is>
          <t>North</t>
        </is>
      </c>
      <c r="D1127" s="13" t="inlineStr">
        <is>
          <t>Online</t>
        </is>
      </c>
      <c r="E1127" s="13" t="inlineStr">
        <is>
          <t>Furniture</t>
        </is>
      </c>
      <c r="F1127" s="13" t="inlineStr">
        <is>
          <t>Walnut Shelf</t>
        </is>
      </c>
      <c r="G1127" s="13" t="inlineStr">
        <is>
          <t>Home Office</t>
        </is>
      </c>
      <c r="H1127" s="13" t="n">
        <v>1</v>
      </c>
      <c r="I1127" s="14" t="n">
        <v>223.68</v>
      </c>
      <c r="J1127" s="15" t="n">
        <v>0.09</v>
      </c>
      <c r="K1127" s="14" t="n">
        <v>123.02</v>
      </c>
      <c r="L1127" s="13" t="n">
        <v>7</v>
      </c>
      <c r="M1127" s="13" t="inlineStr">
        <is>
          <t>Completed</t>
        </is>
      </c>
      <c r="N1127" s="13" t="inlineStr">
        <is>
          <t>R. Ibarra</t>
        </is>
      </c>
      <c r="O1127" s="13" t="inlineStr">
        <is>
          <t>No</t>
        </is>
      </c>
      <c r="P1127" s="14">
        <f>H1127*I1127</f>
        <v/>
      </c>
      <c r="Q1127" s="14">
        <f>P1127*(1-J1127)</f>
        <v/>
      </c>
      <c r="R1127" s="14">
        <f>H1127*K1127</f>
        <v/>
      </c>
      <c r="S1127" s="15">
        <f>IF(Q1127=0,"",(Q1127-R1127)/Q1127)</f>
        <v/>
      </c>
      <c r="T1127" s="13">
        <f>YEAR(B1127)</f>
        <v/>
      </c>
      <c r="U1127" s="13">
        <f>YEAR(B1127)&amp;"-Q"&amp;ROUNDUP(MONTH(B1127)/3,0)</f>
        <v/>
      </c>
      <c r="V1127" s="13">
        <f>TEXT(B1127,"YYYY-MM")</f>
        <v/>
      </c>
      <c r="W1127" s="13">
        <f>IF(L1127="","",IF(L1127&gt;pLateDays,1,0))</f>
        <v/>
      </c>
      <c r="X1127" s="13">
        <f>IF(Q1127&gt;=pHighCutoff,1,0)</f>
        <v/>
      </c>
      <c r="Y1127" s="13">
        <f>IF(M1127="Returned",1,0)</f>
        <v/>
      </c>
    </row>
    <row r="1128">
      <c r="A1128" s="13" t="inlineStr">
        <is>
          <t>HC-101126</t>
        </is>
      </c>
      <c r="B1128" s="18" t="n">
        <v>45907</v>
      </c>
      <c r="C1128" s="13" t="inlineStr">
        <is>
          <t>West</t>
        </is>
      </c>
      <c r="D1128" s="13" t="inlineStr">
        <is>
          <t>Online</t>
        </is>
      </c>
      <c r="E1128" s="13" t="inlineStr">
        <is>
          <t>Lighting</t>
        </is>
      </c>
      <c r="F1128" s="13" t="inlineStr">
        <is>
          <t>Pendant Light</t>
        </is>
      </c>
      <c r="G1128" s="13" t="inlineStr">
        <is>
          <t>Consumer</t>
        </is>
      </c>
      <c r="H1128" s="13" t="n">
        <v>1</v>
      </c>
      <c r="I1128" s="14" t="n">
        <v>173.55</v>
      </c>
      <c r="J1128" s="15" t="n">
        <v>0.18</v>
      </c>
      <c r="K1128" s="14" t="n">
        <v>86.78</v>
      </c>
      <c r="L1128" s="13" t="n">
        <v>6</v>
      </c>
      <c r="M1128" s="13" t="inlineStr">
        <is>
          <t>Completed</t>
        </is>
      </c>
      <c r="N1128" s="13" t="inlineStr">
        <is>
          <t>J. Patel</t>
        </is>
      </c>
      <c r="O1128" s="13" t="inlineStr">
        <is>
          <t>No</t>
        </is>
      </c>
      <c r="P1128" s="14">
        <f>H1128*I1128</f>
        <v/>
      </c>
      <c r="Q1128" s="14">
        <f>P1128*(1-J1128)</f>
        <v/>
      </c>
      <c r="R1128" s="14">
        <f>H1128*K1128</f>
        <v/>
      </c>
      <c r="S1128" s="15">
        <f>IF(Q1128=0,"",(Q1128-R1128)/Q1128)</f>
        <v/>
      </c>
      <c r="T1128" s="13">
        <f>YEAR(B1128)</f>
        <v/>
      </c>
      <c r="U1128" s="13">
        <f>YEAR(B1128)&amp;"-Q"&amp;ROUNDUP(MONTH(B1128)/3,0)</f>
        <v/>
      </c>
      <c r="V1128" s="13">
        <f>TEXT(B1128,"YYYY-MM")</f>
        <v/>
      </c>
      <c r="W1128" s="13">
        <f>IF(L1128="","",IF(L1128&gt;pLateDays,1,0))</f>
        <v/>
      </c>
      <c r="X1128" s="13">
        <f>IF(Q1128&gt;=pHighCutoff,1,0)</f>
        <v/>
      </c>
      <c r="Y1128" s="13">
        <f>IF(M1128="Returned",1,0)</f>
        <v/>
      </c>
    </row>
    <row r="1129">
      <c r="A1129" s="13" t="inlineStr">
        <is>
          <t>HC-101127</t>
        </is>
      </c>
      <c r="B1129" s="18" t="n">
        <v>45630</v>
      </c>
      <c r="C1129" s="13" t="inlineStr">
        <is>
          <t>East</t>
        </is>
      </c>
      <c r="D1129" s="13" t="inlineStr">
        <is>
          <t>Online</t>
        </is>
      </c>
      <c r="E1129" s="13" t="inlineStr">
        <is>
          <t>Lighting</t>
        </is>
      </c>
      <c r="F1129" s="13" t="inlineStr">
        <is>
          <t>Arc Lamp</t>
        </is>
      </c>
      <c r="G1129" s="13" t="inlineStr">
        <is>
          <t>Consumer</t>
        </is>
      </c>
      <c r="H1129" s="13" t="n">
        <v>3</v>
      </c>
      <c r="I1129" s="14" t="n">
        <v>270.43</v>
      </c>
      <c r="J1129" s="15" t="n">
        <v>0.13</v>
      </c>
      <c r="K1129" s="14" t="n">
        <v>129.8</v>
      </c>
      <c r="L1129" s="13" t="n">
        <v>11</v>
      </c>
      <c r="M1129" s="13" t="inlineStr">
        <is>
          <t>Completed</t>
        </is>
      </c>
      <c r="N1129" s="13" t="inlineStr">
        <is>
          <t>K. Mensah</t>
        </is>
      </c>
      <c r="O1129" s="13" t="inlineStr">
        <is>
          <t>No</t>
        </is>
      </c>
      <c r="P1129" s="14">
        <f>H1129*I1129</f>
        <v/>
      </c>
      <c r="Q1129" s="14">
        <f>P1129*(1-J1129)</f>
        <v/>
      </c>
      <c r="R1129" s="14">
        <f>H1129*K1129</f>
        <v/>
      </c>
      <c r="S1129" s="15">
        <f>IF(Q1129=0,"",(Q1129-R1129)/Q1129)</f>
        <v/>
      </c>
      <c r="T1129" s="13">
        <f>YEAR(B1129)</f>
        <v/>
      </c>
      <c r="U1129" s="13">
        <f>YEAR(B1129)&amp;"-Q"&amp;ROUNDUP(MONTH(B1129)/3,0)</f>
        <v/>
      </c>
      <c r="V1129" s="13">
        <f>TEXT(B1129,"YYYY-MM")</f>
        <v/>
      </c>
      <c r="W1129" s="13">
        <f>IF(L1129="","",IF(L1129&gt;pLateDays,1,0))</f>
        <v/>
      </c>
      <c r="X1129" s="13">
        <f>IF(Q1129&gt;=pHighCutoff,1,0)</f>
        <v/>
      </c>
      <c r="Y1129" s="13">
        <f>IF(M1129="Returned",1,0)</f>
        <v/>
      </c>
    </row>
    <row r="1130">
      <c r="A1130" s="13" t="inlineStr">
        <is>
          <t>HC-101128</t>
        </is>
      </c>
      <c r="B1130" s="18" t="n">
        <v>45541</v>
      </c>
      <c r="C1130" s="13" t="inlineStr">
        <is>
          <t>East</t>
        </is>
      </c>
      <c r="D1130" s="13" t="inlineStr">
        <is>
          <t>Store</t>
        </is>
      </c>
      <c r="E1130" s="13" t="inlineStr">
        <is>
          <t>Lighting</t>
        </is>
      </c>
      <c r="F1130" s="13" t="inlineStr">
        <is>
          <t>Brass Sconce</t>
        </is>
      </c>
      <c r="G1130" s="13" t="inlineStr">
        <is>
          <t>Corporate</t>
        </is>
      </c>
      <c r="H1130" s="13" t="n">
        <v>2</v>
      </c>
      <c r="I1130" s="14" t="n">
        <v>121.32</v>
      </c>
      <c r="J1130" s="15" t="n">
        <v>0.07000000000000001</v>
      </c>
      <c r="K1130" s="14" t="n">
        <v>55.81</v>
      </c>
      <c r="L1130" s="13" t="n">
        <v>5</v>
      </c>
      <c r="M1130" s="13" t="inlineStr">
        <is>
          <t>Completed</t>
        </is>
      </c>
      <c r="N1130" s="13" t="inlineStr">
        <is>
          <t>S. Nguyen</t>
        </is>
      </c>
      <c r="O1130" s="13" t="inlineStr">
        <is>
          <t>No</t>
        </is>
      </c>
      <c r="P1130" s="14">
        <f>H1130*I1130</f>
        <v/>
      </c>
      <c r="Q1130" s="14">
        <f>P1130*(1-J1130)</f>
        <v/>
      </c>
      <c r="R1130" s="14">
        <f>H1130*K1130</f>
        <v/>
      </c>
      <c r="S1130" s="15">
        <f>IF(Q1130=0,"",(Q1130-R1130)/Q1130)</f>
        <v/>
      </c>
      <c r="T1130" s="13">
        <f>YEAR(B1130)</f>
        <v/>
      </c>
      <c r="U1130" s="13">
        <f>YEAR(B1130)&amp;"-Q"&amp;ROUNDUP(MONTH(B1130)/3,0)</f>
        <v/>
      </c>
      <c r="V1130" s="13">
        <f>TEXT(B1130,"YYYY-MM")</f>
        <v/>
      </c>
      <c r="W1130" s="13">
        <f>IF(L1130="","",IF(L1130&gt;pLateDays,1,0))</f>
        <v/>
      </c>
      <c r="X1130" s="13">
        <f>IF(Q1130&gt;=pHighCutoff,1,0)</f>
        <v/>
      </c>
      <c r="Y1130" s="13">
        <f>IF(M1130="Returned",1,0)</f>
        <v/>
      </c>
    </row>
    <row r="1131">
      <c r="A1131" s="13" t="inlineStr">
        <is>
          <t>HC-101129</t>
        </is>
      </c>
      <c r="B1131" s="18" t="n">
        <v>45628</v>
      </c>
      <c r="C1131" s="13" t="inlineStr">
        <is>
          <t>North</t>
        </is>
      </c>
      <c r="D1131" s="13" t="inlineStr">
        <is>
          <t>Wholesale</t>
        </is>
      </c>
      <c r="E1131" s="13" t="inlineStr">
        <is>
          <t>Furniture</t>
        </is>
      </c>
      <c r="F1131" s="13" t="inlineStr">
        <is>
          <t>Lounge Chair</t>
        </is>
      </c>
      <c r="G1131" s="13" t="inlineStr">
        <is>
          <t>Home Office</t>
        </is>
      </c>
      <c r="H1131" s="13" t="n">
        <v>19</v>
      </c>
      <c r="I1131" s="14" t="n">
        <v>461.35</v>
      </c>
      <c r="J1131" s="15" t="n">
        <v>0.29</v>
      </c>
      <c r="K1131" s="14" t="n">
        <v>276.81</v>
      </c>
      <c r="L1131" s="13" t="n">
        <v>8</v>
      </c>
      <c r="M1131" s="13" t="inlineStr">
        <is>
          <t>Completed</t>
        </is>
      </c>
      <c r="N1131" s="13" t="inlineStr">
        <is>
          <t>M. Okonkwo</t>
        </is>
      </c>
      <c r="O1131" s="13" t="inlineStr">
        <is>
          <t>No</t>
        </is>
      </c>
      <c r="P1131" s="14">
        <f>H1131*I1131</f>
        <v/>
      </c>
      <c r="Q1131" s="14">
        <f>P1131*(1-J1131)</f>
        <v/>
      </c>
      <c r="R1131" s="14">
        <f>H1131*K1131</f>
        <v/>
      </c>
      <c r="S1131" s="15">
        <f>IF(Q1131=0,"",(Q1131-R1131)/Q1131)</f>
        <v/>
      </c>
      <c r="T1131" s="13">
        <f>YEAR(B1131)</f>
        <v/>
      </c>
      <c r="U1131" s="13">
        <f>YEAR(B1131)&amp;"-Q"&amp;ROUNDUP(MONTH(B1131)/3,0)</f>
        <v/>
      </c>
      <c r="V1131" s="13">
        <f>TEXT(B1131,"YYYY-MM")</f>
        <v/>
      </c>
      <c r="W1131" s="13">
        <f>IF(L1131="","",IF(L1131&gt;pLateDays,1,0))</f>
        <v/>
      </c>
      <c r="X1131" s="13">
        <f>IF(Q1131&gt;=pHighCutoff,1,0)</f>
        <v/>
      </c>
      <c r="Y1131" s="13">
        <f>IF(M1131="Returned",1,0)</f>
        <v/>
      </c>
    </row>
    <row r="1132">
      <c r="A1132" s="13" t="inlineStr">
        <is>
          <t>HC-101130</t>
        </is>
      </c>
      <c r="B1132" s="18" t="n">
        <v>45646</v>
      </c>
      <c r="C1132" s="13" t="inlineStr">
        <is>
          <t>North</t>
        </is>
      </c>
      <c r="D1132" s="13" t="inlineStr">
        <is>
          <t>Store</t>
        </is>
      </c>
      <c r="E1132" s="13" t="inlineStr">
        <is>
          <t>Textiles</t>
        </is>
      </c>
      <c r="F1132" s="13" t="inlineStr">
        <is>
          <t>Linen Curtain</t>
        </is>
      </c>
      <c r="G1132" s="13" t="inlineStr">
        <is>
          <t>Consumer</t>
        </is>
      </c>
      <c r="H1132" s="13" t="n">
        <v>4</v>
      </c>
      <c r="I1132" s="14" t="n">
        <v>99.15000000000001</v>
      </c>
      <c r="J1132" s="15" t="n">
        <v>0.05</v>
      </c>
      <c r="K1132" s="14" t="n">
        <v>44.62</v>
      </c>
      <c r="L1132" s="13" t="n">
        <v>4</v>
      </c>
      <c r="M1132" s="13" t="inlineStr">
        <is>
          <t>Completed</t>
        </is>
      </c>
      <c r="N1132" s="13" t="inlineStr">
        <is>
          <t>L. Berger</t>
        </is>
      </c>
      <c r="O1132" s="13" t="inlineStr">
        <is>
          <t>No</t>
        </is>
      </c>
      <c r="P1132" s="14">
        <f>H1132*I1132</f>
        <v/>
      </c>
      <c r="Q1132" s="14">
        <f>P1132*(1-J1132)</f>
        <v/>
      </c>
      <c r="R1132" s="14">
        <f>H1132*K1132</f>
        <v/>
      </c>
      <c r="S1132" s="15">
        <f>IF(Q1132=0,"",(Q1132-R1132)/Q1132)</f>
        <v/>
      </c>
      <c r="T1132" s="13">
        <f>YEAR(B1132)</f>
        <v/>
      </c>
      <c r="U1132" s="13">
        <f>YEAR(B1132)&amp;"-Q"&amp;ROUNDUP(MONTH(B1132)/3,0)</f>
        <v/>
      </c>
      <c r="V1132" s="13">
        <f>TEXT(B1132,"YYYY-MM")</f>
        <v/>
      </c>
      <c r="W1132" s="13">
        <f>IF(L1132="","",IF(L1132&gt;pLateDays,1,0))</f>
        <v/>
      </c>
      <c r="X1132" s="13">
        <f>IF(Q1132&gt;=pHighCutoff,1,0)</f>
        <v/>
      </c>
      <c r="Y1132" s="13">
        <f>IF(M1132="Returned",1,0)</f>
        <v/>
      </c>
    </row>
    <row r="1133">
      <c r="A1133" s="13" t="inlineStr">
        <is>
          <t>HC-101131</t>
        </is>
      </c>
      <c r="B1133" s="18" t="n">
        <v>45926</v>
      </c>
      <c r="C1133" s="13" t="inlineStr">
        <is>
          <t>West</t>
        </is>
      </c>
      <c r="D1133" s="13" t="inlineStr">
        <is>
          <t>Store</t>
        </is>
      </c>
      <c r="E1133" s="13" t="inlineStr">
        <is>
          <t>Furniture</t>
        </is>
      </c>
      <c r="F1133" s="13" t="inlineStr">
        <is>
          <t>Oak Desk</t>
        </is>
      </c>
      <c r="G1133" s="13" t="inlineStr">
        <is>
          <t>Consumer</t>
        </is>
      </c>
      <c r="H1133" s="13" t="n">
        <v>2</v>
      </c>
      <c r="I1133" s="14" t="n">
        <v>805.78</v>
      </c>
      <c r="J1133" s="15" t="n">
        <v>0.11</v>
      </c>
      <c r="K1133" s="14" t="n">
        <v>499.59</v>
      </c>
      <c r="L1133" s="13" t="n">
        <v>3</v>
      </c>
      <c r="M1133" s="13" t="inlineStr">
        <is>
          <t>Completed</t>
        </is>
      </c>
      <c r="N1133" s="13" t="inlineStr">
        <is>
          <t>J. Patel</t>
        </is>
      </c>
      <c r="O1133" s="13" t="inlineStr">
        <is>
          <t>No</t>
        </is>
      </c>
      <c r="P1133" s="14">
        <f>H1133*I1133</f>
        <v/>
      </c>
      <c r="Q1133" s="14">
        <f>P1133*(1-J1133)</f>
        <v/>
      </c>
      <c r="R1133" s="14">
        <f>H1133*K1133</f>
        <v/>
      </c>
      <c r="S1133" s="15">
        <f>IF(Q1133=0,"",(Q1133-R1133)/Q1133)</f>
        <v/>
      </c>
      <c r="T1133" s="13">
        <f>YEAR(B1133)</f>
        <v/>
      </c>
      <c r="U1133" s="13">
        <f>YEAR(B1133)&amp;"-Q"&amp;ROUNDUP(MONTH(B1133)/3,0)</f>
        <v/>
      </c>
      <c r="V1133" s="13">
        <f>TEXT(B1133,"YYYY-MM")</f>
        <v/>
      </c>
      <c r="W1133" s="13">
        <f>IF(L1133="","",IF(L1133&gt;pLateDays,1,0))</f>
        <v/>
      </c>
      <c r="X1133" s="13">
        <f>IF(Q1133&gt;=pHighCutoff,1,0)</f>
        <v/>
      </c>
      <c r="Y1133" s="13">
        <f>IF(M1133="Returned",1,0)</f>
        <v/>
      </c>
    </row>
    <row r="1134">
      <c r="A1134" s="13" t="inlineStr">
        <is>
          <t>HC-101132</t>
        </is>
      </c>
      <c r="B1134" s="18" t="n">
        <v>45304</v>
      </c>
      <c r="C1134" s="13" t="inlineStr">
        <is>
          <t>West</t>
        </is>
      </c>
      <c r="D1134" s="13" t="inlineStr">
        <is>
          <t>Wholesale</t>
        </is>
      </c>
      <c r="E1134" s="13" t="inlineStr">
        <is>
          <t>Furniture</t>
        </is>
      </c>
      <c r="F1134" s="13" t="inlineStr">
        <is>
          <t>Linen Sofa</t>
        </is>
      </c>
      <c r="G1134" s="13" t="inlineStr">
        <is>
          <t>Consumer</t>
        </is>
      </c>
      <c r="H1134" s="13" t="n">
        <v>18</v>
      </c>
      <c r="I1134" s="14" t="n">
        <v>1286.84</v>
      </c>
      <c r="J1134" s="15" t="n">
        <v>0.19</v>
      </c>
      <c r="K1134" s="14" t="n">
        <v>849.3200000000001</v>
      </c>
      <c r="L1134" s="13" t="n">
        <v>8</v>
      </c>
      <c r="M1134" s="13" t="inlineStr">
        <is>
          <t>Completed</t>
        </is>
      </c>
      <c r="N1134" s="13" t="inlineStr">
        <is>
          <t>S. Nguyen</t>
        </is>
      </c>
      <c r="O1134" s="13" t="inlineStr">
        <is>
          <t>No</t>
        </is>
      </c>
      <c r="P1134" s="14">
        <f>H1134*I1134</f>
        <v/>
      </c>
      <c r="Q1134" s="14">
        <f>P1134*(1-J1134)</f>
        <v/>
      </c>
      <c r="R1134" s="14">
        <f>H1134*K1134</f>
        <v/>
      </c>
      <c r="S1134" s="15">
        <f>IF(Q1134=0,"",(Q1134-R1134)/Q1134)</f>
        <v/>
      </c>
      <c r="T1134" s="13">
        <f>YEAR(B1134)</f>
        <v/>
      </c>
      <c r="U1134" s="13">
        <f>YEAR(B1134)&amp;"-Q"&amp;ROUNDUP(MONTH(B1134)/3,0)</f>
        <v/>
      </c>
      <c r="V1134" s="13">
        <f>TEXT(B1134,"YYYY-MM")</f>
        <v/>
      </c>
      <c r="W1134" s="13">
        <f>IF(L1134="","",IF(L1134&gt;pLateDays,1,0))</f>
        <v/>
      </c>
      <c r="X1134" s="13">
        <f>IF(Q1134&gt;=pHighCutoff,1,0)</f>
        <v/>
      </c>
      <c r="Y1134" s="13">
        <f>IF(M1134="Returned",1,0)</f>
        <v/>
      </c>
    </row>
    <row r="1135">
      <c r="A1135" s="13" t="inlineStr">
        <is>
          <t>HC-101133</t>
        </is>
      </c>
      <c r="B1135" s="18" t="n">
        <v>45356</v>
      </c>
      <c r="C1135" s="13" t="inlineStr">
        <is>
          <t>South</t>
        </is>
      </c>
      <c r="D1135" s="13" t="inlineStr">
        <is>
          <t>Wholesale</t>
        </is>
      </c>
      <c r="E1135" s="13" t="inlineStr">
        <is>
          <t>Furniture</t>
        </is>
      </c>
      <c r="F1135" s="13" t="inlineStr">
        <is>
          <t>Oak Desk</t>
        </is>
      </c>
      <c r="G1135" s="13" t="inlineStr">
        <is>
          <t>Consumer</t>
        </is>
      </c>
      <c r="H1135" s="13" t="n">
        <v>10</v>
      </c>
      <c r="I1135" s="14" t="n">
        <v>802.24</v>
      </c>
      <c r="J1135" s="15" t="n">
        <v>0.17</v>
      </c>
      <c r="K1135" s="14" t="n">
        <v>497.39</v>
      </c>
      <c r="L1135" s="13" t="n">
        <v>3</v>
      </c>
      <c r="M1135" s="13" t="inlineStr">
        <is>
          <t>Completed</t>
        </is>
      </c>
      <c r="N1135" s="13" t="inlineStr">
        <is>
          <t>P. Rossi</t>
        </is>
      </c>
      <c r="O1135" s="13" t="inlineStr">
        <is>
          <t>No</t>
        </is>
      </c>
      <c r="P1135" s="14">
        <f>H1135*I1135</f>
        <v/>
      </c>
      <c r="Q1135" s="14">
        <f>P1135*(1-J1135)</f>
        <v/>
      </c>
      <c r="R1135" s="14">
        <f>H1135*K1135</f>
        <v/>
      </c>
      <c r="S1135" s="15">
        <f>IF(Q1135=0,"",(Q1135-R1135)/Q1135)</f>
        <v/>
      </c>
      <c r="T1135" s="13">
        <f>YEAR(B1135)</f>
        <v/>
      </c>
      <c r="U1135" s="13">
        <f>YEAR(B1135)&amp;"-Q"&amp;ROUNDUP(MONTH(B1135)/3,0)</f>
        <v/>
      </c>
      <c r="V1135" s="13">
        <f>TEXT(B1135,"YYYY-MM")</f>
        <v/>
      </c>
      <c r="W1135" s="13">
        <f>IF(L1135="","",IF(L1135&gt;pLateDays,1,0))</f>
        <v/>
      </c>
      <c r="X1135" s="13">
        <f>IF(Q1135&gt;=pHighCutoff,1,0)</f>
        <v/>
      </c>
      <c r="Y1135" s="13">
        <f>IF(M1135="Returned",1,0)</f>
        <v/>
      </c>
    </row>
    <row r="1136">
      <c r="A1136" s="13" t="inlineStr">
        <is>
          <t>HC-101134</t>
        </is>
      </c>
      <c r="B1136" s="18" t="n">
        <v>45597</v>
      </c>
      <c r="C1136" s="13" t="inlineStr">
        <is>
          <t>South</t>
        </is>
      </c>
      <c r="D1136" s="13" t="inlineStr">
        <is>
          <t>Online</t>
        </is>
      </c>
      <c r="E1136" s="13" t="inlineStr">
        <is>
          <t>Kitchen</t>
        </is>
      </c>
      <c r="F1136" s="13" t="inlineStr">
        <is>
          <t>Chef Knife</t>
        </is>
      </c>
      <c r="G1136" s="13" t="inlineStr">
        <is>
          <t>Corporate</t>
        </is>
      </c>
      <c r="H1136" s="13" t="n">
        <v>3</v>
      </c>
      <c r="I1136" s="14" t="n">
        <v>62.41</v>
      </c>
      <c r="J1136" s="15" t="n">
        <v>0.03</v>
      </c>
      <c r="K1136" s="14" t="n">
        <v>22.47</v>
      </c>
      <c r="L1136" s="13" t="n">
        <v>4</v>
      </c>
      <c r="M1136" s="13" t="inlineStr">
        <is>
          <t>Completed</t>
        </is>
      </c>
      <c r="N1136" s="13" t="inlineStr">
        <is>
          <t>S. Nguyen</t>
        </is>
      </c>
      <c r="O1136" s="13" t="inlineStr">
        <is>
          <t>No</t>
        </is>
      </c>
      <c r="P1136" s="14">
        <f>H1136*I1136</f>
        <v/>
      </c>
      <c r="Q1136" s="14">
        <f>P1136*(1-J1136)</f>
        <v/>
      </c>
      <c r="R1136" s="14">
        <f>H1136*K1136</f>
        <v/>
      </c>
      <c r="S1136" s="15">
        <f>IF(Q1136=0,"",(Q1136-R1136)/Q1136)</f>
        <v/>
      </c>
      <c r="T1136" s="13">
        <f>YEAR(B1136)</f>
        <v/>
      </c>
      <c r="U1136" s="13">
        <f>YEAR(B1136)&amp;"-Q"&amp;ROUNDUP(MONTH(B1136)/3,0)</f>
        <v/>
      </c>
      <c r="V1136" s="13">
        <f>TEXT(B1136,"YYYY-MM")</f>
        <v/>
      </c>
      <c r="W1136" s="13">
        <f>IF(L1136="","",IF(L1136&gt;pLateDays,1,0))</f>
        <v/>
      </c>
      <c r="X1136" s="13">
        <f>IF(Q1136&gt;=pHighCutoff,1,0)</f>
        <v/>
      </c>
      <c r="Y1136" s="13">
        <f>IF(M1136="Returned",1,0)</f>
        <v/>
      </c>
    </row>
    <row r="1137">
      <c r="A1137" s="13" t="inlineStr">
        <is>
          <t>HC-101135</t>
        </is>
      </c>
      <c r="B1137" s="18" t="n">
        <v>45885</v>
      </c>
      <c r="C1137" s="13" t="inlineStr">
        <is>
          <t>South</t>
        </is>
      </c>
      <c r="D1137" s="13" t="inlineStr">
        <is>
          <t>Online</t>
        </is>
      </c>
      <c r="E1137" s="13" t="inlineStr">
        <is>
          <t>Lighting</t>
        </is>
      </c>
      <c r="F1137" s="13" t="inlineStr">
        <is>
          <t>Arc Lamp</t>
        </is>
      </c>
      <c r="G1137" s="13" t="inlineStr">
        <is>
          <t>Consumer</t>
        </is>
      </c>
      <c r="H1137" s="13" t="n">
        <v>1</v>
      </c>
      <c r="I1137" s="14" t="n">
        <v>295.71</v>
      </c>
      <c r="J1137" s="15" t="n">
        <v>0.11</v>
      </c>
      <c r="K1137" s="14" t="n">
        <v>141.94</v>
      </c>
      <c r="L1137" s="13" t="n">
        <v>4</v>
      </c>
      <c r="M1137" s="13" t="inlineStr">
        <is>
          <t>Completed</t>
        </is>
      </c>
      <c r="N1137" s="13" t="inlineStr">
        <is>
          <t>K. Mensah</t>
        </is>
      </c>
      <c r="O1137" s="13" t="inlineStr">
        <is>
          <t>No</t>
        </is>
      </c>
      <c r="P1137" s="14">
        <f>H1137*I1137</f>
        <v/>
      </c>
      <c r="Q1137" s="14">
        <f>P1137*(1-J1137)</f>
        <v/>
      </c>
      <c r="R1137" s="14">
        <f>H1137*K1137</f>
        <v/>
      </c>
      <c r="S1137" s="15">
        <f>IF(Q1137=0,"",(Q1137-R1137)/Q1137)</f>
        <v/>
      </c>
      <c r="T1137" s="13">
        <f>YEAR(B1137)</f>
        <v/>
      </c>
      <c r="U1137" s="13">
        <f>YEAR(B1137)&amp;"-Q"&amp;ROUNDUP(MONTH(B1137)/3,0)</f>
        <v/>
      </c>
      <c r="V1137" s="13">
        <f>TEXT(B1137,"YYYY-MM")</f>
        <v/>
      </c>
      <c r="W1137" s="13">
        <f>IF(L1137="","",IF(L1137&gt;pLateDays,1,0))</f>
        <v/>
      </c>
      <c r="X1137" s="13">
        <f>IF(Q1137&gt;=pHighCutoff,1,0)</f>
        <v/>
      </c>
      <c r="Y1137" s="13">
        <f>IF(M1137="Returned",1,0)</f>
        <v/>
      </c>
    </row>
    <row r="1138">
      <c r="A1138" s="13" t="inlineStr">
        <is>
          <t>HC-101136</t>
        </is>
      </c>
      <c r="B1138" s="18" t="n">
        <v>45369</v>
      </c>
      <c r="C1138" s="13" t="inlineStr">
        <is>
          <t>West</t>
        </is>
      </c>
      <c r="D1138" s="13" t="inlineStr">
        <is>
          <t>Online</t>
        </is>
      </c>
      <c r="E1138" s="13" t="inlineStr">
        <is>
          <t>Furniture</t>
        </is>
      </c>
      <c r="F1138" s="13" t="inlineStr">
        <is>
          <t>Oak Desk</t>
        </is>
      </c>
      <c r="G1138" s="13" t="inlineStr">
        <is>
          <t>Consumer</t>
        </is>
      </c>
      <c r="H1138" s="13" t="n">
        <v>2</v>
      </c>
      <c r="I1138" s="14" t="n">
        <v>802.53</v>
      </c>
      <c r="J1138" s="15" t="n">
        <v>0.05</v>
      </c>
      <c r="K1138" s="14" t="n">
        <v>497.57</v>
      </c>
      <c r="L1138" s="13" t="n">
        <v>6</v>
      </c>
      <c r="M1138" s="13" t="inlineStr">
        <is>
          <t>Completed</t>
        </is>
      </c>
      <c r="N1138" s="13" t="inlineStr">
        <is>
          <t>M. Okonkwo</t>
        </is>
      </c>
      <c r="O1138" s="13" t="inlineStr">
        <is>
          <t>No</t>
        </is>
      </c>
      <c r="P1138" s="14">
        <f>H1138*I1138</f>
        <v/>
      </c>
      <c r="Q1138" s="14">
        <f>P1138*(1-J1138)</f>
        <v/>
      </c>
      <c r="R1138" s="14">
        <f>H1138*K1138</f>
        <v/>
      </c>
      <c r="S1138" s="15">
        <f>IF(Q1138=0,"",(Q1138-R1138)/Q1138)</f>
        <v/>
      </c>
      <c r="T1138" s="13">
        <f>YEAR(B1138)</f>
        <v/>
      </c>
      <c r="U1138" s="13">
        <f>YEAR(B1138)&amp;"-Q"&amp;ROUNDUP(MONTH(B1138)/3,0)</f>
        <v/>
      </c>
      <c r="V1138" s="13">
        <f>TEXT(B1138,"YYYY-MM")</f>
        <v/>
      </c>
      <c r="W1138" s="13">
        <f>IF(L1138="","",IF(L1138&gt;pLateDays,1,0))</f>
        <v/>
      </c>
      <c r="X1138" s="13">
        <f>IF(Q1138&gt;=pHighCutoff,1,0)</f>
        <v/>
      </c>
      <c r="Y1138" s="13">
        <f>IF(M1138="Returned",1,0)</f>
        <v/>
      </c>
    </row>
    <row r="1139">
      <c r="A1139" s="13" t="inlineStr">
        <is>
          <t>HC-101137</t>
        </is>
      </c>
      <c r="B1139" s="18" t="n">
        <v>45468</v>
      </c>
      <c r="C1139" s="13" t="inlineStr">
        <is>
          <t>South</t>
        </is>
      </c>
      <c r="D1139" s="13" t="inlineStr">
        <is>
          <t>Online</t>
        </is>
      </c>
      <c r="E1139" s="13" t="inlineStr">
        <is>
          <t>Furniture</t>
        </is>
      </c>
      <c r="F1139" s="13" t="inlineStr">
        <is>
          <t>Oak Desk</t>
        </is>
      </c>
      <c r="G1139" s="13" t="inlineStr">
        <is>
          <t>Home Office</t>
        </is>
      </c>
      <c r="H1139" s="13" t="n">
        <v>2</v>
      </c>
      <c r="I1139" s="14" t="n">
        <v>861.9</v>
      </c>
      <c r="J1139" s="15" t="n">
        <v>0.06</v>
      </c>
      <c r="K1139" s="14" t="n">
        <v>534.38</v>
      </c>
      <c r="L1139" s="13" t="n">
        <v>4</v>
      </c>
      <c r="M1139" s="13" t="inlineStr">
        <is>
          <t>Completed</t>
        </is>
      </c>
      <c r="N1139" s="13" t="inlineStr">
        <is>
          <t>L. Berger</t>
        </is>
      </c>
      <c r="O1139" s="13" t="inlineStr">
        <is>
          <t>No</t>
        </is>
      </c>
      <c r="P1139" s="14">
        <f>H1139*I1139</f>
        <v/>
      </c>
      <c r="Q1139" s="14">
        <f>P1139*(1-J1139)</f>
        <v/>
      </c>
      <c r="R1139" s="14">
        <f>H1139*K1139</f>
        <v/>
      </c>
      <c r="S1139" s="15">
        <f>IF(Q1139=0,"",(Q1139-R1139)/Q1139)</f>
        <v/>
      </c>
      <c r="T1139" s="13">
        <f>YEAR(B1139)</f>
        <v/>
      </c>
      <c r="U1139" s="13">
        <f>YEAR(B1139)&amp;"-Q"&amp;ROUNDUP(MONTH(B1139)/3,0)</f>
        <v/>
      </c>
      <c r="V1139" s="13">
        <f>TEXT(B1139,"YYYY-MM")</f>
        <v/>
      </c>
      <c r="W1139" s="13">
        <f>IF(L1139="","",IF(L1139&gt;pLateDays,1,0))</f>
        <v/>
      </c>
      <c r="X1139" s="13">
        <f>IF(Q1139&gt;=pHighCutoff,1,0)</f>
        <v/>
      </c>
      <c r="Y1139" s="13">
        <f>IF(M1139="Returned",1,0)</f>
        <v/>
      </c>
    </row>
    <row r="1140">
      <c r="A1140" s="13" t="inlineStr">
        <is>
          <t>HC-101138</t>
        </is>
      </c>
      <c r="B1140" s="18" t="n">
        <v>45651</v>
      </c>
      <c r="C1140" s="13" t="inlineStr">
        <is>
          <t>West</t>
        </is>
      </c>
      <c r="D1140" s="13" t="inlineStr">
        <is>
          <t>Online</t>
        </is>
      </c>
      <c r="E1140" s="13" t="inlineStr">
        <is>
          <t>Furniture</t>
        </is>
      </c>
      <c r="F1140" s="13" t="inlineStr">
        <is>
          <t>Oak Desk</t>
        </is>
      </c>
      <c r="G1140" s="13" t="inlineStr">
        <is>
          <t>Consumer</t>
        </is>
      </c>
      <c r="H1140" s="13" t="n">
        <v>4</v>
      </c>
      <c r="I1140" s="14" t="n">
        <v>824.1900000000001</v>
      </c>
      <c r="J1140" s="15" t="n">
        <v>0.08</v>
      </c>
      <c r="K1140" s="14" t="n">
        <v>511</v>
      </c>
      <c r="L1140" s="13" t="n">
        <v>10</v>
      </c>
      <c r="M1140" s="13" t="inlineStr">
        <is>
          <t>Completed</t>
        </is>
      </c>
      <c r="N1140" s="13" t="inlineStr">
        <is>
          <t>S. Nguyen</t>
        </is>
      </c>
      <c r="O1140" s="13" t="inlineStr">
        <is>
          <t>No</t>
        </is>
      </c>
      <c r="P1140" s="14">
        <f>H1140*I1140</f>
        <v/>
      </c>
      <c r="Q1140" s="14">
        <f>P1140*(1-J1140)</f>
        <v/>
      </c>
      <c r="R1140" s="14">
        <f>H1140*K1140</f>
        <v/>
      </c>
      <c r="S1140" s="15">
        <f>IF(Q1140=0,"",(Q1140-R1140)/Q1140)</f>
        <v/>
      </c>
      <c r="T1140" s="13">
        <f>YEAR(B1140)</f>
        <v/>
      </c>
      <c r="U1140" s="13">
        <f>YEAR(B1140)&amp;"-Q"&amp;ROUNDUP(MONTH(B1140)/3,0)</f>
        <v/>
      </c>
      <c r="V1140" s="13">
        <f>TEXT(B1140,"YYYY-MM")</f>
        <v/>
      </c>
      <c r="W1140" s="13">
        <f>IF(L1140="","",IF(L1140&gt;pLateDays,1,0))</f>
        <v/>
      </c>
      <c r="X1140" s="13">
        <f>IF(Q1140&gt;=pHighCutoff,1,0)</f>
        <v/>
      </c>
      <c r="Y1140" s="13">
        <f>IF(M1140="Returned",1,0)</f>
        <v/>
      </c>
    </row>
    <row r="1141">
      <c r="A1141" s="13" t="inlineStr">
        <is>
          <t>HC-101139</t>
        </is>
      </c>
      <c r="B1141" s="18" t="n">
        <v>45875</v>
      </c>
      <c r="C1141" s="13" t="inlineStr">
        <is>
          <t>East</t>
        </is>
      </c>
      <c r="D1141" s="13" t="inlineStr">
        <is>
          <t>Wholesale</t>
        </is>
      </c>
      <c r="E1141" s="13" t="inlineStr">
        <is>
          <t>Furniture</t>
        </is>
      </c>
      <c r="F1141" s="13" t="inlineStr">
        <is>
          <t>Linen Sofa</t>
        </is>
      </c>
      <c r="G1141" s="13" t="inlineStr">
        <is>
          <t>Corporate</t>
        </is>
      </c>
      <c r="H1141" s="13" t="n">
        <v>29</v>
      </c>
      <c r="I1141" s="14" t="n">
        <v>1096.8</v>
      </c>
      <c r="J1141" s="15" t="n">
        <v>0.17</v>
      </c>
      <c r="K1141" s="14" t="n">
        <v>723.89</v>
      </c>
      <c r="L1141" s="13" t="n">
        <v>9</v>
      </c>
      <c r="M1141" s="13" t="inlineStr">
        <is>
          <t>Completed</t>
        </is>
      </c>
      <c r="N1141" s="13" t="inlineStr">
        <is>
          <t>R. Ibarra</t>
        </is>
      </c>
      <c r="O1141" s="13" t="inlineStr">
        <is>
          <t>No</t>
        </is>
      </c>
      <c r="P1141" s="14">
        <f>H1141*I1141</f>
        <v/>
      </c>
      <c r="Q1141" s="14">
        <f>P1141*(1-J1141)</f>
        <v/>
      </c>
      <c r="R1141" s="14">
        <f>H1141*K1141</f>
        <v/>
      </c>
      <c r="S1141" s="15">
        <f>IF(Q1141=0,"",(Q1141-R1141)/Q1141)</f>
        <v/>
      </c>
      <c r="T1141" s="13">
        <f>YEAR(B1141)</f>
        <v/>
      </c>
      <c r="U1141" s="13">
        <f>YEAR(B1141)&amp;"-Q"&amp;ROUNDUP(MONTH(B1141)/3,0)</f>
        <v/>
      </c>
      <c r="V1141" s="13">
        <f>TEXT(B1141,"YYYY-MM")</f>
        <v/>
      </c>
      <c r="W1141" s="13">
        <f>IF(L1141="","",IF(L1141&gt;pLateDays,1,0))</f>
        <v/>
      </c>
      <c r="X1141" s="13">
        <f>IF(Q1141&gt;=pHighCutoff,1,0)</f>
        <v/>
      </c>
      <c r="Y1141" s="13">
        <f>IF(M1141="Returned",1,0)</f>
        <v/>
      </c>
    </row>
    <row r="1142">
      <c r="A1142" s="13" t="inlineStr">
        <is>
          <t>HC-101140</t>
        </is>
      </c>
      <c r="B1142" s="18" t="n">
        <v>45806</v>
      </c>
      <c r="C1142" s="13" t="inlineStr">
        <is>
          <t>North</t>
        </is>
      </c>
      <c r="D1142" s="13" t="inlineStr">
        <is>
          <t>Store</t>
        </is>
      </c>
      <c r="E1142" s="13" t="inlineStr">
        <is>
          <t>Textiles</t>
        </is>
      </c>
      <c r="F1142" s="13" t="inlineStr">
        <is>
          <t>Wool Throw</t>
        </is>
      </c>
      <c r="G1142" s="13" t="inlineStr">
        <is>
          <t>Consumer</t>
        </is>
      </c>
      <c r="H1142" s="13" t="n">
        <v>4</v>
      </c>
      <c r="I1142" s="14" t="n">
        <v>72.95</v>
      </c>
      <c r="J1142" s="15" t="n">
        <v>0.03</v>
      </c>
      <c r="K1142" s="14" t="n">
        <v>30.64</v>
      </c>
      <c r="L1142" s="13" t="n">
        <v>6</v>
      </c>
      <c r="M1142" s="13" t="inlineStr">
        <is>
          <t>Completed</t>
        </is>
      </c>
      <c r="N1142" s="13" t="inlineStr">
        <is>
          <t>L. Berger</t>
        </is>
      </c>
      <c r="O1142" s="13" t="inlineStr">
        <is>
          <t>No</t>
        </is>
      </c>
      <c r="P1142" s="14">
        <f>H1142*I1142</f>
        <v/>
      </c>
      <c r="Q1142" s="14">
        <f>P1142*(1-J1142)</f>
        <v/>
      </c>
      <c r="R1142" s="14">
        <f>H1142*K1142</f>
        <v/>
      </c>
      <c r="S1142" s="15">
        <f>IF(Q1142=0,"",(Q1142-R1142)/Q1142)</f>
        <v/>
      </c>
      <c r="T1142" s="13">
        <f>YEAR(B1142)</f>
        <v/>
      </c>
      <c r="U1142" s="13">
        <f>YEAR(B1142)&amp;"-Q"&amp;ROUNDUP(MONTH(B1142)/3,0)</f>
        <v/>
      </c>
      <c r="V1142" s="13">
        <f>TEXT(B1142,"YYYY-MM")</f>
        <v/>
      </c>
      <c r="W1142" s="13">
        <f>IF(L1142="","",IF(L1142&gt;pLateDays,1,0))</f>
        <v/>
      </c>
      <c r="X1142" s="13">
        <f>IF(Q1142&gt;=pHighCutoff,1,0)</f>
        <v/>
      </c>
      <c r="Y1142" s="13">
        <f>IF(M1142="Returned",1,0)</f>
        <v/>
      </c>
    </row>
    <row r="1143">
      <c r="A1143" s="13" t="inlineStr">
        <is>
          <t>HC-101141</t>
        </is>
      </c>
      <c r="B1143" s="18" t="n">
        <v>45739</v>
      </c>
      <c r="C1143" s="13" t="inlineStr">
        <is>
          <t>North</t>
        </is>
      </c>
      <c r="D1143" s="13" t="inlineStr">
        <is>
          <t>Store</t>
        </is>
      </c>
      <c r="E1143" s="13" t="inlineStr">
        <is>
          <t>Lighting</t>
        </is>
      </c>
      <c r="F1143" s="13" t="inlineStr">
        <is>
          <t>Arc Lamp</t>
        </is>
      </c>
      <c r="G1143" s="13" t="inlineStr">
        <is>
          <t>Corporate</t>
        </is>
      </c>
      <c r="H1143" s="13" t="n">
        <v>3</v>
      </c>
      <c r="I1143" s="14" t="n">
        <v>307.16</v>
      </c>
      <c r="J1143" s="15" t="n">
        <v>0.04</v>
      </c>
      <c r="K1143" s="14" t="n">
        <v>147.44</v>
      </c>
      <c r="L1143" s="13" t="n">
        <v>7</v>
      </c>
      <c r="M1143" s="13" t="inlineStr">
        <is>
          <t>Completed</t>
        </is>
      </c>
      <c r="N1143" s="13" t="inlineStr">
        <is>
          <t>A. Shah</t>
        </is>
      </c>
      <c r="O1143" s="13" t="inlineStr">
        <is>
          <t>No</t>
        </is>
      </c>
      <c r="P1143" s="14">
        <f>H1143*I1143</f>
        <v/>
      </c>
      <c r="Q1143" s="14">
        <f>P1143*(1-J1143)</f>
        <v/>
      </c>
      <c r="R1143" s="14">
        <f>H1143*K1143</f>
        <v/>
      </c>
      <c r="S1143" s="15">
        <f>IF(Q1143=0,"",(Q1143-R1143)/Q1143)</f>
        <v/>
      </c>
      <c r="T1143" s="13">
        <f>YEAR(B1143)</f>
        <v/>
      </c>
      <c r="U1143" s="13">
        <f>YEAR(B1143)&amp;"-Q"&amp;ROUNDUP(MONTH(B1143)/3,0)</f>
        <v/>
      </c>
      <c r="V1143" s="13">
        <f>TEXT(B1143,"YYYY-MM")</f>
        <v/>
      </c>
      <c r="W1143" s="13">
        <f>IF(L1143="","",IF(L1143&gt;pLateDays,1,0))</f>
        <v/>
      </c>
      <c r="X1143" s="13">
        <f>IF(Q1143&gt;=pHighCutoff,1,0)</f>
        <v/>
      </c>
      <c r="Y1143" s="13">
        <f>IF(M1143="Returned",1,0)</f>
        <v/>
      </c>
    </row>
    <row r="1144">
      <c r="A1144" s="13" t="inlineStr">
        <is>
          <t>HC-101142</t>
        </is>
      </c>
      <c r="B1144" s="18" t="n">
        <v>45643</v>
      </c>
      <c r="C1144" s="13" t="inlineStr">
        <is>
          <t>South</t>
        </is>
      </c>
      <c r="D1144" s="13" t="inlineStr">
        <is>
          <t>Store</t>
        </is>
      </c>
      <c r="E1144" s="13" t="inlineStr">
        <is>
          <t>Textiles</t>
        </is>
      </c>
      <c r="F1144" s="13" t="inlineStr">
        <is>
          <t>Linen Curtain</t>
        </is>
      </c>
      <c r="G1144" s="13" t="inlineStr">
        <is>
          <t>Corporate</t>
        </is>
      </c>
      <c r="H1144" s="13" t="n">
        <v>4</v>
      </c>
      <c r="I1144" s="14" t="n">
        <v>100.38</v>
      </c>
      <c r="J1144" s="15" t="n">
        <v>0.04</v>
      </c>
      <c r="K1144" s="14" t="n">
        <v>45.17</v>
      </c>
      <c r="L1144" s="13" t="n">
        <v>6</v>
      </c>
      <c r="M1144" s="13" t="inlineStr">
        <is>
          <t>Completed</t>
        </is>
      </c>
      <c r="N1144" s="13" t="inlineStr">
        <is>
          <t>S. Nguyen</t>
        </is>
      </c>
      <c r="O1144" s="13" t="inlineStr">
        <is>
          <t>No</t>
        </is>
      </c>
      <c r="P1144" s="14">
        <f>H1144*I1144</f>
        <v/>
      </c>
      <c r="Q1144" s="14">
        <f>P1144*(1-J1144)</f>
        <v/>
      </c>
      <c r="R1144" s="14">
        <f>H1144*K1144</f>
        <v/>
      </c>
      <c r="S1144" s="15">
        <f>IF(Q1144=0,"",(Q1144-R1144)/Q1144)</f>
        <v/>
      </c>
      <c r="T1144" s="13">
        <f>YEAR(B1144)</f>
        <v/>
      </c>
      <c r="U1144" s="13">
        <f>YEAR(B1144)&amp;"-Q"&amp;ROUNDUP(MONTH(B1144)/3,0)</f>
        <v/>
      </c>
      <c r="V1144" s="13">
        <f>TEXT(B1144,"YYYY-MM")</f>
        <v/>
      </c>
      <c r="W1144" s="13">
        <f>IF(L1144="","",IF(L1144&gt;pLateDays,1,0))</f>
        <v/>
      </c>
      <c r="X1144" s="13">
        <f>IF(Q1144&gt;=pHighCutoff,1,0)</f>
        <v/>
      </c>
      <c r="Y1144" s="13">
        <f>IF(M1144="Returned",1,0)</f>
        <v/>
      </c>
    </row>
    <row r="1145">
      <c r="A1145" s="13" t="inlineStr">
        <is>
          <t>HC-101143</t>
        </is>
      </c>
      <c r="B1145" s="18" t="n">
        <v>45464</v>
      </c>
      <c r="C1145" s="13" t="inlineStr">
        <is>
          <t>South</t>
        </is>
      </c>
      <c r="D1145" s="13" t="inlineStr">
        <is>
          <t>Online</t>
        </is>
      </c>
      <c r="E1145" s="13" t="inlineStr">
        <is>
          <t>Textiles</t>
        </is>
      </c>
      <c r="F1145" s="13" t="inlineStr">
        <is>
          <t>Wool Throw</t>
        </is>
      </c>
      <c r="G1145" s="13" t="inlineStr">
        <is>
          <t>Consumer</t>
        </is>
      </c>
      <c r="H1145" s="13" t="n">
        <v>3</v>
      </c>
      <c r="I1145" s="14" t="n">
        <v>80.84999999999999</v>
      </c>
      <c r="J1145" s="15" t="n">
        <v>0.13</v>
      </c>
      <c r="K1145" s="14" t="n">
        <v>33.96</v>
      </c>
      <c r="L1145" s="13" t="n">
        <v>8</v>
      </c>
      <c r="M1145" s="13" t="inlineStr">
        <is>
          <t>Completed</t>
        </is>
      </c>
      <c r="N1145" s="13" t="inlineStr">
        <is>
          <t>J. Patel</t>
        </is>
      </c>
      <c r="O1145" s="13" t="inlineStr">
        <is>
          <t>No</t>
        </is>
      </c>
      <c r="P1145" s="14">
        <f>H1145*I1145</f>
        <v/>
      </c>
      <c r="Q1145" s="14">
        <f>P1145*(1-J1145)</f>
        <v/>
      </c>
      <c r="R1145" s="14">
        <f>H1145*K1145</f>
        <v/>
      </c>
      <c r="S1145" s="15">
        <f>IF(Q1145=0,"",(Q1145-R1145)/Q1145)</f>
        <v/>
      </c>
      <c r="T1145" s="13">
        <f>YEAR(B1145)</f>
        <v/>
      </c>
      <c r="U1145" s="13">
        <f>YEAR(B1145)&amp;"-Q"&amp;ROUNDUP(MONTH(B1145)/3,0)</f>
        <v/>
      </c>
      <c r="V1145" s="13">
        <f>TEXT(B1145,"YYYY-MM")</f>
        <v/>
      </c>
      <c r="W1145" s="13">
        <f>IF(L1145="","",IF(L1145&gt;pLateDays,1,0))</f>
        <v/>
      </c>
      <c r="X1145" s="13">
        <f>IF(Q1145&gt;=pHighCutoff,1,0)</f>
        <v/>
      </c>
      <c r="Y1145" s="13">
        <f>IF(M1145="Returned",1,0)</f>
        <v/>
      </c>
    </row>
    <row r="1146">
      <c r="A1146" s="13" t="inlineStr">
        <is>
          <t>HC-101144</t>
        </is>
      </c>
      <c r="B1146" s="18" t="n">
        <v>45511</v>
      </c>
      <c r="C1146" s="13" t="inlineStr">
        <is>
          <t>East</t>
        </is>
      </c>
      <c r="D1146" s="13" t="inlineStr">
        <is>
          <t>Online</t>
        </is>
      </c>
      <c r="E1146" s="13" t="inlineStr">
        <is>
          <t>Textiles</t>
        </is>
      </c>
      <c r="F1146" s="13" t="inlineStr">
        <is>
          <t>Cotton Duvet</t>
        </is>
      </c>
      <c r="G1146" s="13" t="inlineStr">
        <is>
          <t>Consumer</t>
        </is>
      </c>
      <c r="H1146" s="13" t="n">
        <v>3</v>
      </c>
      <c r="I1146" s="14" t="n">
        <v>112.21</v>
      </c>
      <c r="J1146" s="15" t="n">
        <v>0.05</v>
      </c>
      <c r="K1146" s="14" t="n">
        <v>49.37</v>
      </c>
      <c r="L1146" s="13" t="n">
        <v>7</v>
      </c>
      <c r="M1146" s="13" t="inlineStr">
        <is>
          <t>Completed</t>
        </is>
      </c>
      <c r="N1146" s="13" t="inlineStr">
        <is>
          <t>S. Nguyen</t>
        </is>
      </c>
      <c r="O1146" s="13" t="inlineStr">
        <is>
          <t>No</t>
        </is>
      </c>
      <c r="P1146" s="14">
        <f>H1146*I1146</f>
        <v/>
      </c>
      <c r="Q1146" s="14">
        <f>P1146*(1-J1146)</f>
        <v/>
      </c>
      <c r="R1146" s="14">
        <f>H1146*K1146</f>
        <v/>
      </c>
      <c r="S1146" s="15">
        <f>IF(Q1146=0,"",(Q1146-R1146)/Q1146)</f>
        <v/>
      </c>
      <c r="T1146" s="13">
        <f>YEAR(B1146)</f>
        <v/>
      </c>
      <c r="U1146" s="13">
        <f>YEAR(B1146)&amp;"-Q"&amp;ROUNDUP(MONTH(B1146)/3,0)</f>
        <v/>
      </c>
      <c r="V1146" s="13">
        <f>TEXT(B1146,"YYYY-MM")</f>
        <v/>
      </c>
      <c r="W1146" s="13">
        <f>IF(L1146="","",IF(L1146&gt;pLateDays,1,0))</f>
        <v/>
      </c>
      <c r="X1146" s="13">
        <f>IF(Q1146&gt;=pHighCutoff,1,0)</f>
        <v/>
      </c>
      <c r="Y1146" s="13">
        <f>IF(M1146="Returned",1,0)</f>
        <v/>
      </c>
    </row>
    <row r="1147">
      <c r="A1147" s="13" t="inlineStr">
        <is>
          <t>HC-101145</t>
        </is>
      </c>
      <c r="B1147" s="18" t="n">
        <v>45700</v>
      </c>
      <c r="C1147" s="13" t="inlineStr">
        <is>
          <t>West</t>
        </is>
      </c>
      <c r="D1147" s="13" t="inlineStr">
        <is>
          <t>Store</t>
        </is>
      </c>
      <c r="E1147" s="13" t="inlineStr">
        <is>
          <t>Textiles</t>
        </is>
      </c>
      <c r="F1147" s="13" t="inlineStr">
        <is>
          <t>Linen Curtain</t>
        </is>
      </c>
      <c r="G1147" s="13" t="inlineStr">
        <is>
          <t>Consumer</t>
        </is>
      </c>
      <c r="H1147" s="13" t="n">
        <v>1</v>
      </c>
      <c r="I1147" s="14" t="n">
        <v>95.72</v>
      </c>
      <c r="J1147" s="15" t="n">
        <v>0.03</v>
      </c>
      <c r="K1147" s="14" t="n">
        <v>43.07</v>
      </c>
      <c r="L1147" s="13" t="n">
        <v>5</v>
      </c>
      <c r="M1147" s="13" t="inlineStr">
        <is>
          <t>Completed</t>
        </is>
      </c>
      <c r="N1147" s="13" t="inlineStr">
        <is>
          <t>L. Berger</t>
        </is>
      </c>
      <c r="O1147" s="13" t="inlineStr">
        <is>
          <t>No</t>
        </is>
      </c>
      <c r="P1147" s="14">
        <f>H1147*I1147</f>
        <v/>
      </c>
      <c r="Q1147" s="14">
        <f>P1147*(1-J1147)</f>
        <v/>
      </c>
      <c r="R1147" s="14">
        <f>H1147*K1147</f>
        <v/>
      </c>
      <c r="S1147" s="15">
        <f>IF(Q1147=0,"",(Q1147-R1147)/Q1147)</f>
        <v/>
      </c>
      <c r="T1147" s="13">
        <f>YEAR(B1147)</f>
        <v/>
      </c>
      <c r="U1147" s="13">
        <f>YEAR(B1147)&amp;"-Q"&amp;ROUNDUP(MONTH(B1147)/3,0)</f>
        <v/>
      </c>
      <c r="V1147" s="13">
        <f>TEXT(B1147,"YYYY-MM")</f>
        <v/>
      </c>
      <c r="W1147" s="13">
        <f>IF(L1147="","",IF(L1147&gt;pLateDays,1,0))</f>
        <v/>
      </c>
      <c r="X1147" s="13">
        <f>IF(Q1147&gt;=pHighCutoff,1,0)</f>
        <v/>
      </c>
      <c r="Y1147" s="13">
        <f>IF(M1147="Returned",1,0)</f>
        <v/>
      </c>
    </row>
    <row r="1148">
      <c r="A1148" s="13" t="inlineStr">
        <is>
          <t>HC-101146</t>
        </is>
      </c>
      <c r="B1148" s="18" t="n">
        <v>45408</v>
      </c>
      <c r="C1148" s="13" t="inlineStr">
        <is>
          <t>East</t>
        </is>
      </c>
      <c r="D1148" s="13" t="inlineStr">
        <is>
          <t>Wholesale</t>
        </is>
      </c>
      <c r="E1148" s="13" t="inlineStr">
        <is>
          <t>Lighting</t>
        </is>
      </c>
      <c r="F1148" s="13" t="inlineStr">
        <is>
          <t>Pendant Light</t>
        </is>
      </c>
      <c r="G1148" s="13" t="inlineStr">
        <is>
          <t>Consumer</t>
        </is>
      </c>
      <c r="H1148" s="13" t="n">
        <v>33</v>
      </c>
      <c r="I1148" s="14" t="n">
        <v>172.87</v>
      </c>
      <c r="J1148" s="15" t="n">
        <v>0.13</v>
      </c>
      <c r="K1148" s="14" t="n">
        <v>86.43000000000001</v>
      </c>
      <c r="L1148" s="13" t="n">
        <v>9</v>
      </c>
      <c r="M1148" s="13" t="inlineStr">
        <is>
          <t>Cancelled</t>
        </is>
      </c>
      <c r="N1148" s="13" t="inlineStr">
        <is>
          <t>L. Berger</t>
        </is>
      </c>
      <c r="O1148" s="13" t="inlineStr">
        <is>
          <t>No</t>
        </is>
      </c>
      <c r="P1148" s="14">
        <f>H1148*I1148</f>
        <v/>
      </c>
      <c r="Q1148" s="14">
        <f>P1148*(1-J1148)</f>
        <v/>
      </c>
      <c r="R1148" s="14">
        <f>H1148*K1148</f>
        <v/>
      </c>
      <c r="S1148" s="15">
        <f>IF(Q1148=0,"",(Q1148-R1148)/Q1148)</f>
        <v/>
      </c>
      <c r="T1148" s="13">
        <f>YEAR(B1148)</f>
        <v/>
      </c>
      <c r="U1148" s="13">
        <f>YEAR(B1148)&amp;"-Q"&amp;ROUNDUP(MONTH(B1148)/3,0)</f>
        <v/>
      </c>
      <c r="V1148" s="13">
        <f>TEXT(B1148,"YYYY-MM")</f>
        <v/>
      </c>
      <c r="W1148" s="13">
        <f>IF(L1148="","",IF(L1148&gt;pLateDays,1,0))</f>
        <v/>
      </c>
      <c r="X1148" s="13">
        <f>IF(Q1148&gt;=pHighCutoff,1,0)</f>
        <v/>
      </c>
      <c r="Y1148" s="13">
        <f>IF(M1148="Returned",1,0)</f>
        <v/>
      </c>
    </row>
    <row r="1149">
      <c r="A1149" s="13" t="inlineStr">
        <is>
          <t>HC-101147</t>
        </is>
      </c>
      <c r="B1149" s="18" t="n">
        <v>45897</v>
      </c>
      <c r="C1149" s="13" t="inlineStr">
        <is>
          <t>West</t>
        </is>
      </c>
      <c r="D1149" s="13" t="inlineStr">
        <is>
          <t>Store</t>
        </is>
      </c>
      <c r="E1149" s="13" t="inlineStr">
        <is>
          <t>Textiles</t>
        </is>
      </c>
      <c r="F1149" s="13" t="inlineStr">
        <is>
          <t>Cotton Duvet</t>
        </is>
      </c>
      <c r="G1149" s="13" t="inlineStr">
        <is>
          <t>Consumer</t>
        </is>
      </c>
      <c r="H1149" s="13" t="n">
        <v>1</v>
      </c>
      <c r="I1149" s="14" t="n">
        <v>110.59</v>
      </c>
      <c r="J1149" s="15" t="n">
        <v>0.09</v>
      </c>
      <c r="K1149" s="14" t="n">
        <v>48.66</v>
      </c>
      <c r="L1149" s="13" t="n">
        <v>8</v>
      </c>
      <c r="M1149" s="13" t="inlineStr">
        <is>
          <t>Completed</t>
        </is>
      </c>
      <c r="N1149" s="13" t="inlineStr">
        <is>
          <t>K. Mensah</t>
        </is>
      </c>
      <c r="O1149" s="13" t="inlineStr">
        <is>
          <t>No</t>
        </is>
      </c>
      <c r="P1149" s="14">
        <f>H1149*I1149</f>
        <v/>
      </c>
      <c r="Q1149" s="14">
        <f>P1149*(1-J1149)</f>
        <v/>
      </c>
      <c r="R1149" s="14">
        <f>H1149*K1149</f>
        <v/>
      </c>
      <c r="S1149" s="15">
        <f>IF(Q1149=0,"",(Q1149-R1149)/Q1149)</f>
        <v/>
      </c>
      <c r="T1149" s="13">
        <f>YEAR(B1149)</f>
        <v/>
      </c>
      <c r="U1149" s="13">
        <f>YEAR(B1149)&amp;"-Q"&amp;ROUNDUP(MONTH(B1149)/3,0)</f>
        <v/>
      </c>
      <c r="V1149" s="13">
        <f>TEXT(B1149,"YYYY-MM")</f>
        <v/>
      </c>
      <c r="W1149" s="13">
        <f>IF(L1149="","",IF(L1149&gt;pLateDays,1,0))</f>
        <v/>
      </c>
      <c r="X1149" s="13">
        <f>IF(Q1149&gt;=pHighCutoff,1,0)</f>
        <v/>
      </c>
      <c r="Y1149" s="13">
        <f>IF(M1149="Returned",1,0)</f>
        <v/>
      </c>
    </row>
    <row r="1150">
      <c r="A1150" s="13" t="inlineStr">
        <is>
          <t>HC-101148</t>
        </is>
      </c>
      <c r="B1150" s="18" t="n">
        <v>45770</v>
      </c>
      <c r="C1150" s="13" t="inlineStr">
        <is>
          <t>South</t>
        </is>
      </c>
      <c r="D1150" s="13" t="inlineStr">
        <is>
          <t>Online</t>
        </is>
      </c>
      <c r="E1150" s="13" t="inlineStr">
        <is>
          <t>Furniture</t>
        </is>
      </c>
      <c r="F1150" s="13" t="inlineStr">
        <is>
          <t>Oak Desk</t>
        </is>
      </c>
      <c r="G1150" s="13" t="inlineStr">
        <is>
          <t>Unknown</t>
        </is>
      </c>
      <c r="H1150" s="13" t="n">
        <v>3</v>
      </c>
      <c r="I1150" s="14" t="n">
        <v>862.64</v>
      </c>
      <c r="J1150" s="15" t="n">
        <v>0.1</v>
      </c>
      <c r="K1150" s="14" t="n">
        <v>534.83</v>
      </c>
      <c r="L1150" s="13" t="n">
        <v>3</v>
      </c>
      <c r="M1150" s="13" t="inlineStr">
        <is>
          <t>Completed</t>
        </is>
      </c>
      <c r="N1150" s="13" t="inlineStr">
        <is>
          <t>S. Nguyen</t>
        </is>
      </c>
      <c r="O1150" s="13" t="inlineStr">
        <is>
          <t>No</t>
        </is>
      </c>
      <c r="P1150" s="14">
        <f>H1150*I1150</f>
        <v/>
      </c>
      <c r="Q1150" s="14">
        <f>P1150*(1-J1150)</f>
        <v/>
      </c>
      <c r="R1150" s="14">
        <f>H1150*K1150</f>
        <v/>
      </c>
      <c r="S1150" s="15">
        <f>IF(Q1150=0,"",(Q1150-R1150)/Q1150)</f>
        <v/>
      </c>
      <c r="T1150" s="13">
        <f>YEAR(B1150)</f>
        <v/>
      </c>
      <c r="U1150" s="13">
        <f>YEAR(B1150)&amp;"-Q"&amp;ROUNDUP(MONTH(B1150)/3,0)</f>
        <v/>
      </c>
      <c r="V1150" s="13">
        <f>TEXT(B1150,"YYYY-MM")</f>
        <v/>
      </c>
      <c r="W1150" s="13">
        <f>IF(L1150="","",IF(L1150&gt;pLateDays,1,0))</f>
        <v/>
      </c>
      <c r="X1150" s="13">
        <f>IF(Q1150&gt;=pHighCutoff,1,0)</f>
        <v/>
      </c>
      <c r="Y1150" s="13">
        <f>IF(M1150="Returned",1,0)</f>
        <v/>
      </c>
    </row>
    <row r="1151">
      <c r="A1151" s="13" t="inlineStr">
        <is>
          <t>HC-101149</t>
        </is>
      </c>
      <c r="B1151" s="18" t="n">
        <v>45749</v>
      </c>
      <c r="C1151" s="13" t="inlineStr">
        <is>
          <t>West</t>
        </is>
      </c>
      <c r="D1151" s="13" t="inlineStr">
        <is>
          <t>Store</t>
        </is>
      </c>
      <c r="E1151" s="13" t="inlineStr">
        <is>
          <t>Furniture</t>
        </is>
      </c>
      <c r="F1151" s="13" t="inlineStr">
        <is>
          <t>Walnut Shelf</t>
        </is>
      </c>
      <c r="G1151" s="13" t="inlineStr">
        <is>
          <t>Corporate</t>
        </is>
      </c>
      <c r="H1151" s="13" t="n">
        <v>3</v>
      </c>
      <c r="I1151" s="14" t="n">
        <v>204.64</v>
      </c>
      <c r="J1151" s="15" t="n">
        <v>0.04</v>
      </c>
      <c r="K1151" s="14" t="n">
        <v>112.55</v>
      </c>
      <c r="L1151" s="13" t="n">
        <v>8</v>
      </c>
      <c r="M1151" s="13" t="inlineStr">
        <is>
          <t>Completed</t>
        </is>
      </c>
      <c r="N1151" s="13" t="inlineStr">
        <is>
          <t>P. Rossi</t>
        </is>
      </c>
      <c r="O1151" s="13" t="inlineStr">
        <is>
          <t>No</t>
        </is>
      </c>
      <c r="P1151" s="14">
        <f>H1151*I1151</f>
        <v/>
      </c>
      <c r="Q1151" s="14">
        <f>P1151*(1-J1151)</f>
        <v/>
      </c>
      <c r="R1151" s="14">
        <f>H1151*K1151</f>
        <v/>
      </c>
      <c r="S1151" s="15">
        <f>IF(Q1151=0,"",(Q1151-R1151)/Q1151)</f>
        <v/>
      </c>
      <c r="T1151" s="13">
        <f>YEAR(B1151)</f>
        <v/>
      </c>
      <c r="U1151" s="13">
        <f>YEAR(B1151)&amp;"-Q"&amp;ROUNDUP(MONTH(B1151)/3,0)</f>
        <v/>
      </c>
      <c r="V1151" s="13">
        <f>TEXT(B1151,"YYYY-MM")</f>
        <v/>
      </c>
      <c r="W1151" s="13">
        <f>IF(L1151="","",IF(L1151&gt;pLateDays,1,0))</f>
        <v/>
      </c>
      <c r="X1151" s="13">
        <f>IF(Q1151&gt;=pHighCutoff,1,0)</f>
        <v/>
      </c>
      <c r="Y1151" s="13">
        <f>IF(M1151="Returned",1,0)</f>
        <v/>
      </c>
    </row>
    <row r="1152">
      <c r="A1152" s="13" t="inlineStr">
        <is>
          <t>HC-101150</t>
        </is>
      </c>
      <c r="B1152" s="18" t="n">
        <v>45835</v>
      </c>
      <c r="C1152" s="13" t="inlineStr">
        <is>
          <t>West</t>
        </is>
      </c>
      <c r="D1152" s="13" t="inlineStr">
        <is>
          <t>Store</t>
        </is>
      </c>
      <c r="E1152" s="13" t="inlineStr">
        <is>
          <t>Textiles</t>
        </is>
      </c>
      <c r="F1152" s="13" t="inlineStr">
        <is>
          <t>Linen Curtain</t>
        </is>
      </c>
      <c r="G1152" s="13" t="inlineStr">
        <is>
          <t>Corporate</t>
        </is>
      </c>
      <c r="H1152" s="13" t="n">
        <v>2</v>
      </c>
      <c r="I1152" s="14" t="n">
        <v>90.2</v>
      </c>
      <c r="J1152" s="15" t="n">
        <v>0.08</v>
      </c>
      <c r="K1152" s="14" t="n">
        <v>40.59</v>
      </c>
      <c r="L1152" s="13" t="n">
        <v>4</v>
      </c>
      <c r="M1152" s="13" t="inlineStr">
        <is>
          <t>Completed</t>
        </is>
      </c>
      <c r="N1152" s="13" t="inlineStr">
        <is>
          <t>L. Berger</t>
        </is>
      </c>
      <c r="O1152" s="13" t="inlineStr">
        <is>
          <t>No</t>
        </is>
      </c>
      <c r="P1152" s="14">
        <f>H1152*I1152</f>
        <v/>
      </c>
      <c r="Q1152" s="14">
        <f>P1152*(1-J1152)</f>
        <v/>
      </c>
      <c r="R1152" s="14">
        <f>H1152*K1152</f>
        <v/>
      </c>
      <c r="S1152" s="15">
        <f>IF(Q1152=0,"",(Q1152-R1152)/Q1152)</f>
        <v/>
      </c>
      <c r="T1152" s="13">
        <f>YEAR(B1152)</f>
        <v/>
      </c>
      <c r="U1152" s="13">
        <f>YEAR(B1152)&amp;"-Q"&amp;ROUNDUP(MONTH(B1152)/3,0)</f>
        <v/>
      </c>
      <c r="V1152" s="13">
        <f>TEXT(B1152,"YYYY-MM")</f>
        <v/>
      </c>
      <c r="W1152" s="13">
        <f>IF(L1152="","",IF(L1152&gt;pLateDays,1,0))</f>
        <v/>
      </c>
      <c r="X1152" s="13">
        <f>IF(Q1152&gt;=pHighCutoff,1,0)</f>
        <v/>
      </c>
      <c r="Y1152" s="13">
        <f>IF(M1152="Returned",1,0)</f>
        <v/>
      </c>
    </row>
    <row r="1153">
      <c r="A1153" s="13" t="inlineStr">
        <is>
          <t>HC-101151</t>
        </is>
      </c>
      <c r="B1153" s="18" t="n">
        <v>45452</v>
      </c>
      <c r="C1153" s="13" t="inlineStr">
        <is>
          <t>South</t>
        </is>
      </c>
      <c r="D1153" s="13" t="inlineStr">
        <is>
          <t>Online</t>
        </is>
      </c>
      <c r="E1153" s="13" t="inlineStr">
        <is>
          <t>Lighting</t>
        </is>
      </c>
      <c r="F1153" s="13" t="inlineStr">
        <is>
          <t>Arc Lamp</t>
        </is>
      </c>
      <c r="G1153" s="13" t="inlineStr">
        <is>
          <t>Corporate</t>
        </is>
      </c>
      <c r="H1153" s="13" t="n">
        <v>1</v>
      </c>
      <c r="I1153" s="14" t="n">
        <v>325.24</v>
      </c>
      <c r="J1153" s="15" t="n">
        <v>0.17</v>
      </c>
      <c r="K1153" s="14" t="n">
        <v>156.11</v>
      </c>
      <c r="L1153" s="13" t="n">
        <v>7</v>
      </c>
      <c r="M1153" s="13" t="inlineStr">
        <is>
          <t>Returned</t>
        </is>
      </c>
      <c r="N1153" s="13" t="inlineStr">
        <is>
          <t>K. Mensah</t>
        </is>
      </c>
      <c r="O1153" s="13" t="inlineStr">
        <is>
          <t>No</t>
        </is>
      </c>
      <c r="P1153" s="14">
        <f>H1153*I1153</f>
        <v/>
      </c>
      <c r="Q1153" s="14">
        <f>P1153*(1-J1153)</f>
        <v/>
      </c>
      <c r="R1153" s="14">
        <f>H1153*K1153</f>
        <v/>
      </c>
      <c r="S1153" s="15">
        <f>IF(Q1153=0,"",(Q1153-R1153)/Q1153)</f>
        <v/>
      </c>
      <c r="T1153" s="13">
        <f>YEAR(B1153)</f>
        <v/>
      </c>
      <c r="U1153" s="13">
        <f>YEAR(B1153)&amp;"-Q"&amp;ROUNDUP(MONTH(B1153)/3,0)</f>
        <v/>
      </c>
      <c r="V1153" s="13">
        <f>TEXT(B1153,"YYYY-MM")</f>
        <v/>
      </c>
      <c r="W1153" s="13">
        <f>IF(L1153="","",IF(L1153&gt;pLateDays,1,0))</f>
        <v/>
      </c>
      <c r="X1153" s="13">
        <f>IF(Q1153&gt;=pHighCutoff,1,0)</f>
        <v/>
      </c>
      <c r="Y1153" s="13">
        <f>IF(M1153="Returned",1,0)</f>
        <v/>
      </c>
    </row>
    <row r="1154">
      <c r="A1154" s="13" t="inlineStr">
        <is>
          <t>HC-101152</t>
        </is>
      </c>
      <c r="B1154" s="18" t="n">
        <v>45328</v>
      </c>
      <c r="C1154" s="13" t="inlineStr">
        <is>
          <t>North</t>
        </is>
      </c>
      <c r="D1154" s="13" t="inlineStr">
        <is>
          <t>Online</t>
        </is>
      </c>
      <c r="E1154" s="13" t="inlineStr">
        <is>
          <t>Furniture</t>
        </is>
      </c>
      <c r="F1154" s="13" t="inlineStr">
        <is>
          <t>Lounge Chair</t>
        </is>
      </c>
      <c r="G1154" s="13" t="inlineStr">
        <is>
          <t>Consumer</t>
        </is>
      </c>
      <c r="H1154" s="13" t="n">
        <v>3</v>
      </c>
      <c r="I1154" s="14" t="n">
        <v>495.36</v>
      </c>
      <c r="J1154" s="15" t="n">
        <v>0.09</v>
      </c>
      <c r="K1154" s="14" t="n">
        <v>297.21</v>
      </c>
      <c r="L1154" s="13" t="n">
        <v>8</v>
      </c>
      <c r="M1154" s="13" t="inlineStr">
        <is>
          <t>Completed</t>
        </is>
      </c>
      <c r="N1154" s="13" t="inlineStr">
        <is>
          <t>S. Nguyen</t>
        </is>
      </c>
      <c r="O1154" s="13" t="inlineStr">
        <is>
          <t>No</t>
        </is>
      </c>
      <c r="P1154" s="14">
        <f>H1154*I1154</f>
        <v/>
      </c>
      <c r="Q1154" s="14">
        <f>P1154*(1-J1154)</f>
        <v/>
      </c>
      <c r="R1154" s="14">
        <f>H1154*K1154</f>
        <v/>
      </c>
      <c r="S1154" s="15">
        <f>IF(Q1154=0,"",(Q1154-R1154)/Q1154)</f>
        <v/>
      </c>
      <c r="T1154" s="13">
        <f>YEAR(B1154)</f>
        <v/>
      </c>
      <c r="U1154" s="13">
        <f>YEAR(B1154)&amp;"-Q"&amp;ROUNDUP(MONTH(B1154)/3,0)</f>
        <v/>
      </c>
      <c r="V1154" s="13">
        <f>TEXT(B1154,"YYYY-MM")</f>
        <v/>
      </c>
      <c r="W1154" s="13">
        <f>IF(L1154="","",IF(L1154&gt;pLateDays,1,0))</f>
        <v/>
      </c>
      <c r="X1154" s="13">
        <f>IF(Q1154&gt;=pHighCutoff,1,0)</f>
        <v/>
      </c>
      <c r="Y1154" s="13">
        <f>IF(M1154="Returned",1,0)</f>
        <v/>
      </c>
    </row>
    <row r="1155">
      <c r="A1155" s="13" t="inlineStr">
        <is>
          <t>HC-101153</t>
        </is>
      </c>
      <c r="B1155" s="18" t="n">
        <v>45552</v>
      </c>
      <c r="C1155" s="13" t="inlineStr">
        <is>
          <t>South</t>
        </is>
      </c>
      <c r="D1155" s="13" t="inlineStr">
        <is>
          <t>Online</t>
        </is>
      </c>
      <c r="E1155" s="13" t="inlineStr">
        <is>
          <t>Textiles</t>
        </is>
      </c>
      <c r="F1155" s="13" t="inlineStr">
        <is>
          <t>Cotton Duvet</t>
        </is>
      </c>
      <c r="G1155" s="13" t="inlineStr">
        <is>
          <t>Consumer</t>
        </is>
      </c>
      <c r="H1155" s="13" t="n">
        <v>3</v>
      </c>
      <c r="I1155" s="14" t="n">
        <v>122.19</v>
      </c>
      <c r="J1155" s="15" t="n">
        <v>0.03</v>
      </c>
      <c r="K1155" s="14" t="n">
        <v>53.76</v>
      </c>
      <c r="L1155" s="13" t="n">
        <v>2</v>
      </c>
      <c r="M1155" s="13" t="inlineStr">
        <is>
          <t>Completed</t>
        </is>
      </c>
      <c r="N1155" s="13" t="inlineStr">
        <is>
          <t>L. Berger</t>
        </is>
      </c>
      <c r="O1155" s="13" t="inlineStr">
        <is>
          <t>No</t>
        </is>
      </c>
      <c r="P1155" s="14">
        <f>H1155*I1155</f>
        <v/>
      </c>
      <c r="Q1155" s="14">
        <f>P1155*(1-J1155)</f>
        <v/>
      </c>
      <c r="R1155" s="14">
        <f>H1155*K1155</f>
        <v/>
      </c>
      <c r="S1155" s="15">
        <f>IF(Q1155=0,"",(Q1155-R1155)/Q1155)</f>
        <v/>
      </c>
      <c r="T1155" s="13">
        <f>YEAR(B1155)</f>
        <v/>
      </c>
      <c r="U1155" s="13">
        <f>YEAR(B1155)&amp;"-Q"&amp;ROUNDUP(MONTH(B1155)/3,0)</f>
        <v/>
      </c>
      <c r="V1155" s="13">
        <f>TEXT(B1155,"YYYY-MM")</f>
        <v/>
      </c>
      <c r="W1155" s="13">
        <f>IF(L1155="","",IF(L1155&gt;pLateDays,1,0))</f>
        <v/>
      </c>
      <c r="X1155" s="13">
        <f>IF(Q1155&gt;=pHighCutoff,1,0)</f>
        <v/>
      </c>
      <c r="Y1155" s="13">
        <f>IF(M1155="Returned",1,0)</f>
        <v/>
      </c>
    </row>
    <row r="1156">
      <c r="A1156" s="13" t="inlineStr">
        <is>
          <t>HC-101154</t>
        </is>
      </c>
      <c r="B1156" s="18" t="n">
        <v>45899</v>
      </c>
      <c r="C1156" s="13" t="inlineStr">
        <is>
          <t>North</t>
        </is>
      </c>
      <c r="D1156" s="13" t="inlineStr">
        <is>
          <t>Online</t>
        </is>
      </c>
      <c r="E1156" s="13" t="inlineStr">
        <is>
          <t>Lighting</t>
        </is>
      </c>
      <c r="F1156" s="13" t="inlineStr">
        <is>
          <t>Brass Sconce</t>
        </is>
      </c>
      <c r="G1156" s="13" t="inlineStr">
        <is>
          <t>Consumer</t>
        </is>
      </c>
      <c r="H1156" s="13" t="n">
        <v>2</v>
      </c>
      <c r="I1156" s="14" t="n">
        <v>148.65</v>
      </c>
      <c r="J1156" s="15" t="n">
        <v>0.13</v>
      </c>
      <c r="K1156" s="14" t="n">
        <v>68.38</v>
      </c>
      <c r="L1156" s="13" t="n">
        <v>7</v>
      </c>
      <c r="M1156" s="13" t="inlineStr">
        <is>
          <t>Completed</t>
        </is>
      </c>
      <c r="N1156" s="13" t="inlineStr">
        <is>
          <t>P. Rossi</t>
        </is>
      </c>
      <c r="O1156" s="13" t="inlineStr">
        <is>
          <t>No</t>
        </is>
      </c>
      <c r="P1156" s="14">
        <f>H1156*I1156</f>
        <v/>
      </c>
      <c r="Q1156" s="14">
        <f>P1156*(1-J1156)</f>
        <v/>
      </c>
      <c r="R1156" s="14">
        <f>H1156*K1156</f>
        <v/>
      </c>
      <c r="S1156" s="15">
        <f>IF(Q1156=0,"",(Q1156-R1156)/Q1156)</f>
        <v/>
      </c>
      <c r="T1156" s="13">
        <f>YEAR(B1156)</f>
        <v/>
      </c>
      <c r="U1156" s="13">
        <f>YEAR(B1156)&amp;"-Q"&amp;ROUNDUP(MONTH(B1156)/3,0)</f>
        <v/>
      </c>
      <c r="V1156" s="13">
        <f>TEXT(B1156,"YYYY-MM")</f>
        <v/>
      </c>
      <c r="W1156" s="13">
        <f>IF(L1156="","",IF(L1156&gt;pLateDays,1,0))</f>
        <v/>
      </c>
      <c r="X1156" s="13">
        <f>IF(Q1156&gt;=pHighCutoff,1,0)</f>
        <v/>
      </c>
      <c r="Y1156" s="13">
        <f>IF(M1156="Returned",1,0)</f>
        <v/>
      </c>
    </row>
    <row r="1157">
      <c r="A1157" s="13" t="inlineStr">
        <is>
          <t>HC-101155</t>
        </is>
      </c>
      <c r="B1157" s="18" t="n">
        <v>45466</v>
      </c>
      <c r="C1157" s="13" t="inlineStr">
        <is>
          <t>South</t>
        </is>
      </c>
      <c r="D1157" s="13" t="inlineStr">
        <is>
          <t>Wholesale</t>
        </is>
      </c>
      <c r="E1157" s="13" t="inlineStr">
        <is>
          <t>Textiles</t>
        </is>
      </c>
      <c r="F1157" s="13" t="inlineStr">
        <is>
          <t>Cotton Duvet</t>
        </is>
      </c>
      <c r="G1157" s="13" t="inlineStr">
        <is>
          <t>Consumer</t>
        </is>
      </c>
      <c r="H1157" s="13" t="n">
        <v>10</v>
      </c>
      <c r="I1157" s="14" t="n">
        <v>128.32</v>
      </c>
      <c r="J1157" s="15" t="n">
        <v>0.22</v>
      </c>
      <c r="K1157" s="14" t="n">
        <v>56.46</v>
      </c>
      <c r="L1157" s="13" t="n">
        <v>7</v>
      </c>
      <c r="M1157" s="13" t="inlineStr">
        <is>
          <t>Completed</t>
        </is>
      </c>
      <c r="N1157" s="13" t="inlineStr">
        <is>
          <t>R. Ibarra</t>
        </is>
      </c>
      <c r="O1157" s="13" t="inlineStr">
        <is>
          <t>No</t>
        </is>
      </c>
      <c r="P1157" s="14">
        <f>H1157*I1157</f>
        <v/>
      </c>
      <c r="Q1157" s="14">
        <f>P1157*(1-J1157)</f>
        <v/>
      </c>
      <c r="R1157" s="14">
        <f>H1157*K1157</f>
        <v/>
      </c>
      <c r="S1157" s="15">
        <f>IF(Q1157=0,"",(Q1157-R1157)/Q1157)</f>
        <v/>
      </c>
      <c r="T1157" s="13">
        <f>YEAR(B1157)</f>
        <v/>
      </c>
      <c r="U1157" s="13">
        <f>YEAR(B1157)&amp;"-Q"&amp;ROUNDUP(MONTH(B1157)/3,0)</f>
        <v/>
      </c>
      <c r="V1157" s="13">
        <f>TEXT(B1157,"YYYY-MM")</f>
        <v/>
      </c>
      <c r="W1157" s="13">
        <f>IF(L1157="","",IF(L1157&gt;pLateDays,1,0))</f>
        <v/>
      </c>
      <c r="X1157" s="13">
        <f>IF(Q1157&gt;=pHighCutoff,1,0)</f>
        <v/>
      </c>
      <c r="Y1157" s="13">
        <f>IF(M1157="Returned",1,0)</f>
        <v/>
      </c>
    </row>
    <row r="1158">
      <c r="A1158" s="13" t="inlineStr">
        <is>
          <t>HC-101156</t>
        </is>
      </c>
      <c r="B1158" s="18" t="n">
        <v>45486</v>
      </c>
      <c r="C1158" s="13" t="inlineStr">
        <is>
          <t>West</t>
        </is>
      </c>
      <c r="D1158" s="13" t="inlineStr">
        <is>
          <t>Store</t>
        </is>
      </c>
      <c r="E1158" s="13" t="inlineStr">
        <is>
          <t>Furniture</t>
        </is>
      </c>
      <c r="F1158" s="13" t="inlineStr">
        <is>
          <t>Lounge Chair</t>
        </is>
      </c>
      <c r="G1158" s="13" t="inlineStr">
        <is>
          <t>Consumer</t>
        </is>
      </c>
      <c r="H1158" s="13" t="n">
        <v>2</v>
      </c>
      <c r="I1158" s="14" t="n">
        <v>516.8099999999999</v>
      </c>
      <c r="J1158" s="15" t="n">
        <v>0.02</v>
      </c>
      <c r="K1158" s="14" t="n">
        <v>310.09</v>
      </c>
      <c r="L1158" s="13" t="n">
        <v>7</v>
      </c>
      <c r="M1158" s="13" t="inlineStr">
        <is>
          <t>Completed</t>
        </is>
      </c>
      <c r="N1158" s="13" t="inlineStr">
        <is>
          <t>J. Patel</t>
        </is>
      </c>
      <c r="O1158" s="13" t="inlineStr">
        <is>
          <t>No</t>
        </is>
      </c>
      <c r="P1158" s="14">
        <f>H1158*I1158</f>
        <v/>
      </c>
      <c r="Q1158" s="14">
        <f>P1158*(1-J1158)</f>
        <v/>
      </c>
      <c r="R1158" s="14">
        <f>H1158*K1158</f>
        <v/>
      </c>
      <c r="S1158" s="15">
        <f>IF(Q1158=0,"",(Q1158-R1158)/Q1158)</f>
        <v/>
      </c>
      <c r="T1158" s="13">
        <f>YEAR(B1158)</f>
        <v/>
      </c>
      <c r="U1158" s="13">
        <f>YEAR(B1158)&amp;"-Q"&amp;ROUNDUP(MONTH(B1158)/3,0)</f>
        <v/>
      </c>
      <c r="V1158" s="13">
        <f>TEXT(B1158,"YYYY-MM")</f>
        <v/>
      </c>
      <c r="W1158" s="13">
        <f>IF(L1158="","",IF(L1158&gt;pLateDays,1,0))</f>
        <v/>
      </c>
      <c r="X1158" s="13">
        <f>IF(Q1158&gt;=pHighCutoff,1,0)</f>
        <v/>
      </c>
      <c r="Y1158" s="13">
        <f>IF(M1158="Returned",1,0)</f>
        <v/>
      </c>
    </row>
    <row r="1159">
      <c r="A1159" s="13" t="inlineStr">
        <is>
          <t>HC-101157</t>
        </is>
      </c>
      <c r="B1159" s="18" t="n">
        <v>45455</v>
      </c>
      <c r="C1159" s="13" t="inlineStr">
        <is>
          <t>East</t>
        </is>
      </c>
      <c r="D1159" s="13" t="inlineStr">
        <is>
          <t>Store</t>
        </is>
      </c>
      <c r="E1159" s="13" t="inlineStr">
        <is>
          <t>Kitchen</t>
        </is>
      </c>
      <c r="F1159" s="13" t="inlineStr">
        <is>
          <t>Cast Skillet</t>
        </is>
      </c>
      <c r="G1159" s="13" t="inlineStr">
        <is>
          <t>Consumer</t>
        </is>
      </c>
      <c r="H1159" s="13" t="n">
        <v>2</v>
      </c>
      <c r="I1159" s="14" t="n">
        <v>45.38</v>
      </c>
      <c r="J1159" s="15" t="n">
        <v>0.03</v>
      </c>
      <c r="K1159" s="14" t="n">
        <v>18.15</v>
      </c>
      <c r="L1159" s="13" t="n"/>
      <c r="M1159" s="13" t="inlineStr">
        <is>
          <t>Completed</t>
        </is>
      </c>
      <c r="N1159" s="13" t="inlineStr">
        <is>
          <t>R. Ibarra</t>
        </is>
      </c>
      <c r="O1159" s="13" t="inlineStr">
        <is>
          <t>No</t>
        </is>
      </c>
      <c r="P1159" s="14">
        <f>H1159*I1159</f>
        <v/>
      </c>
      <c r="Q1159" s="14">
        <f>P1159*(1-J1159)</f>
        <v/>
      </c>
      <c r="R1159" s="14">
        <f>H1159*K1159</f>
        <v/>
      </c>
      <c r="S1159" s="15">
        <f>IF(Q1159=0,"",(Q1159-R1159)/Q1159)</f>
        <v/>
      </c>
      <c r="T1159" s="13">
        <f>YEAR(B1159)</f>
        <v/>
      </c>
      <c r="U1159" s="13">
        <f>YEAR(B1159)&amp;"-Q"&amp;ROUNDUP(MONTH(B1159)/3,0)</f>
        <v/>
      </c>
      <c r="V1159" s="13">
        <f>TEXT(B1159,"YYYY-MM")</f>
        <v/>
      </c>
      <c r="W1159" s="13">
        <f>IF(L1159="","",IF(L1159&gt;pLateDays,1,0))</f>
        <v/>
      </c>
      <c r="X1159" s="13">
        <f>IF(Q1159&gt;=pHighCutoff,1,0)</f>
        <v/>
      </c>
      <c r="Y1159" s="13">
        <f>IF(M1159="Returned",1,0)</f>
        <v/>
      </c>
    </row>
    <row r="1160">
      <c r="A1160" s="13" t="inlineStr">
        <is>
          <t>HC-101158</t>
        </is>
      </c>
      <c r="B1160" s="18" t="n">
        <v>45618</v>
      </c>
      <c r="C1160" s="13" t="inlineStr">
        <is>
          <t>North</t>
        </is>
      </c>
      <c r="D1160" s="13" t="inlineStr">
        <is>
          <t>Online</t>
        </is>
      </c>
      <c r="E1160" s="13" t="inlineStr">
        <is>
          <t>Kitchen</t>
        </is>
      </c>
      <c r="F1160" s="13" t="inlineStr">
        <is>
          <t>Cast Skillet</t>
        </is>
      </c>
      <c r="G1160" s="13" t="inlineStr">
        <is>
          <t>Consumer</t>
        </is>
      </c>
      <c r="H1160" s="13" t="n">
        <v>4</v>
      </c>
      <c r="I1160" s="14" t="n">
        <v>55.4</v>
      </c>
      <c r="J1160" s="15" t="n">
        <v>0.13</v>
      </c>
      <c r="K1160" s="14" t="n">
        <v>22.16</v>
      </c>
      <c r="L1160" s="13" t="n">
        <v>8</v>
      </c>
      <c r="M1160" s="13" t="inlineStr">
        <is>
          <t>Completed</t>
        </is>
      </c>
      <c r="N1160" s="13" t="inlineStr">
        <is>
          <t>A. Shah</t>
        </is>
      </c>
      <c r="O1160" s="13" t="inlineStr">
        <is>
          <t>No</t>
        </is>
      </c>
      <c r="P1160" s="14">
        <f>H1160*I1160</f>
        <v/>
      </c>
      <c r="Q1160" s="14">
        <f>P1160*(1-J1160)</f>
        <v/>
      </c>
      <c r="R1160" s="14">
        <f>H1160*K1160</f>
        <v/>
      </c>
      <c r="S1160" s="15">
        <f>IF(Q1160=0,"",(Q1160-R1160)/Q1160)</f>
        <v/>
      </c>
      <c r="T1160" s="13">
        <f>YEAR(B1160)</f>
        <v/>
      </c>
      <c r="U1160" s="13">
        <f>YEAR(B1160)&amp;"-Q"&amp;ROUNDUP(MONTH(B1160)/3,0)</f>
        <v/>
      </c>
      <c r="V1160" s="13">
        <f>TEXT(B1160,"YYYY-MM")</f>
        <v/>
      </c>
      <c r="W1160" s="13">
        <f>IF(L1160="","",IF(L1160&gt;pLateDays,1,0))</f>
        <v/>
      </c>
      <c r="X1160" s="13">
        <f>IF(Q1160&gt;=pHighCutoff,1,0)</f>
        <v/>
      </c>
      <c r="Y1160" s="13">
        <f>IF(M1160="Returned",1,0)</f>
        <v/>
      </c>
    </row>
    <row r="1161">
      <c r="A1161" s="13" t="inlineStr">
        <is>
          <t>HC-101159</t>
        </is>
      </c>
      <c r="B1161" s="18" t="n">
        <v>45760</v>
      </c>
      <c r="C1161" s="13" t="inlineStr">
        <is>
          <t>South</t>
        </is>
      </c>
      <c r="D1161" s="13" t="inlineStr">
        <is>
          <t>Wholesale</t>
        </is>
      </c>
      <c r="E1161" s="13" t="inlineStr">
        <is>
          <t>Lighting</t>
        </is>
      </c>
      <c r="F1161" s="13" t="inlineStr">
        <is>
          <t>Arc Lamp</t>
        </is>
      </c>
      <c r="G1161" s="13" t="inlineStr">
        <is>
          <t>Consumer</t>
        </is>
      </c>
      <c r="H1161" s="13" t="n">
        <v>20</v>
      </c>
      <c r="I1161" s="14" t="n">
        <v>294.93</v>
      </c>
      <c r="J1161" s="15" t="n">
        <v>0.25</v>
      </c>
      <c r="K1161" s="14" t="n">
        <v>141.57</v>
      </c>
      <c r="L1161" s="13" t="n">
        <v>5</v>
      </c>
      <c r="M1161" s="13" t="inlineStr">
        <is>
          <t>Completed</t>
        </is>
      </c>
      <c r="N1161" s="13" t="inlineStr">
        <is>
          <t>S. Nguyen</t>
        </is>
      </c>
      <c r="O1161" s="13" t="inlineStr">
        <is>
          <t>No</t>
        </is>
      </c>
      <c r="P1161" s="14">
        <f>H1161*I1161</f>
        <v/>
      </c>
      <c r="Q1161" s="14">
        <f>P1161*(1-J1161)</f>
        <v/>
      </c>
      <c r="R1161" s="14">
        <f>H1161*K1161</f>
        <v/>
      </c>
      <c r="S1161" s="15">
        <f>IF(Q1161=0,"",(Q1161-R1161)/Q1161)</f>
        <v/>
      </c>
      <c r="T1161" s="13">
        <f>YEAR(B1161)</f>
        <v/>
      </c>
      <c r="U1161" s="13">
        <f>YEAR(B1161)&amp;"-Q"&amp;ROUNDUP(MONTH(B1161)/3,0)</f>
        <v/>
      </c>
      <c r="V1161" s="13">
        <f>TEXT(B1161,"YYYY-MM")</f>
        <v/>
      </c>
      <c r="W1161" s="13">
        <f>IF(L1161="","",IF(L1161&gt;pLateDays,1,0))</f>
        <v/>
      </c>
      <c r="X1161" s="13">
        <f>IF(Q1161&gt;=pHighCutoff,1,0)</f>
        <v/>
      </c>
      <c r="Y1161" s="13">
        <f>IF(M1161="Returned",1,0)</f>
        <v/>
      </c>
    </row>
    <row r="1162">
      <c r="A1162" s="13" t="inlineStr">
        <is>
          <t>HC-101160</t>
        </is>
      </c>
      <c r="B1162" s="18" t="n">
        <v>45826</v>
      </c>
      <c r="C1162" s="13" t="inlineStr">
        <is>
          <t>South</t>
        </is>
      </c>
      <c r="D1162" s="13" t="inlineStr">
        <is>
          <t>Store</t>
        </is>
      </c>
      <c r="E1162" s="13" t="inlineStr">
        <is>
          <t>Lighting</t>
        </is>
      </c>
      <c r="F1162" s="13" t="inlineStr">
        <is>
          <t>Brass Sconce</t>
        </is>
      </c>
      <c r="G1162" s="13" t="inlineStr">
        <is>
          <t>Consumer</t>
        </is>
      </c>
      <c r="H1162" s="13" t="n">
        <v>2</v>
      </c>
      <c r="I1162" s="14" t="n">
        <v>136.3</v>
      </c>
      <c r="J1162" s="15" t="n">
        <v>0.1</v>
      </c>
      <c r="K1162" s="14" t="n">
        <v>62.7</v>
      </c>
      <c r="L1162" s="13" t="n">
        <v>5</v>
      </c>
      <c r="M1162" s="13" t="inlineStr">
        <is>
          <t>Completed</t>
        </is>
      </c>
      <c r="N1162" s="13" t="inlineStr">
        <is>
          <t>K. Mensah</t>
        </is>
      </c>
      <c r="O1162" s="13" t="inlineStr">
        <is>
          <t>No</t>
        </is>
      </c>
      <c r="P1162" s="14">
        <f>H1162*I1162</f>
        <v/>
      </c>
      <c r="Q1162" s="14">
        <f>P1162*(1-J1162)</f>
        <v/>
      </c>
      <c r="R1162" s="14">
        <f>H1162*K1162</f>
        <v/>
      </c>
      <c r="S1162" s="15">
        <f>IF(Q1162=0,"",(Q1162-R1162)/Q1162)</f>
        <v/>
      </c>
      <c r="T1162" s="13">
        <f>YEAR(B1162)</f>
        <v/>
      </c>
      <c r="U1162" s="13">
        <f>YEAR(B1162)&amp;"-Q"&amp;ROUNDUP(MONTH(B1162)/3,0)</f>
        <v/>
      </c>
      <c r="V1162" s="13">
        <f>TEXT(B1162,"YYYY-MM")</f>
        <v/>
      </c>
      <c r="W1162" s="13">
        <f>IF(L1162="","",IF(L1162&gt;pLateDays,1,0))</f>
        <v/>
      </c>
      <c r="X1162" s="13">
        <f>IF(Q1162&gt;=pHighCutoff,1,0)</f>
        <v/>
      </c>
      <c r="Y1162" s="13">
        <f>IF(M1162="Returned",1,0)</f>
        <v/>
      </c>
    </row>
    <row r="1163">
      <c r="A1163" s="13" t="inlineStr">
        <is>
          <t>HC-101161</t>
        </is>
      </c>
      <c r="B1163" s="18" t="n">
        <v>45817</v>
      </c>
      <c r="C1163" s="13" t="inlineStr">
        <is>
          <t>West</t>
        </is>
      </c>
      <c r="D1163" s="13" t="inlineStr">
        <is>
          <t>Online</t>
        </is>
      </c>
      <c r="E1163" s="13" t="inlineStr">
        <is>
          <t>Furniture</t>
        </is>
      </c>
      <c r="F1163" s="13" t="inlineStr">
        <is>
          <t>Walnut Shelf</t>
        </is>
      </c>
      <c r="G1163" s="13" t="inlineStr">
        <is>
          <t>Corporate</t>
        </is>
      </c>
      <c r="H1163" s="13" t="n">
        <v>3</v>
      </c>
      <c r="I1163" s="14" t="n">
        <v>226.9</v>
      </c>
      <c r="J1163" s="15" t="n">
        <v>0.07000000000000001</v>
      </c>
      <c r="K1163" s="14" t="n">
        <v>124.79</v>
      </c>
      <c r="L1163" s="13" t="n">
        <v>4</v>
      </c>
      <c r="M1163" s="13" t="inlineStr">
        <is>
          <t>Completed</t>
        </is>
      </c>
      <c r="N1163" s="13" t="inlineStr">
        <is>
          <t>M. Okonkwo</t>
        </is>
      </c>
      <c r="O1163" s="13" t="inlineStr">
        <is>
          <t>No</t>
        </is>
      </c>
      <c r="P1163" s="14">
        <f>H1163*I1163</f>
        <v/>
      </c>
      <c r="Q1163" s="14">
        <f>P1163*(1-J1163)</f>
        <v/>
      </c>
      <c r="R1163" s="14">
        <f>H1163*K1163</f>
        <v/>
      </c>
      <c r="S1163" s="15">
        <f>IF(Q1163=0,"",(Q1163-R1163)/Q1163)</f>
        <v/>
      </c>
      <c r="T1163" s="13">
        <f>YEAR(B1163)</f>
        <v/>
      </c>
      <c r="U1163" s="13">
        <f>YEAR(B1163)&amp;"-Q"&amp;ROUNDUP(MONTH(B1163)/3,0)</f>
        <v/>
      </c>
      <c r="V1163" s="13">
        <f>TEXT(B1163,"YYYY-MM")</f>
        <v/>
      </c>
      <c r="W1163" s="13">
        <f>IF(L1163="","",IF(L1163&gt;pLateDays,1,0))</f>
        <v/>
      </c>
      <c r="X1163" s="13">
        <f>IF(Q1163&gt;=pHighCutoff,1,0)</f>
        <v/>
      </c>
      <c r="Y1163" s="13">
        <f>IF(M1163="Returned",1,0)</f>
        <v/>
      </c>
    </row>
    <row r="1164">
      <c r="A1164" s="13" t="inlineStr">
        <is>
          <t>HC-101162</t>
        </is>
      </c>
      <c r="B1164" s="18" t="n">
        <v>45364</v>
      </c>
      <c r="C1164" s="13" t="inlineStr">
        <is>
          <t>West</t>
        </is>
      </c>
      <c r="D1164" s="13" t="inlineStr">
        <is>
          <t>Store</t>
        </is>
      </c>
      <c r="E1164" s="13" t="inlineStr">
        <is>
          <t>Kitchen</t>
        </is>
      </c>
      <c r="F1164" s="13" t="inlineStr">
        <is>
          <t>Ceramic Set</t>
        </is>
      </c>
      <c r="G1164" s="13" t="inlineStr">
        <is>
          <t>Consumer</t>
        </is>
      </c>
      <c r="H1164" s="13" t="n">
        <v>3</v>
      </c>
      <c r="I1164" s="14" t="n">
        <v>85.09999999999999</v>
      </c>
      <c r="J1164" s="15" t="n">
        <v>0.1</v>
      </c>
      <c r="K1164" s="14" t="n">
        <v>32.34</v>
      </c>
      <c r="L1164" s="13" t="n">
        <v>6</v>
      </c>
      <c r="M1164" s="13" t="inlineStr">
        <is>
          <t>Completed</t>
        </is>
      </c>
      <c r="N1164" s="13" t="inlineStr">
        <is>
          <t>A. Shah</t>
        </is>
      </c>
      <c r="O1164" s="13" t="inlineStr">
        <is>
          <t>No</t>
        </is>
      </c>
      <c r="P1164" s="14">
        <f>H1164*I1164</f>
        <v/>
      </c>
      <c r="Q1164" s="14">
        <f>P1164*(1-J1164)</f>
        <v/>
      </c>
      <c r="R1164" s="14">
        <f>H1164*K1164</f>
        <v/>
      </c>
      <c r="S1164" s="15">
        <f>IF(Q1164=0,"",(Q1164-R1164)/Q1164)</f>
        <v/>
      </c>
      <c r="T1164" s="13">
        <f>YEAR(B1164)</f>
        <v/>
      </c>
      <c r="U1164" s="13">
        <f>YEAR(B1164)&amp;"-Q"&amp;ROUNDUP(MONTH(B1164)/3,0)</f>
        <v/>
      </c>
      <c r="V1164" s="13">
        <f>TEXT(B1164,"YYYY-MM")</f>
        <v/>
      </c>
      <c r="W1164" s="13">
        <f>IF(L1164="","",IF(L1164&gt;pLateDays,1,0))</f>
        <v/>
      </c>
      <c r="X1164" s="13">
        <f>IF(Q1164&gt;=pHighCutoff,1,0)</f>
        <v/>
      </c>
      <c r="Y1164" s="13">
        <f>IF(M1164="Returned",1,0)</f>
        <v/>
      </c>
    </row>
    <row r="1165">
      <c r="A1165" s="13" t="inlineStr">
        <is>
          <t>HC-101163</t>
        </is>
      </c>
      <c r="B1165" s="18" t="n">
        <v>45928</v>
      </c>
      <c r="C1165" s="13" t="inlineStr">
        <is>
          <t>West</t>
        </is>
      </c>
      <c r="D1165" s="13" t="inlineStr">
        <is>
          <t>Store</t>
        </is>
      </c>
      <c r="E1165" s="13" t="inlineStr">
        <is>
          <t>Lighting</t>
        </is>
      </c>
      <c r="F1165" s="13" t="inlineStr">
        <is>
          <t>Arc Lamp</t>
        </is>
      </c>
      <c r="G1165" s="13" t="inlineStr">
        <is>
          <t>Consumer</t>
        </is>
      </c>
      <c r="H1165" s="13" t="n">
        <v>4</v>
      </c>
      <c r="I1165" s="14" t="n">
        <v>329.53</v>
      </c>
      <c r="J1165" s="15" t="n">
        <v>0.1</v>
      </c>
      <c r="K1165" s="14" t="n">
        <v>158.17</v>
      </c>
      <c r="L1165" s="13" t="n">
        <v>6</v>
      </c>
      <c r="M1165" s="13" t="inlineStr">
        <is>
          <t>Completed</t>
        </is>
      </c>
      <c r="N1165" s="13" t="inlineStr">
        <is>
          <t>M. Okonkwo</t>
        </is>
      </c>
      <c r="O1165" s="13" t="inlineStr">
        <is>
          <t>No</t>
        </is>
      </c>
      <c r="P1165" s="14">
        <f>H1165*I1165</f>
        <v/>
      </c>
      <c r="Q1165" s="14">
        <f>P1165*(1-J1165)</f>
        <v/>
      </c>
      <c r="R1165" s="14">
        <f>H1165*K1165</f>
        <v/>
      </c>
      <c r="S1165" s="15">
        <f>IF(Q1165=0,"",(Q1165-R1165)/Q1165)</f>
        <v/>
      </c>
      <c r="T1165" s="13">
        <f>YEAR(B1165)</f>
        <v/>
      </c>
      <c r="U1165" s="13">
        <f>YEAR(B1165)&amp;"-Q"&amp;ROUNDUP(MONTH(B1165)/3,0)</f>
        <v/>
      </c>
      <c r="V1165" s="13">
        <f>TEXT(B1165,"YYYY-MM")</f>
        <v/>
      </c>
      <c r="W1165" s="13">
        <f>IF(L1165="","",IF(L1165&gt;pLateDays,1,0))</f>
        <v/>
      </c>
      <c r="X1165" s="13">
        <f>IF(Q1165&gt;=pHighCutoff,1,0)</f>
        <v/>
      </c>
      <c r="Y1165" s="13">
        <f>IF(M1165="Returned",1,0)</f>
        <v/>
      </c>
    </row>
    <row r="1166">
      <c r="A1166" s="13" t="inlineStr">
        <is>
          <t>HC-101164</t>
        </is>
      </c>
      <c r="B1166" s="18" t="n">
        <v>45499</v>
      </c>
      <c r="C1166" s="13" t="inlineStr">
        <is>
          <t>West</t>
        </is>
      </c>
      <c r="D1166" s="13" t="inlineStr">
        <is>
          <t>Store</t>
        </is>
      </c>
      <c r="E1166" s="13" t="inlineStr">
        <is>
          <t>Furniture</t>
        </is>
      </c>
      <c r="F1166" s="13" t="inlineStr">
        <is>
          <t>Oak Desk</t>
        </is>
      </c>
      <c r="G1166" s="13" t="inlineStr">
        <is>
          <t>Consumer</t>
        </is>
      </c>
      <c r="H1166" s="13" t="n">
        <v>2</v>
      </c>
      <c r="I1166" s="14" t="n">
        <v>805</v>
      </c>
      <c r="J1166" s="15" t="n">
        <v>0.05</v>
      </c>
      <c r="K1166" s="14" t="n">
        <v>499.1</v>
      </c>
      <c r="L1166" s="13" t="n">
        <v>8</v>
      </c>
      <c r="M1166" s="13" t="inlineStr">
        <is>
          <t>Completed</t>
        </is>
      </c>
      <c r="N1166" s="13" t="inlineStr">
        <is>
          <t>M. Okonkwo</t>
        </is>
      </c>
      <c r="O1166" s="13" t="inlineStr">
        <is>
          <t>No</t>
        </is>
      </c>
      <c r="P1166" s="14">
        <f>H1166*I1166</f>
        <v/>
      </c>
      <c r="Q1166" s="14">
        <f>P1166*(1-J1166)</f>
        <v/>
      </c>
      <c r="R1166" s="14">
        <f>H1166*K1166</f>
        <v/>
      </c>
      <c r="S1166" s="15">
        <f>IF(Q1166=0,"",(Q1166-R1166)/Q1166)</f>
        <v/>
      </c>
      <c r="T1166" s="13">
        <f>YEAR(B1166)</f>
        <v/>
      </c>
      <c r="U1166" s="13">
        <f>YEAR(B1166)&amp;"-Q"&amp;ROUNDUP(MONTH(B1166)/3,0)</f>
        <v/>
      </c>
      <c r="V1166" s="13">
        <f>TEXT(B1166,"YYYY-MM")</f>
        <v/>
      </c>
      <c r="W1166" s="13">
        <f>IF(L1166="","",IF(L1166&gt;pLateDays,1,0))</f>
        <v/>
      </c>
      <c r="X1166" s="13">
        <f>IF(Q1166&gt;=pHighCutoff,1,0)</f>
        <v/>
      </c>
      <c r="Y1166" s="13">
        <f>IF(M1166="Returned",1,0)</f>
        <v/>
      </c>
    </row>
    <row r="1167">
      <c r="A1167" s="13" t="inlineStr">
        <is>
          <t>HC-101165</t>
        </is>
      </c>
      <c r="B1167" s="18" t="n">
        <v>45643</v>
      </c>
      <c r="C1167" s="13" t="inlineStr">
        <is>
          <t>West</t>
        </is>
      </c>
      <c r="D1167" s="13" t="inlineStr">
        <is>
          <t>Online</t>
        </is>
      </c>
      <c r="E1167" s="13" t="inlineStr">
        <is>
          <t>Furniture</t>
        </is>
      </c>
      <c r="F1167" s="13" t="inlineStr">
        <is>
          <t>Oak Desk</t>
        </is>
      </c>
      <c r="G1167" s="13" t="inlineStr">
        <is>
          <t>Consumer</t>
        </is>
      </c>
      <c r="H1167" s="13" t="n">
        <v>2</v>
      </c>
      <c r="I1167" s="14" t="n">
        <v>852.48</v>
      </c>
      <c r="J1167" s="15" t="n">
        <v>0.03</v>
      </c>
      <c r="K1167" s="14" t="n">
        <v>528.53</v>
      </c>
      <c r="L1167" s="13" t="n">
        <v>6</v>
      </c>
      <c r="M1167" s="13" t="inlineStr">
        <is>
          <t>Completed</t>
        </is>
      </c>
      <c r="N1167" s="13" t="inlineStr">
        <is>
          <t>K. Mensah</t>
        </is>
      </c>
      <c r="O1167" s="13" t="inlineStr">
        <is>
          <t>No</t>
        </is>
      </c>
      <c r="P1167" s="14">
        <f>H1167*I1167</f>
        <v/>
      </c>
      <c r="Q1167" s="14">
        <f>P1167*(1-J1167)</f>
        <v/>
      </c>
      <c r="R1167" s="14">
        <f>H1167*K1167</f>
        <v/>
      </c>
      <c r="S1167" s="15">
        <f>IF(Q1167=0,"",(Q1167-R1167)/Q1167)</f>
        <v/>
      </c>
      <c r="T1167" s="13">
        <f>YEAR(B1167)</f>
        <v/>
      </c>
      <c r="U1167" s="13">
        <f>YEAR(B1167)&amp;"-Q"&amp;ROUNDUP(MONTH(B1167)/3,0)</f>
        <v/>
      </c>
      <c r="V1167" s="13">
        <f>TEXT(B1167,"YYYY-MM")</f>
        <v/>
      </c>
      <c r="W1167" s="13">
        <f>IF(L1167="","",IF(L1167&gt;pLateDays,1,0))</f>
        <v/>
      </c>
      <c r="X1167" s="13">
        <f>IF(Q1167&gt;=pHighCutoff,1,0)</f>
        <v/>
      </c>
      <c r="Y1167" s="13">
        <f>IF(M1167="Returned",1,0)</f>
        <v/>
      </c>
    </row>
    <row r="1168">
      <c r="A1168" s="13" t="inlineStr">
        <is>
          <t>HC-101166</t>
        </is>
      </c>
      <c r="B1168" s="18" t="n">
        <v>45308</v>
      </c>
      <c r="C1168" s="13" t="inlineStr">
        <is>
          <t>South</t>
        </is>
      </c>
      <c r="D1168" s="13" t="inlineStr">
        <is>
          <t>Store</t>
        </is>
      </c>
      <c r="E1168" s="13" t="inlineStr">
        <is>
          <t>Lighting</t>
        </is>
      </c>
      <c r="F1168" s="13" t="inlineStr">
        <is>
          <t>Brass Sconce</t>
        </is>
      </c>
      <c r="G1168" s="13" t="inlineStr">
        <is>
          <t>Consumer</t>
        </is>
      </c>
      <c r="H1168" s="13" t="n">
        <v>1</v>
      </c>
      <c r="I1168" s="14" t="n">
        <v>130.13</v>
      </c>
      <c r="J1168" s="15" t="n">
        <v>0.06</v>
      </c>
      <c r="K1168" s="14" t="n">
        <v>59.86</v>
      </c>
      <c r="L1168" s="13" t="n">
        <v>5</v>
      </c>
      <c r="M1168" s="13" t="inlineStr">
        <is>
          <t>Returned</t>
        </is>
      </c>
      <c r="N1168" s="13" t="inlineStr">
        <is>
          <t>J. Patel</t>
        </is>
      </c>
      <c r="O1168" s="13" t="inlineStr">
        <is>
          <t>No</t>
        </is>
      </c>
      <c r="P1168" s="14">
        <f>H1168*I1168</f>
        <v/>
      </c>
      <c r="Q1168" s="14">
        <f>P1168*(1-J1168)</f>
        <v/>
      </c>
      <c r="R1168" s="14">
        <f>H1168*K1168</f>
        <v/>
      </c>
      <c r="S1168" s="15">
        <f>IF(Q1168=0,"",(Q1168-R1168)/Q1168)</f>
        <v/>
      </c>
      <c r="T1168" s="13">
        <f>YEAR(B1168)</f>
        <v/>
      </c>
      <c r="U1168" s="13">
        <f>YEAR(B1168)&amp;"-Q"&amp;ROUNDUP(MONTH(B1168)/3,0)</f>
        <v/>
      </c>
      <c r="V1168" s="13">
        <f>TEXT(B1168,"YYYY-MM")</f>
        <v/>
      </c>
      <c r="W1168" s="13">
        <f>IF(L1168="","",IF(L1168&gt;pLateDays,1,0))</f>
        <v/>
      </c>
      <c r="X1168" s="13">
        <f>IF(Q1168&gt;=pHighCutoff,1,0)</f>
        <v/>
      </c>
      <c r="Y1168" s="13">
        <f>IF(M1168="Returned",1,0)</f>
        <v/>
      </c>
    </row>
    <row r="1169">
      <c r="A1169" s="13" t="inlineStr">
        <is>
          <t>HC-101167</t>
        </is>
      </c>
      <c r="B1169" s="18" t="n">
        <v>45776</v>
      </c>
      <c r="C1169" s="13" t="inlineStr">
        <is>
          <t>South</t>
        </is>
      </c>
      <c r="D1169" s="13" t="inlineStr">
        <is>
          <t>Store</t>
        </is>
      </c>
      <c r="E1169" s="13" t="inlineStr">
        <is>
          <t>Lighting</t>
        </is>
      </c>
      <c r="F1169" s="13" t="inlineStr">
        <is>
          <t>Arc Lamp</t>
        </is>
      </c>
      <c r="G1169" s="13" t="inlineStr">
        <is>
          <t>Home Office</t>
        </is>
      </c>
      <c r="H1169" s="13" t="n">
        <v>4</v>
      </c>
      <c r="I1169" s="14" t="n">
        <v>324.16</v>
      </c>
      <c r="J1169" s="15" t="n">
        <v>0.09</v>
      </c>
      <c r="K1169" s="14" t="n">
        <v>155.6</v>
      </c>
      <c r="L1169" s="13" t="n">
        <v>4</v>
      </c>
      <c r="M1169" s="13" t="inlineStr">
        <is>
          <t>Cancelled</t>
        </is>
      </c>
      <c r="N1169" s="13" t="inlineStr">
        <is>
          <t>L. Berger</t>
        </is>
      </c>
      <c r="O1169" s="13" t="inlineStr">
        <is>
          <t>No</t>
        </is>
      </c>
      <c r="P1169" s="14">
        <f>H1169*I1169</f>
        <v/>
      </c>
      <c r="Q1169" s="14">
        <f>P1169*(1-J1169)</f>
        <v/>
      </c>
      <c r="R1169" s="14">
        <f>H1169*K1169</f>
        <v/>
      </c>
      <c r="S1169" s="15">
        <f>IF(Q1169=0,"",(Q1169-R1169)/Q1169)</f>
        <v/>
      </c>
      <c r="T1169" s="13">
        <f>YEAR(B1169)</f>
        <v/>
      </c>
      <c r="U1169" s="13">
        <f>YEAR(B1169)&amp;"-Q"&amp;ROUNDUP(MONTH(B1169)/3,0)</f>
        <v/>
      </c>
      <c r="V1169" s="13">
        <f>TEXT(B1169,"YYYY-MM")</f>
        <v/>
      </c>
      <c r="W1169" s="13">
        <f>IF(L1169="","",IF(L1169&gt;pLateDays,1,0))</f>
        <v/>
      </c>
      <c r="X1169" s="13">
        <f>IF(Q1169&gt;=pHighCutoff,1,0)</f>
        <v/>
      </c>
      <c r="Y1169" s="13">
        <f>IF(M1169="Returned",1,0)</f>
        <v/>
      </c>
    </row>
    <row r="1170">
      <c r="A1170" s="13" t="inlineStr">
        <is>
          <t>HC-101168</t>
        </is>
      </c>
      <c r="B1170" s="18" t="n">
        <v>45446</v>
      </c>
      <c r="C1170" s="13" t="inlineStr">
        <is>
          <t>North</t>
        </is>
      </c>
      <c r="D1170" s="13" t="inlineStr">
        <is>
          <t>Store</t>
        </is>
      </c>
      <c r="E1170" s="13" t="inlineStr">
        <is>
          <t>Kitchen</t>
        </is>
      </c>
      <c r="F1170" s="13" t="inlineStr">
        <is>
          <t>Cast Skillet</t>
        </is>
      </c>
      <c r="G1170" s="13" t="inlineStr">
        <is>
          <t>Consumer</t>
        </is>
      </c>
      <c r="H1170" s="13" t="n">
        <v>1</v>
      </c>
      <c r="I1170" s="14" t="n">
        <v>51.96</v>
      </c>
      <c r="J1170" s="15" t="n">
        <v>0.11</v>
      </c>
      <c r="K1170" s="14" t="n">
        <v>20.79</v>
      </c>
      <c r="L1170" s="13" t="n">
        <v>5</v>
      </c>
      <c r="M1170" s="13" t="inlineStr">
        <is>
          <t>Completed</t>
        </is>
      </c>
      <c r="N1170" s="13" t="inlineStr">
        <is>
          <t>R. Ibarra</t>
        </is>
      </c>
      <c r="O1170" s="13" t="inlineStr">
        <is>
          <t>No</t>
        </is>
      </c>
      <c r="P1170" s="14">
        <f>H1170*I1170</f>
        <v/>
      </c>
      <c r="Q1170" s="14">
        <f>P1170*(1-J1170)</f>
        <v/>
      </c>
      <c r="R1170" s="14">
        <f>H1170*K1170</f>
        <v/>
      </c>
      <c r="S1170" s="15">
        <f>IF(Q1170=0,"",(Q1170-R1170)/Q1170)</f>
        <v/>
      </c>
      <c r="T1170" s="13">
        <f>YEAR(B1170)</f>
        <v/>
      </c>
      <c r="U1170" s="13">
        <f>YEAR(B1170)&amp;"-Q"&amp;ROUNDUP(MONTH(B1170)/3,0)</f>
        <v/>
      </c>
      <c r="V1170" s="13">
        <f>TEXT(B1170,"YYYY-MM")</f>
        <v/>
      </c>
      <c r="W1170" s="13">
        <f>IF(L1170="","",IF(L1170&gt;pLateDays,1,0))</f>
        <v/>
      </c>
      <c r="X1170" s="13">
        <f>IF(Q1170&gt;=pHighCutoff,1,0)</f>
        <v/>
      </c>
      <c r="Y1170" s="13">
        <f>IF(M1170="Returned",1,0)</f>
        <v/>
      </c>
    </row>
    <row r="1171">
      <c r="A1171" s="13" t="inlineStr">
        <is>
          <t>HC-101169</t>
        </is>
      </c>
      <c r="B1171" s="18" t="n">
        <v>45424</v>
      </c>
      <c r="C1171" s="13" t="inlineStr">
        <is>
          <t>West</t>
        </is>
      </c>
      <c r="D1171" s="13" t="inlineStr">
        <is>
          <t>Store</t>
        </is>
      </c>
      <c r="E1171" s="13" t="inlineStr">
        <is>
          <t>Furniture</t>
        </is>
      </c>
      <c r="F1171" s="13" t="inlineStr">
        <is>
          <t>Lounge Chair</t>
        </is>
      </c>
      <c r="G1171" s="13" t="inlineStr">
        <is>
          <t>Corporate</t>
        </is>
      </c>
      <c r="H1171" s="13" t="n">
        <v>4</v>
      </c>
      <c r="I1171" s="14" t="n">
        <v>448.83</v>
      </c>
      <c r="J1171" s="15" t="n">
        <v>0.03</v>
      </c>
      <c r="K1171" s="14" t="n">
        <v>269.3</v>
      </c>
      <c r="L1171" s="13" t="n">
        <v>6</v>
      </c>
      <c r="M1171" s="13" t="inlineStr">
        <is>
          <t>Completed</t>
        </is>
      </c>
      <c r="N1171" s="13" t="inlineStr">
        <is>
          <t>K. Mensah</t>
        </is>
      </c>
      <c r="O1171" s="13" t="inlineStr">
        <is>
          <t>No</t>
        </is>
      </c>
      <c r="P1171" s="14">
        <f>H1171*I1171</f>
        <v/>
      </c>
      <c r="Q1171" s="14">
        <f>P1171*(1-J1171)</f>
        <v/>
      </c>
      <c r="R1171" s="14">
        <f>H1171*K1171</f>
        <v/>
      </c>
      <c r="S1171" s="15">
        <f>IF(Q1171=0,"",(Q1171-R1171)/Q1171)</f>
        <v/>
      </c>
      <c r="T1171" s="13">
        <f>YEAR(B1171)</f>
        <v/>
      </c>
      <c r="U1171" s="13">
        <f>YEAR(B1171)&amp;"-Q"&amp;ROUNDUP(MONTH(B1171)/3,0)</f>
        <v/>
      </c>
      <c r="V1171" s="13">
        <f>TEXT(B1171,"YYYY-MM")</f>
        <v/>
      </c>
      <c r="W1171" s="13">
        <f>IF(L1171="","",IF(L1171&gt;pLateDays,1,0))</f>
        <v/>
      </c>
      <c r="X1171" s="13">
        <f>IF(Q1171&gt;=pHighCutoff,1,0)</f>
        <v/>
      </c>
      <c r="Y1171" s="13">
        <f>IF(M1171="Returned",1,0)</f>
        <v/>
      </c>
    </row>
    <row r="1172">
      <c r="A1172" s="13" t="inlineStr">
        <is>
          <t>HC-101170</t>
        </is>
      </c>
      <c r="B1172" s="18" t="n">
        <v>45418</v>
      </c>
      <c r="C1172" s="13" t="inlineStr">
        <is>
          <t>South</t>
        </is>
      </c>
      <c r="D1172" s="13" t="inlineStr">
        <is>
          <t>Store</t>
        </is>
      </c>
      <c r="E1172" s="13" t="inlineStr">
        <is>
          <t>Lighting</t>
        </is>
      </c>
      <c r="F1172" s="13" t="inlineStr">
        <is>
          <t>Brass Sconce</t>
        </is>
      </c>
      <c r="G1172" s="13" t="inlineStr">
        <is>
          <t>Consumer</t>
        </is>
      </c>
      <c r="H1172" s="13" t="n">
        <v>1</v>
      </c>
      <c r="I1172" s="14" t="n">
        <v>144.98</v>
      </c>
      <c r="J1172" s="15" t="n">
        <v>0.1</v>
      </c>
      <c r="K1172" s="14" t="n">
        <v>66.69</v>
      </c>
      <c r="L1172" s="13" t="n">
        <v>8</v>
      </c>
      <c r="M1172" s="13" t="inlineStr">
        <is>
          <t>Completed</t>
        </is>
      </c>
      <c r="N1172" s="13" t="inlineStr">
        <is>
          <t>J. Patel</t>
        </is>
      </c>
      <c r="O1172" s="13" t="inlineStr">
        <is>
          <t>No</t>
        </is>
      </c>
      <c r="P1172" s="14">
        <f>H1172*I1172</f>
        <v/>
      </c>
      <c r="Q1172" s="14">
        <f>P1172*(1-J1172)</f>
        <v/>
      </c>
      <c r="R1172" s="14">
        <f>H1172*K1172</f>
        <v/>
      </c>
      <c r="S1172" s="15">
        <f>IF(Q1172=0,"",(Q1172-R1172)/Q1172)</f>
        <v/>
      </c>
      <c r="T1172" s="13">
        <f>YEAR(B1172)</f>
        <v/>
      </c>
      <c r="U1172" s="13">
        <f>YEAR(B1172)&amp;"-Q"&amp;ROUNDUP(MONTH(B1172)/3,0)</f>
        <v/>
      </c>
      <c r="V1172" s="13">
        <f>TEXT(B1172,"YYYY-MM")</f>
        <v/>
      </c>
      <c r="W1172" s="13">
        <f>IF(L1172="","",IF(L1172&gt;pLateDays,1,0))</f>
        <v/>
      </c>
      <c r="X1172" s="13">
        <f>IF(Q1172&gt;=pHighCutoff,1,0)</f>
        <v/>
      </c>
      <c r="Y1172" s="13">
        <f>IF(M1172="Returned",1,0)</f>
        <v/>
      </c>
    </row>
    <row r="1173">
      <c r="A1173" s="13" t="inlineStr">
        <is>
          <t>HC-101171</t>
        </is>
      </c>
      <c r="B1173" s="18" t="n">
        <v>45457</v>
      </c>
      <c r="C1173" s="13" t="inlineStr">
        <is>
          <t>West</t>
        </is>
      </c>
      <c r="D1173" s="13" t="inlineStr">
        <is>
          <t>Store</t>
        </is>
      </c>
      <c r="E1173" s="13" t="inlineStr">
        <is>
          <t>Kitchen</t>
        </is>
      </c>
      <c r="F1173" s="13" t="inlineStr">
        <is>
          <t>Cast Skillet</t>
        </is>
      </c>
      <c r="G1173" s="13" t="inlineStr">
        <is>
          <t>Consumer</t>
        </is>
      </c>
      <c r="H1173" s="13" t="n">
        <v>3</v>
      </c>
      <c r="I1173" s="14" t="n">
        <v>53.66</v>
      </c>
      <c r="J1173" s="15" t="n">
        <v>0.01</v>
      </c>
      <c r="K1173" s="14" t="n">
        <v>21.46</v>
      </c>
      <c r="L1173" s="13" t="n">
        <v>8</v>
      </c>
      <c r="M1173" s="13" t="inlineStr">
        <is>
          <t>Completed</t>
        </is>
      </c>
      <c r="N1173" s="13" t="inlineStr">
        <is>
          <t>J. Patel</t>
        </is>
      </c>
      <c r="O1173" s="13" t="inlineStr">
        <is>
          <t>No</t>
        </is>
      </c>
      <c r="P1173" s="14">
        <f>H1173*I1173</f>
        <v/>
      </c>
      <c r="Q1173" s="14">
        <f>P1173*(1-J1173)</f>
        <v/>
      </c>
      <c r="R1173" s="14">
        <f>H1173*K1173</f>
        <v/>
      </c>
      <c r="S1173" s="15">
        <f>IF(Q1173=0,"",(Q1173-R1173)/Q1173)</f>
        <v/>
      </c>
      <c r="T1173" s="13">
        <f>YEAR(B1173)</f>
        <v/>
      </c>
      <c r="U1173" s="13">
        <f>YEAR(B1173)&amp;"-Q"&amp;ROUNDUP(MONTH(B1173)/3,0)</f>
        <v/>
      </c>
      <c r="V1173" s="13">
        <f>TEXT(B1173,"YYYY-MM")</f>
        <v/>
      </c>
      <c r="W1173" s="13">
        <f>IF(L1173="","",IF(L1173&gt;pLateDays,1,0))</f>
        <v/>
      </c>
      <c r="X1173" s="13">
        <f>IF(Q1173&gt;=pHighCutoff,1,0)</f>
        <v/>
      </c>
      <c r="Y1173" s="13">
        <f>IF(M1173="Returned",1,0)</f>
        <v/>
      </c>
    </row>
    <row r="1174">
      <c r="A1174" s="13" t="inlineStr">
        <is>
          <t>HC-101172</t>
        </is>
      </c>
      <c r="B1174" s="18" t="n">
        <v>45752</v>
      </c>
      <c r="C1174" s="13" t="inlineStr">
        <is>
          <t>West</t>
        </is>
      </c>
      <c r="D1174" s="13" t="inlineStr">
        <is>
          <t>Store</t>
        </is>
      </c>
      <c r="E1174" s="13" t="inlineStr">
        <is>
          <t>Textiles</t>
        </is>
      </c>
      <c r="F1174" s="13" t="inlineStr">
        <is>
          <t>Linen Curtain</t>
        </is>
      </c>
      <c r="G1174" s="13" t="inlineStr">
        <is>
          <t>Consumer</t>
        </is>
      </c>
      <c r="H1174" s="13" t="n">
        <v>3</v>
      </c>
      <c r="I1174" s="14" t="n">
        <v>95.83</v>
      </c>
      <c r="J1174" s="15" t="n">
        <v>0.11</v>
      </c>
      <c r="K1174" s="14" t="n">
        <v>43.12</v>
      </c>
      <c r="L1174" s="13" t="n">
        <v>6</v>
      </c>
      <c r="M1174" s="13" t="inlineStr">
        <is>
          <t>Completed</t>
        </is>
      </c>
      <c r="N1174" s="13" t="inlineStr">
        <is>
          <t>A. Shah</t>
        </is>
      </c>
      <c r="O1174" s="13" t="inlineStr">
        <is>
          <t>No</t>
        </is>
      </c>
      <c r="P1174" s="14">
        <f>H1174*I1174</f>
        <v/>
      </c>
      <c r="Q1174" s="14">
        <f>P1174*(1-J1174)</f>
        <v/>
      </c>
      <c r="R1174" s="14">
        <f>H1174*K1174</f>
        <v/>
      </c>
      <c r="S1174" s="15">
        <f>IF(Q1174=0,"",(Q1174-R1174)/Q1174)</f>
        <v/>
      </c>
      <c r="T1174" s="13">
        <f>YEAR(B1174)</f>
        <v/>
      </c>
      <c r="U1174" s="13">
        <f>YEAR(B1174)&amp;"-Q"&amp;ROUNDUP(MONTH(B1174)/3,0)</f>
        <v/>
      </c>
      <c r="V1174" s="13">
        <f>TEXT(B1174,"YYYY-MM")</f>
        <v/>
      </c>
      <c r="W1174" s="13">
        <f>IF(L1174="","",IF(L1174&gt;pLateDays,1,0))</f>
        <v/>
      </c>
      <c r="X1174" s="13">
        <f>IF(Q1174&gt;=pHighCutoff,1,0)</f>
        <v/>
      </c>
      <c r="Y1174" s="13">
        <f>IF(M1174="Returned",1,0)</f>
        <v/>
      </c>
    </row>
    <row r="1175">
      <c r="A1175" s="13" t="inlineStr">
        <is>
          <t>HC-101173</t>
        </is>
      </c>
      <c r="B1175" s="18" t="n">
        <v>45632</v>
      </c>
      <c r="C1175" s="13" t="inlineStr">
        <is>
          <t>East</t>
        </is>
      </c>
      <c r="D1175" s="13" t="inlineStr">
        <is>
          <t>Online</t>
        </is>
      </c>
      <c r="E1175" s="13" t="inlineStr">
        <is>
          <t>Furniture</t>
        </is>
      </c>
      <c r="F1175" s="13" t="inlineStr">
        <is>
          <t>Linen Sofa</t>
        </is>
      </c>
      <c r="G1175" s="13" t="inlineStr">
        <is>
          <t>Unknown</t>
        </is>
      </c>
      <c r="H1175" s="13" t="n">
        <v>3</v>
      </c>
      <c r="I1175" s="14" t="n">
        <v>1036.25</v>
      </c>
      <c r="J1175" s="15" t="n">
        <v>0.03</v>
      </c>
      <c r="K1175" s="14" t="n">
        <v>683.92</v>
      </c>
      <c r="L1175" s="13" t="n"/>
      <c r="M1175" s="13" t="inlineStr">
        <is>
          <t>Completed</t>
        </is>
      </c>
      <c r="N1175" s="13" t="inlineStr">
        <is>
          <t>L. Berger</t>
        </is>
      </c>
      <c r="O1175" s="13" t="inlineStr">
        <is>
          <t>No</t>
        </is>
      </c>
      <c r="P1175" s="14">
        <f>H1175*I1175</f>
        <v/>
      </c>
      <c r="Q1175" s="14">
        <f>P1175*(1-J1175)</f>
        <v/>
      </c>
      <c r="R1175" s="14">
        <f>H1175*K1175</f>
        <v/>
      </c>
      <c r="S1175" s="15">
        <f>IF(Q1175=0,"",(Q1175-R1175)/Q1175)</f>
        <v/>
      </c>
      <c r="T1175" s="13">
        <f>YEAR(B1175)</f>
        <v/>
      </c>
      <c r="U1175" s="13">
        <f>YEAR(B1175)&amp;"-Q"&amp;ROUNDUP(MONTH(B1175)/3,0)</f>
        <v/>
      </c>
      <c r="V1175" s="13">
        <f>TEXT(B1175,"YYYY-MM")</f>
        <v/>
      </c>
      <c r="W1175" s="13">
        <f>IF(L1175="","",IF(L1175&gt;pLateDays,1,0))</f>
        <v/>
      </c>
      <c r="X1175" s="13">
        <f>IF(Q1175&gt;=pHighCutoff,1,0)</f>
        <v/>
      </c>
      <c r="Y1175" s="13">
        <f>IF(M1175="Returned",1,0)</f>
        <v/>
      </c>
    </row>
    <row r="1176">
      <c r="A1176" s="13" t="inlineStr">
        <is>
          <t>HC-101174</t>
        </is>
      </c>
      <c r="B1176" s="18" t="n">
        <v>45887</v>
      </c>
      <c r="C1176" s="13" t="inlineStr">
        <is>
          <t>East</t>
        </is>
      </c>
      <c r="D1176" s="13" t="inlineStr">
        <is>
          <t>Online</t>
        </is>
      </c>
      <c r="E1176" s="13" t="inlineStr">
        <is>
          <t>Textiles</t>
        </is>
      </c>
      <c r="F1176" s="13" t="inlineStr">
        <is>
          <t>Wool Throw</t>
        </is>
      </c>
      <c r="G1176" s="13" t="inlineStr">
        <is>
          <t>Consumer</t>
        </is>
      </c>
      <c r="H1176" s="13" t="n">
        <v>3</v>
      </c>
      <c r="I1176" s="14" t="n">
        <v>71.09</v>
      </c>
      <c r="J1176" s="15" t="n">
        <v>0.1</v>
      </c>
      <c r="K1176" s="14" t="n">
        <v>29.86</v>
      </c>
      <c r="L1176" s="13" t="n">
        <v>9</v>
      </c>
      <c r="M1176" s="13" t="inlineStr">
        <is>
          <t>Completed</t>
        </is>
      </c>
      <c r="N1176" s="13" t="inlineStr">
        <is>
          <t>L. Berger</t>
        </is>
      </c>
      <c r="O1176" s="13" t="inlineStr">
        <is>
          <t>No</t>
        </is>
      </c>
      <c r="P1176" s="14">
        <f>H1176*I1176</f>
        <v/>
      </c>
      <c r="Q1176" s="14">
        <f>P1176*(1-J1176)</f>
        <v/>
      </c>
      <c r="R1176" s="14">
        <f>H1176*K1176</f>
        <v/>
      </c>
      <c r="S1176" s="15">
        <f>IF(Q1176=0,"",(Q1176-R1176)/Q1176)</f>
        <v/>
      </c>
      <c r="T1176" s="13">
        <f>YEAR(B1176)</f>
        <v/>
      </c>
      <c r="U1176" s="13">
        <f>YEAR(B1176)&amp;"-Q"&amp;ROUNDUP(MONTH(B1176)/3,0)</f>
        <v/>
      </c>
      <c r="V1176" s="13">
        <f>TEXT(B1176,"YYYY-MM")</f>
        <v/>
      </c>
      <c r="W1176" s="13">
        <f>IF(L1176="","",IF(L1176&gt;pLateDays,1,0))</f>
        <v/>
      </c>
      <c r="X1176" s="13">
        <f>IF(Q1176&gt;=pHighCutoff,1,0)</f>
        <v/>
      </c>
      <c r="Y1176" s="13">
        <f>IF(M1176="Returned",1,0)</f>
        <v/>
      </c>
    </row>
    <row r="1177">
      <c r="A1177" s="13" t="inlineStr">
        <is>
          <t>HC-101175</t>
        </is>
      </c>
      <c r="B1177" s="18" t="n">
        <v>45427</v>
      </c>
      <c r="C1177" s="13" t="inlineStr">
        <is>
          <t>South</t>
        </is>
      </c>
      <c r="D1177" s="13" t="inlineStr">
        <is>
          <t>Online</t>
        </is>
      </c>
      <c r="E1177" s="13" t="inlineStr">
        <is>
          <t>Furniture</t>
        </is>
      </c>
      <c r="F1177" s="13" t="inlineStr">
        <is>
          <t>Lounge Chair</t>
        </is>
      </c>
      <c r="G1177" s="13" t="inlineStr">
        <is>
          <t>Corporate</t>
        </is>
      </c>
      <c r="H1177" s="13" t="n">
        <v>1</v>
      </c>
      <c r="I1177" s="14" t="n">
        <v>493.41</v>
      </c>
      <c r="J1177" s="15" t="n">
        <v>0.08</v>
      </c>
      <c r="K1177" s="14" t="n">
        <v>296.05</v>
      </c>
      <c r="L1177" s="13" t="n">
        <v>7</v>
      </c>
      <c r="M1177" s="13" t="inlineStr">
        <is>
          <t>Completed</t>
        </is>
      </c>
      <c r="N1177" s="13" t="inlineStr">
        <is>
          <t>K. Mensah</t>
        </is>
      </c>
      <c r="O1177" s="13" t="inlineStr">
        <is>
          <t>No</t>
        </is>
      </c>
      <c r="P1177" s="14">
        <f>H1177*I1177</f>
        <v/>
      </c>
      <c r="Q1177" s="14">
        <f>P1177*(1-J1177)</f>
        <v/>
      </c>
      <c r="R1177" s="14">
        <f>H1177*K1177</f>
        <v/>
      </c>
      <c r="S1177" s="15">
        <f>IF(Q1177=0,"",(Q1177-R1177)/Q1177)</f>
        <v/>
      </c>
      <c r="T1177" s="13">
        <f>YEAR(B1177)</f>
        <v/>
      </c>
      <c r="U1177" s="13">
        <f>YEAR(B1177)&amp;"-Q"&amp;ROUNDUP(MONTH(B1177)/3,0)</f>
        <v/>
      </c>
      <c r="V1177" s="13">
        <f>TEXT(B1177,"YYYY-MM")</f>
        <v/>
      </c>
      <c r="W1177" s="13">
        <f>IF(L1177="","",IF(L1177&gt;pLateDays,1,0))</f>
        <v/>
      </c>
      <c r="X1177" s="13">
        <f>IF(Q1177&gt;=pHighCutoff,1,0)</f>
        <v/>
      </c>
      <c r="Y1177" s="13">
        <f>IF(M1177="Returned",1,0)</f>
        <v/>
      </c>
    </row>
    <row r="1178">
      <c r="A1178" s="13" t="inlineStr">
        <is>
          <t>HC-101176</t>
        </is>
      </c>
      <c r="B1178" s="18" t="n">
        <v>45383</v>
      </c>
      <c r="C1178" s="13" t="inlineStr">
        <is>
          <t>East</t>
        </is>
      </c>
      <c r="D1178" s="13" t="inlineStr">
        <is>
          <t>Online</t>
        </is>
      </c>
      <c r="E1178" s="13" t="inlineStr">
        <is>
          <t>Furniture</t>
        </is>
      </c>
      <c r="F1178" s="13" t="inlineStr">
        <is>
          <t>Lounge Chair</t>
        </is>
      </c>
      <c r="G1178" s="13" t="inlineStr">
        <is>
          <t>Corporate</t>
        </is>
      </c>
      <c r="H1178" s="13" t="n">
        <v>2</v>
      </c>
      <c r="I1178" s="14" t="n">
        <v>432.72</v>
      </c>
      <c r="J1178" s="15" t="n">
        <v>0.12</v>
      </c>
      <c r="K1178" s="14" t="n">
        <v>259.63</v>
      </c>
      <c r="L1178" s="13" t="n">
        <v>8</v>
      </c>
      <c r="M1178" s="13" t="inlineStr">
        <is>
          <t>Cancelled</t>
        </is>
      </c>
      <c r="N1178" s="13" t="inlineStr">
        <is>
          <t>R. Ibarra</t>
        </is>
      </c>
      <c r="O1178" s="13" t="inlineStr">
        <is>
          <t>No</t>
        </is>
      </c>
      <c r="P1178" s="14">
        <f>H1178*I1178</f>
        <v/>
      </c>
      <c r="Q1178" s="14">
        <f>P1178*(1-J1178)</f>
        <v/>
      </c>
      <c r="R1178" s="14">
        <f>H1178*K1178</f>
        <v/>
      </c>
      <c r="S1178" s="15">
        <f>IF(Q1178=0,"",(Q1178-R1178)/Q1178)</f>
        <v/>
      </c>
      <c r="T1178" s="13">
        <f>YEAR(B1178)</f>
        <v/>
      </c>
      <c r="U1178" s="13">
        <f>YEAR(B1178)&amp;"-Q"&amp;ROUNDUP(MONTH(B1178)/3,0)</f>
        <v/>
      </c>
      <c r="V1178" s="13">
        <f>TEXT(B1178,"YYYY-MM")</f>
        <v/>
      </c>
      <c r="W1178" s="13">
        <f>IF(L1178="","",IF(L1178&gt;pLateDays,1,0))</f>
        <v/>
      </c>
      <c r="X1178" s="13">
        <f>IF(Q1178&gt;=pHighCutoff,1,0)</f>
        <v/>
      </c>
      <c r="Y1178" s="13">
        <f>IF(M1178="Returned",1,0)</f>
        <v/>
      </c>
    </row>
    <row r="1179">
      <c r="A1179" s="13" t="inlineStr">
        <is>
          <t>HC-101177</t>
        </is>
      </c>
      <c r="B1179" s="18" t="n">
        <v>45716</v>
      </c>
      <c r="C1179" s="13" t="inlineStr">
        <is>
          <t>West</t>
        </is>
      </c>
      <c r="D1179" s="13" t="inlineStr">
        <is>
          <t>Wholesale</t>
        </is>
      </c>
      <c r="E1179" s="13" t="inlineStr">
        <is>
          <t>Kitchen</t>
        </is>
      </c>
      <c r="F1179" s="13" t="inlineStr">
        <is>
          <t>Ceramic Set</t>
        </is>
      </c>
      <c r="G1179" s="13" t="inlineStr">
        <is>
          <t>Corporate</t>
        </is>
      </c>
      <c r="H1179" s="13" t="n">
        <v>20</v>
      </c>
      <c r="I1179" s="14" t="n">
        <v>86.05</v>
      </c>
      <c r="J1179" s="15" t="n">
        <v>0.23</v>
      </c>
      <c r="K1179" s="14" t="n">
        <v>32.7</v>
      </c>
      <c r="L1179" s="13" t="n">
        <v>4</v>
      </c>
      <c r="M1179" s="13" t="inlineStr">
        <is>
          <t>Completed</t>
        </is>
      </c>
      <c r="N1179" s="13" t="inlineStr">
        <is>
          <t>R. Ibarra</t>
        </is>
      </c>
      <c r="O1179" s="13" t="inlineStr">
        <is>
          <t>No</t>
        </is>
      </c>
      <c r="P1179" s="14">
        <f>H1179*I1179</f>
        <v/>
      </c>
      <c r="Q1179" s="14">
        <f>P1179*(1-J1179)</f>
        <v/>
      </c>
      <c r="R1179" s="14">
        <f>H1179*K1179</f>
        <v/>
      </c>
      <c r="S1179" s="15">
        <f>IF(Q1179=0,"",(Q1179-R1179)/Q1179)</f>
        <v/>
      </c>
      <c r="T1179" s="13">
        <f>YEAR(B1179)</f>
        <v/>
      </c>
      <c r="U1179" s="13">
        <f>YEAR(B1179)&amp;"-Q"&amp;ROUNDUP(MONTH(B1179)/3,0)</f>
        <v/>
      </c>
      <c r="V1179" s="13">
        <f>TEXT(B1179,"YYYY-MM")</f>
        <v/>
      </c>
      <c r="W1179" s="13">
        <f>IF(L1179="","",IF(L1179&gt;pLateDays,1,0))</f>
        <v/>
      </c>
      <c r="X1179" s="13">
        <f>IF(Q1179&gt;=pHighCutoff,1,0)</f>
        <v/>
      </c>
      <c r="Y1179" s="13">
        <f>IF(M1179="Returned",1,0)</f>
        <v/>
      </c>
    </row>
    <row r="1180">
      <c r="A1180" s="13" t="inlineStr">
        <is>
          <t>HC-101178</t>
        </is>
      </c>
      <c r="B1180" s="18" t="n">
        <v>45888</v>
      </c>
      <c r="C1180" s="13" t="inlineStr">
        <is>
          <t>West</t>
        </is>
      </c>
      <c r="D1180" s="13" t="inlineStr">
        <is>
          <t>Store</t>
        </is>
      </c>
      <c r="E1180" s="13" t="inlineStr">
        <is>
          <t>Textiles</t>
        </is>
      </c>
      <c r="F1180" s="13" t="inlineStr">
        <is>
          <t>Cotton Duvet</t>
        </is>
      </c>
      <c r="G1180" s="13" t="inlineStr">
        <is>
          <t>Corporate</t>
        </is>
      </c>
      <c r="H1180" s="13" t="n">
        <v>4</v>
      </c>
      <c r="I1180" s="14" t="n">
        <v>125.3</v>
      </c>
      <c r="J1180" s="15" t="n">
        <v>0.1</v>
      </c>
      <c r="K1180" s="14" t="n">
        <v>55.13</v>
      </c>
      <c r="L1180" s="13" t="n">
        <v>6</v>
      </c>
      <c r="M1180" s="13" t="inlineStr">
        <is>
          <t>Completed</t>
        </is>
      </c>
      <c r="N1180" s="13" t="inlineStr">
        <is>
          <t>S. Nguyen</t>
        </is>
      </c>
      <c r="O1180" s="13" t="inlineStr">
        <is>
          <t>No</t>
        </is>
      </c>
      <c r="P1180" s="14">
        <f>H1180*I1180</f>
        <v/>
      </c>
      <c r="Q1180" s="14">
        <f>P1180*(1-J1180)</f>
        <v/>
      </c>
      <c r="R1180" s="14">
        <f>H1180*K1180</f>
        <v/>
      </c>
      <c r="S1180" s="15">
        <f>IF(Q1180=0,"",(Q1180-R1180)/Q1180)</f>
        <v/>
      </c>
      <c r="T1180" s="13">
        <f>YEAR(B1180)</f>
        <v/>
      </c>
      <c r="U1180" s="13">
        <f>YEAR(B1180)&amp;"-Q"&amp;ROUNDUP(MONTH(B1180)/3,0)</f>
        <v/>
      </c>
      <c r="V1180" s="13">
        <f>TEXT(B1180,"YYYY-MM")</f>
        <v/>
      </c>
      <c r="W1180" s="13">
        <f>IF(L1180="","",IF(L1180&gt;pLateDays,1,0))</f>
        <v/>
      </c>
      <c r="X1180" s="13">
        <f>IF(Q1180&gt;=pHighCutoff,1,0)</f>
        <v/>
      </c>
      <c r="Y1180" s="13">
        <f>IF(M1180="Returned",1,0)</f>
        <v/>
      </c>
    </row>
    <row r="1181">
      <c r="A1181" s="13" t="inlineStr">
        <is>
          <t>HC-101179</t>
        </is>
      </c>
      <c r="B1181" s="18" t="n">
        <v>45697</v>
      </c>
      <c r="C1181" s="13" t="inlineStr">
        <is>
          <t>North</t>
        </is>
      </c>
      <c r="D1181" s="13" t="inlineStr">
        <is>
          <t>Wholesale</t>
        </is>
      </c>
      <c r="E1181" s="13" t="inlineStr">
        <is>
          <t>Furniture</t>
        </is>
      </c>
      <c r="F1181" s="13" t="inlineStr">
        <is>
          <t>Linen Sofa</t>
        </is>
      </c>
      <c r="G1181" s="13" t="inlineStr">
        <is>
          <t>Consumer</t>
        </is>
      </c>
      <c r="H1181" s="13" t="n">
        <v>21</v>
      </c>
      <c r="I1181" s="14" t="n">
        <v>1280.52</v>
      </c>
      <c r="J1181" s="15" t="n">
        <v>0.3</v>
      </c>
      <c r="K1181" s="14" t="n">
        <v>845.15</v>
      </c>
      <c r="L1181" s="13" t="n">
        <v>2</v>
      </c>
      <c r="M1181" s="13" t="inlineStr">
        <is>
          <t>Completed</t>
        </is>
      </c>
      <c r="N1181" s="13" t="inlineStr">
        <is>
          <t>L. Berger</t>
        </is>
      </c>
      <c r="O1181" s="13" t="inlineStr">
        <is>
          <t>No</t>
        </is>
      </c>
      <c r="P1181" s="14">
        <f>H1181*I1181</f>
        <v/>
      </c>
      <c r="Q1181" s="14">
        <f>P1181*(1-J1181)</f>
        <v/>
      </c>
      <c r="R1181" s="14">
        <f>H1181*K1181</f>
        <v/>
      </c>
      <c r="S1181" s="15">
        <f>IF(Q1181=0,"",(Q1181-R1181)/Q1181)</f>
        <v/>
      </c>
      <c r="T1181" s="13">
        <f>YEAR(B1181)</f>
        <v/>
      </c>
      <c r="U1181" s="13">
        <f>YEAR(B1181)&amp;"-Q"&amp;ROUNDUP(MONTH(B1181)/3,0)</f>
        <v/>
      </c>
      <c r="V1181" s="13">
        <f>TEXT(B1181,"YYYY-MM")</f>
        <v/>
      </c>
      <c r="W1181" s="13">
        <f>IF(L1181="","",IF(L1181&gt;pLateDays,1,0))</f>
        <v/>
      </c>
      <c r="X1181" s="13">
        <f>IF(Q1181&gt;=pHighCutoff,1,0)</f>
        <v/>
      </c>
      <c r="Y1181" s="13">
        <f>IF(M1181="Returned",1,0)</f>
        <v/>
      </c>
    </row>
    <row r="1182">
      <c r="A1182" s="13" t="inlineStr">
        <is>
          <t>HC-101180</t>
        </is>
      </c>
      <c r="B1182" s="18" t="n">
        <v>45413</v>
      </c>
      <c r="C1182" s="13" t="inlineStr">
        <is>
          <t>West</t>
        </is>
      </c>
      <c r="D1182" s="13" t="inlineStr">
        <is>
          <t>Online</t>
        </is>
      </c>
      <c r="E1182" s="13" t="inlineStr">
        <is>
          <t>Lighting</t>
        </is>
      </c>
      <c r="F1182" s="13" t="inlineStr">
        <is>
          <t>Pendant Light</t>
        </is>
      </c>
      <c r="G1182" s="13" t="inlineStr">
        <is>
          <t>Consumer</t>
        </is>
      </c>
      <c r="H1182" s="13" t="n">
        <v>1</v>
      </c>
      <c r="I1182" s="14" t="n">
        <v>170.56</v>
      </c>
      <c r="J1182" s="15" t="n">
        <v>0.17</v>
      </c>
      <c r="K1182" s="14" t="n">
        <v>85.28</v>
      </c>
      <c r="L1182" s="13" t="n">
        <v>7</v>
      </c>
      <c r="M1182" s="13" t="inlineStr">
        <is>
          <t>Completed</t>
        </is>
      </c>
      <c r="N1182" s="13" t="inlineStr">
        <is>
          <t>S. Nguyen</t>
        </is>
      </c>
      <c r="O1182" s="13" t="inlineStr">
        <is>
          <t>No</t>
        </is>
      </c>
      <c r="P1182" s="14">
        <f>H1182*I1182</f>
        <v/>
      </c>
      <c r="Q1182" s="14">
        <f>P1182*(1-J1182)</f>
        <v/>
      </c>
      <c r="R1182" s="14">
        <f>H1182*K1182</f>
        <v/>
      </c>
      <c r="S1182" s="15">
        <f>IF(Q1182=0,"",(Q1182-R1182)/Q1182)</f>
        <v/>
      </c>
      <c r="T1182" s="13">
        <f>YEAR(B1182)</f>
        <v/>
      </c>
      <c r="U1182" s="13">
        <f>YEAR(B1182)&amp;"-Q"&amp;ROUNDUP(MONTH(B1182)/3,0)</f>
        <v/>
      </c>
      <c r="V1182" s="13">
        <f>TEXT(B1182,"YYYY-MM")</f>
        <v/>
      </c>
      <c r="W1182" s="13">
        <f>IF(L1182="","",IF(L1182&gt;pLateDays,1,0))</f>
        <v/>
      </c>
      <c r="X1182" s="13">
        <f>IF(Q1182&gt;=pHighCutoff,1,0)</f>
        <v/>
      </c>
      <c r="Y1182" s="13">
        <f>IF(M1182="Returned",1,0)</f>
        <v/>
      </c>
    </row>
    <row r="1183">
      <c r="A1183" s="13" t="inlineStr">
        <is>
          <t>HC-101181</t>
        </is>
      </c>
      <c r="B1183" s="18" t="n">
        <v>45704</v>
      </c>
      <c r="C1183" s="13" t="inlineStr">
        <is>
          <t>West</t>
        </is>
      </c>
      <c r="D1183" s="13" t="inlineStr">
        <is>
          <t>Store</t>
        </is>
      </c>
      <c r="E1183" s="13" t="inlineStr">
        <is>
          <t>Kitchen</t>
        </is>
      </c>
      <c r="F1183" s="13" t="inlineStr">
        <is>
          <t>Cast Skillet</t>
        </is>
      </c>
      <c r="G1183" s="13" t="inlineStr">
        <is>
          <t>Consumer</t>
        </is>
      </c>
      <c r="H1183" s="13" t="n">
        <v>1</v>
      </c>
      <c r="I1183" s="14" t="n">
        <v>54.11</v>
      </c>
      <c r="J1183" s="15" t="n">
        <v>0.03</v>
      </c>
      <c r="K1183" s="14" t="n">
        <v>21.64</v>
      </c>
      <c r="L1183" s="13" t="n">
        <v>5</v>
      </c>
      <c r="M1183" s="13" t="inlineStr">
        <is>
          <t>Completed</t>
        </is>
      </c>
      <c r="N1183" s="13" t="inlineStr">
        <is>
          <t>P. Rossi</t>
        </is>
      </c>
      <c r="O1183" s="13" t="inlineStr">
        <is>
          <t>No</t>
        </is>
      </c>
      <c r="P1183" s="14">
        <f>H1183*I1183</f>
        <v/>
      </c>
      <c r="Q1183" s="14">
        <f>P1183*(1-J1183)</f>
        <v/>
      </c>
      <c r="R1183" s="14">
        <f>H1183*K1183</f>
        <v/>
      </c>
      <c r="S1183" s="15">
        <f>IF(Q1183=0,"",(Q1183-R1183)/Q1183)</f>
        <v/>
      </c>
      <c r="T1183" s="13">
        <f>YEAR(B1183)</f>
        <v/>
      </c>
      <c r="U1183" s="13">
        <f>YEAR(B1183)&amp;"-Q"&amp;ROUNDUP(MONTH(B1183)/3,0)</f>
        <v/>
      </c>
      <c r="V1183" s="13">
        <f>TEXT(B1183,"YYYY-MM")</f>
        <v/>
      </c>
      <c r="W1183" s="13">
        <f>IF(L1183="","",IF(L1183&gt;pLateDays,1,0))</f>
        <v/>
      </c>
      <c r="X1183" s="13">
        <f>IF(Q1183&gt;=pHighCutoff,1,0)</f>
        <v/>
      </c>
      <c r="Y1183" s="13">
        <f>IF(M1183="Returned",1,0)</f>
        <v/>
      </c>
    </row>
    <row r="1184">
      <c r="A1184" s="13" t="inlineStr">
        <is>
          <t>HC-101182</t>
        </is>
      </c>
      <c r="B1184" s="18" t="n">
        <v>45740</v>
      </c>
      <c r="C1184" s="13" t="inlineStr">
        <is>
          <t>West</t>
        </is>
      </c>
      <c r="D1184" s="13" t="inlineStr">
        <is>
          <t>Wholesale</t>
        </is>
      </c>
      <c r="E1184" s="13" t="inlineStr">
        <is>
          <t>Lighting</t>
        </is>
      </c>
      <c r="F1184" s="13" t="inlineStr">
        <is>
          <t>Brass Sconce</t>
        </is>
      </c>
      <c r="G1184" s="13" t="inlineStr">
        <is>
          <t>Consumer</t>
        </is>
      </c>
      <c r="H1184" s="13" t="n">
        <v>20</v>
      </c>
      <c r="I1184" s="14" t="n">
        <v>136</v>
      </c>
      <c r="J1184" s="15" t="n">
        <v>0.27</v>
      </c>
      <c r="K1184" s="14" t="n">
        <v>62.56</v>
      </c>
      <c r="L1184" s="13" t="n">
        <v>3</v>
      </c>
      <c r="M1184" s="13" t="inlineStr">
        <is>
          <t>Completed</t>
        </is>
      </c>
      <c r="N1184" s="13" t="inlineStr">
        <is>
          <t>J. Patel</t>
        </is>
      </c>
      <c r="O1184" s="13" t="inlineStr">
        <is>
          <t>No</t>
        </is>
      </c>
      <c r="P1184" s="14">
        <f>H1184*I1184</f>
        <v/>
      </c>
      <c r="Q1184" s="14">
        <f>P1184*(1-J1184)</f>
        <v/>
      </c>
      <c r="R1184" s="14">
        <f>H1184*K1184</f>
        <v/>
      </c>
      <c r="S1184" s="15">
        <f>IF(Q1184=0,"",(Q1184-R1184)/Q1184)</f>
        <v/>
      </c>
      <c r="T1184" s="13">
        <f>YEAR(B1184)</f>
        <v/>
      </c>
      <c r="U1184" s="13">
        <f>YEAR(B1184)&amp;"-Q"&amp;ROUNDUP(MONTH(B1184)/3,0)</f>
        <v/>
      </c>
      <c r="V1184" s="13">
        <f>TEXT(B1184,"YYYY-MM")</f>
        <v/>
      </c>
      <c r="W1184" s="13">
        <f>IF(L1184="","",IF(L1184&gt;pLateDays,1,0))</f>
        <v/>
      </c>
      <c r="X1184" s="13">
        <f>IF(Q1184&gt;=pHighCutoff,1,0)</f>
        <v/>
      </c>
      <c r="Y1184" s="13">
        <f>IF(M1184="Returned",1,0)</f>
        <v/>
      </c>
    </row>
    <row r="1185">
      <c r="A1185" s="13" t="inlineStr">
        <is>
          <t>HC-101183</t>
        </is>
      </c>
      <c r="B1185" s="18" t="n">
        <v>45391</v>
      </c>
      <c r="C1185" s="13" t="inlineStr">
        <is>
          <t>North</t>
        </is>
      </c>
      <c r="D1185" s="13" t="inlineStr">
        <is>
          <t>Online</t>
        </is>
      </c>
      <c r="E1185" s="13" t="inlineStr">
        <is>
          <t>Textiles</t>
        </is>
      </c>
      <c r="F1185" s="13" t="inlineStr">
        <is>
          <t>Cotton Duvet</t>
        </is>
      </c>
      <c r="G1185" s="13" t="inlineStr">
        <is>
          <t>Home Office</t>
        </is>
      </c>
      <c r="H1185" s="13" t="n">
        <v>3</v>
      </c>
      <c r="I1185" s="14" t="n">
        <v>128.27</v>
      </c>
      <c r="J1185" s="15" t="n">
        <v>0.06</v>
      </c>
      <c r="K1185" s="14" t="n">
        <v>56.44</v>
      </c>
      <c r="L1185" s="13" t="n">
        <v>7</v>
      </c>
      <c r="M1185" s="13" t="inlineStr">
        <is>
          <t>Completed</t>
        </is>
      </c>
      <c r="N1185" s="13" t="inlineStr">
        <is>
          <t>A. Shah</t>
        </is>
      </c>
      <c r="O1185" s="13" t="inlineStr">
        <is>
          <t>No</t>
        </is>
      </c>
      <c r="P1185" s="14">
        <f>H1185*I1185</f>
        <v/>
      </c>
      <c r="Q1185" s="14">
        <f>P1185*(1-J1185)</f>
        <v/>
      </c>
      <c r="R1185" s="14">
        <f>H1185*K1185</f>
        <v/>
      </c>
      <c r="S1185" s="15">
        <f>IF(Q1185=0,"",(Q1185-R1185)/Q1185)</f>
        <v/>
      </c>
      <c r="T1185" s="13">
        <f>YEAR(B1185)</f>
        <v/>
      </c>
      <c r="U1185" s="13">
        <f>YEAR(B1185)&amp;"-Q"&amp;ROUNDUP(MONTH(B1185)/3,0)</f>
        <v/>
      </c>
      <c r="V1185" s="13">
        <f>TEXT(B1185,"YYYY-MM")</f>
        <v/>
      </c>
      <c r="W1185" s="13">
        <f>IF(L1185="","",IF(L1185&gt;pLateDays,1,0))</f>
        <v/>
      </c>
      <c r="X1185" s="13">
        <f>IF(Q1185&gt;=pHighCutoff,1,0)</f>
        <v/>
      </c>
      <c r="Y1185" s="13">
        <f>IF(M1185="Returned",1,0)</f>
        <v/>
      </c>
    </row>
    <row r="1186">
      <c r="A1186" s="13" t="inlineStr">
        <is>
          <t>HC-101184</t>
        </is>
      </c>
      <c r="B1186" s="18" t="n">
        <v>45459</v>
      </c>
      <c r="C1186" s="13" t="inlineStr">
        <is>
          <t>South</t>
        </is>
      </c>
      <c r="D1186" s="13" t="inlineStr">
        <is>
          <t>Wholesale</t>
        </is>
      </c>
      <c r="E1186" s="13" t="inlineStr">
        <is>
          <t>Furniture</t>
        </is>
      </c>
      <c r="F1186" s="13" t="inlineStr">
        <is>
          <t>Lounge Chair</t>
        </is>
      </c>
      <c r="G1186" s="13" t="inlineStr">
        <is>
          <t>Consumer</t>
        </is>
      </c>
      <c r="H1186" s="13" t="n">
        <v>15</v>
      </c>
      <c r="I1186" s="14" t="n">
        <v>478.55</v>
      </c>
      <c r="J1186" s="15" t="n">
        <v>0.15</v>
      </c>
      <c r="K1186" s="14" t="n">
        <v>287.13</v>
      </c>
      <c r="L1186" s="13" t="n">
        <v>5</v>
      </c>
      <c r="M1186" s="13" t="inlineStr">
        <is>
          <t>Completed</t>
        </is>
      </c>
      <c r="N1186" s="13" t="inlineStr">
        <is>
          <t>A. Shah</t>
        </is>
      </c>
      <c r="O1186" s="13" t="inlineStr">
        <is>
          <t>No</t>
        </is>
      </c>
      <c r="P1186" s="14">
        <f>H1186*I1186</f>
        <v/>
      </c>
      <c r="Q1186" s="14">
        <f>P1186*(1-J1186)</f>
        <v/>
      </c>
      <c r="R1186" s="14">
        <f>H1186*K1186</f>
        <v/>
      </c>
      <c r="S1186" s="15">
        <f>IF(Q1186=0,"",(Q1186-R1186)/Q1186)</f>
        <v/>
      </c>
      <c r="T1186" s="13">
        <f>YEAR(B1186)</f>
        <v/>
      </c>
      <c r="U1186" s="13">
        <f>YEAR(B1186)&amp;"-Q"&amp;ROUNDUP(MONTH(B1186)/3,0)</f>
        <v/>
      </c>
      <c r="V1186" s="13">
        <f>TEXT(B1186,"YYYY-MM")</f>
        <v/>
      </c>
      <c r="W1186" s="13">
        <f>IF(L1186="","",IF(L1186&gt;pLateDays,1,0))</f>
        <v/>
      </c>
      <c r="X1186" s="13">
        <f>IF(Q1186&gt;=pHighCutoff,1,0)</f>
        <v/>
      </c>
      <c r="Y1186" s="13">
        <f>IF(M1186="Returned",1,0)</f>
        <v/>
      </c>
    </row>
    <row r="1187">
      <c r="A1187" s="13" t="inlineStr">
        <is>
          <t>HC-101185</t>
        </is>
      </c>
      <c r="B1187" s="18" t="n">
        <v>45683</v>
      </c>
      <c r="C1187" s="13" t="inlineStr">
        <is>
          <t>South</t>
        </is>
      </c>
      <c r="D1187" s="13" t="inlineStr">
        <is>
          <t>Store</t>
        </is>
      </c>
      <c r="E1187" s="13" t="inlineStr">
        <is>
          <t>Furniture</t>
        </is>
      </c>
      <c r="F1187" s="13" t="inlineStr">
        <is>
          <t>Walnut Shelf</t>
        </is>
      </c>
      <c r="G1187" s="13" t="inlineStr">
        <is>
          <t>Consumer</t>
        </is>
      </c>
      <c r="H1187" s="13" t="n">
        <v>2</v>
      </c>
      <c r="I1187" s="14" t="n">
        <v>237.01</v>
      </c>
      <c r="J1187" s="15" t="n">
        <v>0.06</v>
      </c>
      <c r="K1187" s="14" t="n">
        <v>130.35</v>
      </c>
      <c r="L1187" s="13" t="n">
        <v>8</v>
      </c>
      <c r="M1187" s="13" t="inlineStr">
        <is>
          <t>Completed</t>
        </is>
      </c>
      <c r="N1187" s="13" t="inlineStr">
        <is>
          <t>S. Nguyen</t>
        </is>
      </c>
      <c r="O1187" s="13" t="inlineStr">
        <is>
          <t>No</t>
        </is>
      </c>
      <c r="P1187" s="14">
        <f>H1187*I1187</f>
        <v/>
      </c>
      <c r="Q1187" s="14">
        <f>P1187*(1-J1187)</f>
        <v/>
      </c>
      <c r="R1187" s="14">
        <f>H1187*K1187</f>
        <v/>
      </c>
      <c r="S1187" s="15">
        <f>IF(Q1187=0,"",(Q1187-R1187)/Q1187)</f>
        <v/>
      </c>
      <c r="T1187" s="13">
        <f>YEAR(B1187)</f>
        <v/>
      </c>
      <c r="U1187" s="13">
        <f>YEAR(B1187)&amp;"-Q"&amp;ROUNDUP(MONTH(B1187)/3,0)</f>
        <v/>
      </c>
      <c r="V1187" s="13">
        <f>TEXT(B1187,"YYYY-MM")</f>
        <v/>
      </c>
      <c r="W1187" s="13">
        <f>IF(L1187="","",IF(L1187&gt;pLateDays,1,0))</f>
        <v/>
      </c>
      <c r="X1187" s="13">
        <f>IF(Q1187&gt;=pHighCutoff,1,0)</f>
        <v/>
      </c>
      <c r="Y1187" s="13">
        <f>IF(M1187="Returned",1,0)</f>
        <v/>
      </c>
    </row>
    <row r="1188">
      <c r="A1188" s="13" t="inlineStr">
        <is>
          <t>HC-101186</t>
        </is>
      </c>
      <c r="B1188" s="18" t="n">
        <v>45870</v>
      </c>
      <c r="C1188" s="13" t="inlineStr">
        <is>
          <t>North</t>
        </is>
      </c>
      <c r="D1188" s="13" t="inlineStr">
        <is>
          <t>Store</t>
        </is>
      </c>
      <c r="E1188" s="13" t="inlineStr">
        <is>
          <t>Furniture</t>
        </is>
      </c>
      <c r="F1188" s="13" t="inlineStr">
        <is>
          <t>Linen Sofa</t>
        </is>
      </c>
      <c r="G1188" s="13" t="inlineStr">
        <is>
          <t>Corporate</t>
        </is>
      </c>
      <c r="H1188" s="13" t="n">
        <v>1</v>
      </c>
      <c r="I1188" s="14" t="n">
        <v>1312.8</v>
      </c>
      <c r="J1188" s="15" t="n">
        <v>0.1</v>
      </c>
      <c r="K1188" s="14" t="n">
        <v>866.45</v>
      </c>
      <c r="L1188" s="13" t="n">
        <v>8</v>
      </c>
      <c r="M1188" s="13" t="inlineStr">
        <is>
          <t>Completed</t>
        </is>
      </c>
      <c r="N1188" s="13" t="inlineStr">
        <is>
          <t>K. Mensah</t>
        </is>
      </c>
      <c r="O1188" s="13" t="inlineStr">
        <is>
          <t>No</t>
        </is>
      </c>
      <c r="P1188" s="14">
        <f>H1188*I1188</f>
        <v/>
      </c>
      <c r="Q1188" s="14">
        <f>P1188*(1-J1188)</f>
        <v/>
      </c>
      <c r="R1188" s="14">
        <f>H1188*K1188</f>
        <v/>
      </c>
      <c r="S1188" s="15">
        <f>IF(Q1188=0,"",(Q1188-R1188)/Q1188)</f>
        <v/>
      </c>
      <c r="T1188" s="13">
        <f>YEAR(B1188)</f>
        <v/>
      </c>
      <c r="U1188" s="13">
        <f>YEAR(B1188)&amp;"-Q"&amp;ROUNDUP(MONTH(B1188)/3,0)</f>
        <v/>
      </c>
      <c r="V1188" s="13">
        <f>TEXT(B1188,"YYYY-MM")</f>
        <v/>
      </c>
      <c r="W1188" s="13">
        <f>IF(L1188="","",IF(L1188&gt;pLateDays,1,0))</f>
        <v/>
      </c>
      <c r="X1188" s="13">
        <f>IF(Q1188&gt;=pHighCutoff,1,0)</f>
        <v/>
      </c>
      <c r="Y1188" s="13">
        <f>IF(M1188="Returned",1,0)</f>
        <v/>
      </c>
    </row>
    <row r="1189">
      <c r="A1189" s="13" t="inlineStr">
        <is>
          <t>HC-101187</t>
        </is>
      </c>
      <c r="B1189" s="18" t="n">
        <v>45408</v>
      </c>
      <c r="C1189" s="13" t="inlineStr">
        <is>
          <t>West</t>
        </is>
      </c>
      <c r="D1189" s="13" t="inlineStr">
        <is>
          <t>Store</t>
        </is>
      </c>
      <c r="E1189" s="13" t="inlineStr">
        <is>
          <t>Furniture</t>
        </is>
      </c>
      <c r="F1189" s="13" t="inlineStr">
        <is>
          <t>Lounge Chair</t>
        </is>
      </c>
      <c r="G1189" s="13" t="inlineStr">
        <is>
          <t>Consumer</t>
        </is>
      </c>
      <c r="H1189" s="13" t="n">
        <v>1</v>
      </c>
      <c r="I1189" s="14" t="n">
        <v>487.96</v>
      </c>
      <c r="J1189" s="15" t="n">
        <v>0</v>
      </c>
      <c r="K1189" s="14" t="n">
        <v>292.78</v>
      </c>
      <c r="L1189" s="13" t="n"/>
      <c r="M1189" s="13" t="inlineStr">
        <is>
          <t>Completed</t>
        </is>
      </c>
      <c r="N1189" s="13" t="inlineStr">
        <is>
          <t>M. Okonkwo</t>
        </is>
      </c>
      <c r="O1189" s="13" t="inlineStr">
        <is>
          <t>No</t>
        </is>
      </c>
      <c r="P1189" s="14">
        <f>H1189*I1189</f>
        <v/>
      </c>
      <c r="Q1189" s="14">
        <f>P1189*(1-J1189)</f>
        <v/>
      </c>
      <c r="R1189" s="14">
        <f>H1189*K1189</f>
        <v/>
      </c>
      <c r="S1189" s="15">
        <f>IF(Q1189=0,"",(Q1189-R1189)/Q1189)</f>
        <v/>
      </c>
      <c r="T1189" s="13">
        <f>YEAR(B1189)</f>
        <v/>
      </c>
      <c r="U1189" s="13">
        <f>YEAR(B1189)&amp;"-Q"&amp;ROUNDUP(MONTH(B1189)/3,0)</f>
        <v/>
      </c>
      <c r="V1189" s="13">
        <f>TEXT(B1189,"YYYY-MM")</f>
        <v/>
      </c>
      <c r="W1189" s="13">
        <f>IF(L1189="","",IF(L1189&gt;pLateDays,1,0))</f>
        <v/>
      </c>
      <c r="X1189" s="13">
        <f>IF(Q1189&gt;=pHighCutoff,1,0)</f>
        <v/>
      </c>
      <c r="Y1189" s="13">
        <f>IF(M1189="Returned",1,0)</f>
        <v/>
      </c>
    </row>
    <row r="1190">
      <c r="A1190" s="13" t="inlineStr">
        <is>
          <t>HC-101188</t>
        </is>
      </c>
      <c r="B1190" s="18" t="n">
        <v>45612</v>
      </c>
      <c r="C1190" s="13" t="inlineStr">
        <is>
          <t>East</t>
        </is>
      </c>
      <c r="D1190" s="13" t="inlineStr">
        <is>
          <t>Online</t>
        </is>
      </c>
      <c r="E1190" s="13" t="inlineStr">
        <is>
          <t>Furniture</t>
        </is>
      </c>
      <c r="F1190" s="13" t="inlineStr">
        <is>
          <t>Walnut Shelf</t>
        </is>
      </c>
      <c r="G1190" s="13" t="inlineStr">
        <is>
          <t>Home Office</t>
        </is>
      </c>
      <c r="H1190" s="13" t="n">
        <v>4</v>
      </c>
      <c r="I1190" s="14" t="n">
        <v>185.19</v>
      </c>
      <c r="J1190" s="15" t="n">
        <v>0.14</v>
      </c>
      <c r="K1190" s="14" t="n">
        <v>101.86</v>
      </c>
      <c r="L1190" s="13" t="n">
        <v>6</v>
      </c>
      <c r="M1190" s="13" t="inlineStr">
        <is>
          <t>Completed</t>
        </is>
      </c>
      <c r="N1190" s="13" t="inlineStr">
        <is>
          <t>L. Berger</t>
        </is>
      </c>
      <c r="O1190" s="13" t="inlineStr">
        <is>
          <t>No</t>
        </is>
      </c>
      <c r="P1190" s="14">
        <f>H1190*I1190</f>
        <v/>
      </c>
      <c r="Q1190" s="14">
        <f>P1190*(1-J1190)</f>
        <v/>
      </c>
      <c r="R1190" s="14">
        <f>H1190*K1190</f>
        <v/>
      </c>
      <c r="S1190" s="15">
        <f>IF(Q1190=0,"",(Q1190-R1190)/Q1190)</f>
        <v/>
      </c>
      <c r="T1190" s="13">
        <f>YEAR(B1190)</f>
        <v/>
      </c>
      <c r="U1190" s="13">
        <f>YEAR(B1190)&amp;"-Q"&amp;ROUNDUP(MONTH(B1190)/3,0)</f>
        <v/>
      </c>
      <c r="V1190" s="13">
        <f>TEXT(B1190,"YYYY-MM")</f>
        <v/>
      </c>
      <c r="W1190" s="13">
        <f>IF(L1190="","",IF(L1190&gt;pLateDays,1,0))</f>
        <v/>
      </c>
      <c r="X1190" s="13">
        <f>IF(Q1190&gt;=pHighCutoff,1,0)</f>
        <v/>
      </c>
      <c r="Y1190" s="13">
        <f>IF(M1190="Returned",1,0)</f>
        <v/>
      </c>
    </row>
    <row r="1191">
      <c r="A1191" s="13" t="inlineStr">
        <is>
          <t>HC-101189</t>
        </is>
      </c>
      <c r="B1191" s="18" t="n">
        <v>45591</v>
      </c>
      <c r="C1191" s="13" t="inlineStr">
        <is>
          <t>South</t>
        </is>
      </c>
      <c r="D1191" s="13" t="inlineStr">
        <is>
          <t>Store</t>
        </is>
      </c>
      <c r="E1191" s="13" t="inlineStr">
        <is>
          <t>Furniture</t>
        </is>
      </c>
      <c r="F1191" s="13" t="inlineStr">
        <is>
          <t>Linen Sofa</t>
        </is>
      </c>
      <c r="G1191" s="13" t="inlineStr">
        <is>
          <t>Corporate</t>
        </is>
      </c>
      <c r="H1191" s="13" t="n">
        <v>1</v>
      </c>
      <c r="I1191" s="14" t="n">
        <v>1217.31</v>
      </c>
      <c r="J1191" s="15" t="n">
        <v>0.08</v>
      </c>
      <c r="K1191" s="14" t="n">
        <v>803.4299999999999</v>
      </c>
      <c r="L1191" s="13" t="n">
        <v>3</v>
      </c>
      <c r="M1191" s="13" t="inlineStr">
        <is>
          <t>Completed</t>
        </is>
      </c>
      <c r="N1191" s="13" t="inlineStr">
        <is>
          <t>A. Shah</t>
        </is>
      </c>
      <c r="O1191" s="13" t="inlineStr">
        <is>
          <t>No</t>
        </is>
      </c>
      <c r="P1191" s="14">
        <f>H1191*I1191</f>
        <v/>
      </c>
      <c r="Q1191" s="14">
        <f>P1191*(1-J1191)</f>
        <v/>
      </c>
      <c r="R1191" s="14">
        <f>H1191*K1191</f>
        <v/>
      </c>
      <c r="S1191" s="15">
        <f>IF(Q1191=0,"",(Q1191-R1191)/Q1191)</f>
        <v/>
      </c>
      <c r="T1191" s="13">
        <f>YEAR(B1191)</f>
        <v/>
      </c>
      <c r="U1191" s="13">
        <f>YEAR(B1191)&amp;"-Q"&amp;ROUNDUP(MONTH(B1191)/3,0)</f>
        <v/>
      </c>
      <c r="V1191" s="13">
        <f>TEXT(B1191,"YYYY-MM")</f>
        <v/>
      </c>
      <c r="W1191" s="13">
        <f>IF(L1191="","",IF(L1191&gt;pLateDays,1,0))</f>
        <v/>
      </c>
      <c r="X1191" s="13">
        <f>IF(Q1191&gt;=pHighCutoff,1,0)</f>
        <v/>
      </c>
      <c r="Y1191" s="13">
        <f>IF(M1191="Returned",1,0)</f>
        <v/>
      </c>
    </row>
    <row r="1192">
      <c r="A1192" s="13" t="inlineStr">
        <is>
          <t>HC-101190</t>
        </is>
      </c>
      <c r="B1192" s="18" t="n">
        <v>45442</v>
      </c>
      <c r="C1192" s="13" t="inlineStr">
        <is>
          <t>West</t>
        </is>
      </c>
      <c r="D1192" s="13" t="inlineStr">
        <is>
          <t>Online</t>
        </is>
      </c>
      <c r="E1192" s="13" t="inlineStr">
        <is>
          <t>Kitchen</t>
        </is>
      </c>
      <c r="F1192" s="13" t="inlineStr">
        <is>
          <t>Cast Skillet</t>
        </is>
      </c>
      <c r="G1192" s="13" t="inlineStr">
        <is>
          <t>Unknown</t>
        </is>
      </c>
      <c r="H1192" s="13" t="n">
        <v>3</v>
      </c>
      <c r="I1192" s="14" t="n">
        <v>54.24</v>
      </c>
      <c r="J1192" s="15" t="n">
        <v>0.14</v>
      </c>
      <c r="K1192" s="14" t="n">
        <v>21.7</v>
      </c>
      <c r="L1192" s="13" t="n">
        <v>8</v>
      </c>
      <c r="M1192" s="13" t="inlineStr">
        <is>
          <t>Returned</t>
        </is>
      </c>
      <c r="N1192" s="13" t="inlineStr">
        <is>
          <t>M. Okonkwo</t>
        </is>
      </c>
      <c r="O1192" s="13" t="inlineStr">
        <is>
          <t>No</t>
        </is>
      </c>
      <c r="P1192" s="14">
        <f>H1192*I1192</f>
        <v/>
      </c>
      <c r="Q1192" s="14">
        <f>P1192*(1-J1192)</f>
        <v/>
      </c>
      <c r="R1192" s="14">
        <f>H1192*K1192</f>
        <v/>
      </c>
      <c r="S1192" s="15">
        <f>IF(Q1192=0,"",(Q1192-R1192)/Q1192)</f>
        <v/>
      </c>
      <c r="T1192" s="13">
        <f>YEAR(B1192)</f>
        <v/>
      </c>
      <c r="U1192" s="13">
        <f>YEAR(B1192)&amp;"-Q"&amp;ROUNDUP(MONTH(B1192)/3,0)</f>
        <v/>
      </c>
      <c r="V1192" s="13">
        <f>TEXT(B1192,"YYYY-MM")</f>
        <v/>
      </c>
      <c r="W1192" s="13">
        <f>IF(L1192="","",IF(L1192&gt;pLateDays,1,0))</f>
        <v/>
      </c>
      <c r="X1192" s="13">
        <f>IF(Q1192&gt;=pHighCutoff,1,0)</f>
        <v/>
      </c>
      <c r="Y1192" s="13">
        <f>IF(M1192="Returned",1,0)</f>
        <v/>
      </c>
    </row>
    <row r="1193">
      <c r="A1193" s="13" t="inlineStr">
        <is>
          <t>HC-101191</t>
        </is>
      </c>
      <c r="B1193" s="18" t="n">
        <v>45791</v>
      </c>
      <c r="C1193" s="13" t="inlineStr">
        <is>
          <t>South</t>
        </is>
      </c>
      <c r="D1193" s="13" t="inlineStr">
        <is>
          <t>Store</t>
        </is>
      </c>
      <c r="E1193" s="13" t="inlineStr">
        <is>
          <t>Furniture</t>
        </is>
      </c>
      <c r="F1193" s="13" t="inlineStr">
        <is>
          <t>Oak Desk</t>
        </is>
      </c>
      <c r="G1193" s="13" t="inlineStr">
        <is>
          <t>Consumer</t>
        </is>
      </c>
      <c r="H1193" s="13" t="n">
        <v>1</v>
      </c>
      <c r="I1193" s="14" t="n">
        <v>858.76</v>
      </c>
      <c r="J1193" s="15" t="n">
        <v>0.06</v>
      </c>
      <c r="K1193" s="14" t="n">
        <v>532.4299999999999</v>
      </c>
      <c r="L1193" s="13" t="n"/>
      <c r="M1193" s="13" t="inlineStr">
        <is>
          <t>Completed</t>
        </is>
      </c>
      <c r="N1193" s="13" t="inlineStr">
        <is>
          <t>A. Shah</t>
        </is>
      </c>
      <c r="O1193" s="13" t="inlineStr">
        <is>
          <t>No</t>
        </is>
      </c>
      <c r="P1193" s="14">
        <f>H1193*I1193</f>
        <v/>
      </c>
      <c r="Q1193" s="14">
        <f>P1193*(1-J1193)</f>
        <v/>
      </c>
      <c r="R1193" s="14">
        <f>H1193*K1193</f>
        <v/>
      </c>
      <c r="S1193" s="15">
        <f>IF(Q1193=0,"",(Q1193-R1193)/Q1193)</f>
        <v/>
      </c>
      <c r="T1193" s="13">
        <f>YEAR(B1193)</f>
        <v/>
      </c>
      <c r="U1193" s="13">
        <f>YEAR(B1193)&amp;"-Q"&amp;ROUNDUP(MONTH(B1193)/3,0)</f>
        <v/>
      </c>
      <c r="V1193" s="13">
        <f>TEXT(B1193,"YYYY-MM")</f>
        <v/>
      </c>
      <c r="W1193" s="13">
        <f>IF(L1193="","",IF(L1193&gt;pLateDays,1,0))</f>
        <v/>
      </c>
      <c r="X1193" s="13">
        <f>IF(Q1193&gt;=pHighCutoff,1,0)</f>
        <v/>
      </c>
      <c r="Y1193" s="13">
        <f>IF(M1193="Returned",1,0)</f>
        <v/>
      </c>
    </row>
    <row r="1194">
      <c r="A1194" s="13" t="inlineStr">
        <is>
          <t>HC-101192</t>
        </is>
      </c>
      <c r="B1194" s="18" t="n">
        <v>45570</v>
      </c>
      <c r="C1194" s="13" t="inlineStr">
        <is>
          <t>North</t>
        </is>
      </c>
      <c r="D1194" s="13" t="inlineStr">
        <is>
          <t>Store</t>
        </is>
      </c>
      <c r="E1194" s="13" t="inlineStr">
        <is>
          <t>Kitchen</t>
        </is>
      </c>
      <c r="F1194" s="13" t="inlineStr">
        <is>
          <t>Chef Knife</t>
        </is>
      </c>
      <c r="G1194" s="13" t="inlineStr">
        <is>
          <t>Corporate</t>
        </is>
      </c>
      <c r="H1194" s="13" t="n">
        <v>1</v>
      </c>
      <c r="I1194" s="14" t="n">
        <v>68.12</v>
      </c>
      <c r="J1194" s="15" t="n">
        <v>0.09</v>
      </c>
      <c r="K1194" s="14" t="n">
        <v>24.52</v>
      </c>
      <c r="L1194" s="13" t="n">
        <v>8</v>
      </c>
      <c r="M1194" s="13" t="inlineStr">
        <is>
          <t>Completed</t>
        </is>
      </c>
      <c r="N1194" s="13" t="inlineStr">
        <is>
          <t>P. Rossi</t>
        </is>
      </c>
      <c r="O1194" s="13" t="inlineStr">
        <is>
          <t>No</t>
        </is>
      </c>
      <c r="P1194" s="14">
        <f>H1194*I1194</f>
        <v/>
      </c>
      <c r="Q1194" s="14">
        <f>P1194*(1-J1194)</f>
        <v/>
      </c>
      <c r="R1194" s="14">
        <f>H1194*K1194</f>
        <v/>
      </c>
      <c r="S1194" s="15">
        <f>IF(Q1194=0,"",(Q1194-R1194)/Q1194)</f>
        <v/>
      </c>
      <c r="T1194" s="13">
        <f>YEAR(B1194)</f>
        <v/>
      </c>
      <c r="U1194" s="13">
        <f>YEAR(B1194)&amp;"-Q"&amp;ROUNDUP(MONTH(B1194)/3,0)</f>
        <v/>
      </c>
      <c r="V1194" s="13">
        <f>TEXT(B1194,"YYYY-MM")</f>
        <v/>
      </c>
      <c r="W1194" s="13">
        <f>IF(L1194="","",IF(L1194&gt;pLateDays,1,0))</f>
        <v/>
      </c>
      <c r="X1194" s="13">
        <f>IF(Q1194&gt;=pHighCutoff,1,0)</f>
        <v/>
      </c>
      <c r="Y1194" s="13">
        <f>IF(M1194="Returned",1,0)</f>
        <v/>
      </c>
    </row>
    <row r="1195">
      <c r="A1195" s="13" t="inlineStr">
        <is>
          <t>HC-101193</t>
        </is>
      </c>
      <c r="B1195" s="18" t="n">
        <v>45891</v>
      </c>
      <c r="C1195" s="13" t="inlineStr">
        <is>
          <t>West</t>
        </is>
      </c>
      <c r="D1195" s="13" t="inlineStr">
        <is>
          <t>Store</t>
        </is>
      </c>
      <c r="E1195" s="13" t="inlineStr">
        <is>
          <t>Kitchen</t>
        </is>
      </c>
      <c r="F1195" s="13" t="inlineStr">
        <is>
          <t>Cast Skillet</t>
        </is>
      </c>
      <c r="G1195" s="13" t="inlineStr">
        <is>
          <t>Consumer</t>
        </is>
      </c>
      <c r="H1195" s="13" t="n">
        <v>1</v>
      </c>
      <c r="I1195" s="14" t="n">
        <v>51.48</v>
      </c>
      <c r="J1195" s="15" t="n">
        <v>0</v>
      </c>
      <c r="K1195" s="14" t="n">
        <v>20.59</v>
      </c>
      <c r="L1195" s="13" t="n">
        <v>7</v>
      </c>
      <c r="M1195" s="13" t="inlineStr">
        <is>
          <t>Completed</t>
        </is>
      </c>
      <c r="N1195" s="13" t="inlineStr">
        <is>
          <t>R. Ibarra</t>
        </is>
      </c>
      <c r="O1195" s="13" t="inlineStr">
        <is>
          <t>No</t>
        </is>
      </c>
      <c r="P1195" s="14">
        <f>H1195*I1195</f>
        <v/>
      </c>
      <c r="Q1195" s="14">
        <f>P1195*(1-J1195)</f>
        <v/>
      </c>
      <c r="R1195" s="14">
        <f>H1195*K1195</f>
        <v/>
      </c>
      <c r="S1195" s="15">
        <f>IF(Q1195=0,"",(Q1195-R1195)/Q1195)</f>
        <v/>
      </c>
      <c r="T1195" s="13">
        <f>YEAR(B1195)</f>
        <v/>
      </c>
      <c r="U1195" s="13">
        <f>YEAR(B1195)&amp;"-Q"&amp;ROUNDUP(MONTH(B1195)/3,0)</f>
        <v/>
      </c>
      <c r="V1195" s="13">
        <f>TEXT(B1195,"YYYY-MM")</f>
        <v/>
      </c>
      <c r="W1195" s="13">
        <f>IF(L1195="","",IF(L1195&gt;pLateDays,1,0))</f>
        <v/>
      </c>
      <c r="X1195" s="13">
        <f>IF(Q1195&gt;=pHighCutoff,1,0)</f>
        <v/>
      </c>
      <c r="Y1195" s="13">
        <f>IF(M1195="Returned",1,0)</f>
        <v/>
      </c>
    </row>
    <row r="1196">
      <c r="A1196" s="13" t="inlineStr">
        <is>
          <t>HC-101194</t>
        </is>
      </c>
      <c r="B1196" s="18" t="n">
        <v>45687</v>
      </c>
      <c r="C1196" s="13" t="inlineStr">
        <is>
          <t>North</t>
        </is>
      </c>
      <c r="D1196" s="13" t="inlineStr">
        <is>
          <t>Online</t>
        </is>
      </c>
      <c r="E1196" s="13" t="inlineStr">
        <is>
          <t>Lighting</t>
        </is>
      </c>
      <c r="F1196" s="13" t="inlineStr">
        <is>
          <t>Pendant Light</t>
        </is>
      </c>
      <c r="G1196" s="13" t="inlineStr">
        <is>
          <t>Corporate</t>
        </is>
      </c>
      <c r="H1196" s="13" t="n">
        <v>1</v>
      </c>
      <c r="I1196" s="14" t="n">
        <v>178.87</v>
      </c>
      <c r="J1196" s="15" t="n">
        <v>0.09</v>
      </c>
      <c r="K1196" s="14" t="n">
        <v>89.43000000000001</v>
      </c>
      <c r="L1196" s="13" t="n">
        <v>4</v>
      </c>
      <c r="M1196" s="13" t="inlineStr">
        <is>
          <t>Completed</t>
        </is>
      </c>
      <c r="N1196" s="13" t="inlineStr">
        <is>
          <t>J. Patel</t>
        </is>
      </c>
      <c r="O1196" s="13" t="inlineStr">
        <is>
          <t>No</t>
        </is>
      </c>
      <c r="P1196" s="14">
        <f>H1196*I1196</f>
        <v/>
      </c>
      <c r="Q1196" s="14">
        <f>P1196*(1-J1196)</f>
        <v/>
      </c>
      <c r="R1196" s="14">
        <f>H1196*K1196</f>
        <v/>
      </c>
      <c r="S1196" s="15">
        <f>IF(Q1196=0,"",(Q1196-R1196)/Q1196)</f>
        <v/>
      </c>
      <c r="T1196" s="13">
        <f>YEAR(B1196)</f>
        <v/>
      </c>
      <c r="U1196" s="13">
        <f>YEAR(B1196)&amp;"-Q"&amp;ROUNDUP(MONTH(B1196)/3,0)</f>
        <v/>
      </c>
      <c r="V1196" s="13">
        <f>TEXT(B1196,"YYYY-MM")</f>
        <v/>
      </c>
      <c r="W1196" s="13">
        <f>IF(L1196="","",IF(L1196&gt;pLateDays,1,0))</f>
        <v/>
      </c>
      <c r="X1196" s="13">
        <f>IF(Q1196&gt;=pHighCutoff,1,0)</f>
        <v/>
      </c>
      <c r="Y1196" s="13">
        <f>IF(M1196="Returned",1,0)</f>
        <v/>
      </c>
    </row>
    <row r="1197">
      <c r="A1197" s="13" t="inlineStr">
        <is>
          <t>HC-101195</t>
        </is>
      </c>
      <c r="B1197" s="18" t="n">
        <v>45451</v>
      </c>
      <c r="C1197" s="13" t="inlineStr">
        <is>
          <t>South</t>
        </is>
      </c>
      <c r="D1197" s="13" t="inlineStr">
        <is>
          <t>Store</t>
        </is>
      </c>
      <c r="E1197" s="13" t="inlineStr">
        <is>
          <t>Furniture</t>
        </is>
      </c>
      <c r="F1197" s="13" t="inlineStr">
        <is>
          <t>Lounge Chair</t>
        </is>
      </c>
      <c r="G1197" s="13" t="inlineStr">
        <is>
          <t>Home Office</t>
        </is>
      </c>
      <c r="H1197" s="13" t="n">
        <v>1</v>
      </c>
      <c r="I1197" s="14" t="n">
        <v>489.54</v>
      </c>
      <c r="J1197" s="15" t="n">
        <v>0.06</v>
      </c>
      <c r="K1197" s="14" t="n">
        <v>293.72</v>
      </c>
      <c r="L1197" s="13" t="n">
        <v>7</v>
      </c>
      <c r="M1197" s="13" t="inlineStr">
        <is>
          <t>Completed</t>
        </is>
      </c>
      <c r="N1197" s="13" t="inlineStr">
        <is>
          <t>P. Rossi</t>
        </is>
      </c>
      <c r="O1197" s="13" t="inlineStr">
        <is>
          <t>No</t>
        </is>
      </c>
      <c r="P1197" s="14">
        <f>H1197*I1197</f>
        <v/>
      </c>
      <c r="Q1197" s="14">
        <f>P1197*(1-J1197)</f>
        <v/>
      </c>
      <c r="R1197" s="14">
        <f>H1197*K1197</f>
        <v/>
      </c>
      <c r="S1197" s="15">
        <f>IF(Q1197=0,"",(Q1197-R1197)/Q1197)</f>
        <v/>
      </c>
      <c r="T1197" s="13">
        <f>YEAR(B1197)</f>
        <v/>
      </c>
      <c r="U1197" s="13">
        <f>YEAR(B1197)&amp;"-Q"&amp;ROUNDUP(MONTH(B1197)/3,0)</f>
        <v/>
      </c>
      <c r="V1197" s="13">
        <f>TEXT(B1197,"YYYY-MM")</f>
        <v/>
      </c>
      <c r="W1197" s="13">
        <f>IF(L1197="","",IF(L1197&gt;pLateDays,1,0))</f>
        <v/>
      </c>
      <c r="X1197" s="13">
        <f>IF(Q1197&gt;=pHighCutoff,1,0)</f>
        <v/>
      </c>
      <c r="Y1197" s="13">
        <f>IF(M1197="Returned",1,0)</f>
        <v/>
      </c>
    </row>
    <row r="1198">
      <c r="A1198" s="13" t="inlineStr">
        <is>
          <t>HC-101196</t>
        </is>
      </c>
      <c r="B1198" s="18" t="n">
        <v>45853</v>
      </c>
      <c r="C1198" s="13" t="inlineStr">
        <is>
          <t>South</t>
        </is>
      </c>
      <c r="D1198" s="13" t="inlineStr">
        <is>
          <t>Online</t>
        </is>
      </c>
      <c r="E1198" s="13" t="inlineStr">
        <is>
          <t>Textiles</t>
        </is>
      </c>
      <c r="F1198" s="13" t="inlineStr">
        <is>
          <t>Cotton Duvet</t>
        </is>
      </c>
      <c r="G1198" s="13" t="inlineStr">
        <is>
          <t>Consumer</t>
        </is>
      </c>
      <c r="H1198" s="13" t="n">
        <v>2</v>
      </c>
      <c r="I1198" s="14" t="n">
        <v>128.21</v>
      </c>
      <c r="J1198" s="15" t="n">
        <v>0.15</v>
      </c>
      <c r="K1198" s="14" t="n">
        <v>56.41</v>
      </c>
      <c r="L1198" s="13" t="n">
        <v>3</v>
      </c>
      <c r="M1198" s="13" t="inlineStr">
        <is>
          <t>Completed</t>
        </is>
      </c>
      <c r="N1198" s="13" t="inlineStr">
        <is>
          <t>L. Berger</t>
        </is>
      </c>
      <c r="O1198" s="13" t="inlineStr">
        <is>
          <t>No</t>
        </is>
      </c>
      <c r="P1198" s="14">
        <f>H1198*I1198</f>
        <v/>
      </c>
      <c r="Q1198" s="14">
        <f>P1198*(1-J1198)</f>
        <v/>
      </c>
      <c r="R1198" s="14">
        <f>H1198*K1198</f>
        <v/>
      </c>
      <c r="S1198" s="15">
        <f>IF(Q1198=0,"",(Q1198-R1198)/Q1198)</f>
        <v/>
      </c>
      <c r="T1198" s="13">
        <f>YEAR(B1198)</f>
        <v/>
      </c>
      <c r="U1198" s="13">
        <f>YEAR(B1198)&amp;"-Q"&amp;ROUNDUP(MONTH(B1198)/3,0)</f>
        <v/>
      </c>
      <c r="V1198" s="13">
        <f>TEXT(B1198,"YYYY-MM")</f>
        <v/>
      </c>
      <c r="W1198" s="13">
        <f>IF(L1198="","",IF(L1198&gt;pLateDays,1,0))</f>
        <v/>
      </c>
      <c r="X1198" s="13">
        <f>IF(Q1198&gt;=pHighCutoff,1,0)</f>
        <v/>
      </c>
      <c r="Y1198" s="13">
        <f>IF(M1198="Returned",1,0)</f>
        <v/>
      </c>
    </row>
    <row r="1199">
      <c r="A1199" s="13" t="inlineStr">
        <is>
          <t>HC-101197</t>
        </is>
      </c>
      <c r="B1199" s="18" t="n">
        <v>45624</v>
      </c>
      <c r="C1199" s="13" t="inlineStr">
        <is>
          <t>South</t>
        </is>
      </c>
      <c r="D1199" s="13" t="inlineStr">
        <is>
          <t>Store</t>
        </is>
      </c>
      <c r="E1199" s="13" t="inlineStr">
        <is>
          <t>Furniture</t>
        </is>
      </c>
      <c r="F1199" s="13" t="inlineStr">
        <is>
          <t>Walnut Shelf</t>
        </is>
      </c>
      <c r="G1199" s="13" t="inlineStr">
        <is>
          <t>Consumer</t>
        </is>
      </c>
      <c r="H1199" s="13" t="n">
        <v>4</v>
      </c>
      <c r="I1199" s="14" t="n">
        <v>203.57</v>
      </c>
      <c r="J1199" s="15" t="n">
        <v>0.04</v>
      </c>
      <c r="K1199" s="14" t="n">
        <v>111.96</v>
      </c>
      <c r="L1199" s="13" t="n">
        <v>5</v>
      </c>
      <c r="M1199" s="13" t="inlineStr">
        <is>
          <t>Completed</t>
        </is>
      </c>
      <c r="N1199" s="13" t="inlineStr">
        <is>
          <t>K. Mensah</t>
        </is>
      </c>
      <c r="O1199" s="13" t="inlineStr">
        <is>
          <t>No</t>
        </is>
      </c>
      <c r="P1199" s="14">
        <f>H1199*I1199</f>
        <v/>
      </c>
      <c r="Q1199" s="14">
        <f>P1199*(1-J1199)</f>
        <v/>
      </c>
      <c r="R1199" s="14">
        <f>H1199*K1199</f>
        <v/>
      </c>
      <c r="S1199" s="15">
        <f>IF(Q1199=0,"",(Q1199-R1199)/Q1199)</f>
        <v/>
      </c>
      <c r="T1199" s="13">
        <f>YEAR(B1199)</f>
        <v/>
      </c>
      <c r="U1199" s="13">
        <f>YEAR(B1199)&amp;"-Q"&amp;ROUNDUP(MONTH(B1199)/3,0)</f>
        <v/>
      </c>
      <c r="V1199" s="13">
        <f>TEXT(B1199,"YYYY-MM")</f>
        <v/>
      </c>
      <c r="W1199" s="13">
        <f>IF(L1199="","",IF(L1199&gt;pLateDays,1,0))</f>
        <v/>
      </c>
      <c r="X1199" s="13">
        <f>IF(Q1199&gt;=pHighCutoff,1,0)</f>
        <v/>
      </c>
      <c r="Y1199" s="13">
        <f>IF(M1199="Returned",1,0)</f>
        <v/>
      </c>
    </row>
    <row r="1200">
      <c r="A1200" s="13" t="inlineStr">
        <is>
          <t>HC-101198</t>
        </is>
      </c>
      <c r="B1200" s="18" t="n">
        <v>45544</v>
      </c>
      <c r="C1200" s="13" t="inlineStr">
        <is>
          <t>East</t>
        </is>
      </c>
      <c r="D1200" s="13" t="inlineStr">
        <is>
          <t>Online</t>
        </is>
      </c>
      <c r="E1200" s="13" t="inlineStr">
        <is>
          <t>Kitchen</t>
        </is>
      </c>
      <c r="F1200" s="13" t="inlineStr">
        <is>
          <t>Cast Skillet</t>
        </is>
      </c>
      <c r="G1200" s="13" t="inlineStr">
        <is>
          <t>Consumer</t>
        </is>
      </c>
      <c r="H1200" s="13" t="n">
        <v>2</v>
      </c>
      <c r="I1200" s="14" t="n">
        <v>48.9</v>
      </c>
      <c r="J1200" s="15" t="n">
        <v>0.06</v>
      </c>
      <c r="K1200" s="14" t="n">
        <v>19.56</v>
      </c>
      <c r="L1200" s="13" t="n">
        <v>7</v>
      </c>
      <c r="M1200" s="13" t="inlineStr">
        <is>
          <t>Completed</t>
        </is>
      </c>
      <c r="N1200" s="13" t="inlineStr">
        <is>
          <t>L. Berger</t>
        </is>
      </c>
      <c r="O1200" s="13" t="inlineStr">
        <is>
          <t>No</t>
        </is>
      </c>
      <c r="P1200" s="14">
        <f>H1200*I1200</f>
        <v/>
      </c>
      <c r="Q1200" s="14">
        <f>P1200*(1-J1200)</f>
        <v/>
      </c>
      <c r="R1200" s="14">
        <f>H1200*K1200</f>
        <v/>
      </c>
      <c r="S1200" s="15">
        <f>IF(Q1200=0,"",(Q1200-R1200)/Q1200)</f>
        <v/>
      </c>
      <c r="T1200" s="13">
        <f>YEAR(B1200)</f>
        <v/>
      </c>
      <c r="U1200" s="13">
        <f>YEAR(B1200)&amp;"-Q"&amp;ROUNDUP(MONTH(B1200)/3,0)</f>
        <v/>
      </c>
      <c r="V1200" s="13">
        <f>TEXT(B1200,"YYYY-MM")</f>
        <v/>
      </c>
      <c r="W1200" s="13">
        <f>IF(L1200="","",IF(L1200&gt;pLateDays,1,0))</f>
        <v/>
      </c>
      <c r="X1200" s="13">
        <f>IF(Q1200&gt;=pHighCutoff,1,0)</f>
        <v/>
      </c>
      <c r="Y1200" s="13">
        <f>IF(M1200="Returned",1,0)</f>
        <v/>
      </c>
    </row>
    <row r="1201">
      <c r="A1201" s="13" t="inlineStr">
        <is>
          <t>HC-101199</t>
        </is>
      </c>
      <c r="B1201" s="18" t="n">
        <v>45299</v>
      </c>
      <c r="C1201" s="13" t="inlineStr">
        <is>
          <t>West</t>
        </is>
      </c>
      <c r="D1201" s="13" t="inlineStr">
        <is>
          <t>Online</t>
        </is>
      </c>
      <c r="E1201" s="13" t="inlineStr">
        <is>
          <t>Furniture</t>
        </is>
      </c>
      <c r="F1201" s="13" t="inlineStr">
        <is>
          <t>Linen Sofa</t>
        </is>
      </c>
      <c r="G1201" s="13" t="inlineStr">
        <is>
          <t>Home Office</t>
        </is>
      </c>
      <c r="H1201" s="13" t="n">
        <v>1</v>
      </c>
      <c r="I1201" s="14" t="n">
        <v>1247.45</v>
      </c>
      <c r="J1201" s="15" t="n">
        <v>0.16</v>
      </c>
      <c r="K1201" s="14" t="n">
        <v>823.3200000000001</v>
      </c>
      <c r="L1201" s="13" t="n">
        <v>5</v>
      </c>
      <c r="M1201" s="13" t="inlineStr">
        <is>
          <t>Completed</t>
        </is>
      </c>
      <c r="N1201" s="13" t="inlineStr">
        <is>
          <t>K. Mensah</t>
        </is>
      </c>
      <c r="O1201" s="13" t="inlineStr">
        <is>
          <t>No</t>
        </is>
      </c>
      <c r="P1201" s="14">
        <f>H1201*I1201</f>
        <v/>
      </c>
      <c r="Q1201" s="14">
        <f>P1201*(1-J1201)</f>
        <v/>
      </c>
      <c r="R1201" s="14">
        <f>H1201*K1201</f>
        <v/>
      </c>
      <c r="S1201" s="15">
        <f>IF(Q1201=0,"",(Q1201-R1201)/Q1201)</f>
        <v/>
      </c>
      <c r="T1201" s="13">
        <f>YEAR(B1201)</f>
        <v/>
      </c>
      <c r="U1201" s="13">
        <f>YEAR(B1201)&amp;"-Q"&amp;ROUNDUP(MONTH(B1201)/3,0)</f>
        <v/>
      </c>
      <c r="V1201" s="13">
        <f>TEXT(B1201,"YYYY-MM")</f>
        <v/>
      </c>
      <c r="W1201" s="13">
        <f>IF(L1201="","",IF(L1201&gt;pLateDays,1,0))</f>
        <v/>
      </c>
      <c r="X1201" s="13">
        <f>IF(Q1201&gt;=pHighCutoff,1,0)</f>
        <v/>
      </c>
      <c r="Y1201" s="13">
        <f>IF(M1201="Returned",1,0)</f>
        <v/>
      </c>
    </row>
    <row r="1202">
      <c r="A1202" s="13" t="inlineStr">
        <is>
          <t>HC-101200</t>
        </is>
      </c>
      <c r="B1202" s="18" t="n">
        <v>45308</v>
      </c>
      <c r="C1202" s="13" t="inlineStr">
        <is>
          <t>South</t>
        </is>
      </c>
      <c r="D1202" s="13" t="inlineStr">
        <is>
          <t>Online</t>
        </is>
      </c>
      <c r="E1202" s="13" t="inlineStr">
        <is>
          <t>Textiles</t>
        </is>
      </c>
      <c r="F1202" s="13" t="inlineStr">
        <is>
          <t>Wool Throw</t>
        </is>
      </c>
      <c r="G1202" s="13" t="inlineStr">
        <is>
          <t>Consumer</t>
        </is>
      </c>
      <c r="H1202" s="13" t="n">
        <v>3</v>
      </c>
      <c r="I1202" s="14" t="n">
        <v>72.31</v>
      </c>
      <c r="J1202" s="15" t="n">
        <v>0.18</v>
      </c>
      <c r="K1202" s="14" t="n">
        <v>30.37</v>
      </c>
      <c r="L1202" s="13" t="n">
        <v>6</v>
      </c>
      <c r="M1202" s="13" t="inlineStr">
        <is>
          <t>Completed</t>
        </is>
      </c>
      <c r="N1202" s="13" t="inlineStr">
        <is>
          <t>L. Berger</t>
        </is>
      </c>
      <c r="O1202" s="13" t="inlineStr">
        <is>
          <t>No</t>
        </is>
      </c>
      <c r="P1202" s="14">
        <f>H1202*I1202</f>
        <v/>
      </c>
      <c r="Q1202" s="14">
        <f>P1202*(1-J1202)</f>
        <v/>
      </c>
      <c r="R1202" s="14">
        <f>H1202*K1202</f>
        <v/>
      </c>
      <c r="S1202" s="15">
        <f>IF(Q1202=0,"",(Q1202-R1202)/Q1202)</f>
        <v/>
      </c>
      <c r="T1202" s="13">
        <f>YEAR(B1202)</f>
        <v/>
      </c>
      <c r="U1202" s="13">
        <f>YEAR(B1202)&amp;"-Q"&amp;ROUNDUP(MONTH(B1202)/3,0)</f>
        <v/>
      </c>
      <c r="V1202" s="13">
        <f>TEXT(B1202,"YYYY-MM")</f>
        <v/>
      </c>
      <c r="W1202" s="13">
        <f>IF(L1202="","",IF(L1202&gt;pLateDays,1,0))</f>
        <v/>
      </c>
      <c r="X1202" s="13">
        <f>IF(Q1202&gt;=pHighCutoff,1,0)</f>
        <v/>
      </c>
      <c r="Y1202" s="13">
        <f>IF(M1202="Returned",1,0)</f>
        <v/>
      </c>
    </row>
    <row r="1203">
      <c r="A1203" s="13" t="inlineStr">
        <is>
          <t>HC-101201</t>
        </is>
      </c>
      <c r="B1203" s="18" t="n">
        <v>45808</v>
      </c>
      <c r="C1203" s="13" t="inlineStr">
        <is>
          <t>South</t>
        </is>
      </c>
      <c r="D1203" s="13" t="inlineStr">
        <is>
          <t>Wholesale</t>
        </is>
      </c>
      <c r="E1203" s="13" t="inlineStr">
        <is>
          <t>Lighting</t>
        </is>
      </c>
      <c r="F1203" s="13" t="inlineStr">
        <is>
          <t>Brass Sconce</t>
        </is>
      </c>
      <c r="G1203" s="13" t="inlineStr">
        <is>
          <t>Home Office</t>
        </is>
      </c>
      <c r="H1203" s="13" t="n">
        <v>27</v>
      </c>
      <c r="I1203" s="14" t="n">
        <v>133.16</v>
      </c>
      <c r="J1203" s="15" t="n">
        <v>0.19</v>
      </c>
      <c r="K1203" s="14" t="n">
        <v>61.25</v>
      </c>
      <c r="L1203" s="13" t="n">
        <v>6</v>
      </c>
      <c r="M1203" s="13" t="inlineStr">
        <is>
          <t>Completed</t>
        </is>
      </c>
      <c r="N1203" s="13" t="inlineStr">
        <is>
          <t>P. Rossi</t>
        </is>
      </c>
      <c r="O1203" s="13" t="inlineStr">
        <is>
          <t>No</t>
        </is>
      </c>
      <c r="P1203" s="14">
        <f>H1203*I1203</f>
        <v/>
      </c>
      <c r="Q1203" s="14">
        <f>P1203*(1-J1203)</f>
        <v/>
      </c>
      <c r="R1203" s="14">
        <f>H1203*K1203</f>
        <v/>
      </c>
      <c r="S1203" s="15">
        <f>IF(Q1203=0,"",(Q1203-R1203)/Q1203)</f>
        <v/>
      </c>
      <c r="T1203" s="13">
        <f>YEAR(B1203)</f>
        <v/>
      </c>
      <c r="U1203" s="13">
        <f>YEAR(B1203)&amp;"-Q"&amp;ROUNDUP(MONTH(B1203)/3,0)</f>
        <v/>
      </c>
      <c r="V1203" s="13">
        <f>TEXT(B1203,"YYYY-MM")</f>
        <v/>
      </c>
      <c r="W1203" s="13">
        <f>IF(L1203="","",IF(L1203&gt;pLateDays,1,0))</f>
        <v/>
      </c>
      <c r="X1203" s="13">
        <f>IF(Q1203&gt;=pHighCutoff,1,0)</f>
        <v/>
      </c>
      <c r="Y1203" s="13">
        <f>IF(M1203="Returned",1,0)</f>
        <v/>
      </c>
    </row>
    <row r="1204">
      <c r="A1204" s="13" t="inlineStr">
        <is>
          <t>HC-101202</t>
        </is>
      </c>
      <c r="B1204" s="18" t="n">
        <v>45466</v>
      </c>
      <c r="C1204" s="13" t="inlineStr">
        <is>
          <t>North</t>
        </is>
      </c>
      <c r="D1204" s="13" t="inlineStr">
        <is>
          <t>Store</t>
        </is>
      </c>
      <c r="E1204" s="13" t="inlineStr">
        <is>
          <t>Furniture</t>
        </is>
      </c>
      <c r="F1204" s="13" t="inlineStr">
        <is>
          <t>Oak Desk</t>
        </is>
      </c>
      <c r="G1204" s="13" t="inlineStr">
        <is>
          <t>Consumer</t>
        </is>
      </c>
      <c r="H1204" s="13" t="n">
        <v>3</v>
      </c>
      <c r="I1204" s="14" t="n">
        <v>824.47</v>
      </c>
      <c r="J1204" s="15" t="n">
        <v>0.03</v>
      </c>
      <c r="K1204" s="14" t="n">
        <v>511.17</v>
      </c>
      <c r="L1204" s="13" t="n">
        <v>6</v>
      </c>
      <c r="M1204" s="13" t="inlineStr">
        <is>
          <t>Completed</t>
        </is>
      </c>
      <c r="N1204" s="13" t="inlineStr">
        <is>
          <t>R. Ibarra</t>
        </is>
      </c>
      <c r="O1204" s="13" t="inlineStr">
        <is>
          <t>No</t>
        </is>
      </c>
      <c r="P1204" s="14">
        <f>H1204*I1204</f>
        <v/>
      </c>
      <c r="Q1204" s="14">
        <f>P1204*(1-J1204)</f>
        <v/>
      </c>
      <c r="R1204" s="14">
        <f>H1204*K1204</f>
        <v/>
      </c>
      <c r="S1204" s="15">
        <f>IF(Q1204=0,"",(Q1204-R1204)/Q1204)</f>
        <v/>
      </c>
      <c r="T1204" s="13">
        <f>YEAR(B1204)</f>
        <v/>
      </c>
      <c r="U1204" s="13">
        <f>YEAR(B1204)&amp;"-Q"&amp;ROUNDUP(MONTH(B1204)/3,0)</f>
        <v/>
      </c>
      <c r="V1204" s="13">
        <f>TEXT(B1204,"YYYY-MM")</f>
        <v/>
      </c>
      <c r="W1204" s="13">
        <f>IF(L1204="","",IF(L1204&gt;pLateDays,1,0))</f>
        <v/>
      </c>
      <c r="X1204" s="13">
        <f>IF(Q1204&gt;=pHighCutoff,1,0)</f>
        <v/>
      </c>
      <c r="Y1204" s="13">
        <f>IF(M1204="Returned",1,0)</f>
        <v/>
      </c>
    </row>
    <row r="1205">
      <c r="A1205" s="13" t="inlineStr">
        <is>
          <t>HC-101203</t>
        </is>
      </c>
      <c r="B1205" s="18" t="n">
        <v>45292</v>
      </c>
      <c r="C1205" s="13" t="inlineStr">
        <is>
          <t>East</t>
        </is>
      </c>
      <c r="D1205" s="13" t="inlineStr">
        <is>
          <t>Store</t>
        </is>
      </c>
      <c r="E1205" s="13" t="inlineStr">
        <is>
          <t>Lighting</t>
        </is>
      </c>
      <c r="F1205" s="13" t="inlineStr">
        <is>
          <t>Arc Lamp</t>
        </is>
      </c>
      <c r="G1205" s="13" t="inlineStr">
        <is>
          <t>Consumer</t>
        </is>
      </c>
      <c r="H1205" s="13" t="n">
        <v>2</v>
      </c>
      <c r="I1205" s="14" t="n">
        <v>288.18</v>
      </c>
      <c r="J1205" s="15" t="n">
        <v>0.09</v>
      </c>
      <c r="K1205" s="14" t="n">
        <v>138.33</v>
      </c>
      <c r="L1205" s="13" t="n">
        <v>5</v>
      </c>
      <c r="M1205" s="13" t="inlineStr">
        <is>
          <t>Completed</t>
        </is>
      </c>
      <c r="N1205" s="13" t="inlineStr">
        <is>
          <t>S. Nguyen</t>
        </is>
      </c>
      <c r="O1205" s="13" t="inlineStr">
        <is>
          <t>No</t>
        </is>
      </c>
      <c r="P1205" s="14">
        <f>H1205*I1205</f>
        <v/>
      </c>
      <c r="Q1205" s="14">
        <f>P1205*(1-J1205)</f>
        <v/>
      </c>
      <c r="R1205" s="14">
        <f>H1205*K1205</f>
        <v/>
      </c>
      <c r="S1205" s="15">
        <f>IF(Q1205=0,"",(Q1205-R1205)/Q1205)</f>
        <v/>
      </c>
      <c r="T1205" s="13">
        <f>YEAR(B1205)</f>
        <v/>
      </c>
      <c r="U1205" s="13">
        <f>YEAR(B1205)&amp;"-Q"&amp;ROUNDUP(MONTH(B1205)/3,0)</f>
        <v/>
      </c>
      <c r="V1205" s="13">
        <f>TEXT(B1205,"YYYY-MM")</f>
        <v/>
      </c>
      <c r="W1205" s="13">
        <f>IF(L1205="","",IF(L1205&gt;pLateDays,1,0))</f>
        <v/>
      </c>
      <c r="X1205" s="13">
        <f>IF(Q1205&gt;=pHighCutoff,1,0)</f>
        <v/>
      </c>
      <c r="Y1205" s="13">
        <f>IF(M1205="Returned",1,0)</f>
        <v/>
      </c>
    </row>
    <row r="1206">
      <c r="A1206" s="13" t="inlineStr">
        <is>
          <t>HC-101204</t>
        </is>
      </c>
      <c r="B1206" s="18" t="n">
        <v>45392</v>
      </c>
      <c r="C1206" s="13" t="inlineStr">
        <is>
          <t>West</t>
        </is>
      </c>
      <c r="D1206" s="13" t="inlineStr">
        <is>
          <t>Store</t>
        </is>
      </c>
      <c r="E1206" s="13" t="inlineStr">
        <is>
          <t>Furniture</t>
        </is>
      </c>
      <c r="F1206" s="13" t="inlineStr">
        <is>
          <t>Walnut Shelf</t>
        </is>
      </c>
      <c r="G1206" s="13" t="inlineStr">
        <is>
          <t>Unknown</t>
        </is>
      </c>
      <c r="H1206" s="13" t="n">
        <v>4</v>
      </c>
      <c r="I1206" s="14" t="n">
        <v>235.67</v>
      </c>
      <c r="J1206" s="15" t="n">
        <v>0.08</v>
      </c>
      <c r="K1206" s="14" t="n">
        <v>129.62</v>
      </c>
      <c r="L1206" s="13" t="n">
        <v>3</v>
      </c>
      <c r="M1206" s="13" t="inlineStr">
        <is>
          <t>Completed</t>
        </is>
      </c>
      <c r="N1206" s="13" t="inlineStr">
        <is>
          <t>M. Okonkwo</t>
        </is>
      </c>
      <c r="O1206" s="13" t="inlineStr">
        <is>
          <t>No</t>
        </is>
      </c>
      <c r="P1206" s="14">
        <f>H1206*I1206</f>
        <v/>
      </c>
      <c r="Q1206" s="14">
        <f>P1206*(1-J1206)</f>
        <v/>
      </c>
      <c r="R1206" s="14">
        <f>H1206*K1206</f>
        <v/>
      </c>
      <c r="S1206" s="15">
        <f>IF(Q1206=0,"",(Q1206-R1206)/Q1206)</f>
        <v/>
      </c>
      <c r="T1206" s="13">
        <f>YEAR(B1206)</f>
        <v/>
      </c>
      <c r="U1206" s="13">
        <f>YEAR(B1206)&amp;"-Q"&amp;ROUNDUP(MONTH(B1206)/3,0)</f>
        <v/>
      </c>
      <c r="V1206" s="13">
        <f>TEXT(B1206,"YYYY-MM")</f>
        <v/>
      </c>
      <c r="W1206" s="13">
        <f>IF(L1206="","",IF(L1206&gt;pLateDays,1,0))</f>
        <v/>
      </c>
      <c r="X1206" s="13">
        <f>IF(Q1206&gt;=pHighCutoff,1,0)</f>
        <v/>
      </c>
      <c r="Y1206" s="13">
        <f>IF(M1206="Returned",1,0)</f>
        <v/>
      </c>
    </row>
    <row r="1207">
      <c r="A1207" s="13" t="inlineStr">
        <is>
          <t>HC-101205</t>
        </is>
      </c>
      <c r="B1207" s="18" t="n">
        <v>45623</v>
      </c>
      <c r="C1207" s="13" t="inlineStr">
        <is>
          <t>North</t>
        </is>
      </c>
      <c r="D1207" s="13" t="inlineStr">
        <is>
          <t>Store</t>
        </is>
      </c>
      <c r="E1207" s="13" t="inlineStr">
        <is>
          <t>Textiles</t>
        </is>
      </c>
      <c r="F1207" s="13" t="inlineStr">
        <is>
          <t>Cotton Duvet</t>
        </is>
      </c>
      <c r="G1207" s="13" t="inlineStr">
        <is>
          <t>Corporate</t>
        </is>
      </c>
      <c r="H1207" s="13" t="n">
        <v>4</v>
      </c>
      <c r="I1207" s="14" t="n">
        <v>126.54</v>
      </c>
      <c r="J1207" s="15" t="n">
        <v>0.08</v>
      </c>
      <c r="K1207" s="14" t="n">
        <v>55.68</v>
      </c>
      <c r="L1207" s="13" t="n">
        <v>5</v>
      </c>
      <c r="M1207" s="13" t="inlineStr">
        <is>
          <t>Returned</t>
        </is>
      </c>
      <c r="N1207" s="13" t="inlineStr">
        <is>
          <t>J. Patel</t>
        </is>
      </c>
      <c r="O1207" s="13" t="inlineStr">
        <is>
          <t>No</t>
        </is>
      </c>
      <c r="P1207" s="14">
        <f>H1207*I1207</f>
        <v/>
      </c>
      <c r="Q1207" s="14">
        <f>P1207*(1-J1207)</f>
        <v/>
      </c>
      <c r="R1207" s="14">
        <f>H1207*K1207</f>
        <v/>
      </c>
      <c r="S1207" s="15">
        <f>IF(Q1207=0,"",(Q1207-R1207)/Q1207)</f>
        <v/>
      </c>
      <c r="T1207" s="13">
        <f>YEAR(B1207)</f>
        <v/>
      </c>
      <c r="U1207" s="13">
        <f>YEAR(B1207)&amp;"-Q"&amp;ROUNDUP(MONTH(B1207)/3,0)</f>
        <v/>
      </c>
      <c r="V1207" s="13">
        <f>TEXT(B1207,"YYYY-MM")</f>
        <v/>
      </c>
      <c r="W1207" s="13">
        <f>IF(L1207="","",IF(L1207&gt;pLateDays,1,0))</f>
        <v/>
      </c>
      <c r="X1207" s="13">
        <f>IF(Q1207&gt;=pHighCutoff,1,0)</f>
        <v/>
      </c>
      <c r="Y1207" s="13">
        <f>IF(M1207="Returned",1,0)</f>
        <v/>
      </c>
    </row>
    <row r="1208">
      <c r="A1208" s="13" t="inlineStr">
        <is>
          <t>HC-101206</t>
        </is>
      </c>
      <c r="B1208" s="18" t="n">
        <v>45692</v>
      </c>
      <c r="C1208" s="13" t="inlineStr">
        <is>
          <t>West</t>
        </is>
      </c>
      <c r="D1208" s="13" t="inlineStr">
        <is>
          <t>Store</t>
        </is>
      </c>
      <c r="E1208" s="13" t="inlineStr">
        <is>
          <t>Kitchen</t>
        </is>
      </c>
      <c r="F1208" s="13" t="inlineStr">
        <is>
          <t>Cast Skillet</t>
        </is>
      </c>
      <c r="G1208" s="13" t="inlineStr">
        <is>
          <t>Unknown</t>
        </is>
      </c>
      <c r="H1208" s="13" t="n">
        <v>3</v>
      </c>
      <c r="I1208" s="14" t="n">
        <v>49.71</v>
      </c>
      <c r="J1208" s="15" t="n">
        <v>0.03</v>
      </c>
      <c r="K1208" s="14" t="n">
        <v>19.88</v>
      </c>
      <c r="L1208" s="13" t="n">
        <v>2</v>
      </c>
      <c r="M1208" s="13" t="inlineStr">
        <is>
          <t>Completed</t>
        </is>
      </c>
      <c r="N1208" s="13" t="inlineStr">
        <is>
          <t>P. Rossi</t>
        </is>
      </c>
      <c r="O1208" s="13" t="inlineStr">
        <is>
          <t>No</t>
        </is>
      </c>
      <c r="P1208" s="14">
        <f>H1208*I1208</f>
        <v/>
      </c>
      <c r="Q1208" s="14">
        <f>P1208*(1-J1208)</f>
        <v/>
      </c>
      <c r="R1208" s="14">
        <f>H1208*K1208</f>
        <v/>
      </c>
      <c r="S1208" s="15">
        <f>IF(Q1208=0,"",(Q1208-R1208)/Q1208)</f>
        <v/>
      </c>
      <c r="T1208" s="13">
        <f>YEAR(B1208)</f>
        <v/>
      </c>
      <c r="U1208" s="13">
        <f>YEAR(B1208)&amp;"-Q"&amp;ROUNDUP(MONTH(B1208)/3,0)</f>
        <v/>
      </c>
      <c r="V1208" s="13">
        <f>TEXT(B1208,"YYYY-MM")</f>
        <v/>
      </c>
      <c r="W1208" s="13">
        <f>IF(L1208="","",IF(L1208&gt;pLateDays,1,0))</f>
        <v/>
      </c>
      <c r="X1208" s="13">
        <f>IF(Q1208&gt;=pHighCutoff,1,0)</f>
        <v/>
      </c>
      <c r="Y1208" s="13">
        <f>IF(M1208="Returned",1,0)</f>
        <v/>
      </c>
    </row>
    <row r="1209">
      <c r="A1209" s="13" t="inlineStr">
        <is>
          <t>HC-101207</t>
        </is>
      </c>
      <c r="B1209" s="18" t="n">
        <v>45760</v>
      </c>
      <c r="C1209" s="13" t="inlineStr">
        <is>
          <t>West</t>
        </is>
      </c>
      <c r="D1209" s="13" t="inlineStr">
        <is>
          <t>Online</t>
        </is>
      </c>
      <c r="E1209" s="13" t="inlineStr">
        <is>
          <t>Lighting</t>
        </is>
      </c>
      <c r="F1209" s="13" t="inlineStr">
        <is>
          <t>Pendant Light</t>
        </is>
      </c>
      <c r="G1209" s="13" t="inlineStr">
        <is>
          <t>Consumer</t>
        </is>
      </c>
      <c r="H1209" s="13" t="n">
        <v>1</v>
      </c>
      <c r="I1209" s="14" t="n">
        <v>180.63</v>
      </c>
      <c r="J1209" s="15" t="n">
        <v>0.11</v>
      </c>
      <c r="K1209" s="14" t="n">
        <v>90.31999999999999</v>
      </c>
      <c r="L1209" s="13" t="n">
        <v>5</v>
      </c>
      <c r="M1209" s="13" t="inlineStr">
        <is>
          <t>Completed</t>
        </is>
      </c>
      <c r="N1209" s="13" t="inlineStr">
        <is>
          <t>M. Okonkwo</t>
        </is>
      </c>
      <c r="O1209" s="13" t="inlineStr">
        <is>
          <t>No</t>
        </is>
      </c>
      <c r="P1209" s="14">
        <f>H1209*I1209</f>
        <v/>
      </c>
      <c r="Q1209" s="14">
        <f>P1209*(1-J1209)</f>
        <v/>
      </c>
      <c r="R1209" s="14">
        <f>H1209*K1209</f>
        <v/>
      </c>
      <c r="S1209" s="15">
        <f>IF(Q1209=0,"",(Q1209-R1209)/Q1209)</f>
        <v/>
      </c>
      <c r="T1209" s="13">
        <f>YEAR(B1209)</f>
        <v/>
      </c>
      <c r="U1209" s="13">
        <f>YEAR(B1209)&amp;"-Q"&amp;ROUNDUP(MONTH(B1209)/3,0)</f>
        <v/>
      </c>
      <c r="V1209" s="13">
        <f>TEXT(B1209,"YYYY-MM")</f>
        <v/>
      </c>
      <c r="W1209" s="13">
        <f>IF(L1209="","",IF(L1209&gt;pLateDays,1,0))</f>
        <v/>
      </c>
      <c r="X1209" s="13">
        <f>IF(Q1209&gt;=pHighCutoff,1,0)</f>
        <v/>
      </c>
      <c r="Y1209" s="13">
        <f>IF(M1209="Returned",1,0)</f>
        <v/>
      </c>
    </row>
    <row r="1210">
      <c r="A1210" s="13" t="inlineStr">
        <is>
          <t>HC-101208</t>
        </is>
      </c>
      <c r="B1210" s="18" t="n">
        <v>45792</v>
      </c>
      <c r="C1210" s="13" t="inlineStr">
        <is>
          <t>North</t>
        </is>
      </c>
      <c r="D1210" s="13" t="inlineStr">
        <is>
          <t>Store</t>
        </is>
      </c>
      <c r="E1210" s="13" t="inlineStr">
        <is>
          <t>Furniture</t>
        </is>
      </c>
      <c r="F1210" s="13" t="inlineStr">
        <is>
          <t>Linen Sofa</t>
        </is>
      </c>
      <c r="G1210" s="13" t="inlineStr">
        <is>
          <t>Home Office</t>
        </is>
      </c>
      <c r="H1210" s="13" t="n">
        <v>4</v>
      </c>
      <c r="I1210" s="14" t="n">
        <v>1305.65</v>
      </c>
      <c r="J1210" s="15" t="n">
        <v>0.02</v>
      </c>
      <c r="K1210" s="14" t="n">
        <v>861.73</v>
      </c>
      <c r="L1210" s="13" t="n">
        <v>7</v>
      </c>
      <c r="M1210" s="13" t="inlineStr">
        <is>
          <t>Completed</t>
        </is>
      </c>
      <c r="N1210" s="13" t="inlineStr">
        <is>
          <t>L. Berger</t>
        </is>
      </c>
      <c r="O1210" s="13" t="inlineStr">
        <is>
          <t>No</t>
        </is>
      </c>
      <c r="P1210" s="14">
        <f>H1210*I1210</f>
        <v/>
      </c>
      <c r="Q1210" s="14">
        <f>P1210*(1-J1210)</f>
        <v/>
      </c>
      <c r="R1210" s="14">
        <f>H1210*K1210</f>
        <v/>
      </c>
      <c r="S1210" s="15">
        <f>IF(Q1210=0,"",(Q1210-R1210)/Q1210)</f>
        <v/>
      </c>
      <c r="T1210" s="13">
        <f>YEAR(B1210)</f>
        <v/>
      </c>
      <c r="U1210" s="13">
        <f>YEAR(B1210)&amp;"-Q"&amp;ROUNDUP(MONTH(B1210)/3,0)</f>
        <v/>
      </c>
      <c r="V1210" s="13">
        <f>TEXT(B1210,"YYYY-MM")</f>
        <v/>
      </c>
      <c r="W1210" s="13">
        <f>IF(L1210="","",IF(L1210&gt;pLateDays,1,0))</f>
        <v/>
      </c>
      <c r="X1210" s="13">
        <f>IF(Q1210&gt;=pHighCutoff,1,0)</f>
        <v/>
      </c>
      <c r="Y1210" s="13">
        <f>IF(M1210="Returned",1,0)</f>
        <v/>
      </c>
    </row>
    <row r="1211">
      <c r="A1211" s="13" t="inlineStr">
        <is>
          <t>HC-101209</t>
        </is>
      </c>
      <c r="B1211" s="18" t="n">
        <v>45884</v>
      </c>
      <c r="C1211" s="13" t="inlineStr">
        <is>
          <t>East</t>
        </is>
      </c>
      <c r="D1211" s="13" t="inlineStr">
        <is>
          <t>Online</t>
        </is>
      </c>
      <c r="E1211" s="13" t="inlineStr">
        <is>
          <t>Furniture</t>
        </is>
      </c>
      <c r="F1211" s="13" t="inlineStr">
        <is>
          <t>Lounge Chair</t>
        </is>
      </c>
      <c r="G1211" s="13" t="inlineStr">
        <is>
          <t>Consumer</t>
        </is>
      </c>
      <c r="H1211" s="13" t="n">
        <v>1</v>
      </c>
      <c r="I1211" s="14" t="n">
        <v>437.97</v>
      </c>
      <c r="J1211" s="15" t="n">
        <v>0.03</v>
      </c>
      <c r="K1211" s="14" t="n">
        <v>262.78</v>
      </c>
      <c r="L1211" s="13" t="n">
        <v>12</v>
      </c>
      <c r="M1211" s="13" t="inlineStr">
        <is>
          <t>Completed</t>
        </is>
      </c>
      <c r="N1211" s="13" t="inlineStr">
        <is>
          <t>L. Berger</t>
        </is>
      </c>
      <c r="O1211" s="13" t="inlineStr">
        <is>
          <t>No</t>
        </is>
      </c>
      <c r="P1211" s="14">
        <f>H1211*I1211</f>
        <v/>
      </c>
      <c r="Q1211" s="14">
        <f>P1211*(1-J1211)</f>
        <v/>
      </c>
      <c r="R1211" s="14">
        <f>H1211*K1211</f>
        <v/>
      </c>
      <c r="S1211" s="15">
        <f>IF(Q1211=0,"",(Q1211-R1211)/Q1211)</f>
        <v/>
      </c>
      <c r="T1211" s="13">
        <f>YEAR(B1211)</f>
        <v/>
      </c>
      <c r="U1211" s="13">
        <f>YEAR(B1211)&amp;"-Q"&amp;ROUNDUP(MONTH(B1211)/3,0)</f>
        <v/>
      </c>
      <c r="V1211" s="13">
        <f>TEXT(B1211,"YYYY-MM")</f>
        <v/>
      </c>
      <c r="W1211" s="13">
        <f>IF(L1211="","",IF(L1211&gt;pLateDays,1,0))</f>
        <v/>
      </c>
      <c r="X1211" s="13">
        <f>IF(Q1211&gt;=pHighCutoff,1,0)</f>
        <v/>
      </c>
      <c r="Y1211" s="13">
        <f>IF(M1211="Returned",1,0)</f>
        <v/>
      </c>
    </row>
    <row r="1212">
      <c r="A1212" s="13" t="inlineStr">
        <is>
          <t>HC-101210</t>
        </is>
      </c>
      <c r="B1212" s="18" t="n">
        <v>45776</v>
      </c>
      <c r="C1212" s="13" t="inlineStr">
        <is>
          <t>West</t>
        </is>
      </c>
      <c r="D1212" s="13" t="inlineStr">
        <is>
          <t>Online</t>
        </is>
      </c>
      <c r="E1212" s="13" t="inlineStr">
        <is>
          <t>Textiles</t>
        </is>
      </c>
      <c r="F1212" s="13" t="inlineStr">
        <is>
          <t>Cotton Duvet</t>
        </is>
      </c>
      <c r="G1212" s="13" t="inlineStr">
        <is>
          <t>Consumer</t>
        </is>
      </c>
      <c r="H1212" s="13" t="n">
        <v>1</v>
      </c>
      <c r="I1212" s="14" t="n">
        <v>115.18</v>
      </c>
      <c r="J1212" s="15" t="n">
        <v>0.14</v>
      </c>
      <c r="K1212" s="14" t="n">
        <v>50.68</v>
      </c>
      <c r="L1212" s="13" t="n">
        <v>8</v>
      </c>
      <c r="M1212" s="13" t="inlineStr">
        <is>
          <t>Completed</t>
        </is>
      </c>
      <c r="N1212" s="13" t="inlineStr">
        <is>
          <t>L. Berger</t>
        </is>
      </c>
      <c r="O1212" s="13" t="inlineStr">
        <is>
          <t>No</t>
        </is>
      </c>
      <c r="P1212" s="14">
        <f>H1212*I1212</f>
        <v/>
      </c>
      <c r="Q1212" s="14">
        <f>P1212*(1-J1212)</f>
        <v/>
      </c>
      <c r="R1212" s="14">
        <f>H1212*K1212</f>
        <v/>
      </c>
      <c r="S1212" s="15">
        <f>IF(Q1212=0,"",(Q1212-R1212)/Q1212)</f>
        <v/>
      </c>
      <c r="T1212" s="13">
        <f>YEAR(B1212)</f>
        <v/>
      </c>
      <c r="U1212" s="13">
        <f>YEAR(B1212)&amp;"-Q"&amp;ROUNDUP(MONTH(B1212)/3,0)</f>
        <v/>
      </c>
      <c r="V1212" s="13">
        <f>TEXT(B1212,"YYYY-MM")</f>
        <v/>
      </c>
      <c r="W1212" s="13">
        <f>IF(L1212="","",IF(L1212&gt;pLateDays,1,0))</f>
        <v/>
      </c>
      <c r="X1212" s="13">
        <f>IF(Q1212&gt;=pHighCutoff,1,0)</f>
        <v/>
      </c>
      <c r="Y1212" s="13">
        <f>IF(M1212="Returned",1,0)</f>
        <v/>
      </c>
    </row>
    <row r="1213">
      <c r="A1213" s="13" t="inlineStr">
        <is>
          <t>HC-101211</t>
        </is>
      </c>
      <c r="B1213" s="18" t="n">
        <v>45323</v>
      </c>
      <c r="C1213" s="13" t="inlineStr">
        <is>
          <t>West</t>
        </is>
      </c>
      <c r="D1213" s="13" t="inlineStr">
        <is>
          <t>Store</t>
        </is>
      </c>
      <c r="E1213" s="13" t="inlineStr">
        <is>
          <t>Kitchen</t>
        </is>
      </c>
      <c r="F1213" s="13" t="inlineStr">
        <is>
          <t>Cast Skillet</t>
        </is>
      </c>
      <c r="G1213" s="13" t="inlineStr">
        <is>
          <t>Consumer</t>
        </is>
      </c>
      <c r="H1213" s="13" t="n">
        <v>3</v>
      </c>
      <c r="I1213" s="14" t="n">
        <v>56.31</v>
      </c>
      <c r="J1213" s="15" t="n">
        <v>0.08</v>
      </c>
      <c r="K1213" s="14" t="n">
        <v>22.52</v>
      </c>
      <c r="L1213" s="13" t="n">
        <v>5</v>
      </c>
      <c r="M1213" s="13" t="inlineStr">
        <is>
          <t>Completed</t>
        </is>
      </c>
      <c r="N1213" s="13" t="inlineStr">
        <is>
          <t>J. Patel</t>
        </is>
      </c>
      <c r="O1213" s="13" t="inlineStr">
        <is>
          <t>No</t>
        </is>
      </c>
      <c r="P1213" s="14">
        <f>H1213*I1213</f>
        <v/>
      </c>
      <c r="Q1213" s="14">
        <f>P1213*(1-J1213)</f>
        <v/>
      </c>
      <c r="R1213" s="14">
        <f>H1213*K1213</f>
        <v/>
      </c>
      <c r="S1213" s="15">
        <f>IF(Q1213=0,"",(Q1213-R1213)/Q1213)</f>
        <v/>
      </c>
      <c r="T1213" s="13">
        <f>YEAR(B1213)</f>
        <v/>
      </c>
      <c r="U1213" s="13">
        <f>YEAR(B1213)&amp;"-Q"&amp;ROUNDUP(MONTH(B1213)/3,0)</f>
        <v/>
      </c>
      <c r="V1213" s="13">
        <f>TEXT(B1213,"YYYY-MM")</f>
        <v/>
      </c>
      <c r="W1213" s="13">
        <f>IF(L1213="","",IF(L1213&gt;pLateDays,1,0))</f>
        <v/>
      </c>
      <c r="X1213" s="13">
        <f>IF(Q1213&gt;=pHighCutoff,1,0)</f>
        <v/>
      </c>
      <c r="Y1213" s="13">
        <f>IF(M1213="Returned",1,0)</f>
        <v/>
      </c>
    </row>
    <row r="1214">
      <c r="A1214" s="13" t="inlineStr">
        <is>
          <t>HC-101212</t>
        </is>
      </c>
      <c r="B1214" s="18" t="n">
        <v>45316</v>
      </c>
      <c r="C1214" s="13" t="inlineStr">
        <is>
          <t>North</t>
        </is>
      </c>
      <c r="D1214" s="13" t="inlineStr">
        <is>
          <t>Store</t>
        </is>
      </c>
      <c r="E1214" s="13" t="inlineStr">
        <is>
          <t>Furniture</t>
        </is>
      </c>
      <c r="F1214" s="13" t="inlineStr">
        <is>
          <t>Walnut Shelf</t>
        </is>
      </c>
      <c r="G1214" s="13" t="inlineStr">
        <is>
          <t>Consumer</t>
        </is>
      </c>
      <c r="H1214" s="13" t="n">
        <v>2</v>
      </c>
      <c r="I1214" s="14" t="n">
        <v>230.06</v>
      </c>
      <c r="J1214" s="15" t="n">
        <v>0.03</v>
      </c>
      <c r="K1214" s="14" t="n">
        <v>126.53</v>
      </c>
      <c r="L1214" s="13" t="n">
        <v>6</v>
      </c>
      <c r="M1214" s="13" t="inlineStr">
        <is>
          <t>Completed</t>
        </is>
      </c>
      <c r="N1214" s="13" t="inlineStr">
        <is>
          <t>M. Okonkwo</t>
        </is>
      </c>
      <c r="O1214" s="13" t="inlineStr">
        <is>
          <t>No</t>
        </is>
      </c>
      <c r="P1214" s="14">
        <f>H1214*I1214</f>
        <v/>
      </c>
      <c r="Q1214" s="14">
        <f>P1214*(1-J1214)</f>
        <v/>
      </c>
      <c r="R1214" s="14">
        <f>H1214*K1214</f>
        <v/>
      </c>
      <c r="S1214" s="15">
        <f>IF(Q1214=0,"",(Q1214-R1214)/Q1214)</f>
        <v/>
      </c>
      <c r="T1214" s="13">
        <f>YEAR(B1214)</f>
        <v/>
      </c>
      <c r="U1214" s="13">
        <f>YEAR(B1214)&amp;"-Q"&amp;ROUNDUP(MONTH(B1214)/3,0)</f>
        <v/>
      </c>
      <c r="V1214" s="13">
        <f>TEXT(B1214,"YYYY-MM")</f>
        <v/>
      </c>
      <c r="W1214" s="13">
        <f>IF(L1214="","",IF(L1214&gt;pLateDays,1,0))</f>
        <v/>
      </c>
      <c r="X1214" s="13">
        <f>IF(Q1214&gt;=pHighCutoff,1,0)</f>
        <v/>
      </c>
      <c r="Y1214" s="13">
        <f>IF(M1214="Returned",1,0)</f>
        <v/>
      </c>
    </row>
    <row r="1215">
      <c r="A1215" s="13" t="inlineStr">
        <is>
          <t>HC-101213</t>
        </is>
      </c>
      <c r="B1215" s="18" t="n">
        <v>45681</v>
      </c>
      <c r="C1215" s="13" t="inlineStr">
        <is>
          <t>South</t>
        </is>
      </c>
      <c r="D1215" s="13" t="inlineStr">
        <is>
          <t>Store</t>
        </is>
      </c>
      <c r="E1215" s="13" t="inlineStr">
        <is>
          <t>Kitchen</t>
        </is>
      </c>
      <c r="F1215" s="13" t="inlineStr">
        <is>
          <t>Ceramic Set</t>
        </is>
      </c>
      <c r="G1215" s="13" t="inlineStr">
        <is>
          <t>Corporate</t>
        </is>
      </c>
      <c r="H1215" s="13" t="n">
        <v>4</v>
      </c>
      <c r="I1215" s="14" t="n">
        <v>83.42</v>
      </c>
      <c r="J1215" s="15" t="n">
        <v>0.1</v>
      </c>
      <c r="K1215" s="14" t="n">
        <v>31.7</v>
      </c>
      <c r="L1215" s="13" t="n">
        <v>5</v>
      </c>
      <c r="M1215" s="13" t="inlineStr">
        <is>
          <t>Cancelled</t>
        </is>
      </c>
      <c r="N1215" s="13" t="inlineStr">
        <is>
          <t>M. Okonkwo</t>
        </is>
      </c>
      <c r="O1215" s="13" t="inlineStr">
        <is>
          <t>No</t>
        </is>
      </c>
      <c r="P1215" s="14">
        <f>H1215*I1215</f>
        <v/>
      </c>
      <c r="Q1215" s="14">
        <f>P1215*(1-J1215)</f>
        <v/>
      </c>
      <c r="R1215" s="14">
        <f>H1215*K1215</f>
        <v/>
      </c>
      <c r="S1215" s="15">
        <f>IF(Q1215=0,"",(Q1215-R1215)/Q1215)</f>
        <v/>
      </c>
      <c r="T1215" s="13">
        <f>YEAR(B1215)</f>
        <v/>
      </c>
      <c r="U1215" s="13">
        <f>YEAR(B1215)&amp;"-Q"&amp;ROUNDUP(MONTH(B1215)/3,0)</f>
        <v/>
      </c>
      <c r="V1215" s="13">
        <f>TEXT(B1215,"YYYY-MM")</f>
        <v/>
      </c>
      <c r="W1215" s="13">
        <f>IF(L1215="","",IF(L1215&gt;pLateDays,1,0))</f>
        <v/>
      </c>
      <c r="X1215" s="13">
        <f>IF(Q1215&gt;=pHighCutoff,1,0)</f>
        <v/>
      </c>
      <c r="Y1215" s="13">
        <f>IF(M1215="Returned",1,0)</f>
        <v/>
      </c>
    </row>
    <row r="1216">
      <c r="A1216" s="13" t="inlineStr">
        <is>
          <t>HC-101214</t>
        </is>
      </c>
      <c r="B1216" s="18" t="n">
        <v>45354</v>
      </c>
      <c r="C1216" s="13" t="inlineStr">
        <is>
          <t>West</t>
        </is>
      </c>
      <c r="D1216" s="13" t="inlineStr">
        <is>
          <t>Online</t>
        </is>
      </c>
      <c r="E1216" s="13" t="inlineStr">
        <is>
          <t>Textiles</t>
        </is>
      </c>
      <c r="F1216" s="13" t="inlineStr">
        <is>
          <t>Linen Curtain</t>
        </is>
      </c>
      <c r="G1216" s="13" t="inlineStr">
        <is>
          <t>Corporate</t>
        </is>
      </c>
      <c r="H1216" s="13" t="n">
        <v>3</v>
      </c>
      <c r="I1216" s="14" t="n">
        <v>98.91</v>
      </c>
      <c r="J1216" s="15" t="n">
        <v>0.03</v>
      </c>
      <c r="K1216" s="14" t="n">
        <v>44.51</v>
      </c>
      <c r="L1216" s="13" t="n">
        <v>7</v>
      </c>
      <c r="M1216" s="13" t="inlineStr">
        <is>
          <t>Completed</t>
        </is>
      </c>
      <c r="N1216" s="13" t="inlineStr">
        <is>
          <t>A. Shah</t>
        </is>
      </c>
      <c r="O1216" s="13" t="inlineStr">
        <is>
          <t>No</t>
        </is>
      </c>
      <c r="P1216" s="14">
        <f>H1216*I1216</f>
        <v/>
      </c>
      <c r="Q1216" s="14">
        <f>P1216*(1-J1216)</f>
        <v/>
      </c>
      <c r="R1216" s="14">
        <f>H1216*K1216</f>
        <v/>
      </c>
      <c r="S1216" s="15">
        <f>IF(Q1216=0,"",(Q1216-R1216)/Q1216)</f>
        <v/>
      </c>
      <c r="T1216" s="13">
        <f>YEAR(B1216)</f>
        <v/>
      </c>
      <c r="U1216" s="13">
        <f>YEAR(B1216)&amp;"-Q"&amp;ROUNDUP(MONTH(B1216)/3,0)</f>
        <v/>
      </c>
      <c r="V1216" s="13">
        <f>TEXT(B1216,"YYYY-MM")</f>
        <v/>
      </c>
      <c r="W1216" s="13">
        <f>IF(L1216="","",IF(L1216&gt;pLateDays,1,0))</f>
        <v/>
      </c>
      <c r="X1216" s="13">
        <f>IF(Q1216&gt;=pHighCutoff,1,0)</f>
        <v/>
      </c>
      <c r="Y1216" s="13">
        <f>IF(M1216="Returned",1,0)</f>
        <v/>
      </c>
    </row>
    <row r="1217">
      <c r="A1217" s="13" t="inlineStr">
        <is>
          <t>HC-101215</t>
        </is>
      </c>
      <c r="B1217" s="18" t="n">
        <v>45862</v>
      </c>
      <c r="C1217" s="13" t="inlineStr">
        <is>
          <t>North</t>
        </is>
      </c>
      <c r="D1217" s="13" t="inlineStr">
        <is>
          <t>Online</t>
        </is>
      </c>
      <c r="E1217" s="13" t="inlineStr">
        <is>
          <t>Lighting</t>
        </is>
      </c>
      <c r="F1217" s="13" t="inlineStr">
        <is>
          <t>Pendant Light</t>
        </is>
      </c>
      <c r="G1217" s="13" t="inlineStr">
        <is>
          <t>Corporate</t>
        </is>
      </c>
      <c r="H1217" s="13" t="n">
        <v>1</v>
      </c>
      <c r="I1217" s="14" t="n">
        <v>165.88</v>
      </c>
      <c r="J1217" s="15" t="n">
        <v>0.11</v>
      </c>
      <c r="K1217" s="14" t="n">
        <v>82.94</v>
      </c>
      <c r="L1217" s="13" t="n">
        <v>11</v>
      </c>
      <c r="M1217" s="13" t="inlineStr">
        <is>
          <t>Completed</t>
        </is>
      </c>
      <c r="N1217" s="13" t="inlineStr">
        <is>
          <t>S. Nguyen</t>
        </is>
      </c>
      <c r="O1217" s="13" t="inlineStr">
        <is>
          <t>No</t>
        </is>
      </c>
      <c r="P1217" s="14">
        <f>H1217*I1217</f>
        <v/>
      </c>
      <c r="Q1217" s="14">
        <f>P1217*(1-J1217)</f>
        <v/>
      </c>
      <c r="R1217" s="14">
        <f>H1217*K1217</f>
        <v/>
      </c>
      <c r="S1217" s="15">
        <f>IF(Q1217=0,"",(Q1217-R1217)/Q1217)</f>
        <v/>
      </c>
      <c r="T1217" s="13">
        <f>YEAR(B1217)</f>
        <v/>
      </c>
      <c r="U1217" s="13">
        <f>YEAR(B1217)&amp;"-Q"&amp;ROUNDUP(MONTH(B1217)/3,0)</f>
        <v/>
      </c>
      <c r="V1217" s="13">
        <f>TEXT(B1217,"YYYY-MM")</f>
        <v/>
      </c>
      <c r="W1217" s="13">
        <f>IF(L1217="","",IF(L1217&gt;pLateDays,1,0))</f>
        <v/>
      </c>
      <c r="X1217" s="13">
        <f>IF(Q1217&gt;=pHighCutoff,1,0)</f>
        <v/>
      </c>
      <c r="Y1217" s="13">
        <f>IF(M1217="Returned",1,0)</f>
        <v/>
      </c>
    </row>
    <row r="1218">
      <c r="A1218" s="13" t="inlineStr">
        <is>
          <t>HC-101216</t>
        </is>
      </c>
      <c r="B1218" s="18" t="n">
        <v>45395</v>
      </c>
      <c r="C1218" s="13" t="inlineStr">
        <is>
          <t>North</t>
        </is>
      </c>
      <c r="D1218" s="13" t="inlineStr">
        <is>
          <t>Online</t>
        </is>
      </c>
      <c r="E1218" s="13" t="inlineStr">
        <is>
          <t>Kitchen</t>
        </is>
      </c>
      <c r="F1218" s="13" t="inlineStr">
        <is>
          <t>Chef Knife</t>
        </is>
      </c>
      <c r="G1218" s="13" t="inlineStr">
        <is>
          <t>Corporate</t>
        </is>
      </c>
      <c r="H1218" s="13" t="n">
        <v>3</v>
      </c>
      <c r="I1218" s="14" t="n">
        <v>66.13</v>
      </c>
      <c r="J1218" s="15" t="n">
        <v>0.18</v>
      </c>
      <c r="K1218" s="14" t="n">
        <v>23.81</v>
      </c>
      <c r="L1218" s="13" t="n">
        <v>6</v>
      </c>
      <c r="M1218" s="13" t="inlineStr">
        <is>
          <t>Completed</t>
        </is>
      </c>
      <c r="N1218" s="13" t="inlineStr">
        <is>
          <t>P. Rossi</t>
        </is>
      </c>
      <c r="O1218" s="13" t="inlineStr">
        <is>
          <t>No</t>
        </is>
      </c>
      <c r="P1218" s="14">
        <f>H1218*I1218</f>
        <v/>
      </c>
      <c r="Q1218" s="14">
        <f>P1218*(1-J1218)</f>
        <v/>
      </c>
      <c r="R1218" s="14">
        <f>H1218*K1218</f>
        <v/>
      </c>
      <c r="S1218" s="15">
        <f>IF(Q1218=0,"",(Q1218-R1218)/Q1218)</f>
        <v/>
      </c>
      <c r="T1218" s="13">
        <f>YEAR(B1218)</f>
        <v/>
      </c>
      <c r="U1218" s="13">
        <f>YEAR(B1218)&amp;"-Q"&amp;ROUNDUP(MONTH(B1218)/3,0)</f>
        <v/>
      </c>
      <c r="V1218" s="13">
        <f>TEXT(B1218,"YYYY-MM")</f>
        <v/>
      </c>
      <c r="W1218" s="13">
        <f>IF(L1218="","",IF(L1218&gt;pLateDays,1,0))</f>
        <v/>
      </c>
      <c r="X1218" s="13">
        <f>IF(Q1218&gt;=pHighCutoff,1,0)</f>
        <v/>
      </c>
      <c r="Y1218" s="13">
        <f>IF(M1218="Returned",1,0)</f>
        <v/>
      </c>
    </row>
    <row r="1219">
      <c r="A1219" s="13" t="inlineStr">
        <is>
          <t>HC-101217</t>
        </is>
      </c>
      <c r="B1219" s="18" t="n">
        <v>45494</v>
      </c>
      <c r="C1219" s="13" t="inlineStr">
        <is>
          <t>West</t>
        </is>
      </c>
      <c r="D1219" s="13" t="inlineStr">
        <is>
          <t>Wholesale</t>
        </is>
      </c>
      <c r="E1219" s="13" t="inlineStr">
        <is>
          <t>Kitchen</t>
        </is>
      </c>
      <c r="F1219" s="13" t="inlineStr">
        <is>
          <t>Ceramic Set</t>
        </is>
      </c>
      <c r="G1219" s="13" t="inlineStr">
        <is>
          <t>Consumer</t>
        </is>
      </c>
      <c r="H1219" s="13" t="n">
        <v>11</v>
      </c>
      <c r="I1219" s="14" t="n">
        <v>89.58</v>
      </c>
      <c r="J1219" s="15" t="n">
        <v>0.18</v>
      </c>
      <c r="K1219" s="14" t="n">
        <v>34.04</v>
      </c>
      <c r="L1219" s="13" t="n">
        <v>6</v>
      </c>
      <c r="M1219" s="13" t="inlineStr">
        <is>
          <t>Completed</t>
        </is>
      </c>
      <c r="N1219" s="13" t="inlineStr">
        <is>
          <t>J. Patel</t>
        </is>
      </c>
      <c r="O1219" s="13" t="inlineStr">
        <is>
          <t>No</t>
        </is>
      </c>
      <c r="P1219" s="14">
        <f>H1219*I1219</f>
        <v/>
      </c>
      <c r="Q1219" s="14">
        <f>P1219*(1-J1219)</f>
        <v/>
      </c>
      <c r="R1219" s="14">
        <f>H1219*K1219</f>
        <v/>
      </c>
      <c r="S1219" s="15">
        <f>IF(Q1219=0,"",(Q1219-R1219)/Q1219)</f>
        <v/>
      </c>
      <c r="T1219" s="13">
        <f>YEAR(B1219)</f>
        <v/>
      </c>
      <c r="U1219" s="13">
        <f>YEAR(B1219)&amp;"-Q"&amp;ROUNDUP(MONTH(B1219)/3,0)</f>
        <v/>
      </c>
      <c r="V1219" s="13">
        <f>TEXT(B1219,"YYYY-MM")</f>
        <v/>
      </c>
      <c r="W1219" s="13">
        <f>IF(L1219="","",IF(L1219&gt;pLateDays,1,0))</f>
        <v/>
      </c>
      <c r="X1219" s="13">
        <f>IF(Q1219&gt;=pHighCutoff,1,0)</f>
        <v/>
      </c>
      <c r="Y1219" s="13">
        <f>IF(M1219="Returned",1,0)</f>
        <v/>
      </c>
    </row>
    <row r="1220">
      <c r="A1220" s="13" t="inlineStr">
        <is>
          <t>HC-101218</t>
        </is>
      </c>
      <c r="B1220" s="18" t="n">
        <v>45866</v>
      </c>
      <c r="C1220" s="13" t="inlineStr">
        <is>
          <t>East</t>
        </is>
      </c>
      <c r="D1220" s="13" t="inlineStr">
        <is>
          <t>Wholesale</t>
        </is>
      </c>
      <c r="E1220" s="13" t="inlineStr">
        <is>
          <t>Furniture</t>
        </is>
      </c>
      <c r="F1220" s="13" t="inlineStr">
        <is>
          <t>Linen Sofa</t>
        </is>
      </c>
      <c r="G1220" s="13" t="inlineStr">
        <is>
          <t>Consumer</t>
        </is>
      </c>
      <c r="H1220" s="13" t="n">
        <v>15</v>
      </c>
      <c r="I1220" s="14" t="n">
        <v>1110.96</v>
      </c>
      <c r="J1220" s="15" t="n">
        <v>0.3</v>
      </c>
      <c r="K1220" s="14" t="n">
        <v>733.23</v>
      </c>
      <c r="L1220" s="13" t="n">
        <v>7</v>
      </c>
      <c r="M1220" s="13" t="inlineStr">
        <is>
          <t>Completed</t>
        </is>
      </c>
      <c r="N1220" s="13" t="inlineStr">
        <is>
          <t>L. Berger</t>
        </is>
      </c>
      <c r="O1220" s="13" t="inlineStr">
        <is>
          <t>No</t>
        </is>
      </c>
      <c r="P1220" s="14">
        <f>H1220*I1220</f>
        <v/>
      </c>
      <c r="Q1220" s="14">
        <f>P1220*(1-J1220)</f>
        <v/>
      </c>
      <c r="R1220" s="14">
        <f>H1220*K1220</f>
        <v/>
      </c>
      <c r="S1220" s="15">
        <f>IF(Q1220=0,"",(Q1220-R1220)/Q1220)</f>
        <v/>
      </c>
      <c r="T1220" s="13">
        <f>YEAR(B1220)</f>
        <v/>
      </c>
      <c r="U1220" s="13">
        <f>YEAR(B1220)&amp;"-Q"&amp;ROUNDUP(MONTH(B1220)/3,0)</f>
        <v/>
      </c>
      <c r="V1220" s="13">
        <f>TEXT(B1220,"YYYY-MM")</f>
        <v/>
      </c>
      <c r="W1220" s="13">
        <f>IF(L1220="","",IF(L1220&gt;pLateDays,1,0))</f>
        <v/>
      </c>
      <c r="X1220" s="13">
        <f>IF(Q1220&gt;=pHighCutoff,1,0)</f>
        <v/>
      </c>
      <c r="Y1220" s="13">
        <f>IF(M1220="Returned",1,0)</f>
        <v/>
      </c>
    </row>
    <row r="1221">
      <c r="A1221" s="13" t="inlineStr">
        <is>
          <t>HC-101219</t>
        </is>
      </c>
      <c r="B1221" s="18" t="n">
        <v>45610</v>
      </c>
      <c r="C1221" s="13" t="inlineStr">
        <is>
          <t>West</t>
        </is>
      </c>
      <c r="D1221" s="13" t="inlineStr">
        <is>
          <t>Wholesale</t>
        </is>
      </c>
      <c r="E1221" s="13" t="inlineStr">
        <is>
          <t>Furniture</t>
        </is>
      </c>
      <c r="F1221" s="13" t="inlineStr">
        <is>
          <t>Oak Desk</t>
        </is>
      </c>
      <c r="G1221" s="13" t="inlineStr">
        <is>
          <t>Home Office</t>
        </is>
      </c>
      <c r="H1221" s="13" t="n">
        <v>16</v>
      </c>
      <c r="I1221" s="14" t="n">
        <v>870.62</v>
      </c>
      <c r="J1221" s="15" t="n">
        <v>0.28</v>
      </c>
      <c r="K1221" s="14" t="n">
        <v>539.78</v>
      </c>
      <c r="L1221" s="13" t="n">
        <v>8</v>
      </c>
      <c r="M1221" s="13" t="inlineStr">
        <is>
          <t>Returned</t>
        </is>
      </c>
      <c r="N1221" s="13" t="inlineStr">
        <is>
          <t>J. Patel</t>
        </is>
      </c>
      <c r="O1221" s="13" t="inlineStr">
        <is>
          <t>No</t>
        </is>
      </c>
      <c r="P1221" s="14">
        <f>H1221*I1221</f>
        <v/>
      </c>
      <c r="Q1221" s="14">
        <f>P1221*(1-J1221)</f>
        <v/>
      </c>
      <c r="R1221" s="14">
        <f>H1221*K1221</f>
        <v/>
      </c>
      <c r="S1221" s="15">
        <f>IF(Q1221=0,"",(Q1221-R1221)/Q1221)</f>
        <v/>
      </c>
      <c r="T1221" s="13">
        <f>YEAR(B1221)</f>
        <v/>
      </c>
      <c r="U1221" s="13">
        <f>YEAR(B1221)&amp;"-Q"&amp;ROUNDUP(MONTH(B1221)/3,0)</f>
        <v/>
      </c>
      <c r="V1221" s="13">
        <f>TEXT(B1221,"YYYY-MM")</f>
        <v/>
      </c>
      <c r="W1221" s="13">
        <f>IF(L1221="","",IF(L1221&gt;pLateDays,1,0))</f>
        <v/>
      </c>
      <c r="X1221" s="13">
        <f>IF(Q1221&gt;=pHighCutoff,1,0)</f>
        <v/>
      </c>
      <c r="Y1221" s="13">
        <f>IF(M1221="Returned",1,0)</f>
        <v/>
      </c>
    </row>
    <row r="1222">
      <c r="A1222" s="13" t="inlineStr">
        <is>
          <t>HC-101220</t>
        </is>
      </c>
      <c r="B1222" s="18" t="n">
        <v>45415</v>
      </c>
      <c r="C1222" s="13" t="inlineStr">
        <is>
          <t>West</t>
        </is>
      </c>
      <c r="D1222" s="13" t="inlineStr">
        <is>
          <t>Online</t>
        </is>
      </c>
      <c r="E1222" s="13" t="inlineStr">
        <is>
          <t>Textiles</t>
        </is>
      </c>
      <c r="F1222" s="13" t="inlineStr">
        <is>
          <t>Linen Curtain</t>
        </is>
      </c>
      <c r="G1222" s="13" t="inlineStr">
        <is>
          <t>Home Office</t>
        </is>
      </c>
      <c r="H1222" s="13" t="n">
        <v>3</v>
      </c>
      <c r="I1222" s="14" t="n">
        <v>88.72</v>
      </c>
      <c r="J1222" s="15" t="n">
        <v>0.06</v>
      </c>
      <c r="K1222" s="14" t="n">
        <v>39.92</v>
      </c>
      <c r="L1222" s="13" t="n">
        <v>5</v>
      </c>
      <c r="M1222" s="13" t="inlineStr">
        <is>
          <t>Completed</t>
        </is>
      </c>
      <c r="N1222" s="13" t="inlineStr">
        <is>
          <t>P. Rossi</t>
        </is>
      </c>
      <c r="O1222" s="13" t="inlineStr">
        <is>
          <t>No</t>
        </is>
      </c>
      <c r="P1222" s="14">
        <f>H1222*I1222</f>
        <v/>
      </c>
      <c r="Q1222" s="14">
        <f>P1222*(1-J1222)</f>
        <v/>
      </c>
      <c r="R1222" s="14">
        <f>H1222*K1222</f>
        <v/>
      </c>
      <c r="S1222" s="15">
        <f>IF(Q1222=0,"",(Q1222-R1222)/Q1222)</f>
        <v/>
      </c>
      <c r="T1222" s="13">
        <f>YEAR(B1222)</f>
        <v/>
      </c>
      <c r="U1222" s="13">
        <f>YEAR(B1222)&amp;"-Q"&amp;ROUNDUP(MONTH(B1222)/3,0)</f>
        <v/>
      </c>
      <c r="V1222" s="13">
        <f>TEXT(B1222,"YYYY-MM")</f>
        <v/>
      </c>
      <c r="W1222" s="13">
        <f>IF(L1222="","",IF(L1222&gt;pLateDays,1,0))</f>
        <v/>
      </c>
      <c r="X1222" s="13">
        <f>IF(Q1222&gt;=pHighCutoff,1,0)</f>
        <v/>
      </c>
      <c r="Y1222" s="13">
        <f>IF(M1222="Returned",1,0)</f>
        <v/>
      </c>
    </row>
    <row r="1223">
      <c r="A1223" s="13" t="inlineStr">
        <is>
          <t>HC-101221</t>
        </is>
      </c>
      <c r="B1223" s="18" t="n">
        <v>45369</v>
      </c>
      <c r="C1223" s="13" t="inlineStr">
        <is>
          <t>North</t>
        </is>
      </c>
      <c r="D1223" s="13" t="inlineStr">
        <is>
          <t>Store</t>
        </is>
      </c>
      <c r="E1223" s="13" t="inlineStr">
        <is>
          <t>Lighting</t>
        </is>
      </c>
      <c r="F1223" s="13" t="inlineStr">
        <is>
          <t>Brass Sconce</t>
        </is>
      </c>
      <c r="G1223" s="13" t="inlineStr">
        <is>
          <t>Consumer</t>
        </is>
      </c>
      <c r="H1223" s="13" t="n">
        <v>4</v>
      </c>
      <c r="I1223" s="14" t="n">
        <v>137.78</v>
      </c>
      <c r="J1223" s="15" t="n">
        <v>0.03</v>
      </c>
      <c r="K1223" s="14" t="n">
        <v>63.38</v>
      </c>
      <c r="L1223" s="13" t="n">
        <v>8</v>
      </c>
      <c r="M1223" s="13" t="inlineStr">
        <is>
          <t>Completed</t>
        </is>
      </c>
      <c r="N1223" s="13" t="inlineStr">
        <is>
          <t>M. Okonkwo</t>
        </is>
      </c>
      <c r="O1223" s="13" t="inlineStr">
        <is>
          <t>No</t>
        </is>
      </c>
      <c r="P1223" s="14">
        <f>H1223*I1223</f>
        <v/>
      </c>
      <c r="Q1223" s="14">
        <f>P1223*(1-J1223)</f>
        <v/>
      </c>
      <c r="R1223" s="14">
        <f>H1223*K1223</f>
        <v/>
      </c>
      <c r="S1223" s="15">
        <f>IF(Q1223=0,"",(Q1223-R1223)/Q1223)</f>
        <v/>
      </c>
      <c r="T1223" s="13">
        <f>YEAR(B1223)</f>
        <v/>
      </c>
      <c r="U1223" s="13">
        <f>YEAR(B1223)&amp;"-Q"&amp;ROUNDUP(MONTH(B1223)/3,0)</f>
        <v/>
      </c>
      <c r="V1223" s="13">
        <f>TEXT(B1223,"YYYY-MM")</f>
        <v/>
      </c>
      <c r="W1223" s="13">
        <f>IF(L1223="","",IF(L1223&gt;pLateDays,1,0))</f>
        <v/>
      </c>
      <c r="X1223" s="13">
        <f>IF(Q1223&gt;=pHighCutoff,1,0)</f>
        <v/>
      </c>
      <c r="Y1223" s="13">
        <f>IF(M1223="Returned",1,0)</f>
        <v/>
      </c>
    </row>
    <row r="1224">
      <c r="A1224" s="13" t="inlineStr">
        <is>
          <t>HC-101222</t>
        </is>
      </c>
      <c r="B1224" s="18" t="n">
        <v>45856</v>
      </c>
      <c r="C1224" s="13" t="inlineStr">
        <is>
          <t>South</t>
        </is>
      </c>
      <c r="D1224" s="13" t="inlineStr">
        <is>
          <t>Store</t>
        </is>
      </c>
      <c r="E1224" s="13" t="inlineStr">
        <is>
          <t>Kitchen</t>
        </is>
      </c>
      <c r="F1224" s="13" t="inlineStr">
        <is>
          <t>Cast Skillet</t>
        </is>
      </c>
      <c r="G1224" s="13" t="inlineStr">
        <is>
          <t>Corporate</t>
        </is>
      </c>
      <c r="H1224" s="13" t="n">
        <v>4</v>
      </c>
      <c r="I1224" s="14" t="n">
        <v>50.16</v>
      </c>
      <c r="J1224" s="15" t="n">
        <v>0.08</v>
      </c>
      <c r="K1224" s="14" t="n">
        <v>20.06</v>
      </c>
      <c r="L1224" s="13" t="n">
        <v>7</v>
      </c>
      <c r="M1224" s="13" t="inlineStr">
        <is>
          <t>Completed</t>
        </is>
      </c>
      <c r="N1224" s="13" t="inlineStr">
        <is>
          <t>P. Rossi</t>
        </is>
      </c>
      <c r="O1224" s="13" t="inlineStr">
        <is>
          <t>No</t>
        </is>
      </c>
      <c r="P1224" s="14">
        <f>H1224*I1224</f>
        <v/>
      </c>
      <c r="Q1224" s="14">
        <f>P1224*(1-J1224)</f>
        <v/>
      </c>
      <c r="R1224" s="14">
        <f>H1224*K1224</f>
        <v/>
      </c>
      <c r="S1224" s="15">
        <f>IF(Q1224=0,"",(Q1224-R1224)/Q1224)</f>
        <v/>
      </c>
      <c r="T1224" s="13">
        <f>YEAR(B1224)</f>
        <v/>
      </c>
      <c r="U1224" s="13">
        <f>YEAR(B1224)&amp;"-Q"&amp;ROUNDUP(MONTH(B1224)/3,0)</f>
        <v/>
      </c>
      <c r="V1224" s="13">
        <f>TEXT(B1224,"YYYY-MM")</f>
        <v/>
      </c>
      <c r="W1224" s="13">
        <f>IF(L1224="","",IF(L1224&gt;pLateDays,1,0))</f>
        <v/>
      </c>
      <c r="X1224" s="13">
        <f>IF(Q1224&gt;=pHighCutoff,1,0)</f>
        <v/>
      </c>
      <c r="Y1224" s="13">
        <f>IF(M1224="Returned",1,0)</f>
        <v/>
      </c>
    </row>
    <row r="1225">
      <c r="A1225" s="13" t="inlineStr">
        <is>
          <t>HC-101223</t>
        </is>
      </c>
      <c r="B1225" s="18" t="n">
        <v>45649</v>
      </c>
      <c r="C1225" s="13" t="inlineStr">
        <is>
          <t>North</t>
        </is>
      </c>
      <c r="D1225" s="13" t="inlineStr">
        <is>
          <t>Online</t>
        </is>
      </c>
      <c r="E1225" s="13" t="inlineStr">
        <is>
          <t>Kitchen</t>
        </is>
      </c>
      <c r="F1225" s="13" t="inlineStr">
        <is>
          <t>Cast Skillet</t>
        </is>
      </c>
      <c r="G1225" s="13" t="inlineStr">
        <is>
          <t>Home Office</t>
        </is>
      </c>
      <c r="H1225" s="13" t="n">
        <v>3</v>
      </c>
      <c r="I1225" s="14" t="n">
        <v>57.51</v>
      </c>
      <c r="J1225" s="15" t="n">
        <v>0.17</v>
      </c>
      <c r="K1225" s="14" t="n">
        <v>23</v>
      </c>
      <c r="L1225" s="13" t="n">
        <v>2</v>
      </c>
      <c r="M1225" s="13" t="inlineStr">
        <is>
          <t>Completed</t>
        </is>
      </c>
      <c r="N1225" s="13" t="inlineStr">
        <is>
          <t>M. Okonkwo</t>
        </is>
      </c>
      <c r="O1225" s="13" t="inlineStr">
        <is>
          <t>No</t>
        </is>
      </c>
      <c r="P1225" s="14">
        <f>H1225*I1225</f>
        <v/>
      </c>
      <c r="Q1225" s="14">
        <f>P1225*(1-J1225)</f>
        <v/>
      </c>
      <c r="R1225" s="14">
        <f>H1225*K1225</f>
        <v/>
      </c>
      <c r="S1225" s="15">
        <f>IF(Q1225=0,"",(Q1225-R1225)/Q1225)</f>
        <v/>
      </c>
      <c r="T1225" s="13">
        <f>YEAR(B1225)</f>
        <v/>
      </c>
      <c r="U1225" s="13">
        <f>YEAR(B1225)&amp;"-Q"&amp;ROUNDUP(MONTH(B1225)/3,0)</f>
        <v/>
      </c>
      <c r="V1225" s="13">
        <f>TEXT(B1225,"YYYY-MM")</f>
        <v/>
      </c>
      <c r="W1225" s="13">
        <f>IF(L1225="","",IF(L1225&gt;pLateDays,1,0))</f>
        <v/>
      </c>
      <c r="X1225" s="13">
        <f>IF(Q1225&gt;=pHighCutoff,1,0)</f>
        <v/>
      </c>
      <c r="Y1225" s="13">
        <f>IF(M1225="Returned",1,0)</f>
        <v/>
      </c>
    </row>
    <row r="1226">
      <c r="A1226" s="13" t="inlineStr">
        <is>
          <t>HC-101224</t>
        </is>
      </c>
      <c r="B1226" s="18" t="n">
        <v>45597</v>
      </c>
      <c r="C1226" s="13" t="inlineStr">
        <is>
          <t>East</t>
        </is>
      </c>
      <c r="D1226" s="13" t="inlineStr">
        <is>
          <t>Store</t>
        </is>
      </c>
      <c r="E1226" s="13" t="inlineStr">
        <is>
          <t>Lighting</t>
        </is>
      </c>
      <c r="F1226" s="13" t="inlineStr">
        <is>
          <t>Arc Lamp</t>
        </is>
      </c>
      <c r="G1226" s="13" t="inlineStr">
        <is>
          <t>Corporate</t>
        </is>
      </c>
      <c r="H1226" s="13" t="n">
        <v>4</v>
      </c>
      <c r="I1226" s="14" t="n">
        <v>300.42</v>
      </c>
      <c r="J1226" s="15" t="n">
        <v>0.03</v>
      </c>
      <c r="K1226" s="14" t="n">
        <v>144.2</v>
      </c>
      <c r="L1226" s="13" t="n">
        <v>8</v>
      </c>
      <c r="M1226" s="13" t="inlineStr">
        <is>
          <t>Completed</t>
        </is>
      </c>
      <c r="N1226" s="13" t="inlineStr">
        <is>
          <t>M. Okonkwo</t>
        </is>
      </c>
      <c r="O1226" s="13" t="inlineStr">
        <is>
          <t>No</t>
        </is>
      </c>
      <c r="P1226" s="14">
        <f>H1226*I1226</f>
        <v/>
      </c>
      <c r="Q1226" s="14">
        <f>P1226*(1-J1226)</f>
        <v/>
      </c>
      <c r="R1226" s="14">
        <f>H1226*K1226</f>
        <v/>
      </c>
      <c r="S1226" s="15">
        <f>IF(Q1226=0,"",(Q1226-R1226)/Q1226)</f>
        <v/>
      </c>
      <c r="T1226" s="13">
        <f>YEAR(B1226)</f>
        <v/>
      </c>
      <c r="U1226" s="13">
        <f>YEAR(B1226)&amp;"-Q"&amp;ROUNDUP(MONTH(B1226)/3,0)</f>
        <v/>
      </c>
      <c r="V1226" s="13">
        <f>TEXT(B1226,"YYYY-MM")</f>
        <v/>
      </c>
      <c r="W1226" s="13">
        <f>IF(L1226="","",IF(L1226&gt;pLateDays,1,0))</f>
        <v/>
      </c>
      <c r="X1226" s="13">
        <f>IF(Q1226&gt;=pHighCutoff,1,0)</f>
        <v/>
      </c>
      <c r="Y1226" s="13">
        <f>IF(M1226="Returned",1,0)</f>
        <v/>
      </c>
    </row>
    <row r="1227">
      <c r="A1227" s="13" t="inlineStr">
        <is>
          <t>HC-101225</t>
        </is>
      </c>
      <c r="B1227" s="18" t="n">
        <v>45547</v>
      </c>
      <c r="C1227" s="13" t="inlineStr">
        <is>
          <t>South</t>
        </is>
      </c>
      <c r="D1227" s="13" t="inlineStr">
        <is>
          <t>Store</t>
        </is>
      </c>
      <c r="E1227" s="13" t="inlineStr">
        <is>
          <t>Textiles</t>
        </is>
      </c>
      <c r="F1227" s="13" t="inlineStr">
        <is>
          <t>Cotton Duvet</t>
        </is>
      </c>
      <c r="G1227" s="13" t="inlineStr">
        <is>
          <t>Consumer</t>
        </is>
      </c>
      <c r="H1227" s="13" t="n">
        <v>1</v>
      </c>
      <c r="I1227" s="14" t="n">
        <v>118.84</v>
      </c>
      <c r="J1227" s="15" t="n">
        <v>0</v>
      </c>
      <c r="K1227" s="14" t="n">
        <v>52.29</v>
      </c>
      <c r="L1227" s="13" t="n">
        <v>7</v>
      </c>
      <c r="M1227" s="13" t="inlineStr">
        <is>
          <t>Completed</t>
        </is>
      </c>
      <c r="N1227" s="13" t="inlineStr">
        <is>
          <t>M. Okonkwo</t>
        </is>
      </c>
      <c r="O1227" s="13" t="inlineStr">
        <is>
          <t>No</t>
        </is>
      </c>
      <c r="P1227" s="14">
        <f>H1227*I1227</f>
        <v/>
      </c>
      <c r="Q1227" s="14">
        <f>P1227*(1-J1227)</f>
        <v/>
      </c>
      <c r="R1227" s="14">
        <f>H1227*K1227</f>
        <v/>
      </c>
      <c r="S1227" s="15">
        <f>IF(Q1227=0,"",(Q1227-R1227)/Q1227)</f>
        <v/>
      </c>
      <c r="T1227" s="13">
        <f>YEAR(B1227)</f>
        <v/>
      </c>
      <c r="U1227" s="13">
        <f>YEAR(B1227)&amp;"-Q"&amp;ROUNDUP(MONTH(B1227)/3,0)</f>
        <v/>
      </c>
      <c r="V1227" s="13">
        <f>TEXT(B1227,"YYYY-MM")</f>
        <v/>
      </c>
      <c r="W1227" s="13">
        <f>IF(L1227="","",IF(L1227&gt;pLateDays,1,0))</f>
        <v/>
      </c>
      <c r="X1227" s="13">
        <f>IF(Q1227&gt;=pHighCutoff,1,0)</f>
        <v/>
      </c>
      <c r="Y1227" s="13">
        <f>IF(M1227="Returned",1,0)</f>
        <v/>
      </c>
    </row>
    <row r="1228">
      <c r="A1228" s="13" t="inlineStr">
        <is>
          <t>HC-101226</t>
        </is>
      </c>
      <c r="B1228" s="18" t="n">
        <v>45523</v>
      </c>
      <c r="C1228" s="13" t="inlineStr">
        <is>
          <t>North</t>
        </is>
      </c>
      <c r="D1228" s="13" t="inlineStr">
        <is>
          <t>Store</t>
        </is>
      </c>
      <c r="E1228" s="13" t="inlineStr">
        <is>
          <t>Kitchen</t>
        </is>
      </c>
      <c r="F1228" s="13" t="inlineStr">
        <is>
          <t>Cast Skillet</t>
        </is>
      </c>
      <c r="G1228" s="13" t="inlineStr">
        <is>
          <t>Consumer</t>
        </is>
      </c>
      <c r="H1228" s="13" t="n">
        <v>4</v>
      </c>
      <c r="I1228" s="14" t="n">
        <v>54.35</v>
      </c>
      <c r="J1228" s="15" t="n">
        <v>0.06</v>
      </c>
      <c r="K1228" s="14" t="n">
        <v>21.74</v>
      </c>
      <c r="L1228" s="13" t="n">
        <v>4</v>
      </c>
      <c r="M1228" s="13" t="inlineStr">
        <is>
          <t>Completed</t>
        </is>
      </c>
      <c r="N1228" s="13" t="inlineStr">
        <is>
          <t>J. Patel</t>
        </is>
      </c>
      <c r="O1228" s="13" t="inlineStr">
        <is>
          <t>No</t>
        </is>
      </c>
      <c r="P1228" s="14">
        <f>H1228*I1228</f>
        <v/>
      </c>
      <c r="Q1228" s="14">
        <f>P1228*(1-J1228)</f>
        <v/>
      </c>
      <c r="R1228" s="14">
        <f>H1228*K1228</f>
        <v/>
      </c>
      <c r="S1228" s="15">
        <f>IF(Q1228=0,"",(Q1228-R1228)/Q1228)</f>
        <v/>
      </c>
      <c r="T1228" s="13">
        <f>YEAR(B1228)</f>
        <v/>
      </c>
      <c r="U1228" s="13">
        <f>YEAR(B1228)&amp;"-Q"&amp;ROUNDUP(MONTH(B1228)/3,0)</f>
        <v/>
      </c>
      <c r="V1228" s="13">
        <f>TEXT(B1228,"YYYY-MM")</f>
        <v/>
      </c>
      <c r="W1228" s="13">
        <f>IF(L1228="","",IF(L1228&gt;pLateDays,1,0))</f>
        <v/>
      </c>
      <c r="X1228" s="13">
        <f>IF(Q1228&gt;=pHighCutoff,1,0)</f>
        <v/>
      </c>
      <c r="Y1228" s="13">
        <f>IF(M1228="Returned",1,0)</f>
        <v/>
      </c>
    </row>
    <row r="1229">
      <c r="A1229" s="13" t="inlineStr">
        <is>
          <t>HC-101227</t>
        </is>
      </c>
      <c r="B1229" s="18" t="n">
        <v>45617</v>
      </c>
      <c r="C1229" s="13" t="inlineStr">
        <is>
          <t>South</t>
        </is>
      </c>
      <c r="D1229" s="13" t="inlineStr">
        <is>
          <t>Online</t>
        </is>
      </c>
      <c r="E1229" s="13" t="inlineStr">
        <is>
          <t>Furniture</t>
        </is>
      </c>
      <c r="F1229" s="13" t="inlineStr">
        <is>
          <t>Linen Sofa</t>
        </is>
      </c>
      <c r="G1229" s="13" t="inlineStr">
        <is>
          <t>Corporate</t>
        </is>
      </c>
      <c r="H1229" s="13" t="n">
        <v>2</v>
      </c>
      <c r="I1229" s="14" t="n">
        <v>1219.04</v>
      </c>
      <c r="J1229" s="15" t="n">
        <v>0.05</v>
      </c>
      <c r="K1229" s="14" t="n">
        <v>804.5700000000001</v>
      </c>
      <c r="L1229" s="13" t="n">
        <v>11</v>
      </c>
      <c r="M1229" s="13" t="inlineStr">
        <is>
          <t>Completed</t>
        </is>
      </c>
      <c r="N1229" s="13" t="inlineStr">
        <is>
          <t>L. Berger</t>
        </is>
      </c>
      <c r="O1229" s="13" t="inlineStr">
        <is>
          <t>No</t>
        </is>
      </c>
      <c r="P1229" s="14">
        <f>H1229*I1229</f>
        <v/>
      </c>
      <c r="Q1229" s="14">
        <f>P1229*(1-J1229)</f>
        <v/>
      </c>
      <c r="R1229" s="14">
        <f>H1229*K1229</f>
        <v/>
      </c>
      <c r="S1229" s="15">
        <f>IF(Q1229=0,"",(Q1229-R1229)/Q1229)</f>
        <v/>
      </c>
      <c r="T1229" s="13">
        <f>YEAR(B1229)</f>
        <v/>
      </c>
      <c r="U1229" s="13">
        <f>YEAR(B1229)&amp;"-Q"&amp;ROUNDUP(MONTH(B1229)/3,0)</f>
        <v/>
      </c>
      <c r="V1229" s="13">
        <f>TEXT(B1229,"YYYY-MM")</f>
        <v/>
      </c>
      <c r="W1229" s="13">
        <f>IF(L1229="","",IF(L1229&gt;pLateDays,1,0))</f>
        <v/>
      </c>
      <c r="X1229" s="13">
        <f>IF(Q1229&gt;=pHighCutoff,1,0)</f>
        <v/>
      </c>
      <c r="Y1229" s="13">
        <f>IF(M1229="Returned",1,0)</f>
        <v/>
      </c>
    </row>
    <row r="1230">
      <c r="A1230" s="13" t="inlineStr">
        <is>
          <t>HC-101228</t>
        </is>
      </c>
      <c r="B1230" s="18" t="n">
        <v>45704</v>
      </c>
      <c r="C1230" s="13" t="inlineStr">
        <is>
          <t>South</t>
        </is>
      </c>
      <c r="D1230" s="13" t="inlineStr">
        <is>
          <t>Store</t>
        </is>
      </c>
      <c r="E1230" s="13" t="inlineStr">
        <is>
          <t>Kitchen</t>
        </is>
      </c>
      <c r="F1230" s="13" t="inlineStr">
        <is>
          <t>Chef Knife</t>
        </is>
      </c>
      <c r="G1230" s="13" t="inlineStr">
        <is>
          <t>Consumer</t>
        </is>
      </c>
      <c r="H1230" s="13" t="n">
        <v>2</v>
      </c>
      <c r="I1230" s="14" t="n">
        <v>60.92</v>
      </c>
      <c r="J1230" s="15" t="n">
        <v>0.02</v>
      </c>
      <c r="K1230" s="14" t="n">
        <v>21.93</v>
      </c>
      <c r="L1230" s="13" t="n"/>
      <c r="M1230" s="13" t="inlineStr">
        <is>
          <t>Completed</t>
        </is>
      </c>
      <c r="N1230" s="13" t="inlineStr">
        <is>
          <t>L. Berger</t>
        </is>
      </c>
      <c r="O1230" s="13" t="inlineStr">
        <is>
          <t>No</t>
        </is>
      </c>
      <c r="P1230" s="14">
        <f>H1230*I1230</f>
        <v/>
      </c>
      <c r="Q1230" s="14">
        <f>P1230*(1-J1230)</f>
        <v/>
      </c>
      <c r="R1230" s="14">
        <f>H1230*K1230</f>
        <v/>
      </c>
      <c r="S1230" s="15">
        <f>IF(Q1230=0,"",(Q1230-R1230)/Q1230)</f>
        <v/>
      </c>
      <c r="T1230" s="13">
        <f>YEAR(B1230)</f>
        <v/>
      </c>
      <c r="U1230" s="13">
        <f>YEAR(B1230)&amp;"-Q"&amp;ROUNDUP(MONTH(B1230)/3,0)</f>
        <v/>
      </c>
      <c r="V1230" s="13">
        <f>TEXT(B1230,"YYYY-MM")</f>
        <v/>
      </c>
      <c r="W1230" s="13">
        <f>IF(L1230="","",IF(L1230&gt;pLateDays,1,0))</f>
        <v/>
      </c>
      <c r="X1230" s="13">
        <f>IF(Q1230&gt;=pHighCutoff,1,0)</f>
        <v/>
      </c>
      <c r="Y1230" s="13">
        <f>IF(M1230="Returned",1,0)</f>
        <v/>
      </c>
    </row>
    <row r="1231">
      <c r="A1231" s="13" t="inlineStr">
        <is>
          <t>HC-101229</t>
        </is>
      </c>
      <c r="B1231" s="18" t="n">
        <v>45500</v>
      </c>
      <c r="C1231" s="13" t="inlineStr">
        <is>
          <t>South</t>
        </is>
      </c>
      <c r="D1231" s="13" t="inlineStr">
        <is>
          <t>Store</t>
        </is>
      </c>
      <c r="E1231" s="13" t="inlineStr">
        <is>
          <t>Kitchen</t>
        </is>
      </c>
      <c r="F1231" s="13" t="inlineStr">
        <is>
          <t>Ceramic Set</t>
        </is>
      </c>
      <c r="G1231" s="13" t="inlineStr">
        <is>
          <t>Corporate</t>
        </is>
      </c>
      <c r="H1231" s="13" t="n">
        <v>2</v>
      </c>
      <c r="I1231" s="14" t="n">
        <v>87.48999999999999</v>
      </c>
      <c r="J1231" s="15" t="n">
        <v>0.02</v>
      </c>
      <c r="K1231" s="14" t="n">
        <v>33.24</v>
      </c>
      <c r="L1231" s="13" t="n">
        <v>6</v>
      </c>
      <c r="M1231" s="13" t="inlineStr">
        <is>
          <t>Completed</t>
        </is>
      </c>
      <c r="N1231" s="13" t="inlineStr">
        <is>
          <t>P. Rossi</t>
        </is>
      </c>
      <c r="O1231" s="13" t="inlineStr">
        <is>
          <t>No</t>
        </is>
      </c>
      <c r="P1231" s="14">
        <f>H1231*I1231</f>
        <v/>
      </c>
      <c r="Q1231" s="14">
        <f>P1231*(1-J1231)</f>
        <v/>
      </c>
      <c r="R1231" s="14">
        <f>H1231*K1231</f>
        <v/>
      </c>
      <c r="S1231" s="15">
        <f>IF(Q1231=0,"",(Q1231-R1231)/Q1231)</f>
        <v/>
      </c>
      <c r="T1231" s="13">
        <f>YEAR(B1231)</f>
        <v/>
      </c>
      <c r="U1231" s="13">
        <f>YEAR(B1231)&amp;"-Q"&amp;ROUNDUP(MONTH(B1231)/3,0)</f>
        <v/>
      </c>
      <c r="V1231" s="13">
        <f>TEXT(B1231,"YYYY-MM")</f>
        <v/>
      </c>
      <c r="W1231" s="13">
        <f>IF(L1231="","",IF(L1231&gt;pLateDays,1,0))</f>
        <v/>
      </c>
      <c r="X1231" s="13">
        <f>IF(Q1231&gt;=pHighCutoff,1,0)</f>
        <v/>
      </c>
      <c r="Y1231" s="13">
        <f>IF(M1231="Returned",1,0)</f>
        <v/>
      </c>
    </row>
    <row r="1232">
      <c r="A1232" s="13" t="inlineStr">
        <is>
          <t>HC-101230</t>
        </is>
      </c>
      <c r="B1232" s="18" t="n">
        <v>45593</v>
      </c>
      <c r="C1232" s="13" t="inlineStr">
        <is>
          <t>North</t>
        </is>
      </c>
      <c r="D1232" s="13" t="inlineStr">
        <is>
          <t>Online</t>
        </is>
      </c>
      <c r="E1232" s="13" t="inlineStr">
        <is>
          <t>Furniture</t>
        </is>
      </c>
      <c r="F1232" s="13" t="inlineStr">
        <is>
          <t>Walnut Shelf</t>
        </is>
      </c>
      <c r="G1232" s="13" t="inlineStr">
        <is>
          <t>Corporate</t>
        </is>
      </c>
      <c r="H1232" s="13" t="n">
        <v>3</v>
      </c>
      <c r="I1232" s="14" t="n">
        <v>208.47</v>
      </c>
      <c r="J1232" s="15" t="n">
        <v>0.09</v>
      </c>
      <c r="K1232" s="14" t="n">
        <v>114.66</v>
      </c>
      <c r="L1232" s="13" t="n">
        <v>7</v>
      </c>
      <c r="M1232" s="13" t="inlineStr">
        <is>
          <t>Returned</t>
        </is>
      </c>
      <c r="N1232" s="13" t="inlineStr">
        <is>
          <t>A. Shah</t>
        </is>
      </c>
      <c r="O1232" s="13" t="inlineStr">
        <is>
          <t>No</t>
        </is>
      </c>
      <c r="P1232" s="14">
        <f>H1232*I1232</f>
        <v/>
      </c>
      <c r="Q1232" s="14">
        <f>P1232*(1-J1232)</f>
        <v/>
      </c>
      <c r="R1232" s="14">
        <f>H1232*K1232</f>
        <v/>
      </c>
      <c r="S1232" s="15">
        <f>IF(Q1232=0,"",(Q1232-R1232)/Q1232)</f>
        <v/>
      </c>
      <c r="T1232" s="13">
        <f>YEAR(B1232)</f>
        <v/>
      </c>
      <c r="U1232" s="13">
        <f>YEAR(B1232)&amp;"-Q"&amp;ROUNDUP(MONTH(B1232)/3,0)</f>
        <v/>
      </c>
      <c r="V1232" s="13">
        <f>TEXT(B1232,"YYYY-MM")</f>
        <v/>
      </c>
      <c r="W1232" s="13">
        <f>IF(L1232="","",IF(L1232&gt;pLateDays,1,0))</f>
        <v/>
      </c>
      <c r="X1232" s="13">
        <f>IF(Q1232&gt;=pHighCutoff,1,0)</f>
        <v/>
      </c>
      <c r="Y1232" s="13">
        <f>IF(M1232="Returned",1,0)</f>
        <v/>
      </c>
    </row>
    <row r="1233">
      <c r="A1233" s="13" t="inlineStr">
        <is>
          <t>HC-101231</t>
        </is>
      </c>
      <c r="B1233" s="18" t="n">
        <v>45310</v>
      </c>
      <c r="C1233" s="13" t="inlineStr">
        <is>
          <t>North</t>
        </is>
      </c>
      <c r="D1233" s="13" t="inlineStr">
        <is>
          <t>Store</t>
        </is>
      </c>
      <c r="E1233" s="13" t="inlineStr">
        <is>
          <t>Textiles</t>
        </is>
      </c>
      <c r="F1233" s="13" t="inlineStr">
        <is>
          <t>Cotton Duvet</t>
        </is>
      </c>
      <c r="G1233" s="13" t="inlineStr">
        <is>
          <t>Unknown</t>
        </is>
      </c>
      <c r="H1233" s="13" t="n">
        <v>3</v>
      </c>
      <c r="I1233" s="14" t="n">
        <v>114.81</v>
      </c>
      <c r="J1233" s="15" t="n">
        <v>0.02</v>
      </c>
      <c r="K1233" s="14" t="n">
        <v>50.52</v>
      </c>
      <c r="L1233" s="13" t="n">
        <v>5</v>
      </c>
      <c r="M1233" s="13" t="inlineStr">
        <is>
          <t>Completed</t>
        </is>
      </c>
      <c r="N1233" s="13" t="inlineStr">
        <is>
          <t>J. Patel</t>
        </is>
      </c>
      <c r="O1233" s="13" t="inlineStr">
        <is>
          <t>No</t>
        </is>
      </c>
      <c r="P1233" s="14">
        <f>H1233*I1233</f>
        <v/>
      </c>
      <c r="Q1233" s="14">
        <f>P1233*(1-J1233)</f>
        <v/>
      </c>
      <c r="R1233" s="14">
        <f>H1233*K1233</f>
        <v/>
      </c>
      <c r="S1233" s="15">
        <f>IF(Q1233=0,"",(Q1233-R1233)/Q1233)</f>
        <v/>
      </c>
      <c r="T1233" s="13">
        <f>YEAR(B1233)</f>
        <v/>
      </c>
      <c r="U1233" s="13">
        <f>YEAR(B1233)&amp;"-Q"&amp;ROUNDUP(MONTH(B1233)/3,0)</f>
        <v/>
      </c>
      <c r="V1233" s="13">
        <f>TEXT(B1233,"YYYY-MM")</f>
        <v/>
      </c>
      <c r="W1233" s="13">
        <f>IF(L1233="","",IF(L1233&gt;pLateDays,1,0))</f>
        <v/>
      </c>
      <c r="X1233" s="13">
        <f>IF(Q1233&gt;=pHighCutoff,1,0)</f>
        <v/>
      </c>
      <c r="Y1233" s="13">
        <f>IF(M1233="Returned",1,0)</f>
        <v/>
      </c>
    </row>
    <row r="1234">
      <c r="A1234" s="13" t="inlineStr">
        <is>
          <t>HC-101232</t>
        </is>
      </c>
      <c r="B1234" s="18" t="n">
        <v>45745</v>
      </c>
      <c r="C1234" s="13" t="inlineStr">
        <is>
          <t>West</t>
        </is>
      </c>
      <c r="D1234" s="13" t="inlineStr">
        <is>
          <t>Online</t>
        </is>
      </c>
      <c r="E1234" s="13" t="inlineStr">
        <is>
          <t>Kitchen</t>
        </is>
      </c>
      <c r="F1234" s="13" t="inlineStr">
        <is>
          <t>Cast Skillet</t>
        </is>
      </c>
      <c r="G1234" s="13" t="inlineStr">
        <is>
          <t>Corporate</t>
        </is>
      </c>
      <c r="H1234" s="13" t="n">
        <v>1</v>
      </c>
      <c r="I1234" s="14" t="n">
        <v>55.36</v>
      </c>
      <c r="J1234" s="15" t="n">
        <v>0.08</v>
      </c>
      <c r="K1234" s="14" t="n">
        <v>22.14</v>
      </c>
      <c r="L1234" s="13" t="n">
        <v>5</v>
      </c>
      <c r="M1234" s="13" t="inlineStr">
        <is>
          <t>Returned</t>
        </is>
      </c>
      <c r="N1234" s="13" t="inlineStr">
        <is>
          <t>P. Rossi</t>
        </is>
      </c>
      <c r="O1234" s="13" t="inlineStr">
        <is>
          <t>No</t>
        </is>
      </c>
      <c r="P1234" s="14">
        <f>H1234*I1234</f>
        <v/>
      </c>
      <c r="Q1234" s="14">
        <f>P1234*(1-J1234)</f>
        <v/>
      </c>
      <c r="R1234" s="14">
        <f>H1234*K1234</f>
        <v/>
      </c>
      <c r="S1234" s="15">
        <f>IF(Q1234=0,"",(Q1234-R1234)/Q1234)</f>
        <v/>
      </c>
      <c r="T1234" s="13">
        <f>YEAR(B1234)</f>
        <v/>
      </c>
      <c r="U1234" s="13">
        <f>YEAR(B1234)&amp;"-Q"&amp;ROUNDUP(MONTH(B1234)/3,0)</f>
        <v/>
      </c>
      <c r="V1234" s="13">
        <f>TEXT(B1234,"YYYY-MM")</f>
        <v/>
      </c>
      <c r="W1234" s="13">
        <f>IF(L1234="","",IF(L1234&gt;pLateDays,1,0))</f>
        <v/>
      </c>
      <c r="X1234" s="13">
        <f>IF(Q1234&gt;=pHighCutoff,1,0)</f>
        <v/>
      </c>
      <c r="Y1234" s="13">
        <f>IF(M1234="Returned",1,0)</f>
        <v/>
      </c>
    </row>
    <row r="1235">
      <c r="A1235" s="13" t="inlineStr">
        <is>
          <t>HC-101233</t>
        </is>
      </c>
      <c r="B1235" s="18" t="n">
        <v>45683</v>
      </c>
      <c r="C1235" s="13" t="inlineStr">
        <is>
          <t>North</t>
        </is>
      </c>
      <c r="D1235" s="13" t="inlineStr">
        <is>
          <t>Store</t>
        </is>
      </c>
      <c r="E1235" s="13" t="inlineStr">
        <is>
          <t>Kitchen</t>
        </is>
      </c>
      <c r="F1235" s="13" t="inlineStr">
        <is>
          <t>Chef Knife</t>
        </is>
      </c>
      <c r="G1235" s="13" t="inlineStr">
        <is>
          <t>Consumer</t>
        </is>
      </c>
      <c r="H1235" s="13" t="n">
        <v>2</v>
      </c>
      <c r="I1235" s="14" t="n">
        <v>63.93</v>
      </c>
      <c r="J1235" s="15" t="n">
        <v>0.11</v>
      </c>
      <c r="K1235" s="14" t="n">
        <v>23.01</v>
      </c>
      <c r="L1235" s="13" t="n">
        <v>6</v>
      </c>
      <c r="M1235" s="13" t="inlineStr">
        <is>
          <t>Completed</t>
        </is>
      </c>
      <c r="N1235" s="13" t="inlineStr">
        <is>
          <t>J. Patel</t>
        </is>
      </c>
      <c r="O1235" s="13" t="inlineStr">
        <is>
          <t>No</t>
        </is>
      </c>
      <c r="P1235" s="14">
        <f>H1235*I1235</f>
        <v/>
      </c>
      <c r="Q1235" s="14">
        <f>P1235*(1-J1235)</f>
        <v/>
      </c>
      <c r="R1235" s="14">
        <f>H1235*K1235</f>
        <v/>
      </c>
      <c r="S1235" s="15">
        <f>IF(Q1235=0,"",(Q1235-R1235)/Q1235)</f>
        <v/>
      </c>
      <c r="T1235" s="13">
        <f>YEAR(B1235)</f>
        <v/>
      </c>
      <c r="U1235" s="13">
        <f>YEAR(B1235)&amp;"-Q"&amp;ROUNDUP(MONTH(B1235)/3,0)</f>
        <v/>
      </c>
      <c r="V1235" s="13">
        <f>TEXT(B1235,"YYYY-MM")</f>
        <v/>
      </c>
      <c r="W1235" s="13">
        <f>IF(L1235="","",IF(L1235&gt;pLateDays,1,0))</f>
        <v/>
      </c>
      <c r="X1235" s="13">
        <f>IF(Q1235&gt;=pHighCutoff,1,0)</f>
        <v/>
      </c>
      <c r="Y1235" s="13">
        <f>IF(M1235="Returned",1,0)</f>
        <v/>
      </c>
    </row>
    <row r="1236">
      <c r="A1236" s="13" t="inlineStr">
        <is>
          <t>HC-101234</t>
        </is>
      </c>
      <c r="B1236" s="18" t="n">
        <v>45710</v>
      </c>
      <c r="C1236" s="13" t="inlineStr">
        <is>
          <t>West</t>
        </is>
      </c>
      <c r="D1236" s="13" t="inlineStr">
        <is>
          <t>Online</t>
        </is>
      </c>
      <c r="E1236" s="13" t="inlineStr">
        <is>
          <t>Furniture</t>
        </is>
      </c>
      <c r="F1236" s="13" t="inlineStr">
        <is>
          <t>Linen Sofa</t>
        </is>
      </c>
      <c r="G1236" s="13" t="inlineStr">
        <is>
          <t>Corporate</t>
        </is>
      </c>
      <c r="H1236" s="13" t="n">
        <v>3</v>
      </c>
      <c r="I1236" s="14" t="n">
        <v>1269.55</v>
      </c>
      <c r="J1236" s="15" t="n">
        <v>0.09</v>
      </c>
      <c r="K1236" s="14" t="n">
        <v>837.9</v>
      </c>
      <c r="L1236" s="13" t="n">
        <v>7</v>
      </c>
      <c r="M1236" s="13" t="inlineStr">
        <is>
          <t>Completed</t>
        </is>
      </c>
      <c r="N1236" s="13" t="inlineStr">
        <is>
          <t>K. Mensah</t>
        </is>
      </c>
      <c r="O1236" s="13" t="inlineStr">
        <is>
          <t>No</t>
        </is>
      </c>
      <c r="P1236" s="14">
        <f>H1236*I1236</f>
        <v/>
      </c>
      <c r="Q1236" s="14">
        <f>P1236*(1-J1236)</f>
        <v/>
      </c>
      <c r="R1236" s="14">
        <f>H1236*K1236</f>
        <v/>
      </c>
      <c r="S1236" s="15">
        <f>IF(Q1236=0,"",(Q1236-R1236)/Q1236)</f>
        <v/>
      </c>
      <c r="T1236" s="13">
        <f>YEAR(B1236)</f>
        <v/>
      </c>
      <c r="U1236" s="13">
        <f>YEAR(B1236)&amp;"-Q"&amp;ROUNDUP(MONTH(B1236)/3,0)</f>
        <v/>
      </c>
      <c r="V1236" s="13">
        <f>TEXT(B1236,"YYYY-MM")</f>
        <v/>
      </c>
      <c r="W1236" s="13">
        <f>IF(L1236="","",IF(L1236&gt;pLateDays,1,0))</f>
        <v/>
      </c>
      <c r="X1236" s="13">
        <f>IF(Q1236&gt;=pHighCutoff,1,0)</f>
        <v/>
      </c>
      <c r="Y1236" s="13">
        <f>IF(M1236="Returned",1,0)</f>
        <v/>
      </c>
    </row>
    <row r="1237">
      <c r="A1237" s="13" t="inlineStr">
        <is>
          <t>HC-101235</t>
        </is>
      </c>
      <c r="B1237" s="18" t="n">
        <v>45323</v>
      </c>
      <c r="C1237" s="13" t="inlineStr">
        <is>
          <t>North</t>
        </is>
      </c>
      <c r="D1237" s="13" t="inlineStr">
        <is>
          <t>Store</t>
        </is>
      </c>
      <c r="E1237" s="13" t="inlineStr">
        <is>
          <t>Textiles</t>
        </is>
      </c>
      <c r="F1237" s="13" t="inlineStr">
        <is>
          <t>Linen Curtain</t>
        </is>
      </c>
      <c r="G1237" s="13" t="inlineStr">
        <is>
          <t>Consumer</t>
        </is>
      </c>
      <c r="H1237" s="13" t="n">
        <v>2</v>
      </c>
      <c r="I1237" s="14" t="n">
        <v>93.61</v>
      </c>
      <c r="J1237" s="15" t="n">
        <v>0.03</v>
      </c>
      <c r="K1237" s="14" t="n">
        <v>42.13</v>
      </c>
      <c r="L1237" s="13" t="n">
        <v>5</v>
      </c>
      <c r="M1237" s="13" t="inlineStr">
        <is>
          <t>Completed</t>
        </is>
      </c>
      <c r="N1237" s="13" t="inlineStr">
        <is>
          <t>J. Patel</t>
        </is>
      </c>
      <c r="O1237" s="13" t="inlineStr">
        <is>
          <t>No</t>
        </is>
      </c>
      <c r="P1237" s="14">
        <f>H1237*I1237</f>
        <v/>
      </c>
      <c r="Q1237" s="14">
        <f>P1237*(1-J1237)</f>
        <v/>
      </c>
      <c r="R1237" s="14">
        <f>H1237*K1237</f>
        <v/>
      </c>
      <c r="S1237" s="15">
        <f>IF(Q1237=0,"",(Q1237-R1237)/Q1237)</f>
        <v/>
      </c>
      <c r="T1237" s="13">
        <f>YEAR(B1237)</f>
        <v/>
      </c>
      <c r="U1237" s="13">
        <f>YEAR(B1237)&amp;"-Q"&amp;ROUNDUP(MONTH(B1237)/3,0)</f>
        <v/>
      </c>
      <c r="V1237" s="13">
        <f>TEXT(B1237,"YYYY-MM")</f>
        <v/>
      </c>
      <c r="W1237" s="13">
        <f>IF(L1237="","",IF(L1237&gt;pLateDays,1,0))</f>
        <v/>
      </c>
      <c r="X1237" s="13">
        <f>IF(Q1237&gt;=pHighCutoff,1,0)</f>
        <v/>
      </c>
      <c r="Y1237" s="13">
        <f>IF(M1237="Returned",1,0)</f>
        <v/>
      </c>
    </row>
    <row r="1238">
      <c r="A1238" s="13" t="inlineStr">
        <is>
          <t>HC-101236</t>
        </is>
      </c>
      <c r="B1238" s="18" t="n">
        <v>45399</v>
      </c>
      <c r="C1238" s="13" t="inlineStr">
        <is>
          <t>North</t>
        </is>
      </c>
      <c r="D1238" s="13" t="inlineStr">
        <is>
          <t>Store</t>
        </is>
      </c>
      <c r="E1238" s="13" t="inlineStr">
        <is>
          <t>Textiles</t>
        </is>
      </c>
      <c r="F1238" s="13" t="inlineStr">
        <is>
          <t>Cotton Duvet</t>
        </is>
      </c>
      <c r="G1238" s="13" t="inlineStr">
        <is>
          <t>Consumer</t>
        </is>
      </c>
      <c r="H1238" s="13" t="n">
        <v>1</v>
      </c>
      <c r="I1238" s="14" t="n">
        <v>125.6</v>
      </c>
      <c r="J1238" s="15" t="n">
        <v>0.03</v>
      </c>
      <c r="K1238" s="14" t="n">
        <v>55.26</v>
      </c>
      <c r="L1238" s="13" t="n">
        <v>3</v>
      </c>
      <c r="M1238" s="13" t="inlineStr">
        <is>
          <t>Completed</t>
        </is>
      </c>
      <c r="N1238" s="13" t="inlineStr">
        <is>
          <t>K. Mensah</t>
        </is>
      </c>
      <c r="O1238" s="13" t="inlineStr">
        <is>
          <t>No</t>
        </is>
      </c>
      <c r="P1238" s="14">
        <f>H1238*I1238</f>
        <v/>
      </c>
      <c r="Q1238" s="14">
        <f>P1238*(1-J1238)</f>
        <v/>
      </c>
      <c r="R1238" s="14">
        <f>H1238*K1238</f>
        <v/>
      </c>
      <c r="S1238" s="15">
        <f>IF(Q1238=0,"",(Q1238-R1238)/Q1238)</f>
        <v/>
      </c>
      <c r="T1238" s="13">
        <f>YEAR(B1238)</f>
        <v/>
      </c>
      <c r="U1238" s="13">
        <f>YEAR(B1238)&amp;"-Q"&amp;ROUNDUP(MONTH(B1238)/3,0)</f>
        <v/>
      </c>
      <c r="V1238" s="13">
        <f>TEXT(B1238,"YYYY-MM")</f>
        <v/>
      </c>
      <c r="W1238" s="13">
        <f>IF(L1238="","",IF(L1238&gt;pLateDays,1,0))</f>
        <v/>
      </c>
      <c r="X1238" s="13">
        <f>IF(Q1238&gt;=pHighCutoff,1,0)</f>
        <v/>
      </c>
      <c r="Y1238" s="13">
        <f>IF(M1238="Returned",1,0)</f>
        <v/>
      </c>
    </row>
    <row r="1239">
      <c r="A1239" s="13" t="inlineStr">
        <is>
          <t>HC-101237</t>
        </is>
      </c>
      <c r="B1239" s="18" t="n">
        <v>45651</v>
      </c>
      <c r="C1239" s="13" t="inlineStr">
        <is>
          <t>South</t>
        </is>
      </c>
      <c r="D1239" s="13" t="inlineStr">
        <is>
          <t>Wholesale</t>
        </is>
      </c>
      <c r="E1239" s="13" t="inlineStr">
        <is>
          <t>Kitchen</t>
        </is>
      </c>
      <c r="F1239" s="13" t="inlineStr">
        <is>
          <t>Chef Knife</t>
        </is>
      </c>
      <c r="G1239" s="13" t="inlineStr">
        <is>
          <t>Corporate</t>
        </is>
      </c>
      <c r="H1239" s="13" t="n">
        <v>16</v>
      </c>
      <c r="I1239" s="14" t="n">
        <v>62.73</v>
      </c>
      <c r="J1239" s="15" t="n">
        <v>0.25</v>
      </c>
      <c r="K1239" s="14" t="n">
        <v>22.58</v>
      </c>
      <c r="L1239" s="13" t="n">
        <v>8</v>
      </c>
      <c r="M1239" s="13" t="inlineStr">
        <is>
          <t>Completed</t>
        </is>
      </c>
      <c r="N1239" s="13" t="inlineStr">
        <is>
          <t>J. Patel</t>
        </is>
      </c>
      <c r="O1239" s="13" t="inlineStr">
        <is>
          <t>No</t>
        </is>
      </c>
      <c r="P1239" s="14">
        <f>H1239*I1239</f>
        <v/>
      </c>
      <c r="Q1239" s="14">
        <f>P1239*(1-J1239)</f>
        <v/>
      </c>
      <c r="R1239" s="14">
        <f>H1239*K1239</f>
        <v/>
      </c>
      <c r="S1239" s="15">
        <f>IF(Q1239=0,"",(Q1239-R1239)/Q1239)</f>
        <v/>
      </c>
      <c r="T1239" s="13">
        <f>YEAR(B1239)</f>
        <v/>
      </c>
      <c r="U1239" s="13">
        <f>YEAR(B1239)&amp;"-Q"&amp;ROUNDUP(MONTH(B1239)/3,0)</f>
        <v/>
      </c>
      <c r="V1239" s="13">
        <f>TEXT(B1239,"YYYY-MM")</f>
        <v/>
      </c>
      <c r="W1239" s="13">
        <f>IF(L1239="","",IF(L1239&gt;pLateDays,1,0))</f>
        <v/>
      </c>
      <c r="X1239" s="13">
        <f>IF(Q1239&gt;=pHighCutoff,1,0)</f>
        <v/>
      </c>
      <c r="Y1239" s="13">
        <f>IF(M1239="Returned",1,0)</f>
        <v/>
      </c>
    </row>
    <row r="1240">
      <c r="A1240" s="13" t="inlineStr">
        <is>
          <t>HC-101238</t>
        </is>
      </c>
      <c r="B1240" s="18" t="n">
        <v>45497</v>
      </c>
      <c r="C1240" s="13" t="inlineStr">
        <is>
          <t>North</t>
        </is>
      </c>
      <c r="D1240" s="13" t="inlineStr">
        <is>
          <t>Wholesale</t>
        </is>
      </c>
      <c r="E1240" s="13" t="inlineStr">
        <is>
          <t>Textiles</t>
        </is>
      </c>
      <c r="F1240" s="13" t="inlineStr">
        <is>
          <t>Wool Throw</t>
        </is>
      </c>
      <c r="G1240" s="13" t="inlineStr">
        <is>
          <t>Consumer</t>
        </is>
      </c>
      <c r="H1240" s="13" t="n">
        <v>10</v>
      </c>
      <c r="I1240" s="14" t="n">
        <v>71.88</v>
      </c>
      <c r="J1240" s="15" t="n">
        <v>0.2</v>
      </c>
      <c r="K1240" s="14" t="n">
        <v>30.19</v>
      </c>
      <c r="L1240" s="13" t="n">
        <v>2</v>
      </c>
      <c r="M1240" s="13" t="inlineStr">
        <is>
          <t>Completed</t>
        </is>
      </c>
      <c r="N1240" s="13" t="inlineStr">
        <is>
          <t>J. Patel</t>
        </is>
      </c>
      <c r="O1240" s="13" t="inlineStr">
        <is>
          <t>No</t>
        </is>
      </c>
      <c r="P1240" s="14">
        <f>H1240*I1240</f>
        <v/>
      </c>
      <c r="Q1240" s="14">
        <f>P1240*(1-J1240)</f>
        <v/>
      </c>
      <c r="R1240" s="14">
        <f>H1240*K1240</f>
        <v/>
      </c>
      <c r="S1240" s="15">
        <f>IF(Q1240=0,"",(Q1240-R1240)/Q1240)</f>
        <v/>
      </c>
      <c r="T1240" s="13">
        <f>YEAR(B1240)</f>
        <v/>
      </c>
      <c r="U1240" s="13">
        <f>YEAR(B1240)&amp;"-Q"&amp;ROUNDUP(MONTH(B1240)/3,0)</f>
        <v/>
      </c>
      <c r="V1240" s="13">
        <f>TEXT(B1240,"YYYY-MM")</f>
        <v/>
      </c>
      <c r="W1240" s="13">
        <f>IF(L1240="","",IF(L1240&gt;pLateDays,1,0))</f>
        <v/>
      </c>
      <c r="X1240" s="13">
        <f>IF(Q1240&gt;=pHighCutoff,1,0)</f>
        <v/>
      </c>
      <c r="Y1240" s="13">
        <f>IF(M1240="Returned",1,0)</f>
        <v/>
      </c>
    </row>
    <row r="1241">
      <c r="A1241" s="13" t="inlineStr">
        <is>
          <t>HC-101239</t>
        </is>
      </c>
      <c r="B1241" s="18" t="n">
        <v>45302</v>
      </c>
      <c r="C1241" s="13" t="inlineStr">
        <is>
          <t>West</t>
        </is>
      </c>
      <c r="D1241" s="13" t="inlineStr">
        <is>
          <t>Online</t>
        </is>
      </c>
      <c r="E1241" s="13" t="inlineStr">
        <is>
          <t>Furniture</t>
        </is>
      </c>
      <c r="F1241" s="13" t="inlineStr">
        <is>
          <t>Linen Sofa</t>
        </is>
      </c>
      <c r="G1241" s="13" t="inlineStr">
        <is>
          <t>Consumer</t>
        </is>
      </c>
      <c r="H1241" s="13" t="n">
        <v>2</v>
      </c>
      <c r="I1241" s="14" t="n">
        <v>1346.74</v>
      </c>
      <c r="J1241" s="15" t="n">
        <v>0.05</v>
      </c>
      <c r="K1241" s="14" t="n">
        <v>888.85</v>
      </c>
      <c r="L1241" s="13" t="n">
        <v>6</v>
      </c>
      <c r="M1241" s="13" t="inlineStr">
        <is>
          <t>Completed</t>
        </is>
      </c>
      <c r="N1241" s="13" t="inlineStr">
        <is>
          <t>A. Shah</t>
        </is>
      </c>
      <c r="O1241" s="13" t="inlineStr">
        <is>
          <t>No</t>
        </is>
      </c>
      <c r="P1241" s="14">
        <f>H1241*I1241</f>
        <v/>
      </c>
      <c r="Q1241" s="14">
        <f>P1241*(1-J1241)</f>
        <v/>
      </c>
      <c r="R1241" s="14">
        <f>H1241*K1241</f>
        <v/>
      </c>
      <c r="S1241" s="15">
        <f>IF(Q1241=0,"",(Q1241-R1241)/Q1241)</f>
        <v/>
      </c>
      <c r="T1241" s="13">
        <f>YEAR(B1241)</f>
        <v/>
      </c>
      <c r="U1241" s="13">
        <f>YEAR(B1241)&amp;"-Q"&amp;ROUNDUP(MONTH(B1241)/3,0)</f>
        <v/>
      </c>
      <c r="V1241" s="13">
        <f>TEXT(B1241,"YYYY-MM")</f>
        <v/>
      </c>
      <c r="W1241" s="13">
        <f>IF(L1241="","",IF(L1241&gt;pLateDays,1,0))</f>
        <v/>
      </c>
      <c r="X1241" s="13">
        <f>IF(Q1241&gt;=pHighCutoff,1,0)</f>
        <v/>
      </c>
      <c r="Y1241" s="13">
        <f>IF(M1241="Returned",1,0)</f>
        <v/>
      </c>
    </row>
    <row r="1242">
      <c r="A1242" s="13" t="inlineStr">
        <is>
          <t>HC-101240</t>
        </is>
      </c>
      <c r="B1242" s="18" t="n">
        <v>45550</v>
      </c>
      <c r="C1242" s="13" t="inlineStr">
        <is>
          <t>West</t>
        </is>
      </c>
      <c r="D1242" s="13" t="inlineStr">
        <is>
          <t>Online</t>
        </is>
      </c>
      <c r="E1242" s="13" t="inlineStr">
        <is>
          <t>Textiles</t>
        </is>
      </c>
      <c r="F1242" s="13" t="inlineStr">
        <is>
          <t>Cotton Duvet</t>
        </is>
      </c>
      <c r="G1242" s="13" t="inlineStr">
        <is>
          <t>Corporate</t>
        </is>
      </c>
      <c r="H1242" s="13" t="n">
        <v>2</v>
      </c>
      <c r="I1242" s="14" t="n">
        <v>128.04</v>
      </c>
      <c r="J1242" s="15" t="n">
        <v>0.15</v>
      </c>
      <c r="K1242" s="14" t="n">
        <v>56.34</v>
      </c>
      <c r="L1242" s="13" t="n">
        <v>6</v>
      </c>
      <c r="M1242" s="13" t="inlineStr">
        <is>
          <t>Completed</t>
        </is>
      </c>
      <c r="N1242" s="13" t="inlineStr">
        <is>
          <t>R. Ibarra</t>
        </is>
      </c>
      <c r="O1242" s="13" t="inlineStr">
        <is>
          <t>No</t>
        </is>
      </c>
      <c r="P1242" s="14">
        <f>H1242*I1242</f>
        <v/>
      </c>
      <c r="Q1242" s="14">
        <f>P1242*(1-J1242)</f>
        <v/>
      </c>
      <c r="R1242" s="14">
        <f>H1242*K1242</f>
        <v/>
      </c>
      <c r="S1242" s="15">
        <f>IF(Q1242=0,"",(Q1242-R1242)/Q1242)</f>
        <v/>
      </c>
      <c r="T1242" s="13">
        <f>YEAR(B1242)</f>
        <v/>
      </c>
      <c r="U1242" s="13">
        <f>YEAR(B1242)&amp;"-Q"&amp;ROUNDUP(MONTH(B1242)/3,0)</f>
        <v/>
      </c>
      <c r="V1242" s="13">
        <f>TEXT(B1242,"YYYY-MM")</f>
        <v/>
      </c>
      <c r="W1242" s="13">
        <f>IF(L1242="","",IF(L1242&gt;pLateDays,1,0))</f>
        <v/>
      </c>
      <c r="X1242" s="13">
        <f>IF(Q1242&gt;=pHighCutoff,1,0)</f>
        <v/>
      </c>
      <c r="Y1242" s="13">
        <f>IF(M1242="Returned",1,0)</f>
        <v/>
      </c>
    </row>
    <row r="1243">
      <c r="A1243" s="13" t="inlineStr">
        <is>
          <t>HC-101241</t>
        </is>
      </c>
      <c r="B1243" s="18" t="n">
        <v>45752</v>
      </c>
      <c r="C1243" s="13" t="inlineStr">
        <is>
          <t>West</t>
        </is>
      </c>
      <c r="D1243" s="13" t="inlineStr">
        <is>
          <t>Online</t>
        </is>
      </c>
      <c r="E1243" s="13" t="inlineStr">
        <is>
          <t>Lighting</t>
        </is>
      </c>
      <c r="F1243" s="13" t="inlineStr">
        <is>
          <t>Arc Lamp</t>
        </is>
      </c>
      <c r="G1243" s="13" t="inlineStr">
        <is>
          <t>Unknown</t>
        </is>
      </c>
      <c r="H1243" s="13" t="n">
        <v>2</v>
      </c>
      <c r="I1243" s="14" t="n">
        <v>306.19</v>
      </c>
      <c r="J1243" s="15" t="n">
        <v>0.07000000000000001</v>
      </c>
      <c r="K1243" s="14" t="n">
        <v>146.97</v>
      </c>
      <c r="L1243" s="13" t="n">
        <v>3</v>
      </c>
      <c r="M1243" s="13" t="inlineStr">
        <is>
          <t>Completed</t>
        </is>
      </c>
      <c r="N1243" s="13" t="inlineStr">
        <is>
          <t>R. Ibarra</t>
        </is>
      </c>
      <c r="O1243" s="13" t="inlineStr">
        <is>
          <t>No</t>
        </is>
      </c>
      <c r="P1243" s="14">
        <f>H1243*I1243</f>
        <v/>
      </c>
      <c r="Q1243" s="14">
        <f>P1243*(1-J1243)</f>
        <v/>
      </c>
      <c r="R1243" s="14">
        <f>H1243*K1243</f>
        <v/>
      </c>
      <c r="S1243" s="15">
        <f>IF(Q1243=0,"",(Q1243-R1243)/Q1243)</f>
        <v/>
      </c>
      <c r="T1243" s="13">
        <f>YEAR(B1243)</f>
        <v/>
      </c>
      <c r="U1243" s="13">
        <f>YEAR(B1243)&amp;"-Q"&amp;ROUNDUP(MONTH(B1243)/3,0)</f>
        <v/>
      </c>
      <c r="V1243" s="13">
        <f>TEXT(B1243,"YYYY-MM")</f>
        <v/>
      </c>
      <c r="W1243" s="13">
        <f>IF(L1243="","",IF(L1243&gt;pLateDays,1,0))</f>
        <v/>
      </c>
      <c r="X1243" s="13">
        <f>IF(Q1243&gt;=pHighCutoff,1,0)</f>
        <v/>
      </c>
      <c r="Y1243" s="13">
        <f>IF(M1243="Returned",1,0)</f>
        <v/>
      </c>
    </row>
    <row r="1244">
      <c r="A1244" s="13" t="inlineStr">
        <is>
          <t>HC-101242</t>
        </is>
      </c>
      <c r="B1244" s="18" t="n">
        <v>45693</v>
      </c>
      <c r="C1244" s="13" t="inlineStr">
        <is>
          <t>East</t>
        </is>
      </c>
      <c r="D1244" s="13" t="inlineStr">
        <is>
          <t>Wholesale</t>
        </is>
      </c>
      <c r="E1244" s="13" t="inlineStr">
        <is>
          <t>Lighting</t>
        </is>
      </c>
      <c r="F1244" s="13" t="inlineStr">
        <is>
          <t>Pendant Light</t>
        </is>
      </c>
      <c r="G1244" s="13" t="inlineStr">
        <is>
          <t>Corporate</t>
        </is>
      </c>
      <c r="H1244" s="13" t="n">
        <v>14</v>
      </c>
      <c r="I1244" s="14" t="n">
        <v>172.95</v>
      </c>
      <c r="J1244" s="15" t="n">
        <v>0.19</v>
      </c>
      <c r="K1244" s="14" t="n">
        <v>86.47</v>
      </c>
      <c r="L1244" s="13" t="n">
        <v>10</v>
      </c>
      <c r="M1244" s="13" t="inlineStr">
        <is>
          <t>Completed</t>
        </is>
      </c>
      <c r="N1244" s="13" t="inlineStr">
        <is>
          <t>J. Patel</t>
        </is>
      </c>
      <c r="O1244" s="13" t="inlineStr">
        <is>
          <t>No</t>
        </is>
      </c>
      <c r="P1244" s="14">
        <f>H1244*I1244</f>
        <v/>
      </c>
      <c r="Q1244" s="14">
        <f>P1244*(1-J1244)</f>
        <v/>
      </c>
      <c r="R1244" s="14">
        <f>H1244*K1244</f>
        <v/>
      </c>
      <c r="S1244" s="15">
        <f>IF(Q1244=0,"",(Q1244-R1244)/Q1244)</f>
        <v/>
      </c>
      <c r="T1244" s="13">
        <f>YEAR(B1244)</f>
        <v/>
      </c>
      <c r="U1244" s="13">
        <f>YEAR(B1244)&amp;"-Q"&amp;ROUNDUP(MONTH(B1244)/3,0)</f>
        <v/>
      </c>
      <c r="V1244" s="13">
        <f>TEXT(B1244,"YYYY-MM")</f>
        <v/>
      </c>
      <c r="W1244" s="13">
        <f>IF(L1244="","",IF(L1244&gt;pLateDays,1,0))</f>
        <v/>
      </c>
      <c r="X1244" s="13">
        <f>IF(Q1244&gt;=pHighCutoff,1,0)</f>
        <v/>
      </c>
      <c r="Y1244" s="13">
        <f>IF(M1244="Returned",1,0)</f>
        <v/>
      </c>
    </row>
    <row r="1245">
      <c r="A1245" s="13" t="inlineStr">
        <is>
          <t>HC-101243</t>
        </is>
      </c>
      <c r="B1245" s="18" t="n">
        <v>45807</v>
      </c>
      <c r="C1245" s="13" t="inlineStr">
        <is>
          <t>West</t>
        </is>
      </c>
      <c r="D1245" s="13" t="inlineStr">
        <is>
          <t>Store</t>
        </is>
      </c>
      <c r="E1245" s="13" t="inlineStr">
        <is>
          <t>Kitchen</t>
        </is>
      </c>
      <c r="F1245" s="13" t="inlineStr">
        <is>
          <t>Cast Skillet</t>
        </is>
      </c>
      <c r="G1245" s="13" t="inlineStr">
        <is>
          <t>Consumer</t>
        </is>
      </c>
      <c r="H1245" s="13" t="n">
        <v>4</v>
      </c>
      <c r="I1245" s="14" t="n">
        <v>53.61</v>
      </c>
      <c r="J1245" s="15" t="n">
        <v>0.08</v>
      </c>
      <c r="K1245" s="14" t="n">
        <v>21.44</v>
      </c>
      <c r="L1245" s="13" t="n">
        <v>5</v>
      </c>
      <c r="M1245" s="13" t="inlineStr">
        <is>
          <t>Completed</t>
        </is>
      </c>
      <c r="N1245" s="13" t="inlineStr">
        <is>
          <t>P. Rossi</t>
        </is>
      </c>
      <c r="O1245" s="13" t="inlineStr">
        <is>
          <t>No</t>
        </is>
      </c>
      <c r="P1245" s="14">
        <f>H1245*I1245</f>
        <v/>
      </c>
      <c r="Q1245" s="14">
        <f>P1245*(1-J1245)</f>
        <v/>
      </c>
      <c r="R1245" s="14">
        <f>H1245*K1245</f>
        <v/>
      </c>
      <c r="S1245" s="15">
        <f>IF(Q1245=0,"",(Q1245-R1245)/Q1245)</f>
        <v/>
      </c>
      <c r="T1245" s="13">
        <f>YEAR(B1245)</f>
        <v/>
      </c>
      <c r="U1245" s="13">
        <f>YEAR(B1245)&amp;"-Q"&amp;ROUNDUP(MONTH(B1245)/3,0)</f>
        <v/>
      </c>
      <c r="V1245" s="13">
        <f>TEXT(B1245,"YYYY-MM")</f>
        <v/>
      </c>
      <c r="W1245" s="13">
        <f>IF(L1245="","",IF(L1245&gt;pLateDays,1,0))</f>
        <v/>
      </c>
      <c r="X1245" s="13">
        <f>IF(Q1245&gt;=pHighCutoff,1,0)</f>
        <v/>
      </c>
      <c r="Y1245" s="13">
        <f>IF(M1245="Returned",1,0)</f>
        <v/>
      </c>
    </row>
    <row r="1246">
      <c r="A1246" s="13" t="inlineStr">
        <is>
          <t>HC-101244</t>
        </is>
      </c>
      <c r="B1246" s="18" t="n">
        <v>45765</v>
      </c>
      <c r="C1246" s="13" t="inlineStr">
        <is>
          <t>North</t>
        </is>
      </c>
      <c r="D1246" s="13" t="inlineStr">
        <is>
          <t>Store</t>
        </is>
      </c>
      <c r="E1246" s="13" t="inlineStr">
        <is>
          <t>Kitchen</t>
        </is>
      </c>
      <c r="F1246" s="13" t="inlineStr">
        <is>
          <t>Ceramic Set</t>
        </is>
      </c>
      <c r="G1246" s="13" t="inlineStr">
        <is>
          <t>Consumer</t>
        </is>
      </c>
      <c r="H1246" s="13" t="n">
        <v>3</v>
      </c>
      <c r="I1246" s="14" t="n">
        <v>85.73</v>
      </c>
      <c r="J1246" s="15" t="n">
        <v>0.03</v>
      </c>
      <c r="K1246" s="14" t="n">
        <v>32.58</v>
      </c>
      <c r="L1246" s="13" t="n">
        <v>6</v>
      </c>
      <c r="M1246" s="13" t="inlineStr">
        <is>
          <t>Completed</t>
        </is>
      </c>
      <c r="N1246" s="13" t="inlineStr">
        <is>
          <t>J. Patel</t>
        </is>
      </c>
      <c r="O1246" s="13" t="inlineStr">
        <is>
          <t>No</t>
        </is>
      </c>
      <c r="P1246" s="14">
        <f>H1246*I1246</f>
        <v/>
      </c>
      <c r="Q1246" s="14">
        <f>P1246*(1-J1246)</f>
        <v/>
      </c>
      <c r="R1246" s="14">
        <f>H1246*K1246</f>
        <v/>
      </c>
      <c r="S1246" s="15">
        <f>IF(Q1246=0,"",(Q1246-R1246)/Q1246)</f>
        <v/>
      </c>
      <c r="T1246" s="13">
        <f>YEAR(B1246)</f>
        <v/>
      </c>
      <c r="U1246" s="13">
        <f>YEAR(B1246)&amp;"-Q"&amp;ROUNDUP(MONTH(B1246)/3,0)</f>
        <v/>
      </c>
      <c r="V1246" s="13">
        <f>TEXT(B1246,"YYYY-MM")</f>
        <v/>
      </c>
      <c r="W1246" s="13">
        <f>IF(L1246="","",IF(L1246&gt;pLateDays,1,0))</f>
        <v/>
      </c>
      <c r="X1246" s="13">
        <f>IF(Q1246&gt;=pHighCutoff,1,0)</f>
        <v/>
      </c>
      <c r="Y1246" s="13">
        <f>IF(M1246="Returned",1,0)</f>
        <v/>
      </c>
    </row>
    <row r="1247">
      <c r="A1247" s="13" t="inlineStr">
        <is>
          <t>HC-101245</t>
        </is>
      </c>
      <c r="B1247" s="18" t="n">
        <v>45334</v>
      </c>
      <c r="C1247" s="13" t="inlineStr">
        <is>
          <t>North</t>
        </is>
      </c>
      <c r="D1247" s="13" t="inlineStr">
        <is>
          <t>Online</t>
        </is>
      </c>
      <c r="E1247" s="13" t="inlineStr">
        <is>
          <t>Kitchen</t>
        </is>
      </c>
      <c r="F1247" s="13" t="inlineStr">
        <is>
          <t>Cast Skillet</t>
        </is>
      </c>
      <c r="G1247" s="13" t="inlineStr">
        <is>
          <t>Unknown</t>
        </is>
      </c>
      <c r="H1247" s="13" t="n">
        <v>1</v>
      </c>
      <c r="I1247" s="14" t="n">
        <v>51.74</v>
      </c>
      <c r="J1247" s="15" t="n">
        <v>0.08</v>
      </c>
      <c r="K1247" s="14" t="n">
        <v>20.7</v>
      </c>
      <c r="L1247" s="13" t="n">
        <v>6</v>
      </c>
      <c r="M1247" s="13" t="inlineStr">
        <is>
          <t>Returned</t>
        </is>
      </c>
      <c r="N1247" s="13" t="inlineStr">
        <is>
          <t>P. Rossi</t>
        </is>
      </c>
      <c r="O1247" s="13" t="inlineStr">
        <is>
          <t>No</t>
        </is>
      </c>
      <c r="P1247" s="14">
        <f>H1247*I1247</f>
        <v/>
      </c>
      <c r="Q1247" s="14">
        <f>P1247*(1-J1247)</f>
        <v/>
      </c>
      <c r="R1247" s="14">
        <f>H1247*K1247</f>
        <v/>
      </c>
      <c r="S1247" s="15">
        <f>IF(Q1247=0,"",(Q1247-R1247)/Q1247)</f>
        <v/>
      </c>
      <c r="T1247" s="13">
        <f>YEAR(B1247)</f>
        <v/>
      </c>
      <c r="U1247" s="13">
        <f>YEAR(B1247)&amp;"-Q"&amp;ROUNDUP(MONTH(B1247)/3,0)</f>
        <v/>
      </c>
      <c r="V1247" s="13">
        <f>TEXT(B1247,"YYYY-MM")</f>
        <v/>
      </c>
      <c r="W1247" s="13">
        <f>IF(L1247="","",IF(L1247&gt;pLateDays,1,0))</f>
        <v/>
      </c>
      <c r="X1247" s="13">
        <f>IF(Q1247&gt;=pHighCutoff,1,0)</f>
        <v/>
      </c>
      <c r="Y1247" s="13">
        <f>IF(M1247="Returned",1,0)</f>
        <v/>
      </c>
    </row>
    <row r="1248">
      <c r="A1248" s="13" t="inlineStr">
        <is>
          <t>HC-101246</t>
        </is>
      </c>
      <c r="B1248" s="18" t="n">
        <v>45804</v>
      </c>
      <c r="C1248" s="13" t="inlineStr">
        <is>
          <t>South</t>
        </is>
      </c>
      <c r="D1248" s="13" t="inlineStr">
        <is>
          <t>Online</t>
        </is>
      </c>
      <c r="E1248" s="13" t="inlineStr">
        <is>
          <t>Furniture</t>
        </is>
      </c>
      <c r="F1248" s="13" t="inlineStr">
        <is>
          <t>Lounge Chair</t>
        </is>
      </c>
      <c r="G1248" s="13" t="inlineStr">
        <is>
          <t>Consumer</t>
        </is>
      </c>
      <c r="H1248" s="13" t="n">
        <v>3</v>
      </c>
      <c r="I1248" s="14" t="n">
        <v>507.25</v>
      </c>
      <c r="J1248" s="15" t="n">
        <v>0.13</v>
      </c>
      <c r="K1248" s="14" t="n">
        <v>304.35</v>
      </c>
      <c r="L1248" s="13" t="n">
        <v>6</v>
      </c>
      <c r="M1248" s="13" t="inlineStr">
        <is>
          <t>Completed</t>
        </is>
      </c>
      <c r="N1248" s="13" t="inlineStr">
        <is>
          <t>J. Patel</t>
        </is>
      </c>
      <c r="O1248" s="13" t="inlineStr">
        <is>
          <t>No</t>
        </is>
      </c>
      <c r="P1248" s="14">
        <f>H1248*I1248</f>
        <v/>
      </c>
      <c r="Q1248" s="14">
        <f>P1248*(1-J1248)</f>
        <v/>
      </c>
      <c r="R1248" s="14">
        <f>H1248*K1248</f>
        <v/>
      </c>
      <c r="S1248" s="15">
        <f>IF(Q1248=0,"",(Q1248-R1248)/Q1248)</f>
        <v/>
      </c>
      <c r="T1248" s="13">
        <f>YEAR(B1248)</f>
        <v/>
      </c>
      <c r="U1248" s="13">
        <f>YEAR(B1248)&amp;"-Q"&amp;ROUNDUP(MONTH(B1248)/3,0)</f>
        <v/>
      </c>
      <c r="V1248" s="13">
        <f>TEXT(B1248,"YYYY-MM")</f>
        <v/>
      </c>
      <c r="W1248" s="13">
        <f>IF(L1248="","",IF(L1248&gt;pLateDays,1,0))</f>
        <v/>
      </c>
      <c r="X1248" s="13">
        <f>IF(Q1248&gt;=pHighCutoff,1,0)</f>
        <v/>
      </c>
      <c r="Y1248" s="13">
        <f>IF(M1248="Returned",1,0)</f>
        <v/>
      </c>
    </row>
    <row r="1249">
      <c r="A1249" s="13" t="inlineStr">
        <is>
          <t>HC-101247</t>
        </is>
      </c>
      <c r="B1249" s="18" t="n">
        <v>45608</v>
      </c>
      <c r="C1249" s="13" t="inlineStr">
        <is>
          <t>West</t>
        </is>
      </c>
      <c r="D1249" s="13" t="inlineStr">
        <is>
          <t>Store</t>
        </is>
      </c>
      <c r="E1249" s="13" t="inlineStr">
        <is>
          <t>Furniture</t>
        </is>
      </c>
      <c r="F1249" s="13" t="inlineStr">
        <is>
          <t>Walnut Shelf</t>
        </is>
      </c>
      <c r="G1249" s="13" t="inlineStr">
        <is>
          <t>Consumer</t>
        </is>
      </c>
      <c r="H1249" s="13" t="n">
        <v>2</v>
      </c>
      <c r="I1249" s="14" t="n">
        <v>226.6</v>
      </c>
      <c r="J1249" s="15" t="n">
        <v>0.09</v>
      </c>
      <c r="K1249" s="14" t="n">
        <v>124.63</v>
      </c>
      <c r="L1249" s="13" t="n">
        <v>5</v>
      </c>
      <c r="M1249" s="13" t="inlineStr">
        <is>
          <t>Completed</t>
        </is>
      </c>
      <c r="N1249" s="13" t="inlineStr">
        <is>
          <t>A. Shah</t>
        </is>
      </c>
      <c r="O1249" s="13" t="inlineStr">
        <is>
          <t>No</t>
        </is>
      </c>
      <c r="P1249" s="14">
        <f>H1249*I1249</f>
        <v/>
      </c>
      <c r="Q1249" s="14">
        <f>P1249*(1-J1249)</f>
        <v/>
      </c>
      <c r="R1249" s="14">
        <f>H1249*K1249</f>
        <v/>
      </c>
      <c r="S1249" s="15">
        <f>IF(Q1249=0,"",(Q1249-R1249)/Q1249)</f>
        <v/>
      </c>
      <c r="T1249" s="13">
        <f>YEAR(B1249)</f>
        <v/>
      </c>
      <c r="U1249" s="13">
        <f>YEAR(B1249)&amp;"-Q"&amp;ROUNDUP(MONTH(B1249)/3,0)</f>
        <v/>
      </c>
      <c r="V1249" s="13">
        <f>TEXT(B1249,"YYYY-MM")</f>
        <v/>
      </c>
      <c r="W1249" s="13">
        <f>IF(L1249="","",IF(L1249&gt;pLateDays,1,0))</f>
        <v/>
      </c>
      <c r="X1249" s="13">
        <f>IF(Q1249&gt;=pHighCutoff,1,0)</f>
        <v/>
      </c>
      <c r="Y1249" s="13">
        <f>IF(M1249="Returned",1,0)</f>
        <v/>
      </c>
    </row>
    <row r="1250">
      <c r="A1250" s="13" t="inlineStr">
        <is>
          <t>HC-101248</t>
        </is>
      </c>
      <c r="B1250" s="18" t="n">
        <v>45590</v>
      </c>
      <c r="C1250" s="13" t="inlineStr">
        <is>
          <t>North</t>
        </is>
      </c>
      <c r="D1250" s="13" t="inlineStr">
        <is>
          <t>Online</t>
        </is>
      </c>
      <c r="E1250" s="13" t="inlineStr">
        <is>
          <t>Kitchen</t>
        </is>
      </c>
      <c r="F1250" s="13" t="inlineStr">
        <is>
          <t>Cast Skillet</t>
        </is>
      </c>
      <c r="G1250" s="13" t="inlineStr">
        <is>
          <t>Consumer</t>
        </is>
      </c>
      <c r="H1250" s="13" t="n">
        <v>3</v>
      </c>
      <c r="I1250" s="14" t="n">
        <v>55.01</v>
      </c>
      <c r="J1250" s="15" t="n">
        <v>0.08</v>
      </c>
      <c r="K1250" s="14" t="n">
        <v>22</v>
      </c>
      <c r="L1250" s="13" t="n">
        <v>5</v>
      </c>
      <c r="M1250" s="13" t="inlineStr">
        <is>
          <t>Completed</t>
        </is>
      </c>
      <c r="N1250" s="13" t="inlineStr">
        <is>
          <t>L. Berger</t>
        </is>
      </c>
      <c r="O1250" s="13" t="inlineStr">
        <is>
          <t>No</t>
        </is>
      </c>
      <c r="P1250" s="14">
        <f>H1250*I1250</f>
        <v/>
      </c>
      <c r="Q1250" s="14">
        <f>P1250*(1-J1250)</f>
        <v/>
      </c>
      <c r="R1250" s="14">
        <f>H1250*K1250</f>
        <v/>
      </c>
      <c r="S1250" s="15">
        <f>IF(Q1250=0,"",(Q1250-R1250)/Q1250)</f>
        <v/>
      </c>
      <c r="T1250" s="13">
        <f>YEAR(B1250)</f>
        <v/>
      </c>
      <c r="U1250" s="13">
        <f>YEAR(B1250)&amp;"-Q"&amp;ROUNDUP(MONTH(B1250)/3,0)</f>
        <v/>
      </c>
      <c r="V1250" s="13">
        <f>TEXT(B1250,"YYYY-MM")</f>
        <v/>
      </c>
      <c r="W1250" s="13">
        <f>IF(L1250="","",IF(L1250&gt;pLateDays,1,0))</f>
        <v/>
      </c>
      <c r="X1250" s="13">
        <f>IF(Q1250&gt;=pHighCutoff,1,0)</f>
        <v/>
      </c>
      <c r="Y1250" s="13">
        <f>IF(M1250="Returned",1,0)</f>
        <v/>
      </c>
    </row>
    <row r="1251">
      <c r="A1251" s="13" t="inlineStr">
        <is>
          <t>HC-101249</t>
        </is>
      </c>
      <c r="B1251" s="18" t="n">
        <v>45804</v>
      </c>
      <c r="C1251" s="13" t="inlineStr">
        <is>
          <t>North</t>
        </is>
      </c>
      <c r="D1251" s="13" t="inlineStr">
        <is>
          <t>Store</t>
        </is>
      </c>
      <c r="E1251" s="13" t="inlineStr">
        <is>
          <t>Textiles</t>
        </is>
      </c>
      <c r="F1251" s="13" t="inlineStr">
        <is>
          <t>Wool Throw</t>
        </is>
      </c>
      <c r="G1251" s="13" t="inlineStr">
        <is>
          <t>Consumer</t>
        </is>
      </c>
      <c r="H1251" s="13" t="n">
        <v>1</v>
      </c>
      <c r="I1251" s="14" t="n">
        <v>78.52</v>
      </c>
      <c r="J1251" s="15" t="n">
        <v>0.04</v>
      </c>
      <c r="K1251" s="14" t="n">
        <v>32.98</v>
      </c>
      <c r="L1251" s="13" t="n">
        <v>1</v>
      </c>
      <c r="M1251" s="13" t="inlineStr">
        <is>
          <t>Completed</t>
        </is>
      </c>
      <c r="N1251" s="13" t="inlineStr">
        <is>
          <t>P. Rossi</t>
        </is>
      </c>
      <c r="O1251" s="13" t="inlineStr">
        <is>
          <t>No</t>
        </is>
      </c>
      <c r="P1251" s="14">
        <f>H1251*I1251</f>
        <v/>
      </c>
      <c r="Q1251" s="14">
        <f>P1251*(1-J1251)</f>
        <v/>
      </c>
      <c r="R1251" s="14">
        <f>H1251*K1251</f>
        <v/>
      </c>
      <c r="S1251" s="15">
        <f>IF(Q1251=0,"",(Q1251-R1251)/Q1251)</f>
        <v/>
      </c>
      <c r="T1251" s="13">
        <f>YEAR(B1251)</f>
        <v/>
      </c>
      <c r="U1251" s="13">
        <f>YEAR(B1251)&amp;"-Q"&amp;ROUNDUP(MONTH(B1251)/3,0)</f>
        <v/>
      </c>
      <c r="V1251" s="13">
        <f>TEXT(B1251,"YYYY-MM")</f>
        <v/>
      </c>
      <c r="W1251" s="13">
        <f>IF(L1251="","",IF(L1251&gt;pLateDays,1,0))</f>
        <v/>
      </c>
      <c r="X1251" s="13">
        <f>IF(Q1251&gt;=pHighCutoff,1,0)</f>
        <v/>
      </c>
      <c r="Y1251" s="13">
        <f>IF(M1251="Returned",1,0)</f>
        <v/>
      </c>
    </row>
    <row r="1252">
      <c r="A1252" s="13" t="inlineStr">
        <is>
          <t>HC-101250</t>
        </is>
      </c>
      <c r="B1252" s="18" t="n">
        <v>45594</v>
      </c>
      <c r="C1252" s="13" t="inlineStr">
        <is>
          <t>South</t>
        </is>
      </c>
      <c r="D1252" s="13" t="inlineStr">
        <is>
          <t>Online</t>
        </is>
      </c>
      <c r="E1252" s="13" t="inlineStr">
        <is>
          <t>Lighting</t>
        </is>
      </c>
      <c r="F1252" s="13" t="inlineStr">
        <is>
          <t>Arc Lamp</t>
        </is>
      </c>
      <c r="G1252" s="13" t="inlineStr">
        <is>
          <t>Consumer</t>
        </is>
      </c>
      <c r="H1252" s="13" t="n">
        <v>3</v>
      </c>
      <c r="I1252" s="14" t="n">
        <v>316.4</v>
      </c>
      <c r="J1252" s="15" t="n">
        <v>0.09</v>
      </c>
      <c r="K1252" s="14" t="n">
        <v>151.87</v>
      </c>
      <c r="L1252" s="13" t="n">
        <v>9</v>
      </c>
      <c r="M1252" s="13" t="inlineStr">
        <is>
          <t>Returned</t>
        </is>
      </c>
      <c r="N1252" s="13" t="inlineStr">
        <is>
          <t>L. Berger</t>
        </is>
      </c>
      <c r="O1252" s="13" t="inlineStr">
        <is>
          <t>No</t>
        </is>
      </c>
      <c r="P1252" s="14">
        <f>H1252*I1252</f>
        <v/>
      </c>
      <c r="Q1252" s="14">
        <f>P1252*(1-J1252)</f>
        <v/>
      </c>
      <c r="R1252" s="14">
        <f>H1252*K1252</f>
        <v/>
      </c>
      <c r="S1252" s="15">
        <f>IF(Q1252=0,"",(Q1252-R1252)/Q1252)</f>
        <v/>
      </c>
      <c r="T1252" s="13">
        <f>YEAR(B1252)</f>
        <v/>
      </c>
      <c r="U1252" s="13">
        <f>YEAR(B1252)&amp;"-Q"&amp;ROUNDUP(MONTH(B1252)/3,0)</f>
        <v/>
      </c>
      <c r="V1252" s="13">
        <f>TEXT(B1252,"YYYY-MM")</f>
        <v/>
      </c>
      <c r="W1252" s="13">
        <f>IF(L1252="","",IF(L1252&gt;pLateDays,1,0))</f>
        <v/>
      </c>
      <c r="X1252" s="13">
        <f>IF(Q1252&gt;=pHighCutoff,1,0)</f>
        <v/>
      </c>
      <c r="Y1252" s="13">
        <f>IF(M1252="Returned",1,0)</f>
        <v/>
      </c>
    </row>
    <row r="1253">
      <c r="A1253" s="13" t="inlineStr">
        <is>
          <t>HC-101251</t>
        </is>
      </c>
      <c r="B1253" s="18" t="n">
        <v>45369</v>
      </c>
      <c r="C1253" s="13" t="inlineStr">
        <is>
          <t>West</t>
        </is>
      </c>
      <c r="D1253" s="13" t="inlineStr">
        <is>
          <t>Store</t>
        </is>
      </c>
      <c r="E1253" s="13" t="inlineStr">
        <is>
          <t>Furniture</t>
        </is>
      </c>
      <c r="F1253" s="13" t="inlineStr">
        <is>
          <t>Oak Desk</t>
        </is>
      </c>
      <c r="G1253" s="13" t="inlineStr">
        <is>
          <t>Corporate</t>
        </is>
      </c>
      <c r="H1253" s="13" t="n">
        <v>2</v>
      </c>
      <c r="I1253" s="14" t="n">
        <v>777.61</v>
      </c>
      <c r="J1253" s="15" t="n">
        <v>0.02</v>
      </c>
      <c r="K1253" s="14" t="n">
        <v>482.12</v>
      </c>
      <c r="L1253" s="13" t="n">
        <v>8</v>
      </c>
      <c r="M1253" s="13" t="inlineStr">
        <is>
          <t>Completed</t>
        </is>
      </c>
      <c r="N1253" s="13" t="inlineStr">
        <is>
          <t>M. Okonkwo</t>
        </is>
      </c>
      <c r="O1253" s="13" t="inlineStr">
        <is>
          <t>No</t>
        </is>
      </c>
      <c r="P1253" s="14">
        <f>H1253*I1253</f>
        <v/>
      </c>
      <c r="Q1253" s="14">
        <f>P1253*(1-J1253)</f>
        <v/>
      </c>
      <c r="R1253" s="14">
        <f>H1253*K1253</f>
        <v/>
      </c>
      <c r="S1253" s="15">
        <f>IF(Q1253=0,"",(Q1253-R1253)/Q1253)</f>
        <v/>
      </c>
      <c r="T1253" s="13">
        <f>YEAR(B1253)</f>
        <v/>
      </c>
      <c r="U1253" s="13">
        <f>YEAR(B1253)&amp;"-Q"&amp;ROUNDUP(MONTH(B1253)/3,0)</f>
        <v/>
      </c>
      <c r="V1253" s="13">
        <f>TEXT(B1253,"YYYY-MM")</f>
        <v/>
      </c>
      <c r="W1253" s="13">
        <f>IF(L1253="","",IF(L1253&gt;pLateDays,1,0))</f>
        <v/>
      </c>
      <c r="X1253" s="13">
        <f>IF(Q1253&gt;=pHighCutoff,1,0)</f>
        <v/>
      </c>
      <c r="Y1253" s="13">
        <f>IF(M1253="Returned",1,0)</f>
        <v/>
      </c>
    </row>
    <row r="1254">
      <c r="A1254" s="13" t="inlineStr">
        <is>
          <t>HC-101252</t>
        </is>
      </c>
      <c r="B1254" s="18" t="n">
        <v>45396</v>
      </c>
      <c r="C1254" s="13" t="inlineStr">
        <is>
          <t>North</t>
        </is>
      </c>
      <c r="D1254" s="13" t="inlineStr">
        <is>
          <t>Wholesale</t>
        </is>
      </c>
      <c r="E1254" s="13" t="inlineStr">
        <is>
          <t>Textiles</t>
        </is>
      </c>
      <c r="F1254" s="13" t="inlineStr">
        <is>
          <t>Wool Throw</t>
        </is>
      </c>
      <c r="G1254" s="13" t="inlineStr">
        <is>
          <t>Corporate</t>
        </is>
      </c>
      <c r="H1254" s="13" t="n">
        <v>12</v>
      </c>
      <c r="I1254" s="14" t="n">
        <v>77.65000000000001</v>
      </c>
      <c r="J1254" s="15" t="n">
        <v>0.3</v>
      </c>
      <c r="K1254" s="14" t="n">
        <v>32.61</v>
      </c>
      <c r="L1254" s="13" t="n">
        <v>7</v>
      </c>
      <c r="M1254" s="13" t="inlineStr">
        <is>
          <t>Completed</t>
        </is>
      </c>
      <c r="N1254" s="13" t="inlineStr">
        <is>
          <t>L. Berger</t>
        </is>
      </c>
      <c r="O1254" s="13" t="inlineStr">
        <is>
          <t>No</t>
        </is>
      </c>
      <c r="P1254" s="14">
        <f>H1254*I1254</f>
        <v/>
      </c>
      <c r="Q1254" s="14">
        <f>P1254*(1-J1254)</f>
        <v/>
      </c>
      <c r="R1254" s="14">
        <f>H1254*K1254</f>
        <v/>
      </c>
      <c r="S1254" s="15">
        <f>IF(Q1254=0,"",(Q1254-R1254)/Q1254)</f>
        <v/>
      </c>
      <c r="T1254" s="13">
        <f>YEAR(B1254)</f>
        <v/>
      </c>
      <c r="U1254" s="13">
        <f>YEAR(B1254)&amp;"-Q"&amp;ROUNDUP(MONTH(B1254)/3,0)</f>
        <v/>
      </c>
      <c r="V1254" s="13">
        <f>TEXT(B1254,"YYYY-MM")</f>
        <v/>
      </c>
      <c r="W1254" s="13">
        <f>IF(L1254="","",IF(L1254&gt;pLateDays,1,0))</f>
        <v/>
      </c>
      <c r="X1254" s="13">
        <f>IF(Q1254&gt;=pHighCutoff,1,0)</f>
        <v/>
      </c>
      <c r="Y1254" s="13">
        <f>IF(M1254="Returned",1,0)</f>
        <v/>
      </c>
    </row>
    <row r="1255">
      <c r="A1255" s="13" t="inlineStr">
        <is>
          <t>HC-101253</t>
        </is>
      </c>
      <c r="B1255" s="18" t="n">
        <v>45515</v>
      </c>
      <c r="C1255" s="13" t="inlineStr">
        <is>
          <t>North</t>
        </is>
      </c>
      <c r="D1255" s="13" t="inlineStr">
        <is>
          <t>Online</t>
        </is>
      </c>
      <c r="E1255" s="13" t="inlineStr">
        <is>
          <t>Furniture</t>
        </is>
      </c>
      <c r="F1255" s="13" t="inlineStr">
        <is>
          <t>Walnut Shelf</t>
        </is>
      </c>
      <c r="G1255" s="13" t="inlineStr">
        <is>
          <t>Corporate</t>
        </is>
      </c>
      <c r="H1255" s="13" t="n">
        <v>1</v>
      </c>
      <c r="I1255" s="14" t="n">
        <v>206.6</v>
      </c>
      <c r="J1255" s="15" t="n">
        <v>0.09</v>
      </c>
      <c r="K1255" s="14" t="n">
        <v>113.63</v>
      </c>
      <c r="L1255" s="13" t="n">
        <v>8</v>
      </c>
      <c r="M1255" s="13" t="inlineStr">
        <is>
          <t>Completed</t>
        </is>
      </c>
      <c r="N1255" s="13" t="inlineStr">
        <is>
          <t>A. Shah</t>
        </is>
      </c>
      <c r="O1255" s="13" t="inlineStr">
        <is>
          <t>No</t>
        </is>
      </c>
      <c r="P1255" s="14">
        <f>H1255*I1255</f>
        <v/>
      </c>
      <c r="Q1255" s="14">
        <f>P1255*(1-J1255)</f>
        <v/>
      </c>
      <c r="R1255" s="14">
        <f>H1255*K1255</f>
        <v/>
      </c>
      <c r="S1255" s="15">
        <f>IF(Q1255=0,"",(Q1255-R1255)/Q1255)</f>
        <v/>
      </c>
      <c r="T1255" s="13">
        <f>YEAR(B1255)</f>
        <v/>
      </c>
      <c r="U1255" s="13">
        <f>YEAR(B1255)&amp;"-Q"&amp;ROUNDUP(MONTH(B1255)/3,0)</f>
        <v/>
      </c>
      <c r="V1255" s="13">
        <f>TEXT(B1255,"YYYY-MM")</f>
        <v/>
      </c>
      <c r="W1255" s="13">
        <f>IF(L1255="","",IF(L1255&gt;pLateDays,1,0))</f>
        <v/>
      </c>
      <c r="X1255" s="13">
        <f>IF(Q1255&gt;=pHighCutoff,1,0)</f>
        <v/>
      </c>
      <c r="Y1255" s="13">
        <f>IF(M1255="Returned",1,0)</f>
        <v/>
      </c>
    </row>
    <row r="1256">
      <c r="A1256" s="13" t="inlineStr">
        <is>
          <t>HC-101254</t>
        </is>
      </c>
      <c r="B1256" s="18" t="n">
        <v>45431</v>
      </c>
      <c r="C1256" s="13" t="inlineStr">
        <is>
          <t>North</t>
        </is>
      </c>
      <c r="D1256" s="13" t="inlineStr">
        <is>
          <t>Wholesale</t>
        </is>
      </c>
      <c r="E1256" s="13" t="inlineStr">
        <is>
          <t>Kitchen</t>
        </is>
      </c>
      <c r="F1256" s="13" t="inlineStr">
        <is>
          <t>Cast Skillet</t>
        </is>
      </c>
      <c r="G1256" s="13" t="inlineStr">
        <is>
          <t>Consumer</t>
        </is>
      </c>
      <c r="H1256" s="13" t="n">
        <v>14</v>
      </c>
      <c r="I1256" s="14" t="n">
        <v>56.59</v>
      </c>
      <c r="J1256" s="15" t="n">
        <v>0.18</v>
      </c>
      <c r="K1256" s="14" t="n">
        <v>22.64</v>
      </c>
      <c r="L1256" s="13" t="n">
        <v>6</v>
      </c>
      <c r="M1256" s="13" t="inlineStr">
        <is>
          <t>Cancelled</t>
        </is>
      </c>
      <c r="N1256" s="13" t="inlineStr">
        <is>
          <t>R. Ibarra</t>
        </is>
      </c>
      <c r="O1256" s="13" t="inlineStr">
        <is>
          <t>No</t>
        </is>
      </c>
      <c r="P1256" s="14">
        <f>H1256*I1256</f>
        <v/>
      </c>
      <c r="Q1256" s="14">
        <f>P1256*(1-J1256)</f>
        <v/>
      </c>
      <c r="R1256" s="14">
        <f>H1256*K1256</f>
        <v/>
      </c>
      <c r="S1256" s="15">
        <f>IF(Q1256=0,"",(Q1256-R1256)/Q1256)</f>
        <v/>
      </c>
      <c r="T1256" s="13">
        <f>YEAR(B1256)</f>
        <v/>
      </c>
      <c r="U1256" s="13">
        <f>YEAR(B1256)&amp;"-Q"&amp;ROUNDUP(MONTH(B1256)/3,0)</f>
        <v/>
      </c>
      <c r="V1256" s="13">
        <f>TEXT(B1256,"YYYY-MM")</f>
        <v/>
      </c>
      <c r="W1256" s="13">
        <f>IF(L1256="","",IF(L1256&gt;pLateDays,1,0))</f>
        <v/>
      </c>
      <c r="X1256" s="13">
        <f>IF(Q1256&gt;=pHighCutoff,1,0)</f>
        <v/>
      </c>
      <c r="Y1256" s="13">
        <f>IF(M1256="Returned",1,0)</f>
        <v/>
      </c>
    </row>
    <row r="1257">
      <c r="A1257" s="13" t="inlineStr">
        <is>
          <t>HC-101255</t>
        </is>
      </c>
      <c r="B1257" s="18" t="n">
        <v>45515</v>
      </c>
      <c r="C1257" s="13" t="inlineStr">
        <is>
          <t>West</t>
        </is>
      </c>
      <c r="D1257" s="13" t="inlineStr">
        <is>
          <t>Store</t>
        </is>
      </c>
      <c r="E1257" s="13" t="inlineStr">
        <is>
          <t>Kitchen</t>
        </is>
      </c>
      <c r="F1257" s="13" t="inlineStr">
        <is>
          <t>Ceramic Set</t>
        </is>
      </c>
      <c r="G1257" s="13" t="inlineStr">
        <is>
          <t>Consumer</t>
        </is>
      </c>
      <c r="H1257" s="13" t="n">
        <v>3</v>
      </c>
      <c r="I1257" s="14" t="n">
        <v>92.63</v>
      </c>
      <c r="J1257" s="15" t="n">
        <v>0.11</v>
      </c>
      <c r="K1257" s="14" t="n">
        <v>35.2</v>
      </c>
      <c r="L1257" s="13" t="n">
        <v>7</v>
      </c>
      <c r="M1257" s="13" t="inlineStr">
        <is>
          <t>Returned</t>
        </is>
      </c>
      <c r="N1257" s="13" t="inlineStr">
        <is>
          <t>S. Nguyen</t>
        </is>
      </c>
      <c r="O1257" s="13" t="inlineStr">
        <is>
          <t>No</t>
        </is>
      </c>
      <c r="P1257" s="14">
        <f>H1257*I1257</f>
        <v/>
      </c>
      <c r="Q1257" s="14">
        <f>P1257*(1-J1257)</f>
        <v/>
      </c>
      <c r="R1257" s="14">
        <f>H1257*K1257</f>
        <v/>
      </c>
      <c r="S1257" s="15">
        <f>IF(Q1257=0,"",(Q1257-R1257)/Q1257)</f>
        <v/>
      </c>
      <c r="T1257" s="13">
        <f>YEAR(B1257)</f>
        <v/>
      </c>
      <c r="U1257" s="13">
        <f>YEAR(B1257)&amp;"-Q"&amp;ROUNDUP(MONTH(B1257)/3,0)</f>
        <v/>
      </c>
      <c r="V1257" s="13">
        <f>TEXT(B1257,"YYYY-MM")</f>
        <v/>
      </c>
      <c r="W1257" s="13">
        <f>IF(L1257="","",IF(L1257&gt;pLateDays,1,0))</f>
        <v/>
      </c>
      <c r="X1257" s="13">
        <f>IF(Q1257&gt;=pHighCutoff,1,0)</f>
        <v/>
      </c>
      <c r="Y1257" s="13">
        <f>IF(M1257="Returned",1,0)</f>
        <v/>
      </c>
    </row>
    <row r="1258">
      <c r="A1258" s="13" t="inlineStr">
        <is>
          <t>HC-101256</t>
        </is>
      </c>
      <c r="B1258" s="18" t="n">
        <v>45848</v>
      </c>
      <c r="C1258" s="13" t="inlineStr">
        <is>
          <t>East</t>
        </is>
      </c>
      <c r="D1258" s="13" t="inlineStr">
        <is>
          <t>Online</t>
        </is>
      </c>
      <c r="E1258" s="13" t="inlineStr">
        <is>
          <t>Furniture</t>
        </is>
      </c>
      <c r="F1258" s="13" t="inlineStr">
        <is>
          <t>Oak Desk</t>
        </is>
      </c>
      <c r="G1258" s="13" t="inlineStr">
        <is>
          <t>Consumer</t>
        </is>
      </c>
      <c r="H1258" s="13" t="n">
        <v>1</v>
      </c>
      <c r="I1258" s="14" t="n">
        <v>714.1</v>
      </c>
      <c r="J1258" s="15" t="n">
        <v>0.14</v>
      </c>
      <c r="K1258" s="14" t="n">
        <v>442.74</v>
      </c>
      <c r="L1258" s="13" t="n">
        <v>12</v>
      </c>
      <c r="M1258" s="13" t="inlineStr">
        <is>
          <t>Completed</t>
        </is>
      </c>
      <c r="N1258" s="13" t="inlineStr">
        <is>
          <t>A. Shah</t>
        </is>
      </c>
      <c r="O1258" s="13" t="inlineStr">
        <is>
          <t>No</t>
        </is>
      </c>
      <c r="P1258" s="14">
        <f>H1258*I1258</f>
        <v/>
      </c>
      <c r="Q1258" s="14">
        <f>P1258*(1-J1258)</f>
        <v/>
      </c>
      <c r="R1258" s="14">
        <f>H1258*K1258</f>
        <v/>
      </c>
      <c r="S1258" s="15">
        <f>IF(Q1258=0,"",(Q1258-R1258)/Q1258)</f>
        <v/>
      </c>
      <c r="T1258" s="13">
        <f>YEAR(B1258)</f>
        <v/>
      </c>
      <c r="U1258" s="13">
        <f>YEAR(B1258)&amp;"-Q"&amp;ROUNDUP(MONTH(B1258)/3,0)</f>
        <v/>
      </c>
      <c r="V1258" s="13">
        <f>TEXT(B1258,"YYYY-MM")</f>
        <v/>
      </c>
      <c r="W1258" s="13">
        <f>IF(L1258="","",IF(L1258&gt;pLateDays,1,0))</f>
        <v/>
      </c>
      <c r="X1258" s="13">
        <f>IF(Q1258&gt;=pHighCutoff,1,0)</f>
        <v/>
      </c>
      <c r="Y1258" s="13">
        <f>IF(M1258="Returned",1,0)</f>
        <v/>
      </c>
    </row>
    <row r="1259">
      <c r="A1259" s="13" t="inlineStr">
        <is>
          <t>HC-101257</t>
        </is>
      </c>
      <c r="B1259" s="18" t="n">
        <v>45801</v>
      </c>
      <c r="C1259" s="13" t="inlineStr">
        <is>
          <t>West</t>
        </is>
      </c>
      <c r="D1259" s="13" t="inlineStr">
        <is>
          <t>Wholesale</t>
        </is>
      </c>
      <c r="E1259" s="13" t="inlineStr">
        <is>
          <t>Furniture</t>
        </is>
      </c>
      <c r="F1259" s="13" t="inlineStr">
        <is>
          <t>Linen Sofa</t>
        </is>
      </c>
      <c r="G1259" s="13" t="inlineStr">
        <is>
          <t>Corporate</t>
        </is>
      </c>
      <c r="H1259" s="13" t="n">
        <v>23</v>
      </c>
      <c r="I1259" s="14" t="n">
        <v>1313.39</v>
      </c>
      <c r="J1259" s="15" t="n">
        <v>0.18</v>
      </c>
      <c r="K1259" s="14" t="n">
        <v>866.84</v>
      </c>
      <c r="L1259" s="13" t="n">
        <v>4</v>
      </c>
      <c r="M1259" s="13" t="inlineStr">
        <is>
          <t>Completed</t>
        </is>
      </c>
      <c r="N1259" s="13" t="inlineStr">
        <is>
          <t>M. Okonkwo</t>
        </is>
      </c>
      <c r="O1259" s="13" t="inlineStr">
        <is>
          <t>No</t>
        </is>
      </c>
      <c r="P1259" s="14">
        <f>H1259*I1259</f>
        <v/>
      </c>
      <c r="Q1259" s="14">
        <f>P1259*(1-J1259)</f>
        <v/>
      </c>
      <c r="R1259" s="14">
        <f>H1259*K1259</f>
        <v/>
      </c>
      <c r="S1259" s="15">
        <f>IF(Q1259=0,"",(Q1259-R1259)/Q1259)</f>
        <v/>
      </c>
      <c r="T1259" s="13">
        <f>YEAR(B1259)</f>
        <v/>
      </c>
      <c r="U1259" s="13">
        <f>YEAR(B1259)&amp;"-Q"&amp;ROUNDUP(MONTH(B1259)/3,0)</f>
        <v/>
      </c>
      <c r="V1259" s="13">
        <f>TEXT(B1259,"YYYY-MM")</f>
        <v/>
      </c>
      <c r="W1259" s="13">
        <f>IF(L1259="","",IF(L1259&gt;pLateDays,1,0))</f>
        <v/>
      </c>
      <c r="X1259" s="13">
        <f>IF(Q1259&gt;=pHighCutoff,1,0)</f>
        <v/>
      </c>
      <c r="Y1259" s="13">
        <f>IF(M1259="Returned",1,0)</f>
        <v/>
      </c>
    </row>
    <row r="1260">
      <c r="A1260" s="13" t="inlineStr">
        <is>
          <t>HC-101258</t>
        </is>
      </c>
      <c r="B1260" s="18" t="n">
        <v>45788</v>
      </c>
      <c r="C1260" s="13" t="inlineStr">
        <is>
          <t>East</t>
        </is>
      </c>
      <c r="D1260" s="13" t="inlineStr">
        <is>
          <t>Store</t>
        </is>
      </c>
      <c r="E1260" s="13" t="inlineStr">
        <is>
          <t>Kitchen</t>
        </is>
      </c>
      <c r="F1260" s="13" t="inlineStr">
        <is>
          <t>Ceramic Set</t>
        </is>
      </c>
      <c r="G1260" s="13" t="inlineStr">
        <is>
          <t>Consumer</t>
        </is>
      </c>
      <c r="H1260" s="13" t="n">
        <v>1</v>
      </c>
      <c r="I1260" s="14" t="n">
        <v>81.34999999999999</v>
      </c>
      <c r="J1260" s="15" t="n">
        <v>0.11</v>
      </c>
      <c r="K1260" s="14" t="n">
        <v>30.91</v>
      </c>
      <c r="L1260" s="13" t="n">
        <v>8</v>
      </c>
      <c r="M1260" s="13" t="inlineStr">
        <is>
          <t>Cancelled</t>
        </is>
      </c>
      <c r="N1260" s="13" t="inlineStr">
        <is>
          <t>L. Berger</t>
        </is>
      </c>
      <c r="O1260" s="13" t="inlineStr">
        <is>
          <t>No</t>
        </is>
      </c>
      <c r="P1260" s="14">
        <f>H1260*I1260</f>
        <v/>
      </c>
      <c r="Q1260" s="14">
        <f>P1260*(1-J1260)</f>
        <v/>
      </c>
      <c r="R1260" s="14">
        <f>H1260*K1260</f>
        <v/>
      </c>
      <c r="S1260" s="15">
        <f>IF(Q1260=0,"",(Q1260-R1260)/Q1260)</f>
        <v/>
      </c>
      <c r="T1260" s="13">
        <f>YEAR(B1260)</f>
        <v/>
      </c>
      <c r="U1260" s="13">
        <f>YEAR(B1260)&amp;"-Q"&amp;ROUNDUP(MONTH(B1260)/3,0)</f>
        <v/>
      </c>
      <c r="V1260" s="13">
        <f>TEXT(B1260,"YYYY-MM")</f>
        <v/>
      </c>
      <c r="W1260" s="13">
        <f>IF(L1260="","",IF(L1260&gt;pLateDays,1,0))</f>
        <v/>
      </c>
      <c r="X1260" s="13">
        <f>IF(Q1260&gt;=pHighCutoff,1,0)</f>
        <v/>
      </c>
      <c r="Y1260" s="13">
        <f>IF(M1260="Returned",1,0)</f>
        <v/>
      </c>
    </row>
    <row r="1261">
      <c r="A1261" s="13" t="inlineStr">
        <is>
          <t>HC-101259</t>
        </is>
      </c>
      <c r="B1261" s="18" t="n">
        <v>45722</v>
      </c>
      <c r="C1261" s="13" t="inlineStr">
        <is>
          <t>West</t>
        </is>
      </c>
      <c r="D1261" s="13" t="inlineStr">
        <is>
          <t>Online</t>
        </is>
      </c>
      <c r="E1261" s="13" t="inlineStr">
        <is>
          <t>Kitchen</t>
        </is>
      </c>
      <c r="F1261" s="13" t="inlineStr">
        <is>
          <t>Chef Knife</t>
        </is>
      </c>
      <c r="G1261" s="13" t="inlineStr">
        <is>
          <t>Consumer</t>
        </is>
      </c>
      <c r="H1261" s="13" t="n">
        <v>3</v>
      </c>
      <c r="I1261" s="14" t="n">
        <v>63.97</v>
      </c>
      <c r="J1261" s="15" t="n">
        <v>0.03</v>
      </c>
      <c r="K1261" s="14" t="n">
        <v>23.03</v>
      </c>
      <c r="L1261" s="13" t="n">
        <v>5</v>
      </c>
      <c r="M1261" s="13" t="inlineStr">
        <is>
          <t>Completed</t>
        </is>
      </c>
      <c r="N1261" s="13" t="inlineStr">
        <is>
          <t>J. Patel</t>
        </is>
      </c>
      <c r="O1261" s="13" t="inlineStr">
        <is>
          <t>No</t>
        </is>
      </c>
      <c r="P1261" s="14">
        <f>H1261*I1261</f>
        <v/>
      </c>
      <c r="Q1261" s="14">
        <f>P1261*(1-J1261)</f>
        <v/>
      </c>
      <c r="R1261" s="14">
        <f>H1261*K1261</f>
        <v/>
      </c>
      <c r="S1261" s="15">
        <f>IF(Q1261=0,"",(Q1261-R1261)/Q1261)</f>
        <v/>
      </c>
      <c r="T1261" s="13">
        <f>YEAR(B1261)</f>
        <v/>
      </c>
      <c r="U1261" s="13">
        <f>YEAR(B1261)&amp;"-Q"&amp;ROUNDUP(MONTH(B1261)/3,0)</f>
        <v/>
      </c>
      <c r="V1261" s="13">
        <f>TEXT(B1261,"YYYY-MM")</f>
        <v/>
      </c>
      <c r="W1261" s="13">
        <f>IF(L1261="","",IF(L1261&gt;pLateDays,1,0))</f>
        <v/>
      </c>
      <c r="X1261" s="13">
        <f>IF(Q1261&gt;=pHighCutoff,1,0)</f>
        <v/>
      </c>
      <c r="Y1261" s="13">
        <f>IF(M1261="Returned",1,0)</f>
        <v/>
      </c>
    </row>
    <row r="1262">
      <c r="A1262" s="13" t="inlineStr">
        <is>
          <t>HC-101260</t>
        </is>
      </c>
      <c r="B1262" s="18" t="n">
        <v>45810</v>
      </c>
      <c r="C1262" s="13" t="inlineStr">
        <is>
          <t>West</t>
        </is>
      </c>
      <c r="D1262" s="13" t="inlineStr">
        <is>
          <t>Online</t>
        </is>
      </c>
      <c r="E1262" s="13" t="inlineStr">
        <is>
          <t>Furniture</t>
        </is>
      </c>
      <c r="F1262" s="13" t="inlineStr">
        <is>
          <t>Oak Desk</t>
        </is>
      </c>
      <c r="G1262" s="13" t="inlineStr">
        <is>
          <t>Corporate</t>
        </is>
      </c>
      <c r="H1262" s="13" t="n">
        <v>3</v>
      </c>
      <c r="I1262" s="14" t="n">
        <v>890.96</v>
      </c>
      <c r="J1262" s="15" t="n">
        <v>0.17</v>
      </c>
      <c r="K1262" s="14" t="n">
        <v>552.4</v>
      </c>
      <c r="L1262" s="13" t="n">
        <v>7</v>
      </c>
      <c r="M1262" s="13" t="inlineStr">
        <is>
          <t>Completed</t>
        </is>
      </c>
      <c r="N1262" s="13" t="inlineStr">
        <is>
          <t>P. Rossi</t>
        </is>
      </c>
      <c r="O1262" s="13" t="inlineStr">
        <is>
          <t>No</t>
        </is>
      </c>
      <c r="P1262" s="14">
        <f>H1262*I1262</f>
        <v/>
      </c>
      <c r="Q1262" s="14">
        <f>P1262*(1-J1262)</f>
        <v/>
      </c>
      <c r="R1262" s="14">
        <f>H1262*K1262</f>
        <v/>
      </c>
      <c r="S1262" s="15">
        <f>IF(Q1262=0,"",(Q1262-R1262)/Q1262)</f>
        <v/>
      </c>
      <c r="T1262" s="13">
        <f>YEAR(B1262)</f>
        <v/>
      </c>
      <c r="U1262" s="13">
        <f>YEAR(B1262)&amp;"-Q"&amp;ROUNDUP(MONTH(B1262)/3,0)</f>
        <v/>
      </c>
      <c r="V1262" s="13">
        <f>TEXT(B1262,"YYYY-MM")</f>
        <v/>
      </c>
      <c r="W1262" s="13">
        <f>IF(L1262="","",IF(L1262&gt;pLateDays,1,0))</f>
        <v/>
      </c>
      <c r="X1262" s="13">
        <f>IF(Q1262&gt;=pHighCutoff,1,0)</f>
        <v/>
      </c>
      <c r="Y1262" s="13">
        <f>IF(M1262="Returned",1,0)</f>
        <v/>
      </c>
    </row>
    <row r="1263">
      <c r="A1263" s="13" t="inlineStr">
        <is>
          <t>HC-101261</t>
        </is>
      </c>
      <c r="B1263" s="18" t="n">
        <v>45602</v>
      </c>
      <c r="C1263" s="13" t="inlineStr">
        <is>
          <t>North</t>
        </is>
      </c>
      <c r="D1263" s="13" t="inlineStr">
        <is>
          <t>Store</t>
        </is>
      </c>
      <c r="E1263" s="13" t="inlineStr">
        <is>
          <t>Lighting</t>
        </is>
      </c>
      <c r="F1263" s="13" t="inlineStr">
        <is>
          <t>Arc Lamp</t>
        </is>
      </c>
      <c r="G1263" s="13" t="inlineStr">
        <is>
          <t>Consumer</t>
        </is>
      </c>
      <c r="H1263" s="13" t="n">
        <v>4</v>
      </c>
      <c r="I1263" s="14" t="n">
        <v>321.15</v>
      </c>
      <c r="J1263" s="15" t="n">
        <v>0.05</v>
      </c>
      <c r="K1263" s="14" t="n">
        <v>154.15</v>
      </c>
      <c r="L1263" s="13" t="n">
        <v>6</v>
      </c>
      <c r="M1263" s="13" t="inlineStr">
        <is>
          <t>Completed</t>
        </is>
      </c>
      <c r="N1263" s="13" t="inlineStr">
        <is>
          <t>R. Ibarra</t>
        </is>
      </c>
      <c r="O1263" s="13" t="inlineStr">
        <is>
          <t>No</t>
        </is>
      </c>
      <c r="P1263" s="14">
        <f>H1263*I1263</f>
        <v/>
      </c>
      <c r="Q1263" s="14">
        <f>P1263*(1-J1263)</f>
        <v/>
      </c>
      <c r="R1263" s="14">
        <f>H1263*K1263</f>
        <v/>
      </c>
      <c r="S1263" s="15">
        <f>IF(Q1263=0,"",(Q1263-R1263)/Q1263)</f>
        <v/>
      </c>
      <c r="T1263" s="13">
        <f>YEAR(B1263)</f>
        <v/>
      </c>
      <c r="U1263" s="13">
        <f>YEAR(B1263)&amp;"-Q"&amp;ROUNDUP(MONTH(B1263)/3,0)</f>
        <v/>
      </c>
      <c r="V1263" s="13">
        <f>TEXT(B1263,"YYYY-MM")</f>
        <v/>
      </c>
      <c r="W1263" s="13">
        <f>IF(L1263="","",IF(L1263&gt;pLateDays,1,0))</f>
        <v/>
      </c>
      <c r="X1263" s="13">
        <f>IF(Q1263&gt;=pHighCutoff,1,0)</f>
        <v/>
      </c>
      <c r="Y1263" s="13">
        <f>IF(M1263="Returned",1,0)</f>
        <v/>
      </c>
    </row>
    <row r="1264">
      <c r="A1264" s="13" t="inlineStr">
        <is>
          <t>HC-101262</t>
        </is>
      </c>
      <c r="B1264" s="18" t="n">
        <v>45396</v>
      </c>
      <c r="C1264" s="13" t="inlineStr">
        <is>
          <t>West</t>
        </is>
      </c>
      <c r="D1264" s="13" t="inlineStr">
        <is>
          <t>Wholesale</t>
        </is>
      </c>
      <c r="E1264" s="13" t="inlineStr">
        <is>
          <t>Furniture</t>
        </is>
      </c>
      <c r="F1264" s="13" t="inlineStr">
        <is>
          <t>Lounge Chair</t>
        </is>
      </c>
      <c r="G1264" s="13" t="inlineStr">
        <is>
          <t>Unknown</t>
        </is>
      </c>
      <c r="H1264" s="13" t="n">
        <v>8</v>
      </c>
      <c r="I1264" s="14" t="n">
        <v>464.68</v>
      </c>
      <c r="J1264" s="15" t="n">
        <v>0.27</v>
      </c>
      <c r="K1264" s="14" t="n">
        <v>278.81</v>
      </c>
      <c r="L1264" s="13" t="n">
        <v>7</v>
      </c>
      <c r="M1264" s="13" t="inlineStr">
        <is>
          <t>Completed</t>
        </is>
      </c>
      <c r="N1264" s="13" t="inlineStr">
        <is>
          <t>P. Rossi</t>
        </is>
      </c>
      <c r="O1264" s="13" t="inlineStr">
        <is>
          <t>No</t>
        </is>
      </c>
      <c r="P1264" s="14">
        <f>H1264*I1264</f>
        <v/>
      </c>
      <c r="Q1264" s="14">
        <f>P1264*(1-J1264)</f>
        <v/>
      </c>
      <c r="R1264" s="14">
        <f>H1264*K1264</f>
        <v/>
      </c>
      <c r="S1264" s="15">
        <f>IF(Q1264=0,"",(Q1264-R1264)/Q1264)</f>
        <v/>
      </c>
      <c r="T1264" s="13">
        <f>YEAR(B1264)</f>
        <v/>
      </c>
      <c r="U1264" s="13">
        <f>YEAR(B1264)&amp;"-Q"&amp;ROUNDUP(MONTH(B1264)/3,0)</f>
        <v/>
      </c>
      <c r="V1264" s="13">
        <f>TEXT(B1264,"YYYY-MM")</f>
        <v/>
      </c>
      <c r="W1264" s="13">
        <f>IF(L1264="","",IF(L1264&gt;pLateDays,1,0))</f>
        <v/>
      </c>
      <c r="X1264" s="13">
        <f>IF(Q1264&gt;=pHighCutoff,1,0)</f>
        <v/>
      </c>
      <c r="Y1264" s="13">
        <f>IF(M1264="Returned",1,0)</f>
        <v/>
      </c>
    </row>
    <row r="1265">
      <c r="A1265" s="13" t="inlineStr">
        <is>
          <t>HC-101263</t>
        </is>
      </c>
      <c r="B1265" s="18" t="n">
        <v>45607</v>
      </c>
      <c r="C1265" s="13" t="inlineStr">
        <is>
          <t>North</t>
        </is>
      </c>
      <c r="D1265" s="13" t="inlineStr">
        <is>
          <t>Online</t>
        </is>
      </c>
      <c r="E1265" s="13" t="inlineStr">
        <is>
          <t>Lighting</t>
        </is>
      </c>
      <c r="F1265" s="13" t="inlineStr">
        <is>
          <t>Arc Lamp</t>
        </is>
      </c>
      <c r="G1265" s="13" t="inlineStr">
        <is>
          <t>Unknown</t>
        </is>
      </c>
      <c r="H1265" s="13" t="n">
        <v>4</v>
      </c>
      <c r="I1265" s="14" t="n">
        <v>297.8</v>
      </c>
      <c r="J1265" s="15" t="n">
        <v>0.12</v>
      </c>
      <c r="K1265" s="14" t="n">
        <v>142.94</v>
      </c>
      <c r="L1265" s="13" t="n">
        <v>5</v>
      </c>
      <c r="M1265" s="13" t="inlineStr">
        <is>
          <t>Completed</t>
        </is>
      </c>
      <c r="N1265" s="13" t="inlineStr">
        <is>
          <t>P. Rossi</t>
        </is>
      </c>
      <c r="O1265" s="13" t="inlineStr">
        <is>
          <t>No</t>
        </is>
      </c>
      <c r="P1265" s="14">
        <f>H1265*I1265</f>
        <v/>
      </c>
      <c r="Q1265" s="14">
        <f>P1265*(1-J1265)</f>
        <v/>
      </c>
      <c r="R1265" s="14">
        <f>H1265*K1265</f>
        <v/>
      </c>
      <c r="S1265" s="15">
        <f>IF(Q1265=0,"",(Q1265-R1265)/Q1265)</f>
        <v/>
      </c>
      <c r="T1265" s="13">
        <f>YEAR(B1265)</f>
        <v/>
      </c>
      <c r="U1265" s="13">
        <f>YEAR(B1265)&amp;"-Q"&amp;ROUNDUP(MONTH(B1265)/3,0)</f>
        <v/>
      </c>
      <c r="V1265" s="13">
        <f>TEXT(B1265,"YYYY-MM")</f>
        <v/>
      </c>
      <c r="W1265" s="13">
        <f>IF(L1265="","",IF(L1265&gt;pLateDays,1,0))</f>
        <v/>
      </c>
      <c r="X1265" s="13">
        <f>IF(Q1265&gt;=pHighCutoff,1,0)</f>
        <v/>
      </c>
      <c r="Y1265" s="13">
        <f>IF(M1265="Returned",1,0)</f>
        <v/>
      </c>
    </row>
    <row r="1266">
      <c r="A1266" s="13" t="inlineStr">
        <is>
          <t>HC-101264</t>
        </is>
      </c>
      <c r="B1266" s="18" t="n">
        <v>45564</v>
      </c>
      <c r="C1266" s="13" t="inlineStr">
        <is>
          <t>South</t>
        </is>
      </c>
      <c r="D1266" s="13" t="inlineStr">
        <is>
          <t>Online</t>
        </is>
      </c>
      <c r="E1266" s="13" t="inlineStr">
        <is>
          <t>Kitchen</t>
        </is>
      </c>
      <c r="F1266" s="13" t="inlineStr">
        <is>
          <t>Ceramic Set</t>
        </is>
      </c>
      <c r="G1266" s="13" t="inlineStr">
        <is>
          <t>Consumer</t>
        </is>
      </c>
      <c r="H1266" s="13" t="n">
        <v>3</v>
      </c>
      <c r="I1266" s="14" t="n">
        <v>81.8</v>
      </c>
      <c r="J1266" s="15" t="n">
        <v>0.08</v>
      </c>
      <c r="K1266" s="14" t="n">
        <v>31.09</v>
      </c>
      <c r="L1266" s="13" t="n">
        <v>5</v>
      </c>
      <c r="M1266" s="13" t="inlineStr">
        <is>
          <t>Cancelled</t>
        </is>
      </c>
      <c r="N1266" s="13" t="inlineStr">
        <is>
          <t>R. Ibarra</t>
        </is>
      </c>
      <c r="O1266" s="13" t="inlineStr">
        <is>
          <t>No</t>
        </is>
      </c>
      <c r="P1266" s="14">
        <f>H1266*I1266</f>
        <v/>
      </c>
      <c r="Q1266" s="14">
        <f>P1266*(1-J1266)</f>
        <v/>
      </c>
      <c r="R1266" s="14">
        <f>H1266*K1266</f>
        <v/>
      </c>
      <c r="S1266" s="15">
        <f>IF(Q1266=0,"",(Q1266-R1266)/Q1266)</f>
        <v/>
      </c>
      <c r="T1266" s="13">
        <f>YEAR(B1266)</f>
        <v/>
      </c>
      <c r="U1266" s="13">
        <f>YEAR(B1266)&amp;"-Q"&amp;ROUNDUP(MONTH(B1266)/3,0)</f>
        <v/>
      </c>
      <c r="V1266" s="13">
        <f>TEXT(B1266,"YYYY-MM")</f>
        <v/>
      </c>
      <c r="W1266" s="13">
        <f>IF(L1266="","",IF(L1266&gt;pLateDays,1,0))</f>
        <v/>
      </c>
      <c r="X1266" s="13">
        <f>IF(Q1266&gt;=pHighCutoff,1,0)</f>
        <v/>
      </c>
      <c r="Y1266" s="13">
        <f>IF(M1266="Returned",1,0)</f>
        <v/>
      </c>
    </row>
    <row r="1267">
      <c r="A1267" s="13" t="inlineStr">
        <is>
          <t>HC-101265</t>
        </is>
      </c>
      <c r="B1267" s="18" t="n">
        <v>45849</v>
      </c>
      <c r="C1267" s="13" t="inlineStr">
        <is>
          <t>East</t>
        </is>
      </c>
      <c r="D1267" s="13" t="inlineStr">
        <is>
          <t>Online</t>
        </is>
      </c>
      <c r="E1267" s="13" t="inlineStr">
        <is>
          <t>Lighting</t>
        </is>
      </c>
      <c r="F1267" s="13" t="inlineStr">
        <is>
          <t>Arc Lamp</t>
        </is>
      </c>
      <c r="G1267" s="13" t="inlineStr">
        <is>
          <t>Consumer</t>
        </is>
      </c>
      <c r="H1267" s="13" t="n">
        <v>3</v>
      </c>
      <c r="I1267" s="14" t="n">
        <v>283.44</v>
      </c>
      <c r="J1267" s="15" t="n">
        <v>0.13</v>
      </c>
      <c r="K1267" s="14" t="n">
        <v>136.05</v>
      </c>
      <c r="L1267" s="13" t="n">
        <v>7</v>
      </c>
      <c r="M1267" s="13" t="inlineStr">
        <is>
          <t>Completed</t>
        </is>
      </c>
      <c r="N1267" s="13" t="inlineStr">
        <is>
          <t>K. Mensah</t>
        </is>
      </c>
      <c r="O1267" s="13" t="inlineStr">
        <is>
          <t>No</t>
        </is>
      </c>
      <c r="P1267" s="14">
        <f>H1267*I1267</f>
        <v/>
      </c>
      <c r="Q1267" s="14">
        <f>P1267*(1-J1267)</f>
        <v/>
      </c>
      <c r="R1267" s="14">
        <f>H1267*K1267</f>
        <v/>
      </c>
      <c r="S1267" s="15">
        <f>IF(Q1267=0,"",(Q1267-R1267)/Q1267)</f>
        <v/>
      </c>
      <c r="T1267" s="13">
        <f>YEAR(B1267)</f>
        <v/>
      </c>
      <c r="U1267" s="13">
        <f>YEAR(B1267)&amp;"-Q"&amp;ROUNDUP(MONTH(B1267)/3,0)</f>
        <v/>
      </c>
      <c r="V1267" s="13">
        <f>TEXT(B1267,"YYYY-MM")</f>
        <v/>
      </c>
      <c r="W1267" s="13">
        <f>IF(L1267="","",IF(L1267&gt;pLateDays,1,0))</f>
        <v/>
      </c>
      <c r="X1267" s="13">
        <f>IF(Q1267&gt;=pHighCutoff,1,0)</f>
        <v/>
      </c>
      <c r="Y1267" s="13">
        <f>IF(M1267="Returned",1,0)</f>
        <v/>
      </c>
    </row>
    <row r="1268">
      <c r="A1268" s="13" t="inlineStr">
        <is>
          <t>HC-101266</t>
        </is>
      </c>
      <c r="B1268" s="18" t="n">
        <v>45795</v>
      </c>
      <c r="C1268" s="13" t="inlineStr">
        <is>
          <t>West</t>
        </is>
      </c>
      <c r="D1268" s="13" t="inlineStr">
        <is>
          <t>Store</t>
        </is>
      </c>
      <c r="E1268" s="13" t="inlineStr">
        <is>
          <t>Kitchen</t>
        </is>
      </c>
      <c r="F1268" s="13" t="inlineStr">
        <is>
          <t>Ceramic Set</t>
        </is>
      </c>
      <c r="G1268" s="13" t="inlineStr">
        <is>
          <t>Consumer</t>
        </is>
      </c>
      <c r="H1268" s="13" t="n">
        <v>2</v>
      </c>
      <c r="I1268" s="14" t="n">
        <v>85.54000000000001</v>
      </c>
      <c r="J1268" s="15" t="n">
        <v>0.1</v>
      </c>
      <c r="K1268" s="14" t="n">
        <v>32.51</v>
      </c>
      <c r="L1268" s="13" t="n">
        <v>2</v>
      </c>
      <c r="M1268" s="13" t="inlineStr">
        <is>
          <t>Completed</t>
        </is>
      </c>
      <c r="N1268" s="13" t="inlineStr">
        <is>
          <t>P. Rossi</t>
        </is>
      </c>
      <c r="O1268" s="13" t="inlineStr">
        <is>
          <t>No</t>
        </is>
      </c>
      <c r="P1268" s="14">
        <f>H1268*I1268</f>
        <v/>
      </c>
      <c r="Q1268" s="14">
        <f>P1268*(1-J1268)</f>
        <v/>
      </c>
      <c r="R1268" s="14">
        <f>H1268*K1268</f>
        <v/>
      </c>
      <c r="S1268" s="15">
        <f>IF(Q1268=0,"",(Q1268-R1268)/Q1268)</f>
        <v/>
      </c>
      <c r="T1268" s="13">
        <f>YEAR(B1268)</f>
        <v/>
      </c>
      <c r="U1268" s="13">
        <f>YEAR(B1268)&amp;"-Q"&amp;ROUNDUP(MONTH(B1268)/3,0)</f>
        <v/>
      </c>
      <c r="V1268" s="13">
        <f>TEXT(B1268,"YYYY-MM")</f>
        <v/>
      </c>
      <c r="W1268" s="13">
        <f>IF(L1268="","",IF(L1268&gt;pLateDays,1,0))</f>
        <v/>
      </c>
      <c r="X1268" s="13">
        <f>IF(Q1268&gt;=pHighCutoff,1,0)</f>
        <v/>
      </c>
      <c r="Y1268" s="13">
        <f>IF(M1268="Returned",1,0)</f>
        <v/>
      </c>
    </row>
    <row r="1269">
      <c r="A1269" s="13" t="inlineStr">
        <is>
          <t>HC-101267</t>
        </is>
      </c>
      <c r="B1269" s="18" t="n">
        <v>45420</v>
      </c>
      <c r="C1269" s="13" t="inlineStr">
        <is>
          <t>North</t>
        </is>
      </c>
      <c r="D1269" s="13" t="inlineStr">
        <is>
          <t>Online</t>
        </is>
      </c>
      <c r="E1269" s="13" t="inlineStr">
        <is>
          <t>Kitchen</t>
        </is>
      </c>
      <c r="F1269" s="13" t="inlineStr">
        <is>
          <t>Ceramic Set</t>
        </is>
      </c>
      <c r="G1269" s="13" t="inlineStr">
        <is>
          <t>Home Office</t>
        </is>
      </c>
      <c r="H1269" s="13" t="n">
        <v>1</v>
      </c>
      <c r="I1269" s="14" t="n">
        <v>90.67</v>
      </c>
      <c r="J1269" s="15" t="n">
        <v>0.17</v>
      </c>
      <c r="K1269" s="14" t="n">
        <v>34.46</v>
      </c>
      <c r="L1269" s="13" t="n">
        <v>3</v>
      </c>
      <c r="M1269" s="13" t="inlineStr">
        <is>
          <t>Completed</t>
        </is>
      </c>
      <c r="N1269" s="13" t="inlineStr">
        <is>
          <t>M. Okonkwo</t>
        </is>
      </c>
      <c r="O1269" s="13" t="inlineStr">
        <is>
          <t>No</t>
        </is>
      </c>
      <c r="P1269" s="14">
        <f>H1269*I1269</f>
        <v/>
      </c>
      <c r="Q1269" s="14">
        <f>P1269*(1-J1269)</f>
        <v/>
      </c>
      <c r="R1269" s="14">
        <f>H1269*K1269</f>
        <v/>
      </c>
      <c r="S1269" s="15">
        <f>IF(Q1269=0,"",(Q1269-R1269)/Q1269)</f>
        <v/>
      </c>
      <c r="T1269" s="13">
        <f>YEAR(B1269)</f>
        <v/>
      </c>
      <c r="U1269" s="13">
        <f>YEAR(B1269)&amp;"-Q"&amp;ROUNDUP(MONTH(B1269)/3,0)</f>
        <v/>
      </c>
      <c r="V1269" s="13">
        <f>TEXT(B1269,"YYYY-MM")</f>
        <v/>
      </c>
      <c r="W1269" s="13">
        <f>IF(L1269="","",IF(L1269&gt;pLateDays,1,0))</f>
        <v/>
      </c>
      <c r="X1269" s="13">
        <f>IF(Q1269&gt;=pHighCutoff,1,0)</f>
        <v/>
      </c>
      <c r="Y1269" s="13">
        <f>IF(M1269="Returned",1,0)</f>
        <v/>
      </c>
    </row>
    <row r="1270">
      <c r="A1270" s="13" t="inlineStr">
        <is>
          <t>HC-101268</t>
        </is>
      </c>
      <c r="B1270" s="18" t="n">
        <v>45408</v>
      </c>
      <c r="C1270" s="13" t="inlineStr">
        <is>
          <t>East</t>
        </is>
      </c>
      <c r="D1270" s="13" t="inlineStr">
        <is>
          <t>Store</t>
        </is>
      </c>
      <c r="E1270" s="13" t="inlineStr">
        <is>
          <t>Kitchen</t>
        </is>
      </c>
      <c r="F1270" s="13" t="inlineStr">
        <is>
          <t>Chef Knife</t>
        </is>
      </c>
      <c r="G1270" s="13" t="inlineStr">
        <is>
          <t>Consumer</t>
        </is>
      </c>
      <c r="H1270" s="13" t="n">
        <v>2</v>
      </c>
      <c r="I1270" s="14" t="n">
        <v>59.68</v>
      </c>
      <c r="J1270" s="15" t="n">
        <v>0.06</v>
      </c>
      <c r="K1270" s="14" t="n">
        <v>21.48</v>
      </c>
      <c r="L1270" s="13" t="n">
        <v>7</v>
      </c>
      <c r="M1270" s="13" t="inlineStr">
        <is>
          <t>Completed</t>
        </is>
      </c>
      <c r="N1270" s="13" t="inlineStr">
        <is>
          <t>J. Patel</t>
        </is>
      </c>
      <c r="O1270" s="13" t="inlineStr">
        <is>
          <t>No</t>
        </is>
      </c>
      <c r="P1270" s="14">
        <f>H1270*I1270</f>
        <v/>
      </c>
      <c r="Q1270" s="14">
        <f>P1270*(1-J1270)</f>
        <v/>
      </c>
      <c r="R1270" s="14">
        <f>H1270*K1270</f>
        <v/>
      </c>
      <c r="S1270" s="15">
        <f>IF(Q1270=0,"",(Q1270-R1270)/Q1270)</f>
        <v/>
      </c>
      <c r="T1270" s="13">
        <f>YEAR(B1270)</f>
        <v/>
      </c>
      <c r="U1270" s="13">
        <f>YEAR(B1270)&amp;"-Q"&amp;ROUNDUP(MONTH(B1270)/3,0)</f>
        <v/>
      </c>
      <c r="V1270" s="13">
        <f>TEXT(B1270,"YYYY-MM")</f>
        <v/>
      </c>
      <c r="W1270" s="13">
        <f>IF(L1270="","",IF(L1270&gt;pLateDays,1,0))</f>
        <v/>
      </c>
      <c r="X1270" s="13">
        <f>IF(Q1270&gt;=pHighCutoff,1,0)</f>
        <v/>
      </c>
      <c r="Y1270" s="13">
        <f>IF(M1270="Returned",1,0)</f>
        <v/>
      </c>
    </row>
    <row r="1271">
      <c r="A1271" s="13" t="inlineStr">
        <is>
          <t>HC-101269</t>
        </is>
      </c>
      <c r="B1271" s="18" t="n">
        <v>45833</v>
      </c>
      <c r="C1271" s="13" t="inlineStr">
        <is>
          <t>East</t>
        </is>
      </c>
      <c r="D1271" s="13" t="inlineStr">
        <is>
          <t>Store</t>
        </is>
      </c>
      <c r="E1271" s="13" t="inlineStr">
        <is>
          <t>Lighting</t>
        </is>
      </c>
      <c r="F1271" s="13" t="inlineStr">
        <is>
          <t>Pendant Light</t>
        </is>
      </c>
      <c r="G1271" s="13" t="inlineStr">
        <is>
          <t>Corporate</t>
        </is>
      </c>
      <c r="H1271" s="13" t="n">
        <v>2</v>
      </c>
      <c r="I1271" s="14" t="n">
        <v>169.46</v>
      </c>
      <c r="J1271" s="15" t="n">
        <v>0.03</v>
      </c>
      <c r="K1271" s="14" t="n">
        <v>84.73</v>
      </c>
      <c r="L1271" s="13" t="n">
        <v>9</v>
      </c>
      <c r="M1271" s="13" t="inlineStr">
        <is>
          <t>Completed</t>
        </is>
      </c>
      <c r="N1271" s="13" t="inlineStr">
        <is>
          <t>J. Patel</t>
        </is>
      </c>
      <c r="O1271" s="13" t="inlineStr">
        <is>
          <t>No</t>
        </is>
      </c>
      <c r="P1271" s="14">
        <f>H1271*I1271</f>
        <v/>
      </c>
      <c r="Q1271" s="14">
        <f>P1271*(1-J1271)</f>
        <v/>
      </c>
      <c r="R1271" s="14">
        <f>H1271*K1271</f>
        <v/>
      </c>
      <c r="S1271" s="15">
        <f>IF(Q1271=0,"",(Q1271-R1271)/Q1271)</f>
        <v/>
      </c>
      <c r="T1271" s="13">
        <f>YEAR(B1271)</f>
        <v/>
      </c>
      <c r="U1271" s="13">
        <f>YEAR(B1271)&amp;"-Q"&amp;ROUNDUP(MONTH(B1271)/3,0)</f>
        <v/>
      </c>
      <c r="V1271" s="13">
        <f>TEXT(B1271,"YYYY-MM")</f>
        <v/>
      </c>
      <c r="W1271" s="13">
        <f>IF(L1271="","",IF(L1271&gt;pLateDays,1,0))</f>
        <v/>
      </c>
      <c r="X1271" s="13">
        <f>IF(Q1271&gt;=pHighCutoff,1,0)</f>
        <v/>
      </c>
      <c r="Y1271" s="13">
        <f>IF(M1271="Returned",1,0)</f>
        <v/>
      </c>
    </row>
    <row r="1272">
      <c r="A1272" s="13" t="inlineStr">
        <is>
          <t>HC-101270</t>
        </is>
      </c>
      <c r="B1272" s="18" t="n">
        <v>45577</v>
      </c>
      <c r="C1272" s="13" t="inlineStr">
        <is>
          <t>North</t>
        </is>
      </c>
      <c r="D1272" s="13" t="inlineStr">
        <is>
          <t>Online</t>
        </is>
      </c>
      <c r="E1272" s="13" t="inlineStr">
        <is>
          <t>Kitchen</t>
        </is>
      </c>
      <c r="F1272" s="13" t="inlineStr">
        <is>
          <t>Ceramic Set</t>
        </is>
      </c>
      <c r="G1272" s="13" t="inlineStr">
        <is>
          <t>Unknown</t>
        </is>
      </c>
      <c r="H1272" s="13" t="n">
        <v>2</v>
      </c>
      <c r="I1272" s="14" t="n">
        <v>88.33</v>
      </c>
      <c r="J1272" s="15" t="n">
        <v>0.18</v>
      </c>
      <c r="K1272" s="14" t="n">
        <v>33.57</v>
      </c>
      <c r="L1272" s="13" t="n">
        <v>7</v>
      </c>
      <c r="M1272" s="13" t="inlineStr">
        <is>
          <t>Completed</t>
        </is>
      </c>
      <c r="N1272" s="13" t="inlineStr">
        <is>
          <t>K. Mensah</t>
        </is>
      </c>
      <c r="O1272" s="13" t="inlineStr">
        <is>
          <t>No</t>
        </is>
      </c>
      <c r="P1272" s="14">
        <f>H1272*I1272</f>
        <v/>
      </c>
      <c r="Q1272" s="14">
        <f>P1272*(1-J1272)</f>
        <v/>
      </c>
      <c r="R1272" s="14">
        <f>H1272*K1272</f>
        <v/>
      </c>
      <c r="S1272" s="15">
        <f>IF(Q1272=0,"",(Q1272-R1272)/Q1272)</f>
        <v/>
      </c>
      <c r="T1272" s="13">
        <f>YEAR(B1272)</f>
        <v/>
      </c>
      <c r="U1272" s="13">
        <f>YEAR(B1272)&amp;"-Q"&amp;ROUNDUP(MONTH(B1272)/3,0)</f>
        <v/>
      </c>
      <c r="V1272" s="13">
        <f>TEXT(B1272,"YYYY-MM")</f>
        <v/>
      </c>
      <c r="W1272" s="13">
        <f>IF(L1272="","",IF(L1272&gt;pLateDays,1,0))</f>
        <v/>
      </c>
      <c r="X1272" s="13">
        <f>IF(Q1272&gt;=pHighCutoff,1,0)</f>
        <v/>
      </c>
      <c r="Y1272" s="13">
        <f>IF(M1272="Returned",1,0)</f>
        <v/>
      </c>
    </row>
    <row r="1273">
      <c r="A1273" s="13" t="inlineStr">
        <is>
          <t>HC-101271</t>
        </is>
      </c>
      <c r="B1273" s="18" t="n">
        <v>45373</v>
      </c>
      <c r="C1273" s="13" t="inlineStr">
        <is>
          <t>West</t>
        </is>
      </c>
      <c r="D1273" s="13" t="inlineStr">
        <is>
          <t>Online</t>
        </is>
      </c>
      <c r="E1273" s="13" t="inlineStr">
        <is>
          <t>Lighting</t>
        </is>
      </c>
      <c r="F1273" s="13" t="inlineStr">
        <is>
          <t>Brass Sconce</t>
        </is>
      </c>
      <c r="G1273" s="13" t="inlineStr">
        <is>
          <t>Corporate</t>
        </is>
      </c>
      <c r="H1273" s="13" t="n">
        <v>3</v>
      </c>
      <c r="I1273" s="14" t="n">
        <v>147.42</v>
      </c>
      <c r="J1273" s="15" t="n">
        <v>0.13</v>
      </c>
      <c r="K1273" s="14" t="n">
        <v>67.81</v>
      </c>
      <c r="L1273" s="13" t="n">
        <v>6</v>
      </c>
      <c r="M1273" s="13" t="inlineStr">
        <is>
          <t>Completed</t>
        </is>
      </c>
      <c r="N1273" s="13" t="inlineStr">
        <is>
          <t>R. Ibarra</t>
        </is>
      </c>
      <c r="O1273" s="13" t="inlineStr">
        <is>
          <t>No</t>
        </is>
      </c>
      <c r="P1273" s="14">
        <f>H1273*I1273</f>
        <v/>
      </c>
      <c r="Q1273" s="14">
        <f>P1273*(1-J1273)</f>
        <v/>
      </c>
      <c r="R1273" s="14">
        <f>H1273*K1273</f>
        <v/>
      </c>
      <c r="S1273" s="15">
        <f>IF(Q1273=0,"",(Q1273-R1273)/Q1273)</f>
        <v/>
      </c>
      <c r="T1273" s="13">
        <f>YEAR(B1273)</f>
        <v/>
      </c>
      <c r="U1273" s="13">
        <f>YEAR(B1273)&amp;"-Q"&amp;ROUNDUP(MONTH(B1273)/3,0)</f>
        <v/>
      </c>
      <c r="V1273" s="13">
        <f>TEXT(B1273,"YYYY-MM")</f>
        <v/>
      </c>
      <c r="W1273" s="13">
        <f>IF(L1273="","",IF(L1273&gt;pLateDays,1,0))</f>
        <v/>
      </c>
      <c r="X1273" s="13">
        <f>IF(Q1273&gt;=pHighCutoff,1,0)</f>
        <v/>
      </c>
      <c r="Y1273" s="13">
        <f>IF(M1273="Returned",1,0)</f>
        <v/>
      </c>
    </row>
    <row r="1274">
      <c r="A1274" s="13" t="inlineStr">
        <is>
          <t>HC-101272</t>
        </is>
      </c>
      <c r="B1274" s="18" t="n">
        <v>45714</v>
      </c>
      <c r="C1274" s="13" t="inlineStr">
        <is>
          <t>West</t>
        </is>
      </c>
      <c r="D1274" s="13" t="inlineStr">
        <is>
          <t>Online</t>
        </is>
      </c>
      <c r="E1274" s="13" t="inlineStr">
        <is>
          <t>Furniture</t>
        </is>
      </c>
      <c r="F1274" s="13" t="inlineStr">
        <is>
          <t>Walnut Shelf</t>
        </is>
      </c>
      <c r="G1274" s="13" t="inlineStr">
        <is>
          <t>Corporate</t>
        </is>
      </c>
      <c r="H1274" s="13" t="n">
        <v>2</v>
      </c>
      <c r="I1274" s="14" t="n">
        <v>228.56</v>
      </c>
      <c r="J1274" s="15" t="n">
        <v>0.13</v>
      </c>
      <c r="K1274" s="14" t="n">
        <v>125.71</v>
      </c>
      <c r="L1274" s="13" t="n">
        <v>2</v>
      </c>
      <c r="M1274" s="13" t="inlineStr">
        <is>
          <t>Completed</t>
        </is>
      </c>
      <c r="N1274" s="13" t="inlineStr">
        <is>
          <t>J. Patel</t>
        </is>
      </c>
      <c r="O1274" s="13" t="inlineStr">
        <is>
          <t>No</t>
        </is>
      </c>
      <c r="P1274" s="14">
        <f>H1274*I1274</f>
        <v/>
      </c>
      <c r="Q1274" s="14">
        <f>P1274*(1-J1274)</f>
        <v/>
      </c>
      <c r="R1274" s="14">
        <f>H1274*K1274</f>
        <v/>
      </c>
      <c r="S1274" s="15">
        <f>IF(Q1274=0,"",(Q1274-R1274)/Q1274)</f>
        <v/>
      </c>
      <c r="T1274" s="13">
        <f>YEAR(B1274)</f>
        <v/>
      </c>
      <c r="U1274" s="13">
        <f>YEAR(B1274)&amp;"-Q"&amp;ROUNDUP(MONTH(B1274)/3,0)</f>
        <v/>
      </c>
      <c r="V1274" s="13">
        <f>TEXT(B1274,"YYYY-MM")</f>
        <v/>
      </c>
      <c r="W1274" s="13">
        <f>IF(L1274="","",IF(L1274&gt;pLateDays,1,0))</f>
        <v/>
      </c>
      <c r="X1274" s="13">
        <f>IF(Q1274&gt;=pHighCutoff,1,0)</f>
        <v/>
      </c>
      <c r="Y1274" s="13">
        <f>IF(M1274="Returned",1,0)</f>
        <v/>
      </c>
    </row>
    <row r="1275">
      <c r="A1275" s="13" t="inlineStr">
        <is>
          <t>HC-101273</t>
        </is>
      </c>
      <c r="B1275" s="18" t="n">
        <v>45684</v>
      </c>
      <c r="C1275" s="13" t="inlineStr">
        <is>
          <t>West</t>
        </is>
      </c>
      <c r="D1275" s="13" t="inlineStr">
        <is>
          <t>Online</t>
        </is>
      </c>
      <c r="E1275" s="13" t="inlineStr">
        <is>
          <t>Lighting</t>
        </is>
      </c>
      <c r="F1275" s="13" t="inlineStr">
        <is>
          <t>Pendant Light</t>
        </is>
      </c>
      <c r="G1275" s="13" t="inlineStr">
        <is>
          <t>Consumer</t>
        </is>
      </c>
      <c r="H1275" s="13" t="n">
        <v>3</v>
      </c>
      <c r="I1275" s="14" t="n">
        <v>169.34</v>
      </c>
      <c r="J1275" s="15" t="n">
        <v>0.09</v>
      </c>
      <c r="K1275" s="14" t="n">
        <v>84.67</v>
      </c>
      <c r="L1275" s="13" t="n">
        <v>3</v>
      </c>
      <c r="M1275" s="13" t="inlineStr">
        <is>
          <t>Completed</t>
        </is>
      </c>
      <c r="N1275" s="13" t="inlineStr">
        <is>
          <t>J. Patel</t>
        </is>
      </c>
      <c r="O1275" s="13" t="inlineStr">
        <is>
          <t>No</t>
        </is>
      </c>
      <c r="P1275" s="14">
        <f>H1275*I1275</f>
        <v/>
      </c>
      <c r="Q1275" s="14">
        <f>P1275*(1-J1275)</f>
        <v/>
      </c>
      <c r="R1275" s="14">
        <f>H1275*K1275</f>
        <v/>
      </c>
      <c r="S1275" s="15">
        <f>IF(Q1275=0,"",(Q1275-R1275)/Q1275)</f>
        <v/>
      </c>
      <c r="T1275" s="13">
        <f>YEAR(B1275)</f>
        <v/>
      </c>
      <c r="U1275" s="13">
        <f>YEAR(B1275)&amp;"-Q"&amp;ROUNDUP(MONTH(B1275)/3,0)</f>
        <v/>
      </c>
      <c r="V1275" s="13">
        <f>TEXT(B1275,"YYYY-MM")</f>
        <v/>
      </c>
      <c r="W1275" s="13">
        <f>IF(L1275="","",IF(L1275&gt;pLateDays,1,0))</f>
        <v/>
      </c>
      <c r="X1275" s="13">
        <f>IF(Q1275&gt;=pHighCutoff,1,0)</f>
        <v/>
      </c>
      <c r="Y1275" s="13">
        <f>IF(M1275="Returned",1,0)</f>
        <v/>
      </c>
    </row>
    <row r="1276">
      <c r="A1276" s="13" t="inlineStr">
        <is>
          <t>HC-101274</t>
        </is>
      </c>
      <c r="B1276" s="18" t="n">
        <v>45646</v>
      </c>
      <c r="C1276" s="13" t="inlineStr">
        <is>
          <t>West</t>
        </is>
      </c>
      <c r="D1276" s="13" t="inlineStr">
        <is>
          <t>Store</t>
        </is>
      </c>
      <c r="E1276" s="13" t="inlineStr">
        <is>
          <t>Kitchen</t>
        </is>
      </c>
      <c r="F1276" s="13" t="inlineStr">
        <is>
          <t>Cast Skillet</t>
        </is>
      </c>
      <c r="G1276" s="13" t="inlineStr">
        <is>
          <t>Corporate</t>
        </is>
      </c>
      <c r="H1276" s="13" t="n">
        <v>3</v>
      </c>
      <c r="I1276" s="14" t="n">
        <v>49.9</v>
      </c>
      <c r="J1276" s="15" t="n">
        <v>0.01</v>
      </c>
      <c r="K1276" s="14" t="n">
        <v>19.96</v>
      </c>
      <c r="L1276" s="13" t="n">
        <v>4</v>
      </c>
      <c r="M1276" s="13" t="inlineStr">
        <is>
          <t>Completed</t>
        </is>
      </c>
      <c r="N1276" s="13" t="inlineStr">
        <is>
          <t>L. Berger</t>
        </is>
      </c>
      <c r="O1276" s="13" t="inlineStr">
        <is>
          <t>No</t>
        </is>
      </c>
      <c r="P1276" s="14">
        <f>H1276*I1276</f>
        <v/>
      </c>
      <c r="Q1276" s="14">
        <f>P1276*(1-J1276)</f>
        <v/>
      </c>
      <c r="R1276" s="14">
        <f>H1276*K1276</f>
        <v/>
      </c>
      <c r="S1276" s="15">
        <f>IF(Q1276=0,"",(Q1276-R1276)/Q1276)</f>
        <v/>
      </c>
      <c r="T1276" s="13">
        <f>YEAR(B1276)</f>
        <v/>
      </c>
      <c r="U1276" s="13">
        <f>YEAR(B1276)&amp;"-Q"&amp;ROUNDUP(MONTH(B1276)/3,0)</f>
        <v/>
      </c>
      <c r="V1276" s="13">
        <f>TEXT(B1276,"YYYY-MM")</f>
        <v/>
      </c>
      <c r="W1276" s="13">
        <f>IF(L1276="","",IF(L1276&gt;pLateDays,1,0))</f>
        <v/>
      </c>
      <c r="X1276" s="13">
        <f>IF(Q1276&gt;=pHighCutoff,1,0)</f>
        <v/>
      </c>
      <c r="Y1276" s="13">
        <f>IF(M1276="Returned",1,0)</f>
        <v/>
      </c>
    </row>
    <row r="1277">
      <c r="A1277" s="13" t="inlineStr">
        <is>
          <t>HC-101275</t>
        </is>
      </c>
      <c r="B1277" s="18" t="n">
        <v>45924</v>
      </c>
      <c r="C1277" s="13" t="inlineStr">
        <is>
          <t>West</t>
        </is>
      </c>
      <c r="D1277" s="13" t="inlineStr">
        <is>
          <t>Online</t>
        </is>
      </c>
      <c r="E1277" s="13" t="inlineStr">
        <is>
          <t>Kitchen</t>
        </is>
      </c>
      <c r="F1277" s="13" t="inlineStr">
        <is>
          <t>Cast Skillet</t>
        </is>
      </c>
      <c r="G1277" s="13" t="inlineStr">
        <is>
          <t>Consumer</t>
        </is>
      </c>
      <c r="H1277" s="13" t="n">
        <v>1</v>
      </c>
      <c r="I1277" s="14" t="n">
        <v>54.16</v>
      </c>
      <c r="J1277" s="15" t="n">
        <v>0.17</v>
      </c>
      <c r="K1277" s="14" t="n">
        <v>21.66</v>
      </c>
      <c r="L1277" s="13" t="n">
        <v>7</v>
      </c>
      <c r="M1277" s="13" t="inlineStr">
        <is>
          <t>Completed</t>
        </is>
      </c>
      <c r="N1277" s="13" t="inlineStr">
        <is>
          <t>P. Rossi</t>
        </is>
      </c>
      <c r="O1277" s="13" t="inlineStr">
        <is>
          <t>No</t>
        </is>
      </c>
      <c r="P1277" s="14">
        <f>H1277*I1277</f>
        <v/>
      </c>
      <c r="Q1277" s="14">
        <f>P1277*(1-J1277)</f>
        <v/>
      </c>
      <c r="R1277" s="14">
        <f>H1277*K1277</f>
        <v/>
      </c>
      <c r="S1277" s="15">
        <f>IF(Q1277=0,"",(Q1277-R1277)/Q1277)</f>
        <v/>
      </c>
      <c r="T1277" s="13">
        <f>YEAR(B1277)</f>
        <v/>
      </c>
      <c r="U1277" s="13">
        <f>YEAR(B1277)&amp;"-Q"&amp;ROUNDUP(MONTH(B1277)/3,0)</f>
        <v/>
      </c>
      <c r="V1277" s="13">
        <f>TEXT(B1277,"YYYY-MM")</f>
        <v/>
      </c>
      <c r="W1277" s="13">
        <f>IF(L1277="","",IF(L1277&gt;pLateDays,1,0))</f>
        <v/>
      </c>
      <c r="X1277" s="13">
        <f>IF(Q1277&gt;=pHighCutoff,1,0)</f>
        <v/>
      </c>
      <c r="Y1277" s="13">
        <f>IF(M1277="Returned",1,0)</f>
        <v/>
      </c>
    </row>
    <row r="1278">
      <c r="A1278" s="13" t="inlineStr">
        <is>
          <t>HC-101276</t>
        </is>
      </c>
      <c r="B1278" s="18" t="n">
        <v>45920</v>
      </c>
      <c r="C1278" s="13" t="inlineStr">
        <is>
          <t>South</t>
        </is>
      </c>
      <c r="D1278" s="13" t="inlineStr">
        <is>
          <t>Wholesale</t>
        </is>
      </c>
      <c r="E1278" s="13" t="inlineStr">
        <is>
          <t>Textiles</t>
        </is>
      </c>
      <c r="F1278" s="13" t="inlineStr">
        <is>
          <t>Wool Throw</t>
        </is>
      </c>
      <c r="G1278" s="13" t="inlineStr">
        <is>
          <t>Corporate</t>
        </is>
      </c>
      <c r="H1278" s="13" t="n">
        <v>26</v>
      </c>
      <c r="I1278" s="14" t="n">
        <v>73.06999999999999</v>
      </c>
      <c r="J1278" s="15" t="n">
        <v>0.31</v>
      </c>
      <c r="K1278" s="14" t="n">
        <v>30.69</v>
      </c>
      <c r="L1278" s="13" t="n">
        <v>6</v>
      </c>
      <c r="M1278" s="13" t="inlineStr">
        <is>
          <t>Completed</t>
        </is>
      </c>
      <c r="N1278" s="13" t="inlineStr">
        <is>
          <t>S. Nguyen</t>
        </is>
      </c>
      <c r="O1278" s="13" t="inlineStr">
        <is>
          <t>No</t>
        </is>
      </c>
      <c r="P1278" s="14">
        <f>H1278*I1278</f>
        <v/>
      </c>
      <c r="Q1278" s="14">
        <f>P1278*(1-J1278)</f>
        <v/>
      </c>
      <c r="R1278" s="14">
        <f>H1278*K1278</f>
        <v/>
      </c>
      <c r="S1278" s="15">
        <f>IF(Q1278=0,"",(Q1278-R1278)/Q1278)</f>
        <v/>
      </c>
      <c r="T1278" s="13">
        <f>YEAR(B1278)</f>
        <v/>
      </c>
      <c r="U1278" s="13">
        <f>YEAR(B1278)&amp;"-Q"&amp;ROUNDUP(MONTH(B1278)/3,0)</f>
        <v/>
      </c>
      <c r="V1278" s="13">
        <f>TEXT(B1278,"YYYY-MM")</f>
        <v/>
      </c>
      <c r="W1278" s="13">
        <f>IF(L1278="","",IF(L1278&gt;pLateDays,1,0))</f>
        <v/>
      </c>
      <c r="X1278" s="13">
        <f>IF(Q1278&gt;=pHighCutoff,1,0)</f>
        <v/>
      </c>
      <c r="Y1278" s="13">
        <f>IF(M1278="Returned",1,0)</f>
        <v/>
      </c>
    </row>
    <row r="1279">
      <c r="A1279" s="13" t="inlineStr">
        <is>
          <t>HC-101277</t>
        </is>
      </c>
      <c r="B1279" s="18" t="n">
        <v>45482</v>
      </c>
      <c r="C1279" s="13" t="inlineStr">
        <is>
          <t>West</t>
        </is>
      </c>
      <c r="D1279" s="13" t="inlineStr">
        <is>
          <t>Store</t>
        </is>
      </c>
      <c r="E1279" s="13" t="inlineStr">
        <is>
          <t>Furniture</t>
        </is>
      </c>
      <c r="F1279" s="13" t="inlineStr">
        <is>
          <t>Walnut Shelf</t>
        </is>
      </c>
      <c r="G1279" s="13" t="inlineStr">
        <is>
          <t>Corporate</t>
        </is>
      </c>
      <c r="H1279" s="13" t="n">
        <v>1</v>
      </c>
      <c r="I1279" s="14" t="n">
        <v>228.43</v>
      </c>
      <c r="J1279" s="15" t="n">
        <v>0.08</v>
      </c>
      <c r="K1279" s="14" t="n">
        <v>125.64</v>
      </c>
      <c r="L1279" s="13" t="n">
        <v>1</v>
      </c>
      <c r="M1279" s="13" t="inlineStr">
        <is>
          <t>Completed</t>
        </is>
      </c>
      <c r="N1279" s="13" t="inlineStr">
        <is>
          <t>K. Mensah</t>
        </is>
      </c>
      <c r="O1279" s="13" t="inlineStr">
        <is>
          <t>No</t>
        </is>
      </c>
      <c r="P1279" s="14">
        <f>H1279*I1279</f>
        <v/>
      </c>
      <c r="Q1279" s="14">
        <f>P1279*(1-J1279)</f>
        <v/>
      </c>
      <c r="R1279" s="14">
        <f>H1279*K1279</f>
        <v/>
      </c>
      <c r="S1279" s="15">
        <f>IF(Q1279=0,"",(Q1279-R1279)/Q1279)</f>
        <v/>
      </c>
      <c r="T1279" s="13">
        <f>YEAR(B1279)</f>
        <v/>
      </c>
      <c r="U1279" s="13">
        <f>YEAR(B1279)&amp;"-Q"&amp;ROUNDUP(MONTH(B1279)/3,0)</f>
        <v/>
      </c>
      <c r="V1279" s="13">
        <f>TEXT(B1279,"YYYY-MM")</f>
        <v/>
      </c>
      <c r="W1279" s="13">
        <f>IF(L1279="","",IF(L1279&gt;pLateDays,1,0))</f>
        <v/>
      </c>
      <c r="X1279" s="13">
        <f>IF(Q1279&gt;=pHighCutoff,1,0)</f>
        <v/>
      </c>
      <c r="Y1279" s="13">
        <f>IF(M1279="Returned",1,0)</f>
        <v/>
      </c>
    </row>
    <row r="1280">
      <c r="A1280" s="13" t="inlineStr">
        <is>
          <t>HC-101278</t>
        </is>
      </c>
      <c r="B1280" s="18" t="n">
        <v>45643</v>
      </c>
      <c r="C1280" s="13" t="inlineStr">
        <is>
          <t>West</t>
        </is>
      </c>
      <c r="D1280" s="13" t="inlineStr">
        <is>
          <t>Store</t>
        </is>
      </c>
      <c r="E1280" s="13" t="inlineStr">
        <is>
          <t>Furniture</t>
        </is>
      </c>
      <c r="F1280" s="13" t="inlineStr">
        <is>
          <t>Walnut Shelf</t>
        </is>
      </c>
      <c r="G1280" s="13" t="inlineStr">
        <is>
          <t>Consumer</t>
        </is>
      </c>
      <c r="H1280" s="13" t="n">
        <v>3</v>
      </c>
      <c r="I1280" s="14" t="n">
        <v>230.66</v>
      </c>
      <c r="J1280" s="15" t="n">
        <v>0.06</v>
      </c>
      <c r="K1280" s="14" t="n">
        <v>126.86</v>
      </c>
      <c r="L1280" s="13" t="n">
        <v>5</v>
      </c>
      <c r="M1280" s="13" t="inlineStr">
        <is>
          <t>Completed</t>
        </is>
      </c>
      <c r="N1280" s="13" t="inlineStr">
        <is>
          <t>A. Shah</t>
        </is>
      </c>
      <c r="O1280" s="13" t="inlineStr">
        <is>
          <t>No</t>
        </is>
      </c>
      <c r="P1280" s="14">
        <f>H1280*I1280</f>
        <v/>
      </c>
      <c r="Q1280" s="14">
        <f>P1280*(1-J1280)</f>
        <v/>
      </c>
      <c r="R1280" s="14">
        <f>H1280*K1280</f>
        <v/>
      </c>
      <c r="S1280" s="15">
        <f>IF(Q1280=0,"",(Q1280-R1280)/Q1280)</f>
        <v/>
      </c>
      <c r="T1280" s="13">
        <f>YEAR(B1280)</f>
        <v/>
      </c>
      <c r="U1280" s="13">
        <f>YEAR(B1280)&amp;"-Q"&amp;ROUNDUP(MONTH(B1280)/3,0)</f>
        <v/>
      </c>
      <c r="V1280" s="13">
        <f>TEXT(B1280,"YYYY-MM")</f>
        <v/>
      </c>
      <c r="W1280" s="13">
        <f>IF(L1280="","",IF(L1280&gt;pLateDays,1,0))</f>
        <v/>
      </c>
      <c r="X1280" s="13">
        <f>IF(Q1280&gt;=pHighCutoff,1,0)</f>
        <v/>
      </c>
      <c r="Y1280" s="13">
        <f>IF(M1280="Returned",1,0)</f>
        <v/>
      </c>
    </row>
    <row r="1281">
      <c r="A1281" s="13" t="inlineStr">
        <is>
          <t>HC-101279</t>
        </is>
      </c>
      <c r="B1281" s="18" t="n">
        <v>45617</v>
      </c>
      <c r="C1281" s="13" t="inlineStr">
        <is>
          <t>West</t>
        </is>
      </c>
      <c r="D1281" s="13" t="inlineStr">
        <is>
          <t>Store</t>
        </is>
      </c>
      <c r="E1281" s="13" t="inlineStr">
        <is>
          <t>Kitchen</t>
        </is>
      </c>
      <c r="F1281" s="13" t="inlineStr">
        <is>
          <t>Cast Skillet</t>
        </is>
      </c>
      <c r="G1281" s="13" t="inlineStr">
        <is>
          <t>Consumer</t>
        </is>
      </c>
      <c r="H1281" s="13" t="n">
        <v>4</v>
      </c>
      <c r="I1281" s="14" t="n">
        <v>50.95</v>
      </c>
      <c r="J1281" s="15" t="n">
        <v>0.01</v>
      </c>
      <c r="K1281" s="14" t="n">
        <v>20.38</v>
      </c>
      <c r="L1281" s="13" t="n"/>
      <c r="M1281" s="13" t="inlineStr">
        <is>
          <t>Completed</t>
        </is>
      </c>
      <c r="N1281" s="13" t="inlineStr">
        <is>
          <t>R. Ibarra</t>
        </is>
      </c>
      <c r="O1281" s="13" t="inlineStr">
        <is>
          <t>No</t>
        </is>
      </c>
      <c r="P1281" s="14">
        <f>H1281*I1281</f>
        <v/>
      </c>
      <c r="Q1281" s="14">
        <f>P1281*(1-J1281)</f>
        <v/>
      </c>
      <c r="R1281" s="14">
        <f>H1281*K1281</f>
        <v/>
      </c>
      <c r="S1281" s="15">
        <f>IF(Q1281=0,"",(Q1281-R1281)/Q1281)</f>
        <v/>
      </c>
      <c r="T1281" s="13">
        <f>YEAR(B1281)</f>
        <v/>
      </c>
      <c r="U1281" s="13">
        <f>YEAR(B1281)&amp;"-Q"&amp;ROUNDUP(MONTH(B1281)/3,0)</f>
        <v/>
      </c>
      <c r="V1281" s="13">
        <f>TEXT(B1281,"YYYY-MM")</f>
        <v/>
      </c>
      <c r="W1281" s="13">
        <f>IF(L1281="","",IF(L1281&gt;pLateDays,1,0))</f>
        <v/>
      </c>
      <c r="X1281" s="13">
        <f>IF(Q1281&gt;=pHighCutoff,1,0)</f>
        <v/>
      </c>
      <c r="Y1281" s="13">
        <f>IF(M1281="Returned",1,0)</f>
        <v/>
      </c>
    </row>
    <row r="1282">
      <c r="A1282" s="13" t="inlineStr">
        <is>
          <t>HC-101280</t>
        </is>
      </c>
      <c r="B1282" s="18" t="n">
        <v>45333</v>
      </c>
      <c r="C1282" s="13" t="inlineStr">
        <is>
          <t>North</t>
        </is>
      </c>
      <c r="D1282" s="13" t="inlineStr">
        <is>
          <t>Online</t>
        </is>
      </c>
      <c r="E1282" s="13" t="inlineStr">
        <is>
          <t>Lighting</t>
        </is>
      </c>
      <c r="F1282" s="13" t="inlineStr">
        <is>
          <t>Brass Sconce</t>
        </is>
      </c>
      <c r="G1282" s="13" t="inlineStr">
        <is>
          <t>Corporate</t>
        </is>
      </c>
      <c r="H1282" s="13" t="n">
        <v>1</v>
      </c>
      <c r="I1282" s="14" t="n">
        <v>144.64</v>
      </c>
      <c r="J1282" s="15" t="n">
        <v>0.12</v>
      </c>
      <c r="K1282" s="14" t="n">
        <v>66.53</v>
      </c>
      <c r="L1282" s="13" t="n">
        <v>4</v>
      </c>
      <c r="M1282" s="13" t="inlineStr">
        <is>
          <t>Completed</t>
        </is>
      </c>
      <c r="N1282" s="13" t="inlineStr">
        <is>
          <t>A. Shah</t>
        </is>
      </c>
      <c r="O1282" s="13" t="inlineStr">
        <is>
          <t>No</t>
        </is>
      </c>
      <c r="P1282" s="14">
        <f>H1282*I1282</f>
        <v/>
      </c>
      <c r="Q1282" s="14">
        <f>P1282*(1-J1282)</f>
        <v/>
      </c>
      <c r="R1282" s="14">
        <f>H1282*K1282</f>
        <v/>
      </c>
      <c r="S1282" s="15">
        <f>IF(Q1282=0,"",(Q1282-R1282)/Q1282)</f>
        <v/>
      </c>
      <c r="T1282" s="13">
        <f>YEAR(B1282)</f>
        <v/>
      </c>
      <c r="U1282" s="13">
        <f>YEAR(B1282)&amp;"-Q"&amp;ROUNDUP(MONTH(B1282)/3,0)</f>
        <v/>
      </c>
      <c r="V1282" s="13">
        <f>TEXT(B1282,"YYYY-MM")</f>
        <v/>
      </c>
      <c r="W1282" s="13">
        <f>IF(L1282="","",IF(L1282&gt;pLateDays,1,0))</f>
        <v/>
      </c>
      <c r="X1282" s="13">
        <f>IF(Q1282&gt;=pHighCutoff,1,0)</f>
        <v/>
      </c>
      <c r="Y1282" s="13">
        <f>IF(M1282="Returned",1,0)</f>
        <v/>
      </c>
    </row>
    <row r="1283">
      <c r="A1283" s="13" t="inlineStr">
        <is>
          <t>HC-101281</t>
        </is>
      </c>
      <c r="B1283" s="18" t="n">
        <v>45648</v>
      </c>
      <c r="C1283" s="13" t="inlineStr">
        <is>
          <t>West</t>
        </is>
      </c>
      <c r="D1283" s="13" t="inlineStr">
        <is>
          <t>Store</t>
        </is>
      </c>
      <c r="E1283" s="13" t="inlineStr">
        <is>
          <t>Textiles</t>
        </is>
      </c>
      <c r="F1283" s="13" t="inlineStr">
        <is>
          <t>Cotton Duvet</t>
        </is>
      </c>
      <c r="G1283" s="13" t="inlineStr">
        <is>
          <t>Consumer</t>
        </is>
      </c>
      <c r="H1283" s="13" t="n">
        <v>5</v>
      </c>
      <c r="I1283" s="14" t="n">
        <v>116.33</v>
      </c>
      <c r="J1283" s="15" t="n">
        <v>0.04</v>
      </c>
      <c r="K1283" s="14" t="n">
        <v>51.18</v>
      </c>
      <c r="L1283" s="13" t="n">
        <v>4</v>
      </c>
      <c r="M1283" s="13" t="inlineStr">
        <is>
          <t>Returned</t>
        </is>
      </c>
      <c r="N1283" s="13" t="inlineStr">
        <is>
          <t>A. Shah</t>
        </is>
      </c>
      <c r="O1283" s="13" t="inlineStr">
        <is>
          <t>No</t>
        </is>
      </c>
      <c r="P1283" s="14">
        <f>H1283*I1283</f>
        <v/>
      </c>
      <c r="Q1283" s="14">
        <f>P1283*(1-J1283)</f>
        <v/>
      </c>
      <c r="R1283" s="14">
        <f>H1283*K1283</f>
        <v/>
      </c>
      <c r="S1283" s="15">
        <f>IF(Q1283=0,"",(Q1283-R1283)/Q1283)</f>
        <v/>
      </c>
      <c r="T1283" s="13">
        <f>YEAR(B1283)</f>
        <v/>
      </c>
      <c r="U1283" s="13">
        <f>YEAR(B1283)&amp;"-Q"&amp;ROUNDUP(MONTH(B1283)/3,0)</f>
        <v/>
      </c>
      <c r="V1283" s="13">
        <f>TEXT(B1283,"YYYY-MM")</f>
        <v/>
      </c>
      <c r="W1283" s="13">
        <f>IF(L1283="","",IF(L1283&gt;pLateDays,1,0))</f>
        <v/>
      </c>
      <c r="X1283" s="13">
        <f>IF(Q1283&gt;=pHighCutoff,1,0)</f>
        <v/>
      </c>
      <c r="Y1283" s="13">
        <f>IF(M1283="Returned",1,0)</f>
        <v/>
      </c>
    </row>
    <row r="1284">
      <c r="A1284" s="13" t="inlineStr">
        <is>
          <t>HC-101282</t>
        </is>
      </c>
      <c r="B1284" s="18" t="n">
        <v>45790</v>
      </c>
      <c r="C1284" s="13" t="inlineStr">
        <is>
          <t>East</t>
        </is>
      </c>
      <c r="D1284" s="13" t="inlineStr">
        <is>
          <t>Store</t>
        </is>
      </c>
      <c r="E1284" s="13" t="inlineStr">
        <is>
          <t>Textiles</t>
        </is>
      </c>
      <c r="F1284" s="13" t="inlineStr">
        <is>
          <t>Cotton Duvet</t>
        </is>
      </c>
      <c r="G1284" s="13" t="inlineStr">
        <is>
          <t>Consumer</t>
        </is>
      </c>
      <c r="H1284" s="13" t="n">
        <v>3</v>
      </c>
      <c r="I1284" s="14" t="n">
        <v>104.22</v>
      </c>
      <c r="J1284" s="15" t="n">
        <v>0.07000000000000001</v>
      </c>
      <c r="K1284" s="14" t="n">
        <v>45.86</v>
      </c>
      <c r="L1284" s="13" t="n">
        <v>8</v>
      </c>
      <c r="M1284" s="13" t="inlineStr">
        <is>
          <t>Completed</t>
        </is>
      </c>
      <c r="N1284" s="13" t="inlineStr">
        <is>
          <t>L. Berger</t>
        </is>
      </c>
      <c r="O1284" s="13" t="inlineStr">
        <is>
          <t>No</t>
        </is>
      </c>
      <c r="P1284" s="14">
        <f>H1284*I1284</f>
        <v/>
      </c>
      <c r="Q1284" s="14">
        <f>P1284*(1-J1284)</f>
        <v/>
      </c>
      <c r="R1284" s="14">
        <f>H1284*K1284</f>
        <v/>
      </c>
      <c r="S1284" s="15">
        <f>IF(Q1284=0,"",(Q1284-R1284)/Q1284)</f>
        <v/>
      </c>
      <c r="T1284" s="13">
        <f>YEAR(B1284)</f>
        <v/>
      </c>
      <c r="U1284" s="13">
        <f>YEAR(B1284)&amp;"-Q"&amp;ROUNDUP(MONTH(B1284)/3,0)</f>
        <v/>
      </c>
      <c r="V1284" s="13">
        <f>TEXT(B1284,"YYYY-MM")</f>
        <v/>
      </c>
      <c r="W1284" s="13">
        <f>IF(L1284="","",IF(L1284&gt;pLateDays,1,0))</f>
        <v/>
      </c>
      <c r="X1284" s="13">
        <f>IF(Q1284&gt;=pHighCutoff,1,0)</f>
        <v/>
      </c>
      <c r="Y1284" s="13">
        <f>IF(M1284="Returned",1,0)</f>
        <v/>
      </c>
    </row>
    <row r="1285">
      <c r="A1285" s="13" t="inlineStr">
        <is>
          <t>HC-101283</t>
        </is>
      </c>
      <c r="B1285" s="18" t="n">
        <v>45635</v>
      </c>
      <c r="C1285" s="13" t="inlineStr">
        <is>
          <t>North</t>
        </is>
      </c>
      <c r="D1285" s="13" t="inlineStr">
        <is>
          <t>Online</t>
        </is>
      </c>
      <c r="E1285" s="13" t="inlineStr">
        <is>
          <t>Furniture</t>
        </is>
      </c>
      <c r="F1285" s="13" t="inlineStr">
        <is>
          <t>Walnut Shelf</t>
        </is>
      </c>
      <c r="G1285" s="13" t="inlineStr">
        <is>
          <t>Corporate</t>
        </is>
      </c>
      <c r="H1285" s="13" t="n">
        <v>2</v>
      </c>
      <c r="I1285" s="14" t="n">
        <v>210.41</v>
      </c>
      <c r="J1285" s="15" t="n">
        <v>0.13</v>
      </c>
      <c r="K1285" s="14" t="n">
        <v>115.73</v>
      </c>
      <c r="L1285" s="13" t="n">
        <v>8</v>
      </c>
      <c r="M1285" s="13" t="inlineStr">
        <is>
          <t>Completed</t>
        </is>
      </c>
      <c r="N1285" s="13" t="inlineStr">
        <is>
          <t>K. Mensah</t>
        </is>
      </c>
      <c r="O1285" s="13" t="inlineStr">
        <is>
          <t>No</t>
        </is>
      </c>
      <c r="P1285" s="14">
        <f>H1285*I1285</f>
        <v/>
      </c>
      <c r="Q1285" s="14">
        <f>P1285*(1-J1285)</f>
        <v/>
      </c>
      <c r="R1285" s="14">
        <f>H1285*K1285</f>
        <v/>
      </c>
      <c r="S1285" s="15">
        <f>IF(Q1285=0,"",(Q1285-R1285)/Q1285)</f>
        <v/>
      </c>
      <c r="T1285" s="13">
        <f>YEAR(B1285)</f>
        <v/>
      </c>
      <c r="U1285" s="13">
        <f>YEAR(B1285)&amp;"-Q"&amp;ROUNDUP(MONTH(B1285)/3,0)</f>
        <v/>
      </c>
      <c r="V1285" s="13">
        <f>TEXT(B1285,"YYYY-MM")</f>
        <v/>
      </c>
      <c r="W1285" s="13">
        <f>IF(L1285="","",IF(L1285&gt;pLateDays,1,0))</f>
        <v/>
      </c>
      <c r="X1285" s="13">
        <f>IF(Q1285&gt;=pHighCutoff,1,0)</f>
        <v/>
      </c>
      <c r="Y1285" s="13">
        <f>IF(M1285="Returned",1,0)</f>
        <v/>
      </c>
    </row>
    <row r="1286">
      <c r="A1286" s="13" t="inlineStr">
        <is>
          <t>HC-101284</t>
        </is>
      </c>
      <c r="B1286" s="18" t="n">
        <v>45521</v>
      </c>
      <c r="C1286" s="13" t="inlineStr">
        <is>
          <t>South</t>
        </is>
      </c>
      <c r="D1286" s="13" t="inlineStr">
        <is>
          <t>Store</t>
        </is>
      </c>
      <c r="E1286" s="13" t="inlineStr">
        <is>
          <t>Textiles</t>
        </is>
      </c>
      <c r="F1286" s="13" t="inlineStr">
        <is>
          <t>Cotton Duvet</t>
        </is>
      </c>
      <c r="G1286" s="13" t="inlineStr">
        <is>
          <t>Consumer</t>
        </is>
      </c>
      <c r="H1286" s="13" t="n">
        <v>2</v>
      </c>
      <c r="I1286" s="14" t="n">
        <v>110.8</v>
      </c>
      <c r="J1286" s="15" t="n">
        <v>0.03</v>
      </c>
      <c r="K1286" s="14" t="n">
        <v>48.75</v>
      </c>
      <c r="L1286" s="13" t="n">
        <v>7</v>
      </c>
      <c r="M1286" s="13" t="inlineStr">
        <is>
          <t>Returned</t>
        </is>
      </c>
      <c r="N1286" s="13" t="inlineStr">
        <is>
          <t>S. Nguyen</t>
        </is>
      </c>
      <c r="O1286" s="13" t="inlineStr">
        <is>
          <t>No</t>
        </is>
      </c>
      <c r="P1286" s="14">
        <f>H1286*I1286</f>
        <v/>
      </c>
      <c r="Q1286" s="14">
        <f>P1286*(1-J1286)</f>
        <v/>
      </c>
      <c r="R1286" s="14">
        <f>H1286*K1286</f>
        <v/>
      </c>
      <c r="S1286" s="15">
        <f>IF(Q1286=0,"",(Q1286-R1286)/Q1286)</f>
        <v/>
      </c>
      <c r="T1286" s="13">
        <f>YEAR(B1286)</f>
        <v/>
      </c>
      <c r="U1286" s="13">
        <f>YEAR(B1286)&amp;"-Q"&amp;ROUNDUP(MONTH(B1286)/3,0)</f>
        <v/>
      </c>
      <c r="V1286" s="13">
        <f>TEXT(B1286,"YYYY-MM")</f>
        <v/>
      </c>
      <c r="W1286" s="13">
        <f>IF(L1286="","",IF(L1286&gt;pLateDays,1,0))</f>
        <v/>
      </c>
      <c r="X1286" s="13">
        <f>IF(Q1286&gt;=pHighCutoff,1,0)</f>
        <v/>
      </c>
      <c r="Y1286" s="13">
        <f>IF(M1286="Returned",1,0)</f>
        <v/>
      </c>
    </row>
    <row r="1287">
      <c r="A1287" s="13" t="inlineStr">
        <is>
          <t>HC-101285</t>
        </is>
      </c>
      <c r="B1287" s="18" t="n">
        <v>45592</v>
      </c>
      <c r="C1287" s="13" t="inlineStr">
        <is>
          <t>North</t>
        </is>
      </c>
      <c r="D1287" s="13" t="inlineStr">
        <is>
          <t>Online</t>
        </is>
      </c>
      <c r="E1287" s="13" t="inlineStr">
        <is>
          <t>Lighting</t>
        </is>
      </c>
      <c r="F1287" s="13" t="inlineStr">
        <is>
          <t>Arc Lamp</t>
        </is>
      </c>
      <c r="G1287" s="13" t="inlineStr">
        <is>
          <t>Consumer</t>
        </is>
      </c>
      <c r="H1287" s="13" t="n">
        <v>1</v>
      </c>
      <c r="I1287" s="14" t="n">
        <v>287.47</v>
      </c>
      <c r="J1287" s="15" t="n">
        <v>0.15</v>
      </c>
      <c r="K1287" s="14" t="n">
        <v>137.99</v>
      </c>
      <c r="L1287" s="13" t="n">
        <v>7</v>
      </c>
      <c r="M1287" s="13" t="inlineStr">
        <is>
          <t>Completed</t>
        </is>
      </c>
      <c r="N1287" s="13" t="inlineStr">
        <is>
          <t>S. Nguyen</t>
        </is>
      </c>
      <c r="O1287" s="13" t="inlineStr">
        <is>
          <t>No</t>
        </is>
      </c>
      <c r="P1287" s="14">
        <f>H1287*I1287</f>
        <v/>
      </c>
      <c r="Q1287" s="14">
        <f>P1287*(1-J1287)</f>
        <v/>
      </c>
      <c r="R1287" s="14">
        <f>H1287*K1287</f>
        <v/>
      </c>
      <c r="S1287" s="15">
        <f>IF(Q1287=0,"",(Q1287-R1287)/Q1287)</f>
        <v/>
      </c>
      <c r="T1287" s="13">
        <f>YEAR(B1287)</f>
        <v/>
      </c>
      <c r="U1287" s="13">
        <f>YEAR(B1287)&amp;"-Q"&amp;ROUNDUP(MONTH(B1287)/3,0)</f>
        <v/>
      </c>
      <c r="V1287" s="13">
        <f>TEXT(B1287,"YYYY-MM")</f>
        <v/>
      </c>
      <c r="W1287" s="13">
        <f>IF(L1287="","",IF(L1287&gt;pLateDays,1,0))</f>
        <v/>
      </c>
      <c r="X1287" s="13">
        <f>IF(Q1287&gt;=pHighCutoff,1,0)</f>
        <v/>
      </c>
      <c r="Y1287" s="13">
        <f>IF(M1287="Returned",1,0)</f>
        <v/>
      </c>
    </row>
    <row r="1288">
      <c r="A1288" s="13" t="inlineStr">
        <is>
          <t>HC-101286</t>
        </is>
      </c>
      <c r="B1288" s="18" t="n">
        <v>45613</v>
      </c>
      <c r="C1288" s="13" t="inlineStr">
        <is>
          <t>East</t>
        </is>
      </c>
      <c r="D1288" s="13" t="inlineStr">
        <is>
          <t>Online</t>
        </is>
      </c>
      <c r="E1288" s="13" t="inlineStr">
        <is>
          <t>Furniture</t>
        </is>
      </c>
      <c r="F1288" s="13" t="inlineStr">
        <is>
          <t>Oak Desk</t>
        </is>
      </c>
      <c r="G1288" s="13" t="inlineStr">
        <is>
          <t>Home Office</t>
        </is>
      </c>
      <c r="H1288" s="13" t="n">
        <v>4</v>
      </c>
      <c r="I1288" s="14" t="n">
        <v>764.5</v>
      </c>
      <c r="J1288" s="15" t="n">
        <v>0.03</v>
      </c>
      <c r="K1288" s="14" t="n">
        <v>473.99</v>
      </c>
      <c r="L1288" s="13" t="n">
        <v>7</v>
      </c>
      <c r="M1288" s="13" t="inlineStr">
        <is>
          <t>Completed</t>
        </is>
      </c>
      <c r="N1288" s="13" t="inlineStr">
        <is>
          <t>M. Okonkwo</t>
        </is>
      </c>
      <c r="O1288" s="13" t="inlineStr">
        <is>
          <t>No</t>
        </is>
      </c>
      <c r="P1288" s="14">
        <f>H1288*I1288</f>
        <v/>
      </c>
      <c r="Q1288" s="14">
        <f>P1288*(1-J1288)</f>
        <v/>
      </c>
      <c r="R1288" s="14">
        <f>H1288*K1288</f>
        <v/>
      </c>
      <c r="S1288" s="15">
        <f>IF(Q1288=0,"",(Q1288-R1288)/Q1288)</f>
        <v/>
      </c>
      <c r="T1288" s="13">
        <f>YEAR(B1288)</f>
        <v/>
      </c>
      <c r="U1288" s="13">
        <f>YEAR(B1288)&amp;"-Q"&amp;ROUNDUP(MONTH(B1288)/3,0)</f>
        <v/>
      </c>
      <c r="V1288" s="13">
        <f>TEXT(B1288,"YYYY-MM")</f>
        <v/>
      </c>
      <c r="W1288" s="13">
        <f>IF(L1288="","",IF(L1288&gt;pLateDays,1,0))</f>
        <v/>
      </c>
      <c r="X1288" s="13">
        <f>IF(Q1288&gt;=pHighCutoff,1,0)</f>
        <v/>
      </c>
      <c r="Y1288" s="13">
        <f>IF(M1288="Returned",1,0)</f>
        <v/>
      </c>
    </row>
    <row r="1289">
      <c r="A1289" s="13" t="inlineStr">
        <is>
          <t>HC-101287</t>
        </is>
      </c>
      <c r="B1289" s="18" t="n">
        <v>45924</v>
      </c>
      <c r="C1289" s="13" t="inlineStr">
        <is>
          <t>North</t>
        </is>
      </c>
      <c r="D1289" s="13" t="inlineStr">
        <is>
          <t>Online</t>
        </is>
      </c>
      <c r="E1289" s="13" t="inlineStr">
        <is>
          <t>Textiles</t>
        </is>
      </c>
      <c r="F1289" s="13" t="inlineStr">
        <is>
          <t>Cotton Duvet</t>
        </is>
      </c>
      <c r="G1289" s="13" t="inlineStr">
        <is>
          <t>Corporate</t>
        </is>
      </c>
      <c r="H1289" s="13" t="n">
        <v>3</v>
      </c>
      <c r="I1289" s="14" t="n">
        <v>121.57</v>
      </c>
      <c r="J1289" s="15" t="n">
        <v>0.09</v>
      </c>
      <c r="K1289" s="14" t="n">
        <v>53.49</v>
      </c>
      <c r="L1289" s="13" t="n">
        <v>4</v>
      </c>
      <c r="M1289" s="13" t="inlineStr">
        <is>
          <t>Completed</t>
        </is>
      </c>
      <c r="N1289" s="13" t="inlineStr">
        <is>
          <t>S. Nguyen</t>
        </is>
      </c>
      <c r="O1289" s="13" t="inlineStr">
        <is>
          <t>No</t>
        </is>
      </c>
      <c r="P1289" s="14">
        <f>H1289*I1289</f>
        <v/>
      </c>
      <c r="Q1289" s="14">
        <f>P1289*(1-J1289)</f>
        <v/>
      </c>
      <c r="R1289" s="14">
        <f>H1289*K1289</f>
        <v/>
      </c>
      <c r="S1289" s="15">
        <f>IF(Q1289=0,"",(Q1289-R1289)/Q1289)</f>
        <v/>
      </c>
      <c r="T1289" s="13">
        <f>YEAR(B1289)</f>
        <v/>
      </c>
      <c r="U1289" s="13">
        <f>YEAR(B1289)&amp;"-Q"&amp;ROUNDUP(MONTH(B1289)/3,0)</f>
        <v/>
      </c>
      <c r="V1289" s="13">
        <f>TEXT(B1289,"YYYY-MM")</f>
        <v/>
      </c>
      <c r="W1289" s="13">
        <f>IF(L1289="","",IF(L1289&gt;pLateDays,1,0))</f>
        <v/>
      </c>
      <c r="X1289" s="13">
        <f>IF(Q1289&gt;=pHighCutoff,1,0)</f>
        <v/>
      </c>
      <c r="Y1289" s="13">
        <f>IF(M1289="Returned",1,0)</f>
        <v/>
      </c>
    </row>
    <row r="1290">
      <c r="A1290" s="13" t="inlineStr">
        <is>
          <t>HC-101288</t>
        </is>
      </c>
      <c r="B1290" s="18" t="n">
        <v>45835</v>
      </c>
      <c r="C1290" s="13" t="inlineStr">
        <is>
          <t>South</t>
        </is>
      </c>
      <c r="D1290" s="13" t="inlineStr">
        <is>
          <t>Wholesale</t>
        </is>
      </c>
      <c r="E1290" s="13" t="inlineStr">
        <is>
          <t>Kitchen</t>
        </is>
      </c>
      <c r="F1290" s="13" t="inlineStr">
        <is>
          <t>Cast Skillet</t>
        </is>
      </c>
      <c r="G1290" s="13" t="inlineStr">
        <is>
          <t>Consumer</t>
        </is>
      </c>
      <c r="H1290" s="13" t="n">
        <v>35</v>
      </c>
      <c r="I1290" s="14" t="n">
        <v>51</v>
      </c>
      <c r="J1290" s="15" t="n">
        <v>0.15</v>
      </c>
      <c r="K1290" s="14" t="n">
        <v>20.4</v>
      </c>
      <c r="L1290" s="13" t="n">
        <v>3</v>
      </c>
      <c r="M1290" s="13" t="inlineStr">
        <is>
          <t>Completed</t>
        </is>
      </c>
      <c r="N1290" s="13" t="inlineStr">
        <is>
          <t>S. Nguyen</t>
        </is>
      </c>
      <c r="O1290" s="13" t="inlineStr">
        <is>
          <t>No</t>
        </is>
      </c>
      <c r="P1290" s="14">
        <f>H1290*I1290</f>
        <v/>
      </c>
      <c r="Q1290" s="14">
        <f>P1290*(1-J1290)</f>
        <v/>
      </c>
      <c r="R1290" s="14">
        <f>H1290*K1290</f>
        <v/>
      </c>
      <c r="S1290" s="15">
        <f>IF(Q1290=0,"",(Q1290-R1290)/Q1290)</f>
        <v/>
      </c>
      <c r="T1290" s="13">
        <f>YEAR(B1290)</f>
        <v/>
      </c>
      <c r="U1290" s="13">
        <f>YEAR(B1290)&amp;"-Q"&amp;ROUNDUP(MONTH(B1290)/3,0)</f>
        <v/>
      </c>
      <c r="V1290" s="13">
        <f>TEXT(B1290,"YYYY-MM")</f>
        <v/>
      </c>
      <c r="W1290" s="13">
        <f>IF(L1290="","",IF(L1290&gt;pLateDays,1,0))</f>
        <v/>
      </c>
      <c r="X1290" s="13">
        <f>IF(Q1290&gt;=pHighCutoff,1,0)</f>
        <v/>
      </c>
      <c r="Y1290" s="13">
        <f>IF(M1290="Returned",1,0)</f>
        <v/>
      </c>
    </row>
    <row r="1291">
      <c r="A1291" s="13" t="inlineStr">
        <is>
          <t>HC-101289</t>
        </is>
      </c>
      <c r="B1291" s="18" t="n">
        <v>45627</v>
      </c>
      <c r="C1291" s="13" t="inlineStr">
        <is>
          <t>West</t>
        </is>
      </c>
      <c r="D1291" s="13" t="inlineStr">
        <is>
          <t>Online</t>
        </is>
      </c>
      <c r="E1291" s="13" t="inlineStr">
        <is>
          <t>Kitchen</t>
        </is>
      </c>
      <c r="F1291" s="13" t="inlineStr">
        <is>
          <t>Cast Skillet</t>
        </is>
      </c>
      <c r="G1291" s="13" t="inlineStr">
        <is>
          <t>Consumer</t>
        </is>
      </c>
      <c r="H1291" s="13" t="n">
        <v>3</v>
      </c>
      <c r="I1291" s="14" t="n">
        <v>54.54</v>
      </c>
      <c r="J1291" s="15" t="n">
        <v>0.03</v>
      </c>
      <c r="K1291" s="14" t="n">
        <v>21.82</v>
      </c>
      <c r="L1291" s="13" t="n">
        <v>1</v>
      </c>
      <c r="M1291" s="13" t="inlineStr">
        <is>
          <t>Completed</t>
        </is>
      </c>
      <c r="N1291" s="13" t="inlineStr">
        <is>
          <t>S. Nguyen</t>
        </is>
      </c>
      <c r="O1291" s="13" t="inlineStr">
        <is>
          <t>No</t>
        </is>
      </c>
      <c r="P1291" s="14">
        <f>H1291*I1291</f>
        <v/>
      </c>
      <c r="Q1291" s="14">
        <f>P1291*(1-J1291)</f>
        <v/>
      </c>
      <c r="R1291" s="14">
        <f>H1291*K1291</f>
        <v/>
      </c>
      <c r="S1291" s="15">
        <f>IF(Q1291=0,"",(Q1291-R1291)/Q1291)</f>
        <v/>
      </c>
      <c r="T1291" s="13">
        <f>YEAR(B1291)</f>
        <v/>
      </c>
      <c r="U1291" s="13">
        <f>YEAR(B1291)&amp;"-Q"&amp;ROUNDUP(MONTH(B1291)/3,0)</f>
        <v/>
      </c>
      <c r="V1291" s="13">
        <f>TEXT(B1291,"YYYY-MM")</f>
        <v/>
      </c>
      <c r="W1291" s="13">
        <f>IF(L1291="","",IF(L1291&gt;pLateDays,1,0))</f>
        <v/>
      </c>
      <c r="X1291" s="13">
        <f>IF(Q1291&gt;=pHighCutoff,1,0)</f>
        <v/>
      </c>
      <c r="Y1291" s="13">
        <f>IF(M1291="Returned",1,0)</f>
        <v/>
      </c>
    </row>
    <row r="1292">
      <c r="A1292" s="13" t="inlineStr">
        <is>
          <t>HC-101290</t>
        </is>
      </c>
      <c r="B1292" s="18" t="n">
        <v>45902</v>
      </c>
      <c r="C1292" s="13" t="inlineStr">
        <is>
          <t>West</t>
        </is>
      </c>
      <c r="D1292" s="13" t="inlineStr">
        <is>
          <t>Store</t>
        </is>
      </c>
      <c r="E1292" s="13" t="inlineStr">
        <is>
          <t>Kitchen</t>
        </is>
      </c>
      <c r="F1292" s="13" t="inlineStr">
        <is>
          <t>Chef Knife</t>
        </is>
      </c>
      <c r="G1292" s="13" t="inlineStr">
        <is>
          <t>Home Office</t>
        </is>
      </c>
      <c r="H1292" s="13" t="n">
        <v>1</v>
      </c>
      <c r="I1292" s="14" t="n">
        <v>69.06</v>
      </c>
      <c r="J1292" s="15" t="n">
        <v>0.01</v>
      </c>
      <c r="K1292" s="14" t="n">
        <v>24.86</v>
      </c>
      <c r="L1292" s="13" t="n">
        <v>5</v>
      </c>
      <c r="M1292" s="13" t="inlineStr">
        <is>
          <t>Completed</t>
        </is>
      </c>
      <c r="N1292" s="13" t="inlineStr">
        <is>
          <t>L. Berger</t>
        </is>
      </c>
      <c r="O1292" s="13" t="inlineStr">
        <is>
          <t>No</t>
        </is>
      </c>
      <c r="P1292" s="14">
        <f>H1292*I1292</f>
        <v/>
      </c>
      <c r="Q1292" s="14">
        <f>P1292*(1-J1292)</f>
        <v/>
      </c>
      <c r="R1292" s="14">
        <f>H1292*K1292</f>
        <v/>
      </c>
      <c r="S1292" s="15">
        <f>IF(Q1292=0,"",(Q1292-R1292)/Q1292)</f>
        <v/>
      </c>
      <c r="T1292" s="13">
        <f>YEAR(B1292)</f>
        <v/>
      </c>
      <c r="U1292" s="13">
        <f>YEAR(B1292)&amp;"-Q"&amp;ROUNDUP(MONTH(B1292)/3,0)</f>
        <v/>
      </c>
      <c r="V1292" s="13">
        <f>TEXT(B1292,"YYYY-MM")</f>
        <v/>
      </c>
      <c r="W1292" s="13">
        <f>IF(L1292="","",IF(L1292&gt;pLateDays,1,0))</f>
        <v/>
      </c>
      <c r="X1292" s="13">
        <f>IF(Q1292&gt;=pHighCutoff,1,0)</f>
        <v/>
      </c>
      <c r="Y1292" s="13">
        <f>IF(M1292="Returned",1,0)</f>
        <v/>
      </c>
    </row>
    <row r="1293">
      <c r="A1293" s="13" t="inlineStr">
        <is>
          <t>HC-101291</t>
        </is>
      </c>
      <c r="B1293" s="18" t="n">
        <v>45335</v>
      </c>
      <c r="C1293" s="13" t="inlineStr">
        <is>
          <t>West</t>
        </is>
      </c>
      <c r="D1293" s="13" t="inlineStr">
        <is>
          <t>Store</t>
        </is>
      </c>
      <c r="E1293" s="13" t="inlineStr">
        <is>
          <t>Furniture</t>
        </is>
      </c>
      <c r="F1293" s="13" t="inlineStr">
        <is>
          <t>Linen Sofa</t>
        </is>
      </c>
      <c r="G1293" s="13" t="inlineStr">
        <is>
          <t>Consumer</t>
        </is>
      </c>
      <c r="H1293" s="13" t="n">
        <v>2</v>
      </c>
      <c r="I1293" s="14" t="n">
        <v>1338.11</v>
      </c>
      <c r="J1293" s="15" t="n">
        <v>0.05</v>
      </c>
      <c r="K1293" s="14" t="n">
        <v>883.15</v>
      </c>
      <c r="L1293" s="13" t="n">
        <v>3</v>
      </c>
      <c r="M1293" s="13" t="inlineStr">
        <is>
          <t>Completed</t>
        </is>
      </c>
      <c r="N1293" s="13" t="inlineStr">
        <is>
          <t>J. Patel</t>
        </is>
      </c>
      <c r="O1293" s="13" t="inlineStr">
        <is>
          <t>No</t>
        </is>
      </c>
      <c r="P1293" s="14">
        <f>H1293*I1293</f>
        <v/>
      </c>
      <c r="Q1293" s="14">
        <f>P1293*(1-J1293)</f>
        <v/>
      </c>
      <c r="R1293" s="14">
        <f>H1293*K1293</f>
        <v/>
      </c>
      <c r="S1293" s="15">
        <f>IF(Q1293=0,"",(Q1293-R1293)/Q1293)</f>
        <v/>
      </c>
      <c r="T1293" s="13">
        <f>YEAR(B1293)</f>
        <v/>
      </c>
      <c r="U1293" s="13">
        <f>YEAR(B1293)&amp;"-Q"&amp;ROUNDUP(MONTH(B1293)/3,0)</f>
        <v/>
      </c>
      <c r="V1293" s="13">
        <f>TEXT(B1293,"YYYY-MM")</f>
        <v/>
      </c>
      <c r="W1293" s="13">
        <f>IF(L1293="","",IF(L1293&gt;pLateDays,1,0))</f>
        <v/>
      </c>
      <c r="X1293" s="13">
        <f>IF(Q1293&gt;=pHighCutoff,1,0)</f>
        <v/>
      </c>
      <c r="Y1293" s="13">
        <f>IF(M1293="Returned",1,0)</f>
        <v/>
      </c>
    </row>
    <row r="1294">
      <c r="A1294" s="13" t="inlineStr">
        <is>
          <t>HC-101292</t>
        </is>
      </c>
      <c r="B1294" s="18" t="n">
        <v>45722</v>
      </c>
      <c r="C1294" s="13" t="inlineStr">
        <is>
          <t>South</t>
        </is>
      </c>
      <c r="D1294" s="13" t="inlineStr">
        <is>
          <t>Online</t>
        </is>
      </c>
      <c r="E1294" s="13" t="inlineStr">
        <is>
          <t>Lighting</t>
        </is>
      </c>
      <c r="F1294" s="13" t="inlineStr">
        <is>
          <t>Pendant Light</t>
        </is>
      </c>
      <c r="G1294" s="13" t="inlineStr">
        <is>
          <t>Consumer</t>
        </is>
      </c>
      <c r="H1294" s="13" t="n">
        <v>3</v>
      </c>
      <c r="I1294" s="14" t="n">
        <v>186.4</v>
      </c>
      <c r="J1294" s="15" t="n">
        <v>0.08</v>
      </c>
      <c r="K1294" s="14" t="n">
        <v>93.2</v>
      </c>
      <c r="L1294" s="13" t="n">
        <v>6</v>
      </c>
      <c r="M1294" s="13" t="inlineStr">
        <is>
          <t>Completed</t>
        </is>
      </c>
      <c r="N1294" s="13" t="inlineStr">
        <is>
          <t>J. Patel</t>
        </is>
      </c>
      <c r="O1294" s="13" t="inlineStr">
        <is>
          <t>No</t>
        </is>
      </c>
      <c r="P1294" s="14">
        <f>H1294*I1294</f>
        <v/>
      </c>
      <c r="Q1294" s="14">
        <f>P1294*(1-J1294)</f>
        <v/>
      </c>
      <c r="R1294" s="14">
        <f>H1294*K1294</f>
        <v/>
      </c>
      <c r="S1294" s="15">
        <f>IF(Q1294=0,"",(Q1294-R1294)/Q1294)</f>
        <v/>
      </c>
      <c r="T1294" s="13">
        <f>YEAR(B1294)</f>
        <v/>
      </c>
      <c r="U1294" s="13">
        <f>YEAR(B1294)&amp;"-Q"&amp;ROUNDUP(MONTH(B1294)/3,0)</f>
        <v/>
      </c>
      <c r="V1294" s="13">
        <f>TEXT(B1294,"YYYY-MM")</f>
        <v/>
      </c>
      <c r="W1294" s="13">
        <f>IF(L1294="","",IF(L1294&gt;pLateDays,1,0))</f>
        <v/>
      </c>
      <c r="X1294" s="13">
        <f>IF(Q1294&gt;=pHighCutoff,1,0)</f>
        <v/>
      </c>
      <c r="Y1294" s="13">
        <f>IF(M1294="Returned",1,0)</f>
        <v/>
      </c>
    </row>
    <row r="1295">
      <c r="A1295" s="13" t="inlineStr">
        <is>
          <t>HC-101293</t>
        </is>
      </c>
      <c r="B1295" s="18" t="n">
        <v>45767</v>
      </c>
      <c r="C1295" s="13" t="inlineStr">
        <is>
          <t>South</t>
        </is>
      </c>
      <c r="D1295" s="13" t="inlineStr">
        <is>
          <t>Store</t>
        </is>
      </c>
      <c r="E1295" s="13" t="inlineStr">
        <is>
          <t>Textiles</t>
        </is>
      </c>
      <c r="F1295" s="13" t="inlineStr">
        <is>
          <t>Linen Curtain</t>
        </is>
      </c>
      <c r="G1295" s="13" t="inlineStr">
        <is>
          <t>Consumer</t>
        </is>
      </c>
      <c r="H1295" s="13" t="n">
        <v>2</v>
      </c>
      <c r="I1295" s="14" t="n">
        <v>100.19</v>
      </c>
      <c r="J1295" s="15" t="n">
        <v>0.05</v>
      </c>
      <c r="K1295" s="14" t="n">
        <v>45.08</v>
      </c>
      <c r="L1295" s="13" t="n">
        <v>5</v>
      </c>
      <c r="M1295" s="13" t="inlineStr">
        <is>
          <t>Completed</t>
        </is>
      </c>
      <c r="N1295" s="13" t="inlineStr">
        <is>
          <t>K. Mensah</t>
        </is>
      </c>
      <c r="O1295" s="13" t="inlineStr">
        <is>
          <t>No</t>
        </is>
      </c>
      <c r="P1295" s="14">
        <f>H1295*I1295</f>
        <v/>
      </c>
      <c r="Q1295" s="14">
        <f>P1295*(1-J1295)</f>
        <v/>
      </c>
      <c r="R1295" s="14">
        <f>H1295*K1295</f>
        <v/>
      </c>
      <c r="S1295" s="15">
        <f>IF(Q1295=0,"",(Q1295-R1295)/Q1295)</f>
        <v/>
      </c>
      <c r="T1295" s="13">
        <f>YEAR(B1295)</f>
        <v/>
      </c>
      <c r="U1295" s="13">
        <f>YEAR(B1295)&amp;"-Q"&amp;ROUNDUP(MONTH(B1295)/3,0)</f>
        <v/>
      </c>
      <c r="V1295" s="13">
        <f>TEXT(B1295,"YYYY-MM")</f>
        <v/>
      </c>
      <c r="W1295" s="13">
        <f>IF(L1295="","",IF(L1295&gt;pLateDays,1,0))</f>
        <v/>
      </c>
      <c r="X1295" s="13">
        <f>IF(Q1295&gt;=pHighCutoff,1,0)</f>
        <v/>
      </c>
      <c r="Y1295" s="13">
        <f>IF(M1295="Returned",1,0)</f>
        <v/>
      </c>
    </row>
    <row r="1296">
      <c r="A1296" s="13" t="inlineStr">
        <is>
          <t>HC-101294</t>
        </is>
      </c>
      <c r="B1296" s="18" t="n">
        <v>45751</v>
      </c>
      <c r="C1296" s="13" t="inlineStr">
        <is>
          <t>North</t>
        </is>
      </c>
      <c r="D1296" s="13" t="inlineStr">
        <is>
          <t>Store</t>
        </is>
      </c>
      <c r="E1296" s="13" t="inlineStr">
        <is>
          <t>Textiles</t>
        </is>
      </c>
      <c r="F1296" s="13" t="inlineStr">
        <is>
          <t>Cotton Duvet</t>
        </is>
      </c>
      <c r="G1296" s="13" t="inlineStr">
        <is>
          <t>Corporate</t>
        </is>
      </c>
      <c r="H1296" s="13" t="n">
        <v>1</v>
      </c>
      <c r="I1296" s="14" t="n">
        <v>112.54</v>
      </c>
      <c r="J1296" s="15" t="n">
        <v>0.05</v>
      </c>
      <c r="K1296" s="14" t="n">
        <v>49.52</v>
      </c>
      <c r="L1296" s="13" t="n">
        <v>4</v>
      </c>
      <c r="M1296" s="13" t="inlineStr">
        <is>
          <t>Completed</t>
        </is>
      </c>
      <c r="N1296" s="13" t="inlineStr">
        <is>
          <t>K. Mensah</t>
        </is>
      </c>
      <c r="O1296" s="13" t="inlineStr">
        <is>
          <t>No</t>
        </is>
      </c>
      <c r="P1296" s="14">
        <f>H1296*I1296</f>
        <v/>
      </c>
      <c r="Q1296" s="14">
        <f>P1296*(1-J1296)</f>
        <v/>
      </c>
      <c r="R1296" s="14">
        <f>H1296*K1296</f>
        <v/>
      </c>
      <c r="S1296" s="15">
        <f>IF(Q1296=0,"",(Q1296-R1296)/Q1296)</f>
        <v/>
      </c>
      <c r="T1296" s="13">
        <f>YEAR(B1296)</f>
        <v/>
      </c>
      <c r="U1296" s="13">
        <f>YEAR(B1296)&amp;"-Q"&amp;ROUNDUP(MONTH(B1296)/3,0)</f>
        <v/>
      </c>
      <c r="V1296" s="13">
        <f>TEXT(B1296,"YYYY-MM")</f>
        <v/>
      </c>
      <c r="W1296" s="13">
        <f>IF(L1296="","",IF(L1296&gt;pLateDays,1,0))</f>
        <v/>
      </c>
      <c r="X1296" s="13">
        <f>IF(Q1296&gt;=pHighCutoff,1,0)</f>
        <v/>
      </c>
      <c r="Y1296" s="13">
        <f>IF(M1296="Returned",1,0)</f>
        <v/>
      </c>
    </row>
    <row r="1297">
      <c r="A1297" s="13" t="inlineStr">
        <is>
          <t>HC-101295</t>
        </is>
      </c>
      <c r="B1297" s="18" t="n">
        <v>45585</v>
      </c>
      <c r="C1297" s="13" t="inlineStr">
        <is>
          <t>South</t>
        </is>
      </c>
      <c r="D1297" s="13" t="inlineStr">
        <is>
          <t>Store</t>
        </is>
      </c>
      <c r="E1297" s="13" t="inlineStr">
        <is>
          <t>Textiles</t>
        </is>
      </c>
      <c r="F1297" s="13" t="inlineStr">
        <is>
          <t>Cotton Duvet</t>
        </is>
      </c>
      <c r="G1297" s="13" t="inlineStr">
        <is>
          <t>Corporate</t>
        </is>
      </c>
      <c r="H1297" s="13" t="n">
        <v>1</v>
      </c>
      <c r="I1297" s="14" t="n">
        <v>119.74</v>
      </c>
      <c r="J1297" s="15" t="n">
        <v>0.05</v>
      </c>
      <c r="K1297" s="14" t="n">
        <v>52.69</v>
      </c>
      <c r="L1297" s="13" t="n">
        <v>9</v>
      </c>
      <c r="M1297" s="13" t="inlineStr">
        <is>
          <t>Completed</t>
        </is>
      </c>
      <c r="N1297" s="13" t="inlineStr">
        <is>
          <t>P. Rossi</t>
        </is>
      </c>
      <c r="O1297" s="13" t="inlineStr">
        <is>
          <t>No</t>
        </is>
      </c>
      <c r="P1297" s="14">
        <f>H1297*I1297</f>
        <v/>
      </c>
      <c r="Q1297" s="14">
        <f>P1297*(1-J1297)</f>
        <v/>
      </c>
      <c r="R1297" s="14">
        <f>H1297*K1297</f>
        <v/>
      </c>
      <c r="S1297" s="15">
        <f>IF(Q1297=0,"",(Q1297-R1297)/Q1297)</f>
        <v/>
      </c>
      <c r="T1297" s="13">
        <f>YEAR(B1297)</f>
        <v/>
      </c>
      <c r="U1297" s="13">
        <f>YEAR(B1297)&amp;"-Q"&amp;ROUNDUP(MONTH(B1297)/3,0)</f>
        <v/>
      </c>
      <c r="V1297" s="13">
        <f>TEXT(B1297,"YYYY-MM")</f>
        <v/>
      </c>
      <c r="W1297" s="13">
        <f>IF(L1297="","",IF(L1297&gt;pLateDays,1,0))</f>
        <v/>
      </c>
      <c r="X1297" s="13">
        <f>IF(Q1297&gt;=pHighCutoff,1,0)</f>
        <v/>
      </c>
      <c r="Y1297" s="13">
        <f>IF(M1297="Returned",1,0)</f>
        <v/>
      </c>
    </row>
    <row r="1298">
      <c r="A1298" s="13" t="inlineStr">
        <is>
          <t>HC-101296</t>
        </is>
      </c>
      <c r="B1298" s="18" t="n">
        <v>45599</v>
      </c>
      <c r="C1298" s="13" t="inlineStr">
        <is>
          <t>South</t>
        </is>
      </c>
      <c r="D1298" s="13" t="inlineStr">
        <is>
          <t>Online</t>
        </is>
      </c>
      <c r="E1298" s="13" t="inlineStr">
        <is>
          <t>Kitchen</t>
        </is>
      </c>
      <c r="F1298" s="13" t="inlineStr">
        <is>
          <t>Ceramic Set</t>
        </is>
      </c>
      <c r="G1298" s="13" t="inlineStr">
        <is>
          <t>Unknown</t>
        </is>
      </c>
      <c r="H1298" s="13" t="n">
        <v>3</v>
      </c>
      <c r="I1298" s="14" t="n">
        <v>85.28</v>
      </c>
      <c r="J1298" s="15" t="n">
        <v>0.1</v>
      </c>
      <c r="K1298" s="14" t="n">
        <v>32.41</v>
      </c>
      <c r="L1298" s="13" t="n">
        <v>4</v>
      </c>
      <c r="M1298" s="13" t="inlineStr">
        <is>
          <t>Completed</t>
        </is>
      </c>
      <c r="N1298" s="13" t="inlineStr">
        <is>
          <t>K. Mensah</t>
        </is>
      </c>
      <c r="O1298" s="13" t="inlineStr">
        <is>
          <t>No</t>
        </is>
      </c>
      <c r="P1298" s="14">
        <f>H1298*I1298</f>
        <v/>
      </c>
      <c r="Q1298" s="14">
        <f>P1298*(1-J1298)</f>
        <v/>
      </c>
      <c r="R1298" s="14">
        <f>H1298*K1298</f>
        <v/>
      </c>
      <c r="S1298" s="15">
        <f>IF(Q1298=0,"",(Q1298-R1298)/Q1298)</f>
        <v/>
      </c>
      <c r="T1298" s="13">
        <f>YEAR(B1298)</f>
        <v/>
      </c>
      <c r="U1298" s="13">
        <f>YEAR(B1298)&amp;"-Q"&amp;ROUNDUP(MONTH(B1298)/3,0)</f>
        <v/>
      </c>
      <c r="V1298" s="13">
        <f>TEXT(B1298,"YYYY-MM")</f>
        <v/>
      </c>
      <c r="W1298" s="13">
        <f>IF(L1298="","",IF(L1298&gt;pLateDays,1,0))</f>
        <v/>
      </c>
      <c r="X1298" s="13">
        <f>IF(Q1298&gt;=pHighCutoff,1,0)</f>
        <v/>
      </c>
      <c r="Y1298" s="13">
        <f>IF(M1298="Returned",1,0)</f>
        <v/>
      </c>
    </row>
    <row r="1299">
      <c r="A1299" s="13" t="inlineStr">
        <is>
          <t>HC-101297</t>
        </is>
      </c>
      <c r="B1299" s="18" t="n">
        <v>45694</v>
      </c>
      <c r="C1299" s="13" t="inlineStr">
        <is>
          <t>North</t>
        </is>
      </c>
      <c r="D1299" s="13" t="inlineStr">
        <is>
          <t>Online</t>
        </is>
      </c>
      <c r="E1299" s="13" t="inlineStr">
        <is>
          <t>Lighting</t>
        </is>
      </c>
      <c r="F1299" s="13" t="inlineStr">
        <is>
          <t>Arc Lamp</t>
        </is>
      </c>
      <c r="G1299" s="13" t="inlineStr">
        <is>
          <t>Consumer</t>
        </is>
      </c>
      <c r="H1299" s="13" t="n">
        <v>2</v>
      </c>
      <c r="I1299" s="14" t="n">
        <v>298.4</v>
      </c>
      <c r="J1299" s="15" t="n">
        <v>0.15</v>
      </c>
      <c r="K1299" s="14" t="n">
        <v>143.23</v>
      </c>
      <c r="L1299" s="13" t="n">
        <v>9</v>
      </c>
      <c r="M1299" s="13" t="inlineStr">
        <is>
          <t>Completed</t>
        </is>
      </c>
      <c r="N1299" s="13" t="inlineStr">
        <is>
          <t>A. Shah</t>
        </is>
      </c>
      <c r="O1299" s="13" t="inlineStr">
        <is>
          <t>No</t>
        </is>
      </c>
      <c r="P1299" s="14">
        <f>H1299*I1299</f>
        <v/>
      </c>
      <c r="Q1299" s="14">
        <f>P1299*(1-J1299)</f>
        <v/>
      </c>
      <c r="R1299" s="14">
        <f>H1299*K1299</f>
        <v/>
      </c>
      <c r="S1299" s="15">
        <f>IF(Q1299=0,"",(Q1299-R1299)/Q1299)</f>
        <v/>
      </c>
      <c r="T1299" s="13">
        <f>YEAR(B1299)</f>
        <v/>
      </c>
      <c r="U1299" s="13">
        <f>YEAR(B1299)&amp;"-Q"&amp;ROUNDUP(MONTH(B1299)/3,0)</f>
        <v/>
      </c>
      <c r="V1299" s="13">
        <f>TEXT(B1299,"YYYY-MM")</f>
        <v/>
      </c>
      <c r="W1299" s="13">
        <f>IF(L1299="","",IF(L1299&gt;pLateDays,1,0))</f>
        <v/>
      </c>
      <c r="X1299" s="13">
        <f>IF(Q1299&gt;=pHighCutoff,1,0)</f>
        <v/>
      </c>
      <c r="Y1299" s="13">
        <f>IF(M1299="Returned",1,0)</f>
        <v/>
      </c>
    </row>
    <row r="1300">
      <c r="A1300" s="13" t="inlineStr">
        <is>
          <t>HC-101298</t>
        </is>
      </c>
      <c r="B1300" s="18" t="n">
        <v>45457</v>
      </c>
      <c r="C1300" s="13" t="inlineStr">
        <is>
          <t>East</t>
        </is>
      </c>
      <c r="D1300" s="13" t="inlineStr">
        <is>
          <t>Store</t>
        </is>
      </c>
      <c r="E1300" s="13" t="inlineStr">
        <is>
          <t>Furniture</t>
        </is>
      </c>
      <c r="F1300" s="13" t="inlineStr">
        <is>
          <t>Linen Sofa</t>
        </is>
      </c>
      <c r="G1300" s="13" t="inlineStr">
        <is>
          <t>Corporate</t>
        </is>
      </c>
      <c r="H1300" s="13" t="n">
        <v>2</v>
      </c>
      <c r="I1300" s="14" t="n">
        <v>1135.95</v>
      </c>
      <c r="J1300" s="15" t="n">
        <v>0.07000000000000001</v>
      </c>
      <c r="K1300" s="14" t="n">
        <v>749.73</v>
      </c>
      <c r="L1300" s="13" t="n">
        <v>8</v>
      </c>
      <c r="M1300" s="13" t="inlineStr">
        <is>
          <t>Completed</t>
        </is>
      </c>
      <c r="N1300" s="13" t="inlineStr">
        <is>
          <t>L. Berger</t>
        </is>
      </c>
      <c r="O1300" s="13" t="inlineStr">
        <is>
          <t>No</t>
        </is>
      </c>
      <c r="P1300" s="14">
        <f>H1300*I1300</f>
        <v/>
      </c>
      <c r="Q1300" s="14">
        <f>P1300*(1-J1300)</f>
        <v/>
      </c>
      <c r="R1300" s="14">
        <f>H1300*K1300</f>
        <v/>
      </c>
      <c r="S1300" s="15">
        <f>IF(Q1300=0,"",(Q1300-R1300)/Q1300)</f>
        <v/>
      </c>
      <c r="T1300" s="13">
        <f>YEAR(B1300)</f>
        <v/>
      </c>
      <c r="U1300" s="13">
        <f>YEAR(B1300)&amp;"-Q"&amp;ROUNDUP(MONTH(B1300)/3,0)</f>
        <v/>
      </c>
      <c r="V1300" s="13">
        <f>TEXT(B1300,"YYYY-MM")</f>
        <v/>
      </c>
      <c r="W1300" s="13">
        <f>IF(L1300="","",IF(L1300&gt;pLateDays,1,0))</f>
        <v/>
      </c>
      <c r="X1300" s="13">
        <f>IF(Q1300&gt;=pHighCutoff,1,0)</f>
        <v/>
      </c>
      <c r="Y1300" s="13">
        <f>IF(M1300="Returned",1,0)</f>
        <v/>
      </c>
    </row>
    <row r="1301">
      <c r="A1301" s="13" t="inlineStr">
        <is>
          <t>HC-101299</t>
        </is>
      </c>
      <c r="B1301" s="18" t="n">
        <v>45668</v>
      </c>
      <c r="C1301" s="13" t="inlineStr">
        <is>
          <t>West</t>
        </is>
      </c>
      <c r="D1301" s="13" t="inlineStr">
        <is>
          <t>Wholesale</t>
        </is>
      </c>
      <c r="E1301" s="13" t="inlineStr">
        <is>
          <t>Textiles</t>
        </is>
      </c>
      <c r="F1301" s="13" t="inlineStr">
        <is>
          <t>Linen Curtain</t>
        </is>
      </c>
      <c r="G1301" s="13" t="inlineStr">
        <is>
          <t>Consumer</t>
        </is>
      </c>
      <c r="H1301" s="13" t="n">
        <v>21</v>
      </c>
      <c r="I1301" s="14" t="n">
        <v>102.4</v>
      </c>
      <c r="J1301" s="15" t="n">
        <v>0.15</v>
      </c>
      <c r="K1301" s="14" t="n">
        <v>46.08</v>
      </c>
      <c r="L1301" s="13" t="n">
        <v>7</v>
      </c>
      <c r="M1301" s="13" t="inlineStr">
        <is>
          <t>Completed</t>
        </is>
      </c>
      <c r="N1301" s="13" t="inlineStr">
        <is>
          <t>M. Okonkwo</t>
        </is>
      </c>
      <c r="O1301" s="13" t="inlineStr">
        <is>
          <t>No</t>
        </is>
      </c>
      <c r="P1301" s="14">
        <f>H1301*I1301</f>
        <v/>
      </c>
      <c r="Q1301" s="14">
        <f>P1301*(1-J1301)</f>
        <v/>
      </c>
      <c r="R1301" s="14">
        <f>H1301*K1301</f>
        <v/>
      </c>
      <c r="S1301" s="15">
        <f>IF(Q1301=0,"",(Q1301-R1301)/Q1301)</f>
        <v/>
      </c>
      <c r="T1301" s="13">
        <f>YEAR(B1301)</f>
        <v/>
      </c>
      <c r="U1301" s="13">
        <f>YEAR(B1301)&amp;"-Q"&amp;ROUNDUP(MONTH(B1301)/3,0)</f>
        <v/>
      </c>
      <c r="V1301" s="13">
        <f>TEXT(B1301,"YYYY-MM")</f>
        <v/>
      </c>
      <c r="W1301" s="13">
        <f>IF(L1301="","",IF(L1301&gt;pLateDays,1,0))</f>
        <v/>
      </c>
      <c r="X1301" s="13">
        <f>IF(Q1301&gt;=pHighCutoff,1,0)</f>
        <v/>
      </c>
      <c r="Y1301" s="13">
        <f>IF(M1301="Returned",1,0)</f>
        <v/>
      </c>
    </row>
    <row r="1302">
      <c r="A1302" s="13" t="inlineStr">
        <is>
          <t>HC-101300</t>
        </is>
      </c>
      <c r="B1302" s="18" t="n">
        <v>45586</v>
      </c>
      <c r="C1302" s="13" t="inlineStr">
        <is>
          <t>North</t>
        </is>
      </c>
      <c r="D1302" s="13" t="inlineStr">
        <is>
          <t>Online</t>
        </is>
      </c>
      <c r="E1302" s="13" t="inlineStr">
        <is>
          <t>Textiles</t>
        </is>
      </c>
      <c r="F1302" s="13" t="inlineStr">
        <is>
          <t>Linen Curtain</t>
        </is>
      </c>
      <c r="G1302" s="13" t="inlineStr">
        <is>
          <t>Consumer</t>
        </is>
      </c>
      <c r="H1302" s="13" t="n">
        <v>3</v>
      </c>
      <c r="I1302" s="14" t="n">
        <v>87.77</v>
      </c>
      <c r="J1302" s="15" t="n">
        <v>0.13</v>
      </c>
      <c r="K1302" s="14" t="n">
        <v>39.5</v>
      </c>
      <c r="L1302" s="13" t="n">
        <v>6</v>
      </c>
      <c r="M1302" s="13" t="inlineStr">
        <is>
          <t>Completed</t>
        </is>
      </c>
      <c r="N1302" s="13" t="inlineStr">
        <is>
          <t>L. Berger</t>
        </is>
      </c>
      <c r="O1302" s="13" t="inlineStr">
        <is>
          <t>No</t>
        </is>
      </c>
      <c r="P1302" s="14">
        <f>H1302*I1302</f>
        <v/>
      </c>
      <c r="Q1302" s="14">
        <f>P1302*(1-J1302)</f>
        <v/>
      </c>
      <c r="R1302" s="14">
        <f>H1302*K1302</f>
        <v/>
      </c>
      <c r="S1302" s="15">
        <f>IF(Q1302=0,"",(Q1302-R1302)/Q1302)</f>
        <v/>
      </c>
      <c r="T1302" s="13">
        <f>YEAR(B1302)</f>
        <v/>
      </c>
      <c r="U1302" s="13">
        <f>YEAR(B1302)&amp;"-Q"&amp;ROUNDUP(MONTH(B1302)/3,0)</f>
        <v/>
      </c>
      <c r="V1302" s="13">
        <f>TEXT(B1302,"YYYY-MM")</f>
        <v/>
      </c>
      <c r="W1302" s="13">
        <f>IF(L1302="","",IF(L1302&gt;pLateDays,1,0))</f>
        <v/>
      </c>
      <c r="X1302" s="13">
        <f>IF(Q1302&gt;=pHighCutoff,1,0)</f>
        <v/>
      </c>
      <c r="Y1302" s="13">
        <f>IF(M1302="Returned",1,0)</f>
        <v/>
      </c>
    </row>
    <row r="1303">
      <c r="A1303" s="13" t="inlineStr">
        <is>
          <t>HC-101301</t>
        </is>
      </c>
      <c r="B1303" s="18" t="n">
        <v>45631</v>
      </c>
      <c r="C1303" s="13" t="inlineStr">
        <is>
          <t>West</t>
        </is>
      </c>
      <c r="D1303" s="13" t="inlineStr">
        <is>
          <t>Store</t>
        </is>
      </c>
      <c r="E1303" s="13" t="inlineStr">
        <is>
          <t>Furniture</t>
        </is>
      </c>
      <c r="F1303" s="13" t="inlineStr">
        <is>
          <t>Linen Sofa</t>
        </is>
      </c>
      <c r="G1303" s="13" t="inlineStr">
        <is>
          <t>Consumer</t>
        </is>
      </c>
      <c r="H1303" s="13" t="n">
        <v>5</v>
      </c>
      <c r="I1303" s="14" t="n">
        <v>1309.69</v>
      </c>
      <c r="J1303" s="15" t="n">
        <v>0.02</v>
      </c>
      <c r="K1303" s="14" t="n">
        <v>864.4</v>
      </c>
      <c r="L1303" s="13" t="n">
        <v>7</v>
      </c>
      <c r="M1303" s="13" t="inlineStr">
        <is>
          <t>Completed</t>
        </is>
      </c>
      <c r="N1303" s="13" t="inlineStr">
        <is>
          <t>A. Shah</t>
        </is>
      </c>
      <c r="O1303" s="13" t="inlineStr">
        <is>
          <t>No</t>
        </is>
      </c>
      <c r="P1303" s="14">
        <f>H1303*I1303</f>
        <v/>
      </c>
      <c r="Q1303" s="14">
        <f>P1303*(1-J1303)</f>
        <v/>
      </c>
      <c r="R1303" s="14">
        <f>H1303*K1303</f>
        <v/>
      </c>
      <c r="S1303" s="15">
        <f>IF(Q1303=0,"",(Q1303-R1303)/Q1303)</f>
        <v/>
      </c>
      <c r="T1303" s="13">
        <f>YEAR(B1303)</f>
        <v/>
      </c>
      <c r="U1303" s="13">
        <f>YEAR(B1303)&amp;"-Q"&amp;ROUNDUP(MONTH(B1303)/3,0)</f>
        <v/>
      </c>
      <c r="V1303" s="13">
        <f>TEXT(B1303,"YYYY-MM")</f>
        <v/>
      </c>
      <c r="W1303" s="13">
        <f>IF(L1303="","",IF(L1303&gt;pLateDays,1,0))</f>
        <v/>
      </c>
      <c r="X1303" s="13">
        <f>IF(Q1303&gt;=pHighCutoff,1,0)</f>
        <v/>
      </c>
      <c r="Y1303" s="13">
        <f>IF(M1303="Returned",1,0)</f>
        <v/>
      </c>
    </row>
    <row r="1304">
      <c r="A1304" s="13" t="inlineStr">
        <is>
          <t>HC-101302</t>
        </is>
      </c>
      <c r="B1304" s="18" t="n">
        <v>45608</v>
      </c>
      <c r="C1304" s="13" t="inlineStr">
        <is>
          <t>West</t>
        </is>
      </c>
      <c r="D1304" s="13" t="inlineStr">
        <is>
          <t>Online</t>
        </is>
      </c>
      <c r="E1304" s="13" t="inlineStr">
        <is>
          <t>Textiles</t>
        </is>
      </c>
      <c r="F1304" s="13" t="inlineStr">
        <is>
          <t>Wool Throw</t>
        </is>
      </c>
      <c r="G1304" s="13" t="inlineStr">
        <is>
          <t>Home Office</t>
        </is>
      </c>
      <c r="H1304" s="13" t="n">
        <v>3</v>
      </c>
      <c r="I1304" s="14" t="n">
        <v>80.48</v>
      </c>
      <c r="J1304" s="15" t="n">
        <v>0.1</v>
      </c>
      <c r="K1304" s="14" t="n">
        <v>33.8</v>
      </c>
      <c r="L1304" s="13" t="n">
        <v>7</v>
      </c>
      <c r="M1304" s="13" t="inlineStr">
        <is>
          <t>Completed</t>
        </is>
      </c>
      <c r="N1304" s="13" t="inlineStr">
        <is>
          <t>S. Nguyen</t>
        </is>
      </c>
      <c r="O1304" s="13" t="inlineStr">
        <is>
          <t>No</t>
        </is>
      </c>
      <c r="P1304" s="14">
        <f>H1304*I1304</f>
        <v/>
      </c>
      <c r="Q1304" s="14">
        <f>P1304*(1-J1304)</f>
        <v/>
      </c>
      <c r="R1304" s="14">
        <f>H1304*K1304</f>
        <v/>
      </c>
      <c r="S1304" s="15">
        <f>IF(Q1304=0,"",(Q1304-R1304)/Q1304)</f>
        <v/>
      </c>
      <c r="T1304" s="13">
        <f>YEAR(B1304)</f>
        <v/>
      </c>
      <c r="U1304" s="13">
        <f>YEAR(B1304)&amp;"-Q"&amp;ROUNDUP(MONTH(B1304)/3,0)</f>
        <v/>
      </c>
      <c r="V1304" s="13">
        <f>TEXT(B1304,"YYYY-MM")</f>
        <v/>
      </c>
      <c r="W1304" s="13">
        <f>IF(L1304="","",IF(L1304&gt;pLateDays,1,0))</f>
        <v/>
      </c>
      <c r="X1304" s="13">
        <f>IF(Q1304&gt;=pHighCutoff,1,0)</f>
        <v/>
      </c>
      <c r="Y1304" s="13">
        <f>IF(M1304="Returned",1,0)</f>
        <v/>
      </c>
    </row>
    <row r="1305">
      <c r="A1305" s="13" t="inlineStr">
        <is>
          <t>HC-101303</t>
        </is>
      </c>
      <c r="B1305" s="18" t="n">
        <v>45555</v>
      </c>
      <c r="C1305" s="13" t="inlineStr">
        <is>
          <t>South</t>
        </is>
      </c>
      <c r="D1305" s="13" t="inlineStr">
        <is>
          <t>Wholesale</t>
        </is>
      </c>
      <c r="E1305" s="13" t="inlineStr">
        <is>
          <t>Textiles</t>
        </is>
      </c>
      <c r="F1305" s="13" t="inlineStr">
        <is>
          <t>Wool Throw</t>
        </is>
      </c>
      <c r="G1305" s="13" t="inlineStr">
        <is>
          <t>Consumer</t>
        </is>
      </c>
      <c r="H1305" s="13" t="n">
        <v>34</v>
      </c>
      <c r="I1305" s="14" t="n">
        <v>71.95999999999999</v>
      </c>
      <c r="J1305" s="15" t="n">
        <v>0.24</v>
      </c>
      <c r="K1305" s="14" t="n">
        <v>30.22</v>
      </c>
      <c r="L1305" s="13" t="n">
        <v>3</v>
      </c>
      <c r="M1305" s="13" t="inlineStr">
        <is>
          <t>Completed</t>
        </is>
      </c>
      <c r="N1305" s="13" t="inlineStr">
        <is>
          <t>A. Shah</t>
        </is>
      </c>
      <c r="O1305" s="13" t="inlineStr">
        <is>
          <t>No</t>
        </is>
      </c>
      <c r="P1305" s="14">
        <f>H1305*I1305</f>
        <v/>
      </c>
      <c r="Q1305" s="14">
        <f>P1305*(1-J1305)</f>
        <v/>
      </c>
      <c r="R1305" s="14">
        <f>H1305*K1305</f>
        <v/>
      </c>
      <c r="S1305" s="15">
        <f>IF(Q1305=0,"",(Q1305-R1305)/Q1305)</f>
        <v/>
      </c>
      <c r="T1305" s="13">
        <f>YEAR(B1305)</f>
        <v/>
      </c>
      <c r="U1305" s="13">
        <f>YEAR(B1305)&amp;"-Q"&amp;ROUNDUP(MONTH(B1305)/3,0)</f>
        <v/>
      </c>
      <c r="V1305" s="13">
        <f>TEXT(B1305,"YYYY-MM")</f>
        <v/>
      </c>
      <c r="W1305" s="13">
        <f>IF(L1305="","",IF(L1305&gt;pLateDays,1,0))</f>
        <v/>
      </c>
      <c r="X1305" s="13">
        <f>IF(Q1305&gt;=pHighCutoff,1,0)</f>
        <v/>
      </c>
      <c r="Y1305" s="13">
        <f>IF(M1305="Returned",1,0)</f>
        <v/>
      </c>
    </row>
    <row r="1306">
      <c r="A1306" s="13" t="inlineStr">
        <is>
          <t>HC-101304</t>
        </is>
      </c>
      <c r="B1306" s="18" t="n">
        <v>45614</v>
      </c>
      <c r="C1306" s="13" t="inlineStr">
        <is>
          <t>West</t>
        </is>
      </c>
      <c r="D1306" s="13" t="inlineStr">
        <is>
          <t>Online</t>
        </is>
      </c>
      <c r="E1306" s="13" t="inlineStr">
        <is>
          <t>Lighting</t>
        </is>
      </c>
      <c r="F1306" s="13" t="inlineStr">
        <is>
          <t>Arc Lamp</t>
        </is>
      </c>
      <c r="G1306" s="13" t="inlineStr">
        <is>
          <t>Home Office</t>
        </is>
      </c>
      <c r="H1306" s="13" t="n">
        <v>4</v>
      </c>
      <c r="I1306" s="14" t="n">
        <v>298.16</v>
      </c>
      <c r="J1306" s="15" t="n">
        <v>0.09</v>
      </c>
      <c r="K1306" s="14" t="n">
        <v>143.12</v>
      </c>
      <c r="L1306" s="13" t="n">
        <v>6</v>
      </c>
      <c r="M1306" s="13" t="inlineStr">
        <is>
          <t>Completed</t>
        </is>
      </c>
      <c r="N1306" s="13" t="inlineStr">
        <is>
          <t>J. Patel</t>
        </is>
      </c>
      <c r="O1306" s="13" t="inlineStr">
        <is>
          <t>No</t>
        </is>
      </c>
      <c r="P1306" s="14">
        <f>H1306*I1306</f>
        <v/>
      </c>
      <c r="Q1306" s="14">
        <f>P1306*(1-J1306)</f>
        <v/>
      </c>
      <c r="R1306" s="14">
        <f>H1306*K1306</f>
        <v/>
      </c>
      <c r="S1306" s="15">
        <f>IF(Q1306=0,"",(Q1306-R1306)/Q1306)</f>
        <v/>
      </c>
      <c r="T1306" s="13">
        <f>YEAR(B1306)</f>
        <v/>
      </c>
      <c r="U1306" s="13">
        <f>YEAR(B1306)&amp;"-Q"&amp;ROUNDUP(MONTH(B1306)/3,0)</f>
        <v/>
      </c>
      <c r="V1306" s="13">
        <f>TEXT(B1306,"YYYY-MM")</f>
        <v/>
      </c>
      <c r="W1306" s="13">
        <f>IF(L1306="","",IF(L1306&gt;pLateDays,1,0))</f>
        <v/>
      </c>
      <c r="X1306" s="13">
        <f>IF(Q1306&gt;=pHighCutoff,1,0)</f>
        <v/>
      </c>
      <c r="Y1306" s="13">
        <f>IF(M1306="Returned",1,0)</f>
        <v/>
      </c>
    </row>
    <row r="1307">
      <c r="A1307" s="13" t="inlineStr">
        <is>
          <t>HC-101305</t>
        </is>
      </c>
      <c r="B1307" s="18" t="n">
        <v>45608</v>
      </c>
      <c r="C1307" s="13" t="inlineStr">
        <is>
          <t>West</t>
        </is>
      </c>
      <c r="D1307" s="13" t="inlineStr">
        <is>
          <t>Online</t>
        </is>
      </c>
      <c r="E1307" s="13" t="inlineStr">
        <is>
          <t>Furniture</t>
        </is>
      </c>
      <c r="F1307" s="13" t="inlineStr">
        <is>
          <t>Oak Desk</t>
        </is>
      </c>
      <c r="G1307" s="13" t="inlineStr">
        <is>
          <t>Consumer</t>
        </is>
      </c>
      <c r="H1307" s="13" t="n">
        <v>4</v>
      </c>
      <c r="I1307" s="14" t="n">
        <v>821.5700000000001</v>
      </c>
      <c r="J1307" s="15" t="n">
        <v>0.18</v>
      </c>
      <c r="K1307" s="14" t="n">
        <v>509.37</v>
      </c>
      <c r="L1307" s="13" t="n">
        <v>7</v>
      </c>
      <c r="M1307" s="13" t="inlineStr">
        <is>
          <t>Completed</t>
        </is>
      </c>
      <c r="N1307" s="13" t="inlineStr">
        <is>
          <t>R. Ibarra</t>
        </is>
      </c>
      <c r="O1307" s="13" t="inlineStr">
        <is>
          <t>No</t>
        </is>
      </c>
      <c r="P1307" s="14">
        <f>H1307*I1307</f>
        <v/>
      </c>
      <c r="Q1307" s="14">
        <f>P1307*(1-J1307)</f>
        <v/>
      </c>
      <c r="R1307" s="14">
        <f>H1307*K1307</f>
        <v/>
      </c>
      <c r="S1307" s="15">
        <f>IF(Q1307=0,"",(Q1307-R1307)/Q1307)</f>
        <v/>
      </c>
      <c r="T1307" s="13">
        <f>YEAR(B1307)</f>
        <v/>
      </c>
      <c r="U1307" s="13">
        <f>YEAR(B1307)&amp;"-Q"&amp;ROUNDUP(MONTH(B1307)/3,0)</f>
        <v/>
      </c>
      <c r="V1307" s="13">
        <f>TEXT(B1307,"YYYY-MM")</f>
        <v/>
      </c>
      <c r="W1307" s="13">
        <f>IF(L1307="","",IF(L1307&gt;pLateDays,1,0))</f>
        <v/>
      </c>
      <c r="X1307" s="13">
        <f>IF(Q1307&gt;=pHighCutoff,1,0)</f>
        <v/>
      </c>
      <c r="Y1307" s="13">
        <f>IF(M1307="Returned",1,0)</f>
        <v/>
      </c>
    </row>
    <row r="1308">
      <c r="A1308" s="13" t="inlineStr">
        <is>
          <t>HC-101306</t>
        </is>
      </c>
      <c r="B1308" s="18" t="n">
        <v>45910</v>
      </c>
      <c r="C1308" s="13" t="inlineStr">
        <is>
          <t>West</t>
        </is>
      </c>
      <c r="D1308" s="13" t="inlineStr">
        <is>
          <t>Store</t>
        </is>
      </c>
      <c r="E1308" s="13" t="inlineStr">
        <is>
          <t>Kitchen</t>
        </is>
      </c>
      <c r="F1308" s="13" t="inlineStr">
        <is>
          <t>Chef Knife</t>
        </is>
      </c>
      <c r="G1308" s="13" t="inlineStr">
        <is>
          <t>Consumer</t>
        </is>
      </c>
      <c r="H1308" s="13" t="n">
        <v>4</v>
      </c>
      <c r="I1308" s="14" t="n">
        <v>62.05</v>
      </c>
      <c r="J1308" s="15" t="n">
        <v>0.04</v>
      </c>
      <c r="K1308" s="14" t="n">
        <v>22.34</v>
      </c>
      <c r="L1308" s="13" t="n">
        <v>6</v>
      </c>
      <c r="M1308" s="13" t="inlineStr">
        <is>
          <t>Completed</t>
        </is>
      </c>
      <c r="N1308" s="13" t="inlineStr">
        <is>
          <t>K. Mensah</t>
        </is>
      </c>
      <c r="O1308" s="13" t="inlineStr">
        <is>
          <t>No</t>
        </is>
      </c>
      <c r="P1308" s="14">
        <f>H1308*I1308</f>
        <v/>
      </c>
      <c r="Q1308" s="14">
        <f>P1308*(1-J1308)</f>
        <v/>
      </c>
      <c r="R1308" s="14">
        <f>H1308*K1308</f>
        <v/>
      </c>
      <c r="S1308" s="15">
        <f>IF(Q1308=0,"",(Q1308-R1308)/Q1308)</f>
        <v/>
      </c>
      <c r="T1308" s="13">
        <f>YEAR(B1308)</f>
        <v/>
      </c>
      <c r="U1308" s="13">
        <f>YEAR(B1308)&amp;"-Q"&amp;ROUNDUP(MONTH(B1308)/3,0)</f>
        <v/>
      </c>
      <c r="V1308" s="13">
        <f>TEXT(B1308,"YYYY-MM")</f>
        <v/>
      </c>
      <c r="W1308" s="13">
        <f>IF(L1308="","",IF(L1308&gt;pLateDays,1,0))</f>
        <v/>
      </c>
      <c r="X1308" s="13">
        <f>IF(Q1308&gt;=pHighCutoff,1,0)</f>
        <v/>
      </c>
      <c r="Y1308" s="13">
        <f>IF(M1308="Returned",1,0)</f>
        <v/>
      </c>
    </row>
    <row r="1309">
      <c r="A1309" s="13" t="inlineStr">
        <is>
          <t>HC-101307</t>
        </is>
      </c>
      <c r="B1309" s="18" t="n">
        <v>45486</v>
      </c>
      <c r="C1309" s="13" t="inlineStr">
        <is>
          <t>West</t>
        </is>
      </c>
      <c r="D1309" s="13" t="inlineStr">
        <is>
          <t>Online</t>
        </is>
      </c>
      <c r="E1309" s="13" t="inlineStr">
        <is>
          <t>Lighting</t>
        </is>
      </c>
      <c r="F1309" s="13" t="inlineStr">
        <is>
          <t>Arc Lamp</t>
        </is>
      </c>
      <c r="G1309" s="13" t="inlineStr">
        <is>
          <t>Home Office</t>
        </is>
      </c>
      <c r="H1309" s="13" t="n">
        <v>2</v>
      </c>
      <c r="I1309" s="14" t="n">
        <v>320.41</v>
      </c>
      <c r="J1309" s="15" t="n">
        <v>0.04</v>
      </c>
      <c r="K1309" s="14" t="n">
        <v>153.79</v>
      </c>
      <c r="L1309" s="13" t="n">
        <v>8</v>
      </c>
      <c r="M1309" s="13" t="inlineStr">
        <is>
          <t>Completed</t>
        </is>
      </c>
      <c r="N1309" s="13" t="inlineStr">
        <is>
          <t>A. Shah</t>
        </is>
      </c>
      <c r="O1309" s="13" t="inlineStr">
        <is>
          <t>No</t>
        </is>
      </c>
      <c r="P1309" s="14">
        <f>H1309*I1309</f>
        <v/>
      </c>
      <c r="Q1309" s="14">
        <f>P1309*(1-J1309)</f>
        <v/>
      </c>
      <c r="R1309" s="14">
        <f>H1309*K1309</f>
        <v/>
      </c>
      <c r="S1309" s="15">
        <f>IF(Q1309=0,"",(Q1309-R1309)/Q1309)</f>
        <v/>
      </c>
      <c r="T1309" s="13">
        <f>YEAR(B1309)</f>
        <v/>
      </c>
      <c r="U1309" s="13">
        <f>YEAR(B1309)&amp;"-Q"&amp;ROUNDUP(MONTH(B1309)/3,0)</f>
        <v/>
      </c>
      <c r="V1309" s="13">
        <f>TEXT(B1309,"YYYY-MM")</f>
        <v/>
      </c>
      <c r="W1309" s="13">
        <f>IF(L1309="","",IF(L1309&gt;pLateDays,1,0))</f>
        <v/>
      </c>
      <c r="X1309" s="13">
        <f>IF(Q1309&gt;=pHighCutoff,1,0)</f>
        <v/>
      </c>
      <c r="Y1309" s="13">
        <f>IF(M1309="Returned",1,0)</f>
        <v/>
      </c>
    </row>
    <row r="1310">
      <c r="A1310" s="13" t="inlineStr">
        <is>
          <t>HC-101308</t>
        </is>
      </c>
      <c r="B1310" s="18" t="n">
        <v>45453</v>
      </c>
      <c r="C1310" s="13" t="inlineStr">
        <is>
          <t>South</t>
        </is>
      </c>
      <c r="D1310" s="13" t="inlineStr">
        <is>
          <t>Store</t>
        </is>
      </c>
      <c r="E1310" s="13" t="inlineStr">
        <is>
          <t>Furniture</t>
        </is>
      </c>
      <c r="F1310" s="13" t="inlineStr">
        <is>
          <t>Oak Desk</t>
        </is>
      </c>
      <c r="G1310" s="13" t="inlineStr">
        <is>
          <t>Consumer</t>
        </is>
      </c>
      <c r="H1310" s="13" t="n">
        <v>1</v>
      </c>
      <c r="I1310" s="14" t="n">
        <v>888.16</v>
      </c>
      <c r="J1310" s="15" t="n">
        <v>0.04</v>
      </c>
      <c r="K1310" s="14" t="n">
        <v>550.66</v>
      </c>
      <c r="L1310" s="13" t="n">
        <v>7</v>
      </c>
      <c r="M1310" s="13" t="inlineStr">
        <is>
          <t>Returned</t>
        </is>
      </c>
      <c r="N1310" s="13" t="inlineStr">
        <is>
          <t>J. Patel</t>
        </is>
      </c>
      <c r="O1310" s="13" t="inlineStr">
        <is>
          <t>No</t>
        </is>
      </c>
      <c r="P1310" s="14">
        <f>H1310*I1310</f>
        <v/>
      </c>
      <c r="Q1310" s="14">
        <f>P1310*(1-J1310)</f>
        <v/>
      </c>
      <c r="R1310" s="14">
        <f>H1310*K1310</f>
        <v/>
      </c>
      <c r="S1310" s="15">
        <f>IF(Q1310=0,"",(Q1310-R1310)/Q1310)</f>
        <v/>
      </c>
      <c r="T1310" s="13">
        <f>YEAR(B1310)</f>
        <v/>
      </c>
      <c r="U1310" s="13">
        <f>YEAR(B1310)&amp;"-Q"&amp;ROUNDUP(MONTH(B1310)/3,0)</f>
        <v/>
      </c>
      <c r="V1310" s="13">
        <f>TEXT(B1310,"YYYY-MM")</f>
        <v/>
      </c>
      <c r="W1310" s="13">
        <f>IF(L1310="","",IF(L1310&gt;pLateDays,1,0))</f>
        <v/>
      </c>
      <c r="X1310" s="13">
        <f>IF(Q1310&gt;=pHighCutoff,1,0)</f>
        <v/>
      </c>
      <c r="Y1310" s="13">
        <f>IF(M1310="Returned",1,0)</f>
        <v/>
      </c>
    </row>
    <row r="1311">
      <c r="A1311" s="13" t="inlineStr">
        <is>
          <t>HC-101309</t>
        </is>
      </c>
      <c r="B1311" s="18" t="n">
        <v>45616</v>
      </c>
      <c r="C1311" s="13" t="inlineStr">
        <is>
          <t>North</t>
        </is>
      </c>
      <c r="D1311" s="13" t="inlineStr">
        <is>
          <t>Online</t>
        </is>
      </c>
      <c r="E1311" s="13" t="inlineStr">
        <is>
          <t>Furniture</t>
        </is>
      </c>
      <c r="F1311" s="13" t="inlineStr">
        <is>
          <t>Linen Sofa</t>
        </is>
      </c>
      <c r="G1311" s="13" t="inlineStr">
        <is>
          <t>Consumer</t>
        </is>
      </c>
      <c r="H1311" s="13" t="n">
        <v>4</v>
      </c>
      <c r="I1311" s="14" t="n">
        <v>1175.73</v>
      </c>
      <c r="J1311" s="15" t="n">
        <v>0.15</v>
      </c>
      <c r="K1311" s="14" t="n">
        <v>775.98</v>
      </c>
      <c r="L1311" s="13" t="n">
        <v>6</v>
      </c>
      <c r="M1311" s="13" t="inlineStr">
        <is>
          <t>Completed</t>
        </is>
      </c>
      <c r="N1311" s="13" t="inlineStr">
        <is>
          <t>K. Mensah</t>
        </is>
      </c>
      <c r="O1311" s="13" t="inlineStr">
        <is>
          <t>No</t>
        </is>
      </c>
      <c r="P1311" s="14">
        <f>H1311*I1311</f>
        <v/>
      </c>
      <c r="Q1311" s="14">
        <f>P1311*(1-J1311)</f>
        <v/>
      </c>
      <c r="R1311" s="14">
        <f>H1311*K1311</f>
        <v/>
      </c>
      <c r="S1311" s="15">
        <f>IF(Q1311=0,"",(Q1311-R1311)/Q1311)</f>
        <v/>
      </c>
      <c r="T1311" s="13">
        <f>YEAR(B1311)</f>
        <v/>
      </c>
      <c r="U1311" s="13">
        <f>YEAR(B1311)&amp;"-Q"&amp;ROUNDUP(MONTH(B1311)/3,0)</f>
        <v/>
      </c>
      <c r="V1311" s="13">
        <f>TEXT(B1311,"YYYY-MM")</f>
        <v/>
      </c>
      <c r="W1311" s="13">
        <f>IF(L1311="","",IF(L1311&gt;pLateDays,1,0))</f>
        <v/>
      </c>
      <c r="X1311" s="13">
        <f>IF(Q1311&gt;=pHighCutoff,1,0)</f>
        <v/>
      </c>
      <c r="Y1311" s="13">
        <f>IF(M1311="Returned",1,0)</f>
        <v/>
      </c>
    </row>
    <row r="1312">
      <c r="A1312" s="13" t="inlineStr">
        <is>
          <t>HC-101310</t>
        </is>
      </c>
      <c r="B1312" s="18" t="n">
        <v>45646</v>
      </c>
      <c r="C1312" s="13" t="inlineStr">
        <is>
          <t>South</t>
        </is>
      </c>
      <c r="D1312" s="13" t="inlineStr">
        <is>
          <t>Store</t>
        </is>
      </c>
      <c r="E1312" s="13" t="inlineStr">
        <is>
          <t>Furniture</t>
        </is>
      </c>
      <c r="F1312" s="13" t="inlineStr">
        <is>
          <t>Oak Desk</t>
        </is>
      </c>
      <c r="G1312" s="13" t="inlineStr">
        <is>
          <t>Home Office</t>
        </is>
      </c>
      <c r="H1312" s="13" t="n">
        <v>4</v>
      </c>
      <c r="I1312" s="14" t="n">
        <v>825.1900000000001</v>
      </c>
      <c r="J1312" s="15" t="n">
        <v>0</v>
      </c>
      <c r="K1312" s="14" t="n">
        <v>511.62</v>
      </c>
      <c r="L1312" s="13" t="n">
        <v>6</v>
      </c>
      <c r="M1312" s="13" t="inlineStr">
        <is>
          <t>Completed</t>
        </is>
      </c>
      <c r="N1312" s="13" t="inlineStr">
        <is>
          <t>A. Shah</t>
        </is>
      </c>
      <c r="O1312" s="13" t="inlineStr">
        <is>
          <t>No</t>
        </is>
      </c>
      <c r="P1312" s="14">
        <f>H1312*I1312</f>
        <v/>
      </c>
      <c r="Q1312" s="14">
        <f>P1312*(1-J1312)</f>
        <v/>
      </c>
      <c r="R1312" s="14">
        <f>H1312*K1312</f>
        <v/>
      </c>
      <c r="S1312" s="15">
        <f>IF(Q1312=0,"",(Q1312-R1312)/Q1312)</f>
        <v/>
      </c>
      <c r="T1312" s="13">
        <f>YEAR(B1312)</f>
        <v/>
      </c>
      <c r="U1312" s="13">
        <f>YEAR(B1312)&amp;"-Q"&amp;ROUNDUP(MONTH(B1312)/3,0)</f>
        <v/>
      </c>
      <c r="V1312" s="13">
        <f>TEXT(B1312,"YYYY-MM")</f>
        <v/>
      </c>
      <c r="W1312" s="13">
        <f>IF(L1312="","",IF(L1312&gt;pLateDays,1,0))</f>
        <v/>
      </c>
      <c r="X1312" s="13">
        <f>IF(Q1312&gt;=pHighCutoff,1,0)</f>
        <v/>
      </c>
      <c r="Y1312" s="13">
        <f>IF(M1312="Returned",1,0)</f>
        <v/>
      </c>
    </row>
    <row r="1313">
      <c r="A1313" s="13" t="inlineStr">
        <is>
          <t>HC-101311</t>
        </is>
      </c>
      <c r="B1313" s="18" t="n">
        <v>45745</v>
      </c>
      <c r="C1313" s="13" t="inlineStr">
        <is>
          <t>North</t>
        </is>
      </c>
      <c r="D1313" s="13" t="inlineStr">
        <is>
          <t>Wholesale</t>
        </is>
      </c>
      <c r="E1313" s="13" t="inlineStr">
        <is>
          <t>Textiles</t>
        </is>
      </c>
      <c r="F1313" s="13" t="inlineStr">
        <is>
          <t>Cotton Duvet</t>
        </is>
      </c>
      <c r="G1313" s="13" t="inlineStr">
        <is>
          <t>Home Office</t>
        </is>
      </c>
      <c r="H1313" s="13" t="n">
        <v>29</v>
      </c>
      <c r="I1313" s="14" t="n">
        <v>125.74</v>
      </c>
      <c r="J1313" s="15" t="n">
        <v>0.15</v>
      </c>
      <c r="K1313" s="14" t="n">
        <v>55.33</v>
      </c>
      <c r="L1313" s="13" t="n">
        <v>7</v>
      </c>
      <c r="M1313" s="13" t="inlineStr">
        <is>
          <t>Completed</t>
        </is>
      </c>
      <c r="N1313" s="13" t="inlineStr">
        <is>
          <t>L. Berger</t>
        </is>
      </c>
      <c r="O1313" s="13" t="inlineStr">
        <is>
          <t>No</t>
        </is>
      </c>
      <c r="P1313" s="14">
        <f>H1313*I1313</f>
        <v/>
      </c>
      <c r="Q1313" s="14">
        <f>P1313*(1-J1313)</f>
        <v/>
      </c>
      <c r="R1313" s="14">
        <f>H1313*K1313</f>
        <v/>
      </c>
      <c r="S1313" s="15">
        <f>IF(Q1313=0,"",(Q1313-R1313)/Q1313)</f>
        <v/>
      </c>
      <c r="T1313" s="13">
        <f>YEAR(B1313)</f>
        <v/>
      </c>
      <c r="U1313" s="13">
        <f>YEAR(B1313)&amp;"-Q"&amp;ROUNDUP(MONTH(B1313)/3,0)</f>
        <v/>
      </c>
      <c r="V1313" s="13">
        <f>TEXT(B1313,"YYYY-MM")</f>
        <v/>
      </c>
      <c r="W1313" s="13">
        <f>IF(L1313="","",IF(L1313&gt;pLateDays,1,0))</f>
        <v/>
      </c>
      <c r="X1313" s="13">
        <f>IF(Q1313&gt;=pHighCutoff,1,0)</f>
        <v/>
      </c>
      <c r="Y1313" s="13">
        <f>IF(M1313="Returned",1,0)</f>
        <v/>
      </c>
    </row>
    <row r="1314">
      <c r="A1314" s="13" t="inlineStr">
        <is>
          <t>HC-101312</t>
        </is>
      </c>
      <c r="B1314" s="18" t="n">
        <v>45338</v>
      </c>
      <c r="C1314" s="13" t="inlineStr">
        <is>
          <t>South</t>
        </is>
      </c>
      <c r="D1314" s="13" t="inlineStr">
        <is>
          <t>Online</t>
        </is>
      </c>
      <c r="E1314" s="13" t="inlineStr">
        <is>
          <t>Lighting</t>
        </is>
      </c>
      <c r="F1314" s="13" t="inlineStr">
        <is>
          <t>Brass Sconce</t>
        </is>
      </c>
      <c r="G1314" s="13" t="inlineStr">
        <is>
          <t>Consumer</t>
        </is>
      </c>
      <c r="H1314" s="13" t="n">
        <v>1</v>
      </c>
      <c r="I1314" s="14" t="n">
        <v>145.74</v>
      </c>
      <c r="J1314" s="15" t="n">
        <v>0.05</v>
      </c>
      <c r="K1314" s="14" t="n">
        <v>67.04000000000001</v>
      </c>
      <c r="L1314" s="13" t="n">
        <v>5</v>
      </c>
      <c r="M1314" s="13" t="inlineStr">
        <is>
          <t>Completed</t>
        </is>
      </c>
      <c r="N1314" s="13" t="inlineStr">
        <is>
          <t>A. Shah</t>
        </is>
      </c>
      <c r="O1314" s="13" t="inlineStr">
        <is>
          <t>No</t>
        </is>
      </c>
      <c r="P1314" s="14">
        <f>H1314*I1314</f>
        <v/>
      </c>
      <c r="Q1314" s="14">
        <f>P1314*(1-J1314)</f>
        <v/>
      </c>
      <c r="R1314" s="14">
        <f>H1314*K1314</f>
        <v/>
      </c>
      <c r="S1314" s="15">
        <f>IF(Q1314=0,"",(Q1314-R1314)/Q1314)</f>
        <v/>
      </c>
      <c r="T1314" s="13">
        <f>YEAR(B1314)</f>
        <v/>
      </c>
      <c r="U1314" s="13">
        <f>YEAR(B1314)&amp;"-Q"&amp;ROUNDUP(MONTH(B1314)/3,0)</f>
        <v/>
      </c>
      <c r="V1314" s="13">
        <f>TEXT(B1314,"YYYY-MM")</f>
        <v/>
      </c>
      <c r="W1314" s="13">
        <f>IF(L1314="","",IF(L1314&gt;pLateDays,1,0))</f>
        <v/>
      </c>
      <c r="X1314" s="13">
        <f>IF(Q1314&gt;=pHighCutoff,1,0)</f>
        <v/>
      </c>
      <c r="Y1314" s="13">
        <f>IF(M1314="Returned",1,0)</f>
        <v/>
      </c>
    </row>
    <row r="1315">
      <c r="A1315" s="13" t="inlineStr">
        <is>
          <t>HC-101313</t>
        </is>
      </c>
      <c r="B1315" s="18" t="n">
        <v>45696</v>
      </c>
      <c r="C1315" s="13" t="inlineStr">
        <is>
          <t>South</t>
        </is>
      </c>
      <c r="D1315" s="13" t="inlineStr">
        <is>
          <t>Wholesale</t>
        </is>
      </c>
      <c r="E1315" s="13" t="inlineStr">
        <is>
          <t>Lighting</t>
        </is>
      </c>
      <c r="F1315" s="13" t="inlineStr">
        <is>
          <t>Arc Lamp</t>
        </is>
      </c>
      <c r="G1315" s="13" t="inlineStr">
        <is>
          <t>Corporate</t>
        </is>
      </c>
      <c r="H1315" s="13" t="n">
        <v>17</v>
      </c>
      <c r="I1315" s="14" t="n">
        <v>302.96</v>
      </c>
      <c r="J1315" s="15" t="n">
        <v>0.3</v>
      </c>
      <c r="K1315" s="14" t="n">
        <v>145.42</v>
      </c>
      <c r="L1315" s="13" t="n">
        <v>5</v>
      </c>
      <c r="M1315" s="13" t="inlineStr">
        <is>
          <t>Completed</t>
        </is>
      </c>
      <c r="N1315" s="13" t="inlineStr">
        <is>
          <t>P. Rossi</t>
        </is>
      </c>
      <c r="O1315" s="13" t="inlineStr">
        <is>
          <t>No</t>
        </is>
      </c>
      <c r="P1315" s="14">
        <f>H1315*I1315</f>
        <v/>
      </c>
      <c r="Q1315" s="14">
        <f>P1315*(1-J1315)</f>
        <v/>
      </c>
      <c r="R1315" s="14">
        <f>H1315*K1315</f>
        <v/>
      </c>
      <c r="S1315" s="15">
        <f>IF(Q1315=0,"",(Q1315-R1315)/Q1315)</f>
        <v/>
      </c>
      <c r="T1315" s="13">
        <f>YEAR(B1315)</f>
        <v/>
      </c>
      <c r="U1315" s="13">
        <f>YEAR(B1315)&amp;"-Q"&amp;ROUNDUP(MONTH(B1315)/3,0)</f>
        <v/>
      </c>
      <c r="V1315" s="13">
        <f>TEXT(B1315,"YYYY-MM")</f>
        <v/>
      </c>
      <c r="W1315" s="13">
        <f>IF(L1315="","",IF(L1315&gt;pLateDays,1,0))</f>
        <v/>
      </c>
      <c r="X1315" s="13">
        <f>IF(Q1315&gt;=pHighCutoff,1,0)</f>
        <v/>
      </c>
      <c r="Y1315" s="13">
        <f>IF(M1315="Returned",1,0)</f>
        <v/>
      </c>
    </row>
    <row r="1316">
      <c r="A1316" s="13" t="inlineStr">
        <is>
          <t>HC-101314</t>
        </is>
      </c>
      <c r="B1316" s="18" t="n">
        <v>45639</v>
      </c>
      <c r="C1316" s="13" t="inlineStr">
        <is>
          <t>North</t>
        </is>
      </c>
      <c r="D1316" s="13" t="inlineStr">
        <is>
          <t>Online</t>
        </is>
      </c>
      <c r="E1316" s="13" t="inlineStr">
        <is>
          <t>Furniture</t>
        </is>
      </c>
      <c r="F1316" s="13" t="inlineStr">
        <is>
          <t>Lounge Chair</t>
        </is>
      </c>
      <c r="G1316" s="13" t="inlineStr">
        <is>
          <t>Consumer</t>
        </is>
      </c>
      <c r="H1316" s="13" t="n">
        <v>4</v>
      </c>
      <c r="I1316" s="14" t="n">
        <v>486.26</v>
      </c>
      <c r="J1316" s="15" t="n">
        <v>0.09</v>
      </c>
      <c r="K1316" s="14" t="n">
        <v>291.75</v>
      </c>
      <c r="L1316" s="13" t="n">
        <v>4</v>
      </c>
      <c r="M1316" s="13" t="inlineStr">
        <is>
          <t>Completed</t>
        </is>
      </c>
      <c r="N1316" s="13" t="inlineStr">
        <is>
          <t>A. Shah</t>
        </is>
      </c>
      <c r="O1316" s="13" t="inlineStr">
        <is>
          <t>No</t>
        </is>
      </c>
      <c r="P1316" s="14">
        <f>H1316*I1316</f>
        <v/>
      </c>
      <c r="Q1316" s="14">
        <f>P1316*(1-J1316)</f>
        <v/>
      </c>
      <c r="R1316" s="14">
        <f>H1316*K1316</f>
        <v/>
      </c>
      <c r="S1316" s="15">
        <f>IF(Q1316=0,"",(Q1316-R1316)/Q1316)</f>
        <v/>
      </c>
      <c r="T1316" s="13">
        <f>YEAR(B1316)</f>
        <v/>
      </c>
      <c r="U1316" s="13">
        <f>YEAR(B1316)&amp;"-Q"&amp;ROUNDUP(MONTH(B1316)/3,0)</f>
        <v/>
      </c>
      <c r="V1316" s="13">
        <f>TEXT(B1316,"YYYY-MM")</f>
        <v/>
      </c>
      <c r="W1316" s="13">
        <f>IF(L1316="","",IF(L1316&gt;pLateDays,1,0))</f>
        <v/>
      </c>
      <c r="X1316" s="13">
        <f>IF(Q1316&gt;=pHighCutoff,1,0)</f>
        <v/>
      </c>
      <c r="Y1316" s="13">
        <f>IF(M1316="Returned",1,0)</f>
        <v/>
      </c>
    </row>
    <row r="1317">
      <c r="A1317" s="13" t="inlineStr">
        <is>
          <t>HC-101315</t>
        </is>
      </c>
      <c r="B1317" s="18" t="n">
        <v>45348</v>
      </c>
      <c r="C1317" s="13" t="inlineStr">
        <is>
          <t>East</t>
        </is>
      </c>
      <c r="D1317" s="13" t="inlineStr">
        <is>
          <t>Store</t>
        </is>
      </c>
      <c r="E1317" s="13" t="inlineStr">
        <is>
          <t>Furniture</t>
        </is>
      </c>
      <c r="F1317" s="13" t="inlineStr">
        <is>
          <t>Oak Desk</t>
        </is>
      </c>
      <c r="G1317" s="13" t="inlineStr">
        <is>
          <t>Consumer</t>
        </is>
      </c>
      <c r="H1317" s="13" t="n">
        <v>4</v>
      </c>
      <c r="I1317" s="14" t="n">
        <v>802.4299999999999</v>
      </c>
      <c r="J1317" s="15" t="n">
        <v>0.09</v>
      </c>
      <c r="K1317" s="14" t="n">
        <v>497.51</v>
      </c>
      <c r="L1317" s="13" t="n">
        <v>10</v>
      </c>
      <c r="M1317" s="13" t="inlineStr">
        <is>
          <t>Completed</t>
        </is>
      </c>
      <c r="N1317" s="13" t="inlineStr">
        <is>
          <t>M. Okonkwo</t>
        </is>
      </c>
      <c r="O1317" s="13" t="inlineStr">
        <is>
          <t>No</t>
        </is>
      </c>
      <c r="P1317" s="14">
        <f>H1317*I1317</f>
        <v/>
      </c>
      <c r="Q1317" s="14">
        <f>P1317*(1-J1317)</f>
        <v/>
      </c>
      <c r="R1317" s="14">
        <f>H1317*K1317</f>
        <v/>
      </c>
      <c r="S1317" s="15">
        <f>IF(Q1317=0,"",(Q1317-R1317)/Q1317)</f>
        <v/>
      </c>
      <c r="T1317" s="13">
        <f>YEAR(B1317)</f>
        <v/>
      </c>
      <c r="U1317" s="13">
        <f>YEAR(B1317)&amp;"-Q"&amp;ROUNDUP(MONTH(B1317)/3,0)</f>
        <v/>
      </c>
      <c r="V1317" s="13">
        <f>TEXT(B1317,"YYYY-MM")</f>
        <v/>
      </c>
      <c r="W1317" s="13">
        <f>IF(L1317="","",IF(L1317&gt;pLateDays,1,0))</f>
        <v/>
      </c>
      <c r="X1317" s="13">
        <f>IF(Q1317&gt;=pHighCutoff,1,0)</f>
        <v/>
      </c>
      <c r="Y1317" s="13">
        <f>IF(M1317="Returned",1,0)</f>
        <v/>
      </c>
    </row>
    <row r="1318">
      <c r="A1318" s="13" t="inlineStr">
        <is>
          <t>HC-101316</t>
        </is>
      </c>
      <c r="B1318" s="18" t="n">
        <v>45451</v>
      </c>
      <c r="C1318" s="13" t="inlineStr">
        <is>
          <t>South</t>
        </is>
      </c>
      <c r="D1318" s="13" t="inlineStr">
        <is>
          <t>Online</t>
        </is>
      </c>
      <c r="E1318" s="13" t="inlineStr">
        <is>
          <t>Furniture</t>
        </is>
      </c>
      <c r="F1318" s="13" t="inlineStr">
        <is>
          <t>Linen Sofa</t>
        </is>
      </c>
      <c r="G1318" s="13" t="inlineStr">
        <is>
          <t>Consumer</t>
        </is>
      </c>
      <c r="H1318" s="13" t="n">
        <v>1</v>
      </c>
      <c r="I1318" s="14" t="n">
        <v>1156.87</v>
      </c>
      <c r="J1318" s="15" t="n">
        <v>0.06</v>
      </c>
      <c r="K1318" s="14" t="n">
        <v>763.54</v>
      </c>
      <c r="L1318" s="13" t="n">
        <v>3</v>
      </c>
      <c r="M1318" s="13" t="inlineStr">
        <is>
          <t>Completed</t>
        </is>
      </c>
      <c r="N1318" s="13" t="inlineStr">
        <is>
          <t>S. Nguyen</t>
        </is>
      </c>
      <c r="O1318" s="13" t="inlineStr">
        <is>
          <t>No</t>
        </is>
      </c>
      <c r="P1318" s="14">
        <f>H1318*I1318</f>
        <v/>
      </c>
      <c r="Q1318" s="14">
        <f>P1318*(1-J1318)</f>
        <v/>
      </c>
      <c r="R1318" s="14">
        <f>H1318*K1318</f>
        <v/>
      </c>
      <c r="S1318" s="15">
        <f>IF(Q1318=0,"",(Q1318-R1318)/Q1318)</f>
        <v/>
      </c>
      <c r="T1318" s="13">
        <f>YEAR(B1318)</f>
        <v/>
      </c>
      <c r="U1318" s="13">
        <f>YEAR(B1318)&amp;"-Q"&amp;ROUNDUP(MONTH(B1318)/3,0)</f>
        <v/>
      </c>
      <c r="V1318" s="13">
        <f>TEXT(B1318,"YYYY-MM")</f>
        <v/>
      </c>
      <c r="W1318" s="13">
        <f>IF(L1318="","",IF(L1318&gt;pLateDays,1,0))</f>
        <v/>
      </c>
      <c r="X1318" s="13">
        <f>IF(Q1318&gt;=pHighCutoff,1,0)</f>
        <v/>
      </c>
      <c r="Y1318" s="13">
        <f>IF(M1318="Returned",1,0)</f>
        <v/>
      </c>
    </row>
    <row r="1319">
      <c r="A1319" s="13" t="inlineStr">
        <is>
          <t>HC-101317</t>
        </is>
      </c>
      <c r="B1319" s="18" t="n">
        <v>45459</v>
      </c>
      <c r="C1319" s="13" t="inlineStr">
        <is>
          <t>West</t>
        </is>
      </c>
      <c r="D1319" s="13" t="inlineStr">
        <is>
          <t>Store</t>
        </is>
      </c>
      <c r="E1319" s="13" t="inlineStr">
        <is>
          <t>Lighting</t>
        </is>
      </c>
      <c r="F1319" s="13" t="inlineStr">
        <is>
          <t>Arc Lamp</t>
        </is>
      </c>
      <c r="G1319" s="13" t="inlineStr">
        <is>
          <t>Consumer</t>
        </is>
      </c>
      <c r="H1319" s="13" t="n">
        <v>1</v>
      </c>
      <c r="I1319" s="14" t="n">
        <v>296.08</v>
      </c>
      <c r="J1319" s="15" t="n">
        <v>0.01</v>
      </c>
      <c r="K1319" s="14" t="n">
        <v>142.12</v>
      </c>
      <c r="L1319" s="13" t="n">
        <v>9</v>
      </c>
      <c r="M1319" s="13" t="inlineStr">
        <is>
          <t>Completed</t>
        </is>
      </c>
      <c r="N1319" s="13" t="inlineStr">
        <is>
          <t>A. Shah</t>
        </is>
      </c>
      <c r="O1319" s="13" t="inlineStr">
        <is>
          <t>No</t>
        </is>
      </c>
      <c r="P1319" s="14">
        <f>H1319*I1319</f>
        <v/>
      </c>
      <c r="Q1319" s="14">
        <f>P1319*(1-J1319)</f>
        <v/>
      </c>
      <c r="R1319" s="14">
        <f>H1319*K1319</f>
        <v/>
      </c>
      <c r="S1319" s="15">
        <f>IF(Q1319=0,"",(Q1319-R1319)/Q1319)</f>
        <v/>
      </c>
      <c r="T1319" s="13">
        <f>YEAR(B1319)</f>
        <v/>
      </c>
      <c r="U1319" s="13">
        <f>YEAR(B1319)&amp;"-Q"&amp;ROUNDUP(MONTH(B1319)/3,0)</f>
        <v/>
      </c>
      <c r="V1319" s="13">
        <f>TEXT(B1319,"YYYY-MM")</f>
        <v/>
      </c>
      <c r="W1319" s="13">
        <f>IF(L1319="","",IF(L1319&gt;pLateDays,1,0))</f>
        <v/>
      </c>
      <c r="X1319" s="13">
        <f>IF(Q1319&gt;=pHighCutoff,1,0)</f>
        <v/>
      </c>
      <c r="Y1319" s="13">
        <f>IF(M1319="Returned",1,0)</f>
        <v/>
      </c>
    </row>
    <row r="1320">
      <c r="A1320" s="13" t="inlineStr">
        <is>
          <t>HC-101318</t>
        </is>
      </c>
      <c r="B1320" s="18" t="n">
        <v>45617</v>
      </c>
      <c r="C1320" s="13" t="inlineStr">
        <is>
          <t>West</t>
        </is>
      </c>
      <c r="D1320" s="13" t="inlineStr">
        <is>
          <t>Online</t>
        </is>
      </c>
      <c r="E1320" s="13" t="inlineStr">
        <is>
          <t>Kitchen</t>
        </is>
      </c>
      <c r="F1320" s="13" t="inlineStr">
        <is>
          <t>Chef Knife</t>
        </is>
      </c>
      <c r="G1320" s="13" t="inlineStr">
        <is>
          <t>Corporate</t>
        </is>
      </c>
      <c r="H1320" s="13" t="n">
        <v>3</v>
      </c>
      <c r="I1320" s="14" t="n">
        <v>67.26000000000001</v>
      </c>
      <c r="J1320" s="15" t="n">
        <v>0.13</v>
      </c>
      <c r="K1320" s="14" t="n">
        <v>24.21</v>
      </c>
      <c r="L1320" s="13" t="n">
        <v>5</v>
      </c>
      <c r="M1320" s="13" t="inlineStr">
        <is>
          <t>Completed</t>
        </is>
      </c>
      <c r="N1320" s="13" t="inlineStr">
        <is>
          <t>P. Rossi</t>
        </is>
      </c>
      <c r="O1320" s="13" t="inlineStr">
        <is>
          <t>No</t>
        </is>
      </c>
      <c r="P1320" s="14">
        <f>H1320*I1320</f>
        <v/>
      </c>
      <c r="Q1320" s="14">
        <f>P1320*(1-J1320)</f>
        <v/>
      </c>
      <c r="R1320" s="14">
        <f>H1320*K1320</f>
        <v/>
      </c>
      <c r="S1320" s="15">
        <f>IF(Q1320=0,"",(Q1320-R1320)/Q1320)</f>
        <v/>
      </c>
      <c r="T1320" s="13">
        <f>YEAR(B1320)</f>
        <v/>
      </c>
      <c r="U1320" s="13">
        <f>YEAR(B1320)&amp;"-Q"&amp;ROUNDUP(MONTH(B1320)/3,0)</f>
        <v/>
      </c>
      <c r="V1320" s="13">
        <f>TEXT(B1320,"YYYY-MM")</f>
        <v/>
      </c>
      <c r="W1320" s="13">
        <f>IF(L1320="","",IF(L1320&gt;pLateDays,1,0))</f>
        <v/>
      </c>
      <c r="X1320" s="13">
        <f>IF(Q1320&gt;=pHighCutoff,1,0)</f>
        <v/>
      </c>
      <c r="Y1320" s="13">
        <f>IF(M1320="Returned",1,0)</f>
        <v/>
      </c>
    </row>
    <row r="1321">
      <c r="A1321" s="13" t="inlineStr">
        <is>
          <t>HC-101319</t>
        </is>
      </c>
      <c r="B1321" s="18" t="n">
        <v>45563</v>
      </c>
      <c r="C1321" s="13" t="inlineStr">
        <is>
          <t>West</t>
        </is>
      </c>
      <c r="D1321" s="13" t="inlineStr">
        <is>
          <t>Wholesale</t>
        </is>
      </c>
      <c r="E1321" s="13" t="inlineStr">
        <is>
          <t>Textiles</t>
        </is>
      </c>
      <c r="F1321" s="13" t="inlineStr">
        <is>
          <t>Wool Throw</t>
        </is>
      </c>
      <c r="G1321" s="13" t="inlineStr">
        <is>
          <t>Corporate</t>
        </is>
      </c>
      <c r="H1321" s="13" t="n">
        <v>19</v>
      </c>
      <c r="I1321" s="14" t="n">
        <v>73.90000000000001</v>
      </c>
      <c r="J1321" s="15" t="n">
        <v>0.26</v>
      </c>
      <c r="K1321" s="14" t="n">
        <v>31.04</v>
      </c>
      <c r="L1321" s="13" t="n">
        <v>10</v>
      </c>
      <c r="M1321" s="13" t="inlineStr">
        <is>
          <t>Completed</t>
        </is>
      </c>
      <c r="N1321" s="13" t="inlineStr">
        <is>
          <t>J. Patel</t>
        </is>
      </c>
      <c r="O1321" s="13" t="inlineStr">
        <is>
          <t>No</t>
        </is>
      </c>
      <c r="P1321" s="14">
        <f>H1321*I1321</f>
        <v/>
      </c>
      <c r="Q1321" s="14">
        <f>P1321*(1-J1321)</f>
        <v/>
      </c>
      <c r="R1321" s="14">
        <f>H1321*K1321</f>
        <v/>
      </c>
      <c r="S1321" s="15">
        <f>IF(Q1321=0,"",(Q1321-R1321)/Q1321)</f>
        <v/>
      </c>
      <c r="T1321" s="13">
        <f>YEAR(B1321)</f>
        <v/>
      </c>
      <c r="U1321" s="13">
        <f>YEAR(B1321)&amp;"-Q"&amp;ROUNDUP(MONTH(B1321)/3,0)</f>
        <v/>
      </c>
      <c r="V1321" s="13">
        <f>TEXT(B1321,"YYYY-MM")</f>
        <v/>
      </c>
      <c r="W1321" s="13">
        <f>IF(L1321="","",IF(L1321&gt;pLateDays,1,0))</f>
        <v/>
      </c>
      <c r="X1321" s="13">
        <f>IF(Q1321&gt;=pHighCutoff,1,0)</f>
        <v/>
      </c>
      <c r="Y1321" s="13">
        <f>IF(M1321="Returned",1,0)</f>
        <v/>
      </c>
    </row>
    <row r="1322">
      <c r="A1322" s="13" t="inlineStr">
        <is>
          <t>HC-101320</t>
        </is>
      </c>
      <c r="B1322" s="18" t="n">
        <v>45393</v>
      </c>
      <c r="C1322" s="13" t="inlineStr">
        <is>
          <t>North</t>
        </is>
      </c>
      <c r="D1322" s="13" t="inlineStr">
        <is>
          <t>Online</t>
        </is>
      </c>
      <c r="E1322" s="13" t="inlineStr">
        <is>
          <t>Lighting</t>
        </is>
      </c>
      <c r="F1322" s="13" t="inlineStr">
        <is>
          <t>Pendant Light</t>
        </is>
      </c>
      <c r="G1322" s="13" t="inlineStr">
        <is>
          <t>Consumer</t>
        </is>
      </c>
      <c r="H1322" s="13" t="n">
        <v>1</v>
      </c>
      <c r="I1322" s="14" t="n">
        <v>190.64</v>
      </c>
      <c r="J1322" s="15" t="n">
        <v>0.1</v>
      </c>
      <c r="K1322" s="14" t="n">
        <v>95.31999999999999</v>
      </c>
      <c r="L1322" s="13" t="n">
        <v>5</v>
      </c>
      <c r="M1322" s="13" t="inlineStr">
        <is>
          <t>Completed</t>
        </is>
      </c>
      <c r="N1322" s="13" t="inlineStr">
        <is>
          <t>P. Rossi</t>
        </is>
      </c>
      <c r="O1322" s="13" t="inlineStr">
        <is>
          <t>No</t>
        </is>
      </c>
      <c r="P1322" s="14">
        <f>H1322*I1322</f>
        <v/>
      </c>
      <c r="Q1322" s="14">
        <f>P1322*(1-J1322)</f>
        <v/>
      </c>
      <c r="R1322" s="14">
        <f>H1322*K1322</f>
        <v/>
      </c>
      <c r="S1322" s="15">
        <f>IF(Q1322=0,"",(Q1322-R1322)/Q1322)</f>
        <v/>
      </c>
      <c r="T1322" s="13">
        <f>YEAR(B1322)</f>
        <v/>
      </c>
      <c r="U1322" s="13">
        <f>YEAR(B1322)&amp;"-Q"&amp;ROUNDUP(MONTH(B1322)/3,0)</f>
        <v/>
      </c>
      <c r="V1322" s="13">
        <f>TEXT(B1322,"YYYY-MM")</f>
        <v/>
      </c>
      <c r="W1322" s="13">
        <f>IF(L1322="","",IF(L1322&gt;pLateDays,1,0))</f>
        <v/>
      </c>
      <c r="X1322" s="13">
        <f>IF(Q1322&gt;=pHighCutoff,1,0)</f>
        <v/>
      </c>
      <c r="Y1322" s="13">
        <f>IF(M1322="Returned",1,0)</f>
        <v/>
      </c>
    </row>
    <row r="1323">
      <c r="A1323" s="13" t="inlineStr">
        <is>
          <t>HC-101321</t>
        </is>
      </c>
      <c r="B1323" s="18" t="n">
        <v>45704</v>
      </c>
      <c r="C1323" s="13" t="inlineStr">
        <is>
          <t>West</t>
        </is>
      </c>
      <c r="D1323" s="13" t="inlineStr">
        <is>
          <t>Store</t>
        </is>
      </c>
      <c r="E1323" s="13" t="inlineStr">
        <is>
          <t>Lighting</t>
        </is>
      </c>
      <c r="F1323" s="13" t="inlineStr">
        <is>
          <t>Arc Lamp</t>
        </is>
      </c>
      <c r="G1323" s="13" t="inlineStr">
        <is>
          <t>Corporate</t>
        </is>
      </c>
      <c r="H1323" s="13" t="n">
        <v>4</v>
      </c>
      <c r="I1323" s="14" t="n">
        <v>286.98</v>
      </c>
      <c r="J1323" s="15" t="n">
        <v>0.05</v>
      </c>
      <c r="K1323" s="14" t="n">
        <v>137.75</v>
      </c>
      <c r="L1323" s="13" t="n">
        <v>7</v>
      </c>
      <c r="M1323" s="13" t="inlineStr">
        <is>
          <t>Completed</t>
        </is>
      </c>
      <c r="N1323" s="13" t="inlineStr">
        <is>
          <t>L. Berger</t>
        </is>
      </c>
      <c r="O1323" s="13" t="inlineStr">
        <is>
          <t>No</t>
        </is>
      </c>
      <c r="P1323" s="14">
        <f>H1323*I1323</f>
        <v/>
      </c>
      <c r="Q1323" s="14">
        <f>P1323*(1-J1323)</f>
        <v/>
      </c>
      <c r="R1323" s="14">
        <f>H1323*K1323</f>
        <v/>
      </c>
      <c r="S1323" s="15">
        <f>IF(Q1323=0,"",(Q1323-R1323)/Q1323)</f>
        <v/>
      </c>
      <c r="T1323" s="13">
        <f>YEAR(B1323)</f>
        <v/>
      </c>
      <c r="U1323" s="13">
        <f>YEAR(B1323)&amp;"-Q"&amp;ROUNDUP(MONTH(B1323)/3,0)</f>
        <v/>
      </c>
      <c r="V1323" s="13">
        <f>TEXT(B1323,"YYYY-MM")</f>
        <v/>
      </c>
      <c r="W1323" s="13">
        <f>IF(L1323="","",IF(L1323&gt;pLateDays,1,0))</f>
        <v/>
      </c>
      <c r="X1323" s="13">
        <f>IF(Q1323&gt;=pHighCutoff,1,0)</f>
        <v/>
      </c>
      <c r="Y1323" s="13">
        <f>IF(M1323="Returned",1,0)</f>
        <v/>
      </c>
    </row>
    <row r="1324">
      <c r="A1324" s="13" t="inlineStr">
        <is>
          <t>HC-101322</t>
        </is>
      </c>
      <c r="B1324" s="18" t="n">
        <v>45517</v>
      </c>
      <c r="C1324" s="13" t="inlineStr">
        <is>
          <t>East</t>
        </is>
      </c>
      <c r="D1324" s="13" t="inlineStr">
        <is>
          <t>Wholesale</t>
        </is>
      </c>
      <c r="E1324" s="13" t="inlineStr">
        <is>
          <t>Kitchen</t>
        </is>
      </c>
      <c r="F1324" s="13" t="inlineStr">
        <is>
          <t>Cast Skillet</t>
        </is>
      </c>
      <c r="G1324" s="13" t="inlineStr">
        <is>
          <t>Corporate</t>
        </is>
      </c>
      <c r="H1324" s="13" t="n">
        <v>16</v>
      </c>
      <c r="I1324" s="14" t="n">
        <v>45.82</v>
      </c>
      <c r="J1324" s="15" t="n">
        <v>0.21</v>
      </c>
      <c r="K1324" s="14" t="n">
        <v>18.33</v>
      </c>
      <c r="L1324" s="13" t="n">
        <v>8</v>
      </c>
      <c r="M1324" s="13" t="inlineStr">
        <is>
          <t>Completed</t>
        </is>
      </c>
      <c r="N1324" s="13" t="inlineStr">
        <is>
          <t>S. Nguyen</t>
        </is>
      </c>
      <c r="O1324" s="13" t="inlineStr">
        <is>
          <t>No</t>
        </is>
      </c>
      <c r="P1324" s="14">
        <f>H1324*I1324</f>
        <v/>
      </c>
      <c r="Q1324" s="14">
        <f>P1324*(1-J1324)</f>
        <v/>
      </c>
      <c r="R1324" s="14">
        <f>H1324*K1324</f>
        <v/>
      </c>
      <c r="S1324" s="15">
        <f>IF(Q1324=0,"",(Q1324-R1324)/Q1324)</f>
        <v/>
      </c>
      <c r="T1324" s="13">
        <f>YEAR(B1324)</f>
        <v/>
      </c>
      <c r="U1324" s="13">
        <f>YEAR(B1324)&amp;"-Q"&amp;ROUNDUP(MONTH(B1324)/3,0)</f>
        <v/>
      </c>
      <c r="V1324" s="13">
        <f>TEXT(B1324,"YYYY-MM")</f>
        <v/>
      </c>
      <c r="W1324" s="13">
        <f>IF(L1324="","",IF(L1324&gt;pLateDays,1,0))</f>
        <v/>
      </c>
      <c r="X1324" s="13">
        <f>IF(Q1324&gt;=pHighCutoff,1,0)</f>
        <v/>
      </c>
      <c r="Y1324" s="13">
        <f>IF(M1324="Returned",1,0)</f>
        <v/>
      </c>
    </row>
    <row r="1325">
      <c r="A1325" s="13" t="inlineStr">
        <is>
          <t>HC-101323</t>
        </is>
      </c>
      <c r="B1325" s="18" t="n">
        <v>45622</v>
      </c>
      <c r="C1325" s="13" t="inlineStr">
        <is>
          <t>South</t>
        </is>
      </c>
      <c r="D1325" s="13" t="inlineStr">
        <is>
          <t>Store</t>
        </is>
      </c>
      <c r="E1325" s="13" t="inlineStr">
        <is>
          <t>Textiles</t>
        </is>
      </c>
      <c r="F1325" s="13" t="inlineStr">
        <is>
          <t>Linen Curtain</t>
        </is>
      </c>
      <c r="G1325" s="13" t="inlineStr">
        <is>
          <t>Consumer</t>
        </is>
      </c>
      <c r="H1325" s="13" t="n">
        <v>4</v>
      </c>
      <c r="I1325" s="14" t="n">
        <v>93.81</v>
      </c>
      <c r="J1325" s="15" t="n">
        <v>0.04</v>
      </c>
      <c r="K1325" s="14" t="n">
        <v>42.21</v>
      </c>
      <c r="L1325" s="13" t="n">
        <v>2</v>
      </c>
      <c r="M1325" s="13" t="inlineStr">
        <is>
          <t>Completed</t>
        </is>
      </c>
      <c r="N1325" s="13" t="inlineStr">
        <is>
          <t>K. Mensah</t>
        </is>
      </c>
      <c r="O1325" s="13" t="inlineStr">
        <is>
          <t>No</t>
        </is>
      </c>
      <c r="P1325" s="14">
        <f>H1325*I1325</f>
        <v/>
      </c>
      <c r="Q1325" s="14">
        <f>P1325*(1-J1325)</f>
        <v/>
      </c>
      <c r="R1325" s="14">
        <f>H1325*K1325</f>
        <v/>
      </c>
      <c r="S1325" s="15">
        <f>IF(Q1325=0,"",(Q1325-R1325)/Q1325)</f>
        <v/>
      </c>
      <c r="T1325" s="13">
        <f>YEAR(B1325)</f>
        <v/>
      </c>
      <c r="U1325" s="13">
        <f>YEAR(B1325)&amp;"-Q"&amp;ROUNDUP(MONTH(B1325)/3,0)</f>
        <v/>
      </c>
      <c r="V1325" s="13">
        <f>TEXT(B1325,"YYYY-MM")</f>
        <v/>
      </c>
      <c r="W1325" s="13">
        <f>IF(L1325="","",IF(L1325&gt;pLateDays,1,0))</f>
        <v/>
      </c>
      <c r="X1325" s="13">
        <f>IF(Q1325&gt;=pHighCutoff,1,0)</f>
        <v/>
      </c>
      <c r="Y1325" s="13">
        <f>IF(M1325="Returned",1,0)</f>
        <v/>
      </c>
    </row>
    <row r="1326">
      <c r="A1326" s="13" t="inlineStr">
        <is>
          <t>HC-101324</t>
        </is>
      </c>
      <c r="B1326" s="18" t="n">
        <v>45637</v>
      </c>
      <c r="C1326" s="13" t="inlineStr">
        <is>
          <t>South</t>
        </is>
      </c>
      <c r="D1326" s="13" t="inlineStr">
        <is>
          <t>Store</t>
        </is>
      </c>
      <c r="E1326" s="13" t="inlineStr">
        <is>
          <t>Lighting</t>
        </is>
      </c>
      <c r="F1326" s="13" t="inlineStr">
        <is>
          <t>Arc Lamp</t>
        </is>
      </c>
      <c r="G1326" s="13" t="inlineStr">
        <is>
          <t>Corporate</t>
        </is>
      </c>
      <c r="H1326" s="13" t="n">
        <v>2</v>
      </c>
      <c r="I1326" s="14" t="n">
        <v>298.64</v>
      </c>
      <c r="J1326" s="15" t="n">
        <v>0.06</v>
      </c>
      <c r="K1326" s="14" t="n">
        <v>143.35</v>
      </c>
      <c r="L1326" s="13" t="n">
        <v>3</v>
      </c>
      <c r="M1326" s="13" t="inlineStr">
        <is>
          <t>Completed</t>
        </is>
      </c>
      <c r="N1326" s="13" t="inlineStr">
        <is>
          <t>M. Okonkwo</t>
        </is>
      </c>
      <c r="O1326" s="13" t="inlineStr">
        <is>
          <t>No</t>
        </is>
      </c>
      <c r="P1326" s="14">
        <f>H1326*I1326</f>
        <v/>
      </c>
      <c r="Q1326" s="14">
        <f>P1326*(1-J1326)</f>
        <v/>
      </c>
      <c r="R1326" s="14">
        <f>H1326*K1326</f>
        <v/>
      </c>
      <c r="S1326" s="15">
        <f>IF(Q1326=0,"",(Q1326-R1326)/Q1326)</f>
        <v/>
      </c>
      <c r="T1326" s="13">
        <f>YEAR(B1326)</f>
        <v/>
      </c>
      <c r="U1326" s="13">
        <f>YEAR(B1326)&amp;"-Q"&amp;ROUNDUP(MONTH(B1326)/3,0)</f>
        <v/>
      </c>
      <c r="V1326" s="13">
        <f>TEXT(B1326,"YYYY-MM")</f>
        <v/>
      </c>
      <c r="W1326" s="13">
        <f>IF(L1326="","",IF(L1326&gt;pLateDays,1,0))</f>
        <v/>
      </c>
      <c r="X1326" s="13">
        <f>IF(Q1326&gt;=pHighCutoff,1,0)</f>
        <v/>
      </c>
      <c r="Y1326" s="13">
        <f>IF(M1326="Returned",1,0)</f>
        <v/>
      </c>
    </row>
    <row r="1327">
      <c r="A1327" s="13" t="inlineStr">
        <is>
          <t>HC-101325</t>
        </is>
      </c>
      <c r="B1327" s="18" t="n">
        <v>45724</v>
      </c>
      <c r="C1327" s="13" t="inlineStr">
        <is>
          <t>East</t>
        </is>
      </c>
      <c r="D1327" s="13" t="inlineStr">
        <is>
          <t>Store</t>
        </is>
      </c>
      <c r="E1327" s="13" t="inlineStr">
        <is>
          <t>Textiles</t>
        </is>
      </c>
      <c r="F1327" s="13" t="inlineStr">
        <is>
          <t>Linen Curtain</t>
        </is>
      </c>
      <c r="G1327" s="13" t="inlineStr">
        <is>
          <t>Unknown</t>
        </is>
      </c>
      <c r="H1327" s="13" t="n">
        <v>2</v>
      </c>
      <c r="I1327" s="14" t="n">
        <v>90.01000000000001</v>
      </c>
      <c r="J1327" s="15" t="n">
        <v>0.11</v>
      </c>
      <c r="K1327" s="14" t="n">
        <v>40.5</v>
      </c>
      <c r="L1327" s="13" t="n">
        <v>9</v>
      </c>
      <c r="M1327" s="13" t="inlineStr">
        <is>
          <t>Completed</t>
        </is>
      </c>
      <c r="N1327" s="13" t="inlineStr">
        <is>
          <t>L. Berger</t>
        </is>
      </c>
      <c r="O1327" s="13" t="inlineStr">
        <is>
          <t>No</t>
        </is>
      </c>
      <c r="P1327" s="14">
        <f>H1327*I1327</f>
        <v/>
      </c>
      <c r="Q1327" s="14">
        <f>P1327*(1-J1327)</f>
        <v/>
      </c>
      <c r="R1327" s="14">
        <f>H1327*K1327</f>
        <v/>
      </c>
      <c r="S1327" s="15">
        <f>IF(Q1327=0,"",(Q1327-R1327)/Q1327)</f>
        <v/>
      </c>
      <c r="T1327" s="13">
        <f>YEAR(B1327)</f>
        <v/>
      </c>
      <c r="U1327" s="13">
        <f>YEAR(B1327)&amp;"-Q"&amp;ROUNDUP(MONTH(B1327)/3,0)</f>
        <v/>
      </c>
      <c r="V1327" s="13">
        <f>TEXT(B1327,"YYYY-MM")</f>
        <v/>
      </c>
      <c r="W1327" s="13">
        <f>IF(L1327="","",IF(L1327&gt;pLateDays,1,0))</f>
        <v/>
      </c>
      <c r="X1327" s="13">
        <f>IF(Q1327&gt;=pHighCutoff,1,0)</f>
        <v/>
      </c>
      <c r="Y1327" s="13">
        <f>IF(M1327="Returned",1,0)</f>
        <v/>
      </c>
    </row>
    <row r="1328">
      <c r="A1328" s="13" t="inlineStr">
        <is>
          <t>HC-101326</t>
        </is>
      </c>
      <c r="B1328" s="18" t="n">
        <v>45651</v>
      </c>
      <c r="C1328" s="13" t="inlineStr">
        <is>
          <t>South</t>
        </is>
      </c>
      <c r="D1328" s="13" t="inlineStr">
        <is>
          <t>Wholesale</t>
        </is>
      </c>
      <c r="E1328" s="13" t="inlineStr">
        <is>
          <t>Furniture</t>
        </is>
      </c>
      <c r="F1328" s="13" t="inlineStr">
        <is>
          <t>Walnut Shelf</t>
        </is>
      </c>
      <c r="G1328" s="13" t="inlineStr">
        <is>
          <t>Consumer</t>
        </is>
      </c>
      <c r="H1328" s="13" t="n">
        <v>19</v>
      </c>
      <c r="I1328" s="14" t="n">
        <v>209.66</v>
      </c>
      <c r="J1328" s="15" t="n">
        <v>0.29</v>
      </c>
      <c r="K1328" s="14" t="n">
        <v>115.31</v>
      </c>
      <c r="L1328" s="13" t="n">
        <v>4</v>
      </c>
      <c r="M1328" s="13" t="inlineStr">
        <is>
          <t>Returned</t>
        </is>
      </c>
      <c r="N1328" s="13" t="inlineStr">
        <is>
          <t>R. Ibarra</t>
        </is>
      </c>
      <c r="O1328" s="13" t="inlineStr">
        <is>
          <t>No</t>
        </is>
      </c>
      <c r="P1328" s="14">
        <f>H1328*I1328</f>
        <v/>
      </c>
      <c r="Q1328" s="14">
        <f>P1328*(1-J1328)</f>
        <v/>
      </c>
      <c r="R1328" s="14">
        <f>H1328*K1328</f>
        <v/>
      </c>
      <c r="S1328" s="15">
        <f>IF(Q1328=0,"",(Q1328-R1328)/Q1328)</f>
        <v/>
      </c>
      <c r="T1328" s="13">
        <f>YEAR(B1328)</f>
        <v/>
      </c>
      <c r="U1328" s="13">
        <f>YEAR(B1328)&amp;"-Q"&amp;ROUNDUP(MONTH(B1328)/3,0)</f>
        <v/>
      </c>
      <c r="V1328" s="13">
        <f>TEXT(B1328,"YYYY-MM")</f>
        <v/>
      </c>
      <c r="W1328" s="13">
        <f>IF(L1328="","",IF(L1328&gt;pLateDays,1,0))</f>
        <v/>
      </c>
      <c r="X1328" s="13">
        <f>IF(Q1328&gt;=pHighCutoff,1,0)</f>
        <v/>
      </c>
      <c r="Y1328" s="13">
        <f>IF(M1328="Returned",1,0)</f>
        <v/>
      </c>
    </row>
    <row r="1329">
      <c r="A1329" s="13" t="inlineStr">
        <is>
          <t>HC-101327</t>
        </is>
      </c>
      <c r="B1329" s="18" t="n">
        <v>45545</v>
      </c>
      <c r="C1329" s="13" t="inlineStr">
        <is>
          <t>South</t>
        </is>
      </c>
      <c r="D1329" s="13" t="inlineStr">
        <is>
          <t>Online</t>
        </is>
      </c>
      <c r="E1329" s="13" t="inlineStr">
        <is>
          <t>Lighting</t>
        </is>
      </c>
      <c r="F1329" s="13" t="inlineStr">
        <is>
          <t>Pendant Light</t>
        </is>
      </c>
      <c r="G1329" s="13" t="inlineStr">
        <is>
          <t>Home Office</t>
        </is>
      </c>
      <c r="H1329" s="13" t="n">
        <v>1</v>
      </c>
      <c r="I1329" s="14" t="n">
        <v>185.4</v>
      </c>
      <c r="J1329" s="15" t="n">
        <v>0.02</v>
      </c>
      <c r="K1329" s="14" t="n">
        <v>92.7</v>
      </c>
      <c r="L1329" s="13" t="n">
        <v>6</v>
      </c>
      <c r="M1329" s="13" t="inlineStr">
        <is>
          <t>Completed</t>
        </is>
      </c>
      <c r="N1329" s="13" t="inlineStr">
        <is>
          <t>S. Nguyen</t>
        </is>
      </c>
      <c r="O1329" s="13" t="inlineStr">
        <is>
          <t>No</t>
        </is>
      </c>
      <c r="P1329" s="14">
        <f>H1329*I1329</f>
        <v/>
      </c>
      <c r="Q1329" s="14">
        <f>P1329*(1-J1329)</f>
        <v/>
      </c>
      <c r="R1329" s="14">
        <f>H1329*K1329</f>
        <v/>
      </c>
      <c r="S1329" s="15">
        <f>IF(Q1329=0,"",(Q1329-R1329)/Q1329)</f>
        <v/>
      </c>
      <c r="T1329" s="13">
        <f>YEAR(B1329)</f>
        <v/>
      </c>
      <c r="U1329" s="13">
        <f>YEAR(B1329)&amp;"-Q"&amp;ROUNDUP(MONTH(B1329)/3,0)</f>
        <v/>
      </c>
      <c r="V1329" s="13">
        <f>TEXT(B1329,"YYYY-MM")</f>
        <v/>
      </c>
      <c r="W1329" s="13">
        <f>IF(L1329="","",IF(L1329&gt;pLateDays,1,0))</f>
        <v/>
      </c>
      <c r="X1329" s="13">
        <f>IF(Q1329&gt;=pHighCutoff,1,0)</f>
        <v/>
      </c>
      <c r="Y1329" s="13">
        <f>IF(M1329="Returned",1,0)</f>
        <v/>
      </c>
    </row>
    <row r="1330">
      <c r="A1330" s="13" t="inlineStr">
        <is>
          <t>HC-101328</t>
        </is>
      </c>
      <c r="B1330" s="18" t="n">
        <v>45669</v>
      </c>
      <c r="C1330" s="13" t="inlineStr">
        <is>
          <t>South</t>
        </is>
      </c>
      <c r="D1330" s="13" t="inlineStr">
        <is>
          <t>Wholesale</t>
        </is>
      </c>
      <c r="E1330" s="13" t="inlineStr">
        <is>
          <t>Furniture</t>
        </is>
      </c>
      <c r="F1330" s="13" t="inlineStr">
        <is>
          <t>Walnut Shelf</t>
        </is>
      </c>
      <c r="G1330" s="13" t="inlineStr">
        <is>
          <t>Consumer</t>
        </is>
      </c>
      <c r="H1330" s="13" t="n">
        <v>17</v>
      </c>
      <c r="I1330" s="14" t="n">
        <v>236.21</v>
      </c>
      <c r="J1330" s="15" t="n">
        <v>0.32</v>
      </c>
      <c r="K1330" s="14" t="n">
        <v>129.91</v>
      </c>
      <c r="L1330" s="13" t="n">
        <v>8</v>
      </c>
      <c r="M1330" s="13" t="inlineStr">
        <is>
          <t>Completed</t>
        </is>
      </c>
      <c r="N1330" s="13" t="inlineStr">
        <is>
          <t>L. Berger</t>
        </is>
      </c>
      <c r="O1330" s="13" t="inlineStr">
        <is>
          <t>No</t>
        </is>
      </c>
      <c r="P1330" s="14">
        <f>H1330*I1330</f>
        <v/>
      </c>
      <c r="Q1330" s="14">
        <f>P1330*(1-J1330)</f>
        <v/>
      </c>
      <c r="R1330" s="14">
        <f>H1330*K1330</f>
        <v/>
      </c>
      <c r="S1330" s="15">
        <f>IF(Q1330=0,"",(Q1330-R1330)/Q1330)</f>
        <v/>
      </c>
      <c r="T1330" s="13">
        <f>YEAR(B1330)</f>
        <v/>
      </c>
      <c r="U1330" s="13">
        <f>YEAR(B1330)&amp;"-Q"&amp;ROUNDUP(MONTH(B1330)/3,0)</f>
        <v/>
      </c>
      <c r="V1330" s="13">
        <f>TEXT(B1330,"YYYY-MM")</f>
        <v/>
      </c>
      <c r="W1330" s="13">
        <f>IF(L1330="","",IF(L1330&gt;pLateDays,1,0))</f>
        <v/>
      </c>
      <c r="X1330" s="13">
        <f>IF(Q1330&gt;=pHighCutoff,1,0)</f>
        <v/>
      </c>
      <c r="Y1330" s="13">
        <f>IF(M1330="Returned",1,0)</f>
        <v/>
      </c>
    </row>
    <row r="1331">
      <c r="A1331" s="13" t="inlineStr">
        <is>
          <t>HC-101329</t>
        </is>
      </c>
      <c r="B1331" s="18" t="n">
        <v>45575</v>
      </c>
      <c r="C1331" s="13" t="inlineStr">
        <is>
          <t>South</t>
        </is>
      </c>
      <c r="D1331" s="13" t="inlineStr">
        <is>
          <t>Online</t>
        </is>
      </c>
      <c r="E1331" s="13" t="inlineStr">
        <is>
          <t>Lighting</t>
        </is>
      </c>
      <c r="F1331" s="13" t="inlineStr">
        <is>
          <t>Pendant Light</t>
        </is>
      </c>
      <c r="G1331" s="13" t="inlineStr">
        <is>
          <t>Consumer</t>
        </is>
      </c>
      <c r="H1331" s="13" t="n">
        <v>3</v>
      </c>
      <c r="I1331" s="14" t="n">
        <v>176.49</v>
      </c>
      <c r="J1331" s="15" t="n">
        <v>0.08</v>
      </c>
      <c r="K1331" s="14" t="n">
        <v>88.23999999999999</v>
      </c>
      <c r="L1331" s="13" t="n">
        <v>3</v>
      </c>
      <c r="M1331" s="13" t="inlineStr">
        <is>
          <t>Completed</t>
        </is>
      </c>
      <c r="N1331" s="13" t="inlineStr">
        <is>
          <t>A. Shah</t>
        </is>
      </c>
      <c r="O1331" s="13" t="inlineStr">
        <is>
          <t>No</t>
        </is>
      </c>
      <c r="P1331" s="14">
        <f>H1331*I1331</f>
        <v/>
      </c>
      <c r="Q1331" s="14">
        <f>P1331*(1-J1331)</f>
        <v/>
      </c>
      <c r="R1331" s="14">
        <f>H1331*K1331</f>
        <v/>
      </c>
      <c r="S1331" s="15">
        <f>IF(Q1331=0,"",(Q1331-R1331)/Q1331)</f>
        <v/>
      </c>
      <c r="T1331" s="13">
        <f>YEAR(B1331)</f>
        <v/>
      </c>
      <c r="U1331" s="13">
        <f>YEAR(B1331)&amp;"-Q"&amp;ROUNDUP(MONTH(B1331)/3,0)</f>
        <v/>
      </c>
      <c r="V1331" s="13">
        <f>TEXT(B1331,"YYYY-MM")</f>
        <v/>
      </c>
      <c r="W1331" s="13">
        <f>IF(L1331="","",IF(L1331&gt;pLateDays,1,0))</f>
        <v/>
      </c>
      <c r="X1331" s="13">
        <f>IF(Q1331&gt;=pHighCutoff,1,0)</f>
        <v/>
      </c>
      <c r="Y1331" s="13">
        <f>IF(M1331="Returned",1,0)</f>
        <v/>
      </c>
    </row>
    <row r="1332">
      <c r="A1332" s="13" t="inlineStr">
        <is>
          <t>HC-101330</t>
        </is>
      </c>
      <c r="B1332" s="18" t="n">
        <v>45834</v>
      </c>
      <c r="C1332" s="13" t="inlineStr">
        <is>
          <t>North</t>
        </is>
      </c>
      <c r="D1332" s="13" t="inlineStr">
        <is>
          <t>Online</t>
        </is>
      </c>
      <c r="E1332" s="13" t="inlineStr">
        <is>
          <t>Kitchen</t>
        </is>
      </c>
      <c r="F1332" s="13" t="inlineStr">
        <is>
          <t>Cast Skillet</t>
        </is>
      </c>
      <c r="G1332" s="13" t="inlineStr">
        <is>
          <t>Consumer</t>
        </is>
      </c>
      <c r="H1332" s="13" t="n">
        <v>3</v>
      </c>
      <c r="I1332" s="14" t="n">
        <v>50.99</v>
      </c>
      <c r="J1332" s="15" t="n">
        <v>0.12</v>
      </c>
      <c r="K1332" s="14" t="n">
        <v>20.4</v>
      </c>
      <c r="L1332" s="13" t="n">
        <v>5</v>
      </c>
      <c r="M1332" s="13" t="inlineStr">
        <is>
          <t>Completed</t>
        </is>
      </c>
      <c r="N1332" s="13" t="inlineStr">
        <is>
          <t>J. Patel</t>
        </is>
      </c>
      <c r="O1332" s="13" t="inlineStr">
        <is>
          <t>No</t>
        </is>
      </c>
      <c r="P1332" s="14">
        <f>H1332*I1332</f>
        <v/>
      </c>
      <c r="Q1332" s="14">
        <f>P1332*(1-J1332)</f>
        <v/>
      </c>
      <c r="R1332" s="14">
        <f>H1332*K1332</f>
        <v/>
      </c>
      <c r="S1332" s="15">
        <f>IF(Q1332=0,"",(Q1332-R1332)/Q1332)</f>
        <v/>
      </c>
      <c r="T1332" s="13">
        <f>YEAR(B1332)</f>
        <v/>
      </c>
      <c r="U1332" s="13">
        <f>YEAR(B1332)&amp;"-Q"&amp;ROUNDUP(MONTH(B1332)/3,0)</f>
        <v/>
      </c>
      <c r="V1332" s="13">
        <f>TEXT(B1332,"YYYY-MM")</f>
        <v/>
      </c>
      <c r="W1332" s="13">
        <f>IF(L1332="","",IF(L1332&gt;pLateDays,1,0))</f>
        <v/>
      </c>
      <c r="X1332" s="13">
        <f>IF(Q1332&gt;=pHighCutoff,1,0)</f>
        <v/>
      </c>
      <c r="Y1332" s="13">
        <f>IF(M1332="Returned",1,0)</f>
        <v/>
      </c>
    </row>
    <row r="1333">
      <c r="A1333" s="13" t="inlineStr">
        <is>
          <t>HC-101331</t>
        </is>
      </c>
      <c r="B1333" s="18" t="n">
        <v>45919</v>
      </c>
      <c r="C1333" s="13" t="inlineStr">
        <is>
          <t>West</t>
        </is>
      </c>
      <c r="D1333" s="13" t="inlineStr">
        <is>
          <t>Store</t>
        </is>
      </c>
      <c r="E1333" s="13" t="inlineStr">
        <is>
          <t>Furniture</t>
        </is>
      </c>
      <c r="F1333" s="13" t="inlineStr">
        <is>
          <t>Lounge Chair</t>
        </is>
      </c>
      <c r="G1333" s="13" t="inlineStr">
        <is>
          <t>Consumer</t>
        </is>
      </c>
      <c r="H1333" s="13" t="n">
        <v>1</v>
      </c>
      <c r="I1333" s="14" t="n">
        <v>516.13</v>
      </c>
      <c r="J1333" s="15" t="n">
        <v>0.02</v>
      </c>
      <c r="K1333" s="14" t="n">
        <v>309.68</v>
      </c>
      <c r="L1333" s="13" t="n">
        <v>8</v>
      </c>
      <c r="M1333" s="13" t="inlineStr">
        <is>
          <t>Completed</t>
        </is>
      </c>
      <c r="N1333" s="13" t="inlineStr">
        <is>
          <t>M. Okonkwo</t>
        </is>
      </c>
      <c r="O1333" s="13" t="inlineStr">
        <is>
          <t>No</t>
        </is>
      </c>
      <c r="P1333" s="14">
        <f>H1333*I1333</f>
        <v/>
      </c>
      <c r="Q1333" s="14">
        <f>P1333*(1-J1333)</f>
        <v/>
      </c>
      <c r="R1333" s="14">
        <f>H1333*K1333</f>
        <v/>
      </c>
      <c r="S1333" s="15">
        <f>IF(Q1333=0,"",(Q1333-R1333)/Q1333)</f>
        <v/>
      </c>
      <c r="T1333" s="13">
        <f>YEAR(B1333)</f>
        <v/>
      </c>
      <c r="U1333" s="13">
        <f>YEAR(B1333)&amp;"-Q"&amp;ROUNDUP(MONTH(B1333)/3,0)</f>
        <v/>
      </c>
      <c r="V1333" s="13">
        <f>TEXT(B1333,"YYYY-MM")</f>
        <v/>
      </c>
      <c r="W1333" s="13">
        <f>IF(L1333="","",IF(L1333&gt;pLateDays,1,0))</f>
        <v/>
      </c>
      <c r="X1333" s="13">
        <f>IF(Q1333&gt;=pHighCutoff,1,0)</f>
        <v/>
      </c>
      <c r="Y1333" s="13">
        <f>IF(M1333="Returned",1,0)</f>
        <v/>
      </c>
    </row>
    <row r="1334">
      <c r="A1334" s="13" t="inlineStr">
        <is>
          <t>HC-101332</t>
        </is>
      </c>
      <c r="B1334" s="18" t="n">
        <v>45718</v>
      </c>
      <c r="C1334" s="13" t="inlineStr">
        <is>
          <t>West</t>
        </is>
      </c>
      <c r="D1334" s="13" t="inlineStr">
        <is>
          <t>Wholesale</t>
        </is>
      </c>
      <c r="E1334" s="13" t="inlineStr">
        <is>
          <t>Kitchen</t>
        </is>
      </c>
      <c r="F1334" s="13" t="inlineStr">
        <is>
          <t>Cast Skillet</t>
        </is>
      </c>
      <c r="G1334" s="13" t="inlineStr">
        <is>
          <t>Consumer</t>
        </is>
      </c>
      <c r="H1334" s="13" t="n">
        <v>21</v>
      </c>
      <c r="I1334" s="14" t="n">
        <v>51.66</v>
      </c>
      <c r="J1334" s="15" t="n">
        <v>0.13</v>
      </c>
      <c r="K1334" s="14" t="n">
        <v>20.66</v>
      </c>
      <c r="L1334" s="13" t="n">
        <v>7</v>
      </c>
      <c r="M1334" s="13" t="inlineStr">
        <is>
          <t>Completed</t>
        </is>
      </c>
      <c r="N1334" s="13" t="inlineStr">
        <is>
          <t>K. Mensah</t>
        </is>
      </c>
      <c r="O1334" s="13" t="inlineStr">
        <is>
          <t>No</t>
        </is>
      </c>
      <c r="P1334" s="14">
        <f>H1334*I1334</f>
        <v/>
      </c>
      <c r="Q1334" s="14">
        <f>P1334*(1-J1334)</f>
        <v/>
      </c>
      <c r="R1334" s="14">
        <f>H1334*K1334</f>
        <v/>
      </c>
      <c r="S1334" s="15">
        <f>IF(Q1334=0,"",(Q1334-R1334)/Q1334)</f>
        <v/>
      </c>
      <c r="T1334" s="13">
        <f>YEAR(B1334)</f>
        <v/>
      </c>
      <c r="U1334" s="13">
        <f>YEAR(B1334)&amp;"-Q"&amp;ROUNDUP(MONTH(B1334)/3,0)</f>
        <v/>
      </c>
      <c r="V1334" s="13">
        <f>TEXT(B1334,"YYYY-MM")</f>
        <v/>
      </c>
      <c r="W1334" s="13">
        <f>IF(L1334="","",IF(L1334&gt;pLateDays,1,0))</f>
        <v/>
      </c>
      <c r="X1334" s="13">
        <f>IF(Q1334&gt;=pHighCutoff,1,0)</f>
        <v/>
      </c>
      <c r="Y1334" s="13">
        <f>IF(M1334="Returned",1,0)</f>
        <v/>
      </c>
    </row>
    <row r="1335">
      <c r="A1335" s="13" t="inlineStr">
        <is>
          <t>HC-101333</t>
        </is>
      </c>
      <c r="B1335" s="18" t="n">
        <v>45433</v>
      </c>
      <c r="C1335" s="13" t="inlineStr">
        <is>
          <t>East</t>
        </is>
      </c>
      <c r="D1335" s="13" t="inlineStr">
        <is>
          <t>Wholesale</t>
        </is>
      </c>
      <c r="E1335" s="13" t="inlineStr">
        <is>
          <t>Lighting</t>
        </is>
      </c>
      <c r="F1335" s="13" t="inlineStr">
        <is>
          <t>Brass Sconce</t>
        </is>
      </c>
      <c r="G1335" s="13" t="inlineStr">
        <is>
          <t>Consumer</t>
        </is>
      </c>
      <c r="H1335" s="13" t="n">
        <v>24</v>
      </c>
      <c r="I1335" s="14" t="n">
        <v>122.96</v>
      </c>
      <c r="J1335" s="15" t="n">
        <v>0.13</v>
      </c>
      <c r="K1335" s="14" t="n">
        <v>56.56</v>
      </c>
      <c r="L1335" s="13" t="n">
        <v>6</v>
      </c>
      <c r="M1335" s="13" t="inlineStr">
        <is>
          <t>Completed</t>
        </is>
      </c>
      <c r="N1335" s="13" t="inlineStr">
        <is>
          <t>R. Ibarra</t>
        </is>
      </c>
      <c r="O1335" s="13" t="inlineStr">
        <is>
          <t>No</t>
        </is>
      </c>
      <c r="P1335" s="14">
        <f>H1335*I1335</f>
        <v/>
      </c>
      <c r="Q1335" s="14">
        <f>P1335*(1-J1335)</f>
        <v/>
      </c>
      <c r="R1335" s="14">
        <f>H1335*K1335</f>
        <v/>
      </c>
      <c r="S1335" s="15">
        <f>IF(Q1335=0,"",(Q1335-R1335)/Q1335)</f>
        <v/>
      </c>
      <c r="T1335" s="13">
        <f>YEAR(B1335)</f>
        <v/>
      </c>
      <c r="U1335" s="13">
        <f>YEAR(B1335)&amp;"-Q"&amp;ROUNDUP(MONTH(B1335)/3,0)</f>
        <v/>
      </c>
      <c r="V1335" s="13">
        <f>TEXT(B1335,"YYYY-MM")</f>
        <v/>
      </c>
      <c r="W1335" s="13">
        <f>IF(L1335="","",IF(L1335&gt;pLateDays,1,0))</f>
        <v/>
      </c>
      <c r="X1335" s="13">
        <f>IF(Q1335&gt;=pHighCutoff,1,0)</f>
        <v/>
      </c>
      <c r="Y1335" s="13">
        <f>IF(M1335="Returned",1,0)</f>
        <v/>
      </c>
    </row>
    <row r="1336">
      <c r="A1336" s="13" t="inlineStr">
        <is>
          <t>HC-101334</t>
        </is>
      </c>
      <c r="B1336" s="18" t="n">
        <v>45641</v>
      </c>
      <c r="C1336" s="13" t="inlineStr">
        <is>
          <t>South</t>
        </is>
      </c>
      <c r="D1336" s="13" t="inlineStr">
        <is>
          <t>Store</t>
        </is>
      </c>
      <c r="E1336" s="13" t="inlineStr">
        <is>
          <t>Textiles</t>
        </is>
      </c>
      <c r="F1336" s="13" t="inlineStr">
        <is>
          <t>Cotton Duvet</t>
        </is>
      </c>
      <c r="G1336" s="13" t="inlineStr">
        <is>
          <t>Home Office</t>
        </is>
      </c>
      <c r="H1336" s="13" t="n">
        <v>2</v>
      </c>
      <c r="I1336" s="14" t="n">
        <v>125.17</v>
      </c>
      <c r="J1336" s="15" t="n">
        <v>0</v>
      </c>
      <c r="K1336" s="14" t="n">
        <v>55.07</v>
      </c>
      <c r="L1336" s="13" t="n">
        <v>5</v>
      </c>
      <c r="M1336" s="13" t="inlineStr">
        <is>
          <t>Completed</t>
        </is>
      </c>
      <c r="N1336" s="13" t="inlineStr">
        <is>
          <t>L. Berger</t>
        </is>
      </c>
      <c r="O1336" s="13" t="inlineStr">
        <is>
          <t>No</t>
        </is>
      </c>
      <c r="P1336" s="14">
        <f>H1336*I1336</f>
        <v/>
      </c>
      <c r="Q1336" s="14">
        <f>P1336*(1-J1336)</f>
        <v/>
      </c>
      <c r="R1336" s="14">
        <f>H1336*K1336</f>
        <v/>
      </c>
      <c r="S1336" s="15">
        <f>IF(Q1336=0,"",(Q1336-R1336)/Q1336)</f>
        <v/>
      </c>
      <c r="T1336" s="13">
        <f>YEAR(B1336)</f>
        <v/>
      </c>
      <c r="U1336" s="13">
        <f>YEAR(B1336)&amp;"-Q"&amp;ROUNDUP(MONTH(B1336)/3,0)</f>
        <v/>
      </c>
      <c r="V1336" s="13">
        <f>TEXT(B1336,"YYYY-MM")</f>
        <v/>
      </c>
      <c r="W1336" s="13">
        <f>IF(L1336="","",IF(L1336&gt;pLateDays,1,0))</f>
        <v/>
      </c>
      <c r="X1336" s="13">
        <f>IF(Q1336&gt;=pHighCutoff,1,0)</f>
        <v/>
      </c>
      <c r="Y1336" s="13">
        <f>IF(M1336="Returned",1,0)</f>
        <v/>
      </c>
    </row>
    <row r="1337">
      <c r="A1337" s="13" t="inlineStr">
        <is>
          <t>HC-101335</t>
        </is>
      </c>
      <c r="B1337" s="18" t="n">
        <v>45736</v>
      </c>
      <c r="C1337" s="13" t="inlineStr">
        <is>
          <t>South</t>
        </is>
      </c>
      <c r="D1337" s="13" t="inlineStr">
        <is>
          <t>Online</t>
        </is>
      </c>
      <c r="E1337" s="13" t="inlineStr">
        <is>
          <t>Textiles</t>
        </is>
      </c>
      <c r="F1337" s="13" t="inlineStr">
        <is>
          <t>Wool Throw</t>
        </is>
      </c>
      <c r="G1337" s="13" t="inlineStr">
        <is>
          <t>Consumer</t>
        </is>
      </c>
      <c r="H1337" s="13" t="n">
        <v>1</v>
      </c>
      <c r="I1337" s="14" t="n">
        <v>70.15000000000001</v>
      </c>
      <c r="J1337" s="15" t="n">
        <v>0.14</v>
      </c>
      <c r="K1337" s="14" t="n">
        <v>29.46</v>
      </c>
      <c r="L1337" s="13" t="n"/>
      <c r="M1337" s="13" t="inlineStr">
        <is>
          <t>Completed</t>
        </is>
      </c>
      <c r="N1337" s="13" t="inlineStr">
        <is>
          <t>R. Ibarra</t>
        </is>
      </c>
      <c r="O1337" s="13" t="inlineStr">
        <is>
          <t>No</t>
        </is>
      </c>
      <c r="P1337" s="14">
        <f>H1337*I1337</f>
        <v/>
      </c>
      <c r="Q1337" s="14">
        <f>P1337*(1-J1337)</f>
        <v/>
      </c>
      <c r="R1337" s="14">
        <f>H1337*K1337</f>
        <v/>
      </c>
      <c r="S1337" s="15">
        <f>IF(Q1337=0,"",(Q1337-R1337)/Q1337)</f>
        <v/>
      </c>
      <c r="T1337" s="13">
        <f>YEAR(B1337)</f>
        <v/>
      </c>
      <c r="U1337" s="13">
        <f>YEAR(B1337)&amp;"-Q"&amp;ROUNDUP(MONTH(B1337)/3,0)</f>
        <v/>
      </c>
      <c r="V1337" s="13">
        <f>TEXT(B1337,"YYYY-MM")</f>
        <v/>
      </c>
      <c r="W1337" s="13">
        <f>IF(L1337="","",IF(L1337&gt;pLateDays,1,0))</f>
        <v/>
      </c>
      <c r="X1337" s="13">
        <f>IF(Q1337&gt;=pHighCutoff,1,0)</f>
        <v/>
      </c>
      <c r="Y1337" s="13">
        <f>IF(M1337="Returned",1,0)</f>
        <v/>
      </c>
    </row>
    <row r="1338">
      <c r="A1338" s="13" t="inlineStr">
        <is>
          <t>HC-101336</t>
        </is>
      </c>
      <c r="B1338" s="18" t="n">
        <v>45669</v>
      </c>
      <c r="C1338" s="13" t="inlineStr">
        <is>
          <t>South</t>
        </is>
      </c>
      <c r="D1338" s="13" t="inlineStr">
        <is>
          <t>Store</t>
        </is>
      </c>
      <c r="E1338" s="13" t="inlineStr">
        <is>
          <t>Furniture</t>
        </is>
      </c>
      <c r="F1338" s="13" t="inlineStr">
        <is>
          <t>Lounge Chair</t>
        </is>
      </c>
      <c r="G1338" s="13" t="inlineStr">
        <is>
          <t>Consumer</t>
        </is>
      </c>
      <c r="H1338" s="13" t="n">
        <v>3</v>
      </c>
      <c r="I1338" s="14" t="n">
        <v>485.54</v>
      </c>
      <c r="J1338" s="15" t="n">
        <v>0.11</v>
      </c>
      <c r="K1338" s="14" t="n">
        <v>291.32</v>
      </c>
      <c r="L1338" s="13" t="n">
        <v>5</v>
      </c>
      <c r="M1338" s="13" t="inlineStr">
        <is>
          <t>Completed</t>
        </is>
      </c>
      <c r="N1338" s="13" t="inlineStr">
        <is>
          <t>M. Okonkwo</t>
        </is>
      </c>
      <c r="O1338" s="13" t="inlineStr">
        <is>
          <t>No</t>
        </is>
      </c>
      <c r="P1338" s="14">
        <f>H1338*I1338</f>
        <v/>
      </c>
      <c r="Q1338" s="14">
        <f>P1338*(1-J1338)</f>
        <v/>
      </c>
      <c r="R1338" s="14">
        <f>H1338*K1338</f>
        <v/>
      </c>
      <c r="S1338" s="15">
        <f>IF(Q1338=0,"",(Q1338-R1338)/Q1338)</f>
        <v/>
      </c>
      <c r="T1338" s="13">
        <f>YEAR(B1338)</f>
        <v/>
      </c>
      <c r="U1338" s="13">
        <f>YEAR(B1338)&amp;"-Q"&amp;ROUNDUP(MONTH(B1338)/3,0)</f>
        <v/>
      </c>
      <c r="V1338" s="13">
        <f>TEXT(B1338,"YYYY-MM")</f>
        <v/>
      </c>
      <c r="W1338" s="13">
        <f>IF(L1338="","",IF(L1338&gt;pLateDays,1,0))</f>
        <v/>
      </c>
      <c r="X1338" s="13">
        <f>IF(Q1338&gt;=pHighCutoff,1,0)</f>
        <v/>
      </c>
      <c r="Y1338" s="13">
        <f>IF(M1338="Returned",1,0)</f>
        <v/>
      </c>
    </row>
    <row r="1339">
      <c r="A1339" s="13" t="inlineStr">
        <is>
          <t>HC-101337</t>
        </is>
      </c>
      <c r="B1339" s="18" t="n">
        <v>45680</v>
      </c>
      <c r="C1339" s="13" t="inlineStr">
        <is>
          <t>West</t>
        </is>
      </c>
      <c r="D1339" s="13" t="inlineStr">
        <is>
          <t>Online</t>
        </is>
      </c>
      <c r="E1339" s="13" t="inlineStr">
        <is>
          <t>Textiles</t>
        </is>
      </c>
      <c r="F1339" s="13" t="inlineStr">
        <is>
          <t>Linen Curtain</t>
        </is>
      </c>
      <c r="G1339" s="13" t="inlineStr">
        <is>
          <t>Consumer</t>
        </is>
      </c>
      <c r="H1339" s="13" t="n">
        <v>1</v>
      </c>
      <c r="I1339" s="14" t="n">
        <v>88.98</v>
      </c>
      <c r="J1339" s="15" t="n">
        <v>0.11</v>
      </c>
      <c r="K1339" s="14" t="n">
        <v>40.04</v>
      </c>
      <c r="L1339" s="13" t="n">
        <v>3</v>
      </c>
      <c r="M1339" s="13" t="inlineStr">
        <is>
          <t>Completed</t>
        </is>
      </c>
      <c r="N1339" s="13" t="inlineStr">
        <is>
          <t>L. Berger</t>
        </is>
      </c>
      <c r="O1339" s="13" t="inlineStr">
        <is>
          <t>No</t>
        </is>
      </c>
      <c r="P1339" s="14">
        <f>H1339*I1339</f>
        <v/>
      </c>
      <c r="Q1339" s="14">
        <f>P1339*(1-J1339)</f>
        <v/>
      </c>
      <c r="R1339" s="14">
        <f>H1339*K1339</f>
        <v/>
      </c>
      <c r="S1339" s="15">
        <f>IF(Q1339=0,"",(Q1339-R1339)/Q1339)</f>
        <v/>
      </c>
      <c r="T1339" s="13">
        <f>YEAR(B1339)</f>
        <v/>
      </c>
      <c r="U1339" s="13">
        <f>YEAR(B1339)&amp;"-Q"&amp;ROUNDUP(MONTH(B1339)/3,0)</f>
        <v/>
      </c>
      <c r="V1339" s="13">
        <f>TEXT(B1339,"YYYY-MM")</f>
        <v/>
      </c>
      <c r="W1339" s="13">
        <f>IF(L1339="","",IF(L1339&gt;pLateDays,1,0))</f>
        <v/>
      </c>
      <c r="X1339" s="13">
        <f>IF(Q1339&gt;=pHighCutoff,1,0)</f>
        <v/>
      </c>
      <c r="Y1339" s="13">
        <f>IF(M1339="Returned",1,0)</f>
        <v/>
      </c>
    </row>
    <row r="1340">
      <c r="A1340" s="13" t="inlineStr">
        <is>
          <t>HC-101338</t>
        </is>
      </c>
      <c r="B1340" s="18" t="n">
        <v>45501</v>
      </c>
      <c r="C1340" s="13" t="inlineStr">
        <is>
          <t>West</t>
        </is>
      </c>
      <c r="D1340" s="13" t="inlineStr">
        <is>
          <t>Store</t>
        </is>
      </c>
      <c r="E1340" s="13" t="inlineStr">
        <is>
          <t>Kitchen</t>
        </is>
      </c>
      <c r="F1340" s="13" t="inlineStr">
        <is>
          <t>Cast Skillet</t>
        </is>
      </c>
      <c r="G1340" s="13" t="inlineStr">
        <is>
          <t>Corporate</t>
        </is>
      </c>
      <c r="H1340" s="13" t="n">
        <v>2</v>
      </c>
      <c r="I1340" s="14" t="n">
        <v>57.51</v>
      </c>
      <c r="J1340" s="15" t="n">
        <v>0.09</v>
      </c>
      <c r="K1340" s="14" t="n">
        <v>23.01</v>
      </c>
      <c r="L1340" s="13" t="n">
        <v>6</v>
      </c>
      <c r="M1340" s="13" t="inlineStr">
        <is>
          <t>Cancelled</t>
        </is>
      </c>
      <c r="N1340" s="13" t="inlineStr">
        <is>
          <t>R. Ibarra</t>
        </is>
      </c>
      <c r="O1340" s="13" t="inlineStr">
        <is>
          <t>No</t>
        </is>
      </c>
      <c r="P1340" s="14">
        <f>H1340*I1340</f>
        <v/>
      </c>
      <c r="Q1340" s="14">
        <f>P1340*(1-J1340)</f>
        <v/>
      </c>
      <c r="R1340" s="14">
        <f>H1340*K1340</f>
        <v/>
      </c>
      <c r="S1340" s="15">
        <f>IF(Q1340=0,"",(Q1340-R1340)/Q1340)</f>
        <v/>
      </c>
      <c r="T1340" s="13">
        <f>YEAR(B1340)</f>
        <v/>
      </c>
      <c r="U1340" s="13">
        <f>YEAR(B1340)&amp;"-Q"&amp;ROUNDUP(MONTH(B1340)/3,0)</f>
        <v/>
      </c>
      <c r="V1340" s="13">
        <f>TEXT(B1340,"YYYY-MM")</f>
        <v/>
      </c>
      <c r="W1340" s="13">
        <f>IF(L1340="","",IF(L1340&gt;pLateDays,1,0))</f>
        <v/>
      </c>
      <c r="X1340" s="13">
        <f>IF(Q1340&gt;=pHighCutoff,1,0)</f>
        <v/>
      </c>
      <c r="Y1340" s="13">
        <f>IF(M1340="Returned",1,0)</f>
        <v/>
      </c>
    </row>
    <row r="1341">
      <c r="A1341" s="13" t="inlineStr">
        <is>
          <t>HC-101339</t>
        </is>
      </c>
      <c r="B1341" s="18" t="n">
        <v>45421</v>
      </c>
      <c r="C1341" s="13" t="inlineStr">
        <is>
          <t>South</t>
        </is>
      </c>
      <c r="D1341" s="13" t="inlineStr">
        <is>
          <t>Store</t>
        </is>
      </c>
      <c r="E1341" s="13" t="inlineStr">
        <is>
          <t>Textiles</t>
        </is>
      </c>
      <c r="F1341" s="13" t="inlineStr">
        <is>
          <t>Cotton Duvet</t>
        </is>
      </c>
      <c r="G1341" s="13" t="inlineStr">
        <is>
          <t>Corporate</t>
        </is>
      </c>
      <c r="H1341" s="13" t="n">
        <v>1</v>
      </c>
      <c r="I1341" s="14" t="n">
        <v>114.42</v>
      </c>
      <c r="J1341" s="15" t="n">
        <v>0.09</v>
      </c>
      <c r="K1341" s="14" t="n">
        <v>50.35</v>
      </c>
      <c r="L1341" s="13" t="n">
        <v>6</v>
      </c>
      <c r="M1341" s="13" t="inlineStr">
        <is>
          <t>Completed</t>
        </is>
      </c>
      <c r="N1341" s="13" t="inlineStr">
        <is>
          <t>J. Patel</t>
        </is>
      </c>
      <c r="O1341" s="13" t="inlineStr">
        <is>
          <t>No</t>
        </is>
      </c>
      <c r="P1341" s="14">
        <f>H1341*I1341</f>
        <v/>
      </c>
      <c r="Q1341" s="14">
        <f>P1341*(1-J1341)</f>
        <v/>
      </c>
      <c r="R1341" s="14">
        <f>H1341*K1341</f>
        <v/>
      </c>
      <c r="S1341" s="15">
        <f>IF(Q1341=0,"",(Q1341-R1341)/Q1341)</f>
        <v/>
      </c>
      <c r="T1341" s="13">
        <f>YEAR(B1341)</f>
        <v/>
      </c>
      <c r="U1341" s="13">
        <f>YEAR(B1341)&amp;"-Q"&amp;ROUNDUP(MONTH(B1341)/3,0)</f>
        <v/>
      </c>
      <c r="V1341" s="13">
        <f>TEXT(B1341,"YYYY-MM")</f>
        <v/>
      </c>
      <c r="W1341" s="13">
        <f>IF(L1341="","",IF(L1341&gt;pLateDays,1,0))</f>
        <v/>
      </c>
      <c r="X1341" s="13">
        <f>IF(Q1341&gt;=pHighCutoff,1,0)</f>
        <v/>
      </c>
      <c r="Y1341" s="13">
        <f>IF(M1341="Returned",1,0)</f>
        <v/>
      </c>
    </row>
    <row r="1342">
      <c r="A1342" s="13" t="inlineStr">
        <is>
          <t>HC-101340</t>
        </is>
      </c>
      <c r="B1342" s="18" t="n">
        <v>45429</v>
      </c>
      <c r="C1342" s="13" t="inlineStr">
        <is>
          <t>West</t>
        </is>
      </c>
      <c r="D1342" s="13" t="inlineStr">
        <is>
          <t>Store</t>
        </is>
      </c>
      <c r="E1342" s="13" t="inlineStr">
        <is>
          <t>Furniture</t>
        </is>
      </c>
      <c r="F1342" s="13" t="inlineStr">
        <is>
          <t>Walnut Shelf</t>
        </is>
      </c>
      <c r="G1342" s="13" t="inlineStr">
        <is>
          <t>Consumer</t>
        </is>
      </c>
      <c r="H1342" s="13" t="n">
        <v>3</v>
      </c>
      <c r="I1342" s="14" t="n">
        <v>215.26</v>
      </c>
      <c r="J1342" s="15" t="n">
        <v>0.07000000000000001</v>
      </c>
      <c r="K1342" s="14" t="n">
        <v>118.39</v>
      </c>
      <c r="L1342" s="13" t="n">
        <v>7</v>
      </c>
      <c r="M1342" s="13" t="inlineStr">
        <is>
          <t>Completed</t>
        </is>
      </c>
      <c r="N1342" s="13" t="inlineStr">
        <is>
          <t>P. Rossi</t>
        </is>
      </c>
      <c r="O1342" s="13" t="inlineStr">
        <is>
          <t>No</t>
        </is>
      </c>
      <c r="P1342" s="14">
        <f>H1342*I1342</f>
        <v/>
      </c>
      <c r="Q1342" s="14">
        <f>P1342*(1-J1342)</f>
        <v/>
      </c>
      <c r="R1342" s="14">
        <f>H1342*K1342</f>
        <v/>
      </c>
      <c r="S1342" s="15">
        <f>IF(Q1342=0,"",(Q1342-R1342)/Q1342)</f>
        <v/>
      </c>
      <c r="T1342" s="13">
        <f>YEAR(B1342)</f>
        <v/>
      </c>
      <c r="U1342" s="13">
        <f>YEAR(B1342)&amp;"-Q"&amp;ROUNDUP(MONTH(B1342)/3,0)</f>
        <v/>
      </c>
      <c r="V1342" s="13">
        <f>TEXT(B1342,"YYYY-MM")</f>
        <v/>
      </c>
      <c r="W1342" s="13">
        <f>IF(L1342="","",IF(L1342&gt;pLateDays,1,0))</f>
        <v/>
      </c>
      <c r="X1342" s="13">
        <f>IF(Q1342&gt;=pHighCutoff,1,0)</f>
        <v/>
      </c>
      <c r="Y1342" s="13">
        <f>IF(M1342="Returned",1,0)</f>
        <v/>
      </c>
    </row>
    <row r="1343">
      <c r="A1343" s="13" t="inlineStr">
        <is>
          <t>HC-101341</t>
        </is>
      </c>
      <c r="B1343" s="18" t="n">
        <v>45526</v>
      </c>
      <c r="C1343" s="13" t="inlineStr">
        <is>
          <t>West</t>
        </is>
      </c>
      <c r="D1343" s="13" t="inlineStr">
        <is>
          <t>Store</t>
        </is>
      </c>
      <c r="E1343" s="13" t="inlineStr">
        <is>
          <t>Furniture</t>
        </is>
      </c>
      <c r="F1343" s="13" t="inlineStr">
        <is>
          <t>Linen Sofa</t>
        </is>
      </c>
      <c r="G1343" s="13" t="inlineStr">
        <is>
          <t>Consumer</t>
        </is>
      </c>
      <c r="H1343" s="13" t="n">
        <v>2</v>
      </c>
      <c r="I1343" s="14" t="n">
        <v>1348.7</v>
      </c>
      <c r="J1343" s="15" t="n">
        <v>0.07000000000000001</v>
      </c>
      <c r="K1343" s="14" t="n">
        <v>890.14</v>
      </c>
      <c r="L1343" s="13" t="n">
        <v>2</v>
      </c>
      <c r="M1343" s="13" t="inlineStr">
        <is>
          <t>Completed</t>
        </is>
      </c>
      <c r="N1343" s="13" t="inlineStr">
        <is>
          <t>L. Berger</t>
        </is>
      </c>
      <c r="O1343" s="13" t="inlineStr">
        <is>
          <t>No</t>
        </is>
      </c>
      <c r="P1343" s="14">
        <f>H1343*I1343</f>
        <v/>
      </c>
      <c r="Q1343" s="14">
        <f>P1343*(1-J1343)</f>
        <v/>
      </c>
      <c r="R1343" s="14">
        <f>H1343*K1343</f>
        <v/>
      </c>
      <c r="S1343" s="15">
        <f>IF(Q1343=0,"",(Q1343-R1343)/Q1343)</f>
        <v/>
      </c>
      <c r="T1343" s="13">
        <f>YEAR(B1343)</f>
        <v/>
      </c>
      <c r="U1343" s="13">
        <f>YEAR(B1343)&amp;"-Q"&amp;ROUNDUP(MONTH(B1343)/3,0)</f>
        <v/>
      </c>
      <c r="V1343" s="13">
        <f>TEXT(B1343,"YYYY-MM")</f>
        <v/>
      </c>
      <c r="W1343" s="13">
        <f>IF(L1343="","",IF(L1343&gt;pLateDays,1,0))</f>
        <v/>
      </c>
      <c r="X1343" s="13">
        <f>IF(Q1343&gt;=pHighCutoff,1,0)</f>
        <v/>
      </c>
      <c r="Y1343" s="13">
        <f>IF(M1343="Returned",1,0)</f>
        <v/>
      </c>
    </row>
    <row r="1344">
      <c r="A1344" s="13" t="inlineStr">
        <is>
          <t>HC-101342</t>
        </is>
      </c>
      <c r="B1344" s="18" t="n">
        <v>45771</v>
      </c>
      <c r="C1344" s="13" t="inlineStr">
        <is>
          <t>East</t>
        </is>
      </c>
      <c r="D1344" s="13" t="inlineStr">
        <is>
          <t>Online</t>
        </is>
      </c>
      <c r="E1344" s="13" t="inlineStr">
        <is>
          <t>Lighting</t>
        </is>
      </c>
      <c r="F1344" s="13" t="inlineStr">
        <is>
          <t>Pendant Light</t>
        </is>
      </c>
      <c r="G1344" s="13" t="inlineStr">
        <is>
          <t>Corporate</t>
        </is>
      </c>
      <c r="H1344" s="13" t="n">
        <v>2</v>
      </c>
      <c r="I1344" s="14" t="n">
        <v>169.63</v>
      </c>
      <c r="J1344" s="15" t="n">
        <v>0.03</v>
      </c>
      <c r="K1344" s="14" t="n">
        <v>84.81999999999999</v>
      </c>
      <c r="L1344" s="13" t="n">
        <v>7</v>
      </c>
      <c r="M1344" s="13" t="inlineStr">
        <is>
          <t>Completed</t>
        </is>
      </c>
      <c r="N1344" s="13" t="inlineStr">
        <is>
          <t>M. Okonkwo</t>
        </is>
      </c>
      <c r="O1344" s="13" t="inlineStr">
        <is>
          <t>No</t>
        </is>
      </c>
      <c r="P1344" s="14">
        <f>H1344*I1344</f>
        <v/>
      </c>
      <c r="Q1344" s="14">
        <f>P1344*(1-J1344)</f>
        <v/>
      </c>
      <c r="R1344" s="14">
        <f>H1344*K1344</f>
        <v/>
      </c>
      <c r="S1344" s="15">
        <f>IF(Q1344=0,"",(Q1344-R1344)/Q1344)</f>
        <v/>
      </c>
      <c r="T1344" s="13">
        <f>YEAR(B1344)</f>
        <v/>
      </c>
      <c r="U1344" s="13">
        <f>YEAR(B1344)&amp;"-Q"&amp;ROUNDUP(MONTH(B1344)/3,0)</f>
        <v/>
      </c>
      <c r="V1344" s="13">
        <f>TEXT(B1344,"YYYY-MM")</f>
        <v/>
      </c>
      <c r="W1344" s="13">
        <f>IF(L1344="","",IF(L1344&gt;pLateDays,1,0))</f>
        <v/>
      </c>
      <c r="X1344" s="13">
        <f>IF(Q1344&gt;=pHighCutoff,1,0)</f>
        <v/>
      </c>
      <c r="Y1344" s="13">
        <f>IF(M1344="Returned",1,0)</f>
        <v/>
      </c>
    </row>
    <row r="1345">
      <c r="A1345" s="13" t="inlineStr">
        <is>
          <t>HC-101343</t>
        </is>
      </c>
      <c r="B1345" s="18" t="n">
        <v>45375</v>
      </c>
      <c r="C1345" s="13" t="inlineStr">
        <is>
          <t>East</t>
        </is>
      </c>
      <c r="D1345" s="13" t="inlineStr">
        <is>
          <t>Store</t>
        </is>
      </c>
      <c r="E1345" s="13" t="inlineStr">
        <is>
          <t>Lighting</t>
        </is>
      </c>
      <c r="F1345" s="13" t="inlineStr">
        <is>
          <t>Arc Lamp</t>
        </is>
      </c>
      <c r="G1345" s="13" t="inlineStr">
        <is>
          <t>Home Office</t>
        </is>
      </c>
      <c r="H1345" s="13" t="n">
        <v>3</v>
      </c>
      <c r="I1345" s="14" t="n">
        <v>285.23</v>
      </c>
      <c r="J1345" s="15" t="n">
        <v>0.05</v>
      </c>
      <c r="K1345" s="14" t="n">
        <v>136.91</v>
      </c>
      <c r="L1345" s="13" t="n">
        <v>10</v>
      </c>
      <c r="M1345" s="13" t="inlineStr">
        <is>
          <t>Cancelled</t>
        </is>
      </c>
      <c r="N1345" s="13" t="inlineStr">
        <is>
          <t>R. Ibarra</t>
        </is>
      </c>
      <c r="O1345" s="13" t="inlineStr">
        <is>
          <t>No</t>
        </is>
      </c>
      <c r="P1345" s="14">
        <f>H1345*I1345</f>
        <v/>
      </c>
      <c r="Q1345" s="14">
        <f>P1345*(1-J1345)</f>
        <v/>
      </c>
      <c r="R1345" s="14">
        <f>H1345*K1345</f>
        <v/>
      </c>
      <c r="S1345" s="15">
        <f>IF(Q1345=0,"",(Q1345-R1345)/Q1345)</f>
        <v/>
      </c>
      <c r="T1345" s="13">
        <f>YEAR(B1345)</f>
        <v/>
      </c>
      <c r="U1345" s="13">
        <f>YEAR(B1345)&amp;"-Q"&amp;ROUNDUP(MONTH(B1345)/3,0)</f>
        <v/>
      </c>
      <c r="V1345" s="13">
        <f>TEXT(B1345,"YYYY-MM")</f>
        <v/>
      </c>
      <c r="W1345" s="13">
        <f>IF(L1345="","",IF(L1345&gt;pLateDays,1,0))</f>
        <v/>
      </c>
      <c r="X1345" s="13">
        <f>IF(Q1345&gt;=pHighCutoff,1,0)</f>
        <v/>
      </c>
      <c r="Y1345" s="13">
        <f>IF(M1345="Returned",1,0)</f>
        <v/>
      </c>
    </row>
    <row r="1346">
      <c r="A1346" s="13" t="inlineStr">
        <is>
          <t>HC-101344</t>
        </is>
      </c>
      <c r="B1346" s="18" t="n">
        <v>45866</v>
      </c>
      <c r="C1346" s="13" t="inlineStr">
        <is>
          <t>South</t>
        </is>
      </c>
      <c r="D1346" s="13" t="inlineStr">
        <is>
          <t>Online</t>
        </is>
      </c>
      <c r="E1346" s="13" t="inlineStr">
        <is>
          <t>Kitchen</t>
        </is>
      </c>
      <c r="F1346" s="13" t="inlineStr">
        <is>
          <t>Chef Knife</t>
        </is>
      </c>
      <c r="G1346" s="13" t="inlineStr">
        <is>
          <t>Consumer</t>
        </is>
      </c>
      <c r="H1346" s="13" t="n">
        <v>1</v>
      </c>
      <c r="I1346" s="14" t="n">
        <v>69.06</v>
      </c>
      <c r="J1346" s="15" t="n">
        <v>0.05</v>
      </c>
      <c r="K1346" s="14" t="n">
        <v>24.86</v>
      </c>
      <c r="L1346" s="13" t="n">
        <v>5</v>
      </c>
      <c r="M1346" s="13" t="inlineStr">
        <is>
          <t>Completed</t>
        </is>
      </c>
      <c r="N1346" s="13" t="inlineStr">
        <is>
          <t>R. Ibarra</t>
        </is>
      </c>
      <c r="O1346" s="13" t="inlineStr">
        <is>
          <t>No</t>
        </is>
      </c>
      <c r="P1346" s="14">
        <f>H1346*I1346</f>
        <v/>
      </c>
      <c r="Q1346" s="14">
        <f>P1346*(1-J1346)</f>
        <v/>
      </c>
      <c r="R1346" s="14">
        <f>H1346*K1346</f>
        <v/>
      </c>
      <c r="S1346" s="15">
        <f>IF(Q1346=0,"",(Q1346-R1346)/Q1346)</f>
        <v/>
      </c>
      <c r="T1346" s="13">
        <f>YEAR(B1346)</f>
        <v/>
      </c>
      <c r="U1346" s="13">
        <f>YEAR(B1346)&amp;"-Q"&amp;ROUNDUP(MONTH(B1346)/3,0)</f>
        <v/>
      </c>
      <c r="V1346" s="13">
        <f>TEXT(B1346,"YYYY-MM")</f>
        <v/>
      </c>
      <c r="W1346" s="13">
        <f>IF(L1346="","",IF(L1346&gt;pLateDays,1,0))</f>
        <v/>
      </c>
      <c r="X1346" s="13">
        <f>IF(Q1346&gt;=pHighCutoff,1,0)</f>
        <v/>
      </c>
      <c r="Y1346" s="13">
        <f>IF(M1346="Returned",1,0)</f>
        <v/>
      </c>
    </row>
    <row r="1347">
      <c r="A1347" s="13" t="inlineStr">
        <is>
          <t>HC-101345</t>
        </is>
      </c>
      <c r="B1347" s="18" t="n">
        <v>45776</v>
      </c>
      <c r="C1347" s="13" t="inlineStr">
        <is>
          <t>West</t>
        </is>
      </c>
      <c r="D1347" s="13" t="inlineStr">
        <is>
          <t>Store</t>
        </is>
      </c>
      <c r="E1347" s="13" t="inlineStr">
        <is>
          <t>Furniture</t>
        </is>
      </c>
      <c r="F1347" s="13" t="inlineStr">
        <is>
          <t>Lounge Chair</t>
        </is>
      </c>
      <c r="G1347" s="13" t="inlineStr">
        <is>
          <t>Corporate</t>
        </is>
      </c>
      <c r="H1347" s="13" t="n">
        <v>3</v>
      </c>
      <c r="I1347" s="14" t="n">
        <v>510.22</v>
      </c>
      <c r="J1347" s="15" t="n">
        <v>0.06</v>
      </c>
      <c r="K1347" s="14" t="n">
        <v>306.13</v>
      </c>
      <c r="L1347" s="13" t="n"/>
      <c r="M1347" s="13" t="inlineStr">
        <is>
          <t>Completed</t>
        </is>
      </c>
      <c r="N1347" s="13" t="inlineStr">
        <is>
          <t>A. Shah</t>
        </is>
      </c>
      <c r="O1347" s="13" t="inlineStr">
        <is>
          <t>No</t>
        </is>
      </c>
      <c r="P1347" s="14">
        <f>H1347*I1347</f>
        <v/>
      </c>
      <c r="Q1347" s="14">
        <f>P1347*(1-J1347)</f>
        <v/>
      </c>
      <c r="R1347" s="14">
        <f>H1347*K1347</f>
        <v/>
      </c>
      <c r="S1347" s="15">
        <f>IF(Q1347=0,"",(Q1347-R1347)/Q1347)</f>
        <v/>
      </c>
      <c r="T1347" s="13">
        <f>YEAR(B1347)</f>
        <v/>
      </c>
      <c r="U1347" s="13">
        <f>YEAR(B1347)&amp;"-Q"&amp;ROUNDUP(MONTH(B1347)/3,0)</f>
        <v/>
      </c>
      <c r="V1347" s="13">
        <f>TEXT(B1347,"YYYY-MM")</f>
        <v/>
      </c>
      <c r="W1347" s="13">
        <f>IF(L1347="","",IF(L1347&gt;pLateDays,1,0))</f>
        <v/>
      </c>
      <c r="X1347" s="13">
        <f>IF(Q1347&gt;=pHighCutoff,1,0)</f>
        <v/>
      </c>
      <c r="Y1347" s="13">
        <f>IF(M1347="Returned",1,0)</f>
        <v/>
      </c>
    </row>
    <row r="1348">
      <c r="A1348" s="13" t="inlineStr">
        <is>
          <t>HC-101346</t>
        </is>
      </c>
      <c r="B1348" s="18" t="n">
        <v>45842</v>
      </c>
      <c r="C1348" s="13" t="inlineStr">
        <is>
          <t>East</t>
        </is>
      </c>
      <c r="D1348" s="13" t="inlineStr">
        <is>
          <t>Online</t>
        </is>
      </c>
      <c r="E1348" s="13" t="inlineStr">
        <is>
          <t>Textiles</t>
        </is>
      </c>
      <c r="F1348" s="13" t="inlineStr">
        <is>
          <t>Cotton Duvet</t>
        </is>
      </c>
      <c r="G1348" s="13" t="inlineStr">
        <is>
          <t>Consumer</t>
        </is>
      </c>
      <c r="H1348" s="13" t="n">
        <v>1</v>
      </c>
      <c r="I1348" s="14" t="n">
        <v>114.96</v>
      </c>
      <c r="J1348" s="15" t="n">
        <v>0.1</v>
      </c>
      <c r="K1348" s="14" t="n">
        <v>50.58</v>
      </c>
      <c r="L1348" s="13" t="n">
        <v>12</v>
      </c>
      <c r="M1348" s="13" t="inlineStr">
        <is>
          <t>Completed</t>
        </is>
      </c>
      <c r="N1348" s="13" t="inlineStr">
        <is>
          <t>R. Ibarra</t>
        </is>
      </c>
      <c r="O1348" s="13" t="inlineStr">
        <is>
          <t>No</t>
        </is>
      </c>
      <c r="P1348" s="14">
        <f>H1348*I1348</f>
        <v/>
      </c>
      <c r="Q1348" s="14">
        <f>P1348*(1-J1348)</f>
        <v/>
      </c>
      <c r="R1348" s="14">
        <f>H1348*K1348</f>
        <v/>
      </c>
      <c r="S1348" s="15">
        <f>IF(Q1348=0,"",(Q1348-R1348)/Q1348)</f>
        <v/>
      </c>
      <c r="T1348" s="13">
        <f>YEAR(B1348)</f>
        <v/>
      </c>
      <c r="U1348" s="13">
        <f>YEAR(B1348)&amp;"-Q"&amp;ROUNDUP(MONTH(B1348)/3,0)</f>
        <v/>
      </c>
      <c r="V1348" s="13">
        <f>TEXT(B1348,"YYYY-MM")</f>
        <v/>
      </c>
      <c r="W1348" s="13">
        <f>IF(L1348="","",IF(L1348&gt;pLateDays,1,0))</f>
        <v/>
      </c>
      <c r="X1348" s="13">
        <f>IF(Q1348&gt;=pHighCutoff,1,0)</f>
        <v/>
      </c>
      <c r="Y1348" s="13">
        <f>IF(M1348="Returned",1,0)</f>
        <v/>
      </c>
    </row>
    <row r="1349">
      <c r="A1349" s="13" t="inlineStr">
        <is>
          <t>HC-101347</t>
        </is>
      </c>
      <c r="B1349" s="18" t="n">
        <v>45553</v>
      </c>
      <c r="C1349" s="13" t="inlineStr">
        <is>
          <t>South</t>
        </is>
      </c>
      <c r="D1349" s="13" t="inlineStr">
        <is>
          <t>Store</t>
        </is>
      </c>
      <c r="E1349" s="13" t="inlineStr">
        <is>
          <t>Lighting</t>
        </is>
      </c>
      <c r="F1349" s="13" t="inlineStr">
        <is>
          <t>Pendant Light</t>
        </is>
      </c>
      <c r="G1349" s="13" t="inlineStr">
        <is>
          <t>Consumer</t>
        </is>
      </c>
      <c r="H1349" s="13" t="n">
        <v>1</v>
      </c>
      <c r="I1349" s="14" t="n">
        <v>186.97</v>
      </c>
      <c r="J1349" s="15" t="n">
        <v>0</v>
      </c>
      <c r="K1349" s="14" t="n">
        <v>93.48</v>
      </c>
      <c r="L1349" s="13" t="n">
        <v>5</v>
      </c>
      <c r="M1349" s="13" t="inlineStr">
        <is>
          <t>Completed</t>
        </is>
      </c>
      <c r="N1349" s="13" t="inlineStr">
        <is>
          <t>R. Ibarra</t>
        </is>
      </c>
      <c r="O1349" s="13" t="inlineStr">
        <is>
          <t>No</t>
        </is>
      </c>
      <c r="P1349" s="14">
        <f>H1349*I1349</f>
        <v/>
      </c>
      <c r="Q1349" s="14">
        <f>P1349*(1-J1349)</f>
        <v/>
      </c>
      <c r="R1349" s="14">
        <f>H1349*K1349</f>
        <v/>
      </c>
      <c r="S1349" s="15">
        <f>IF(Q1349=0,"",(Q1349-R1349)/Q1349)</f>
        <v/>
      </c>
      <c r="T1349" s="13">
        <f>YEAR(B1349)</f>
        <v/>
      </c>
      <c r="U1349" s="13">
        <f>YEAR(B1349)&amp;"-Q"&amp;ROUNDUP(MONTH(B1349)/3,0)</f>
        <v/>
      </c>
      <c r="V1349" s="13">
        <f>TEXT(B1349,"YYYY-MM")</f>
        <v/>
      </c>
      <c r="W1349" s="13">
        <f>IF(L1349="","",IF(L1349&gt;pLateDays,1,0))</f>
        <v/>
      </c>
      <c r="X1349" s="13">
        <f>IF(Q1349&gt;=pHighCutoff,1,0)</f>
        <v/>
      </c>
      <c r="Y1349" s="13">
        <f>IF(M1349="Returned",1,0)</f>
        <v/>
      </c>
    </row>
    <row r="1350">
      <c r="A1350" s="13" t="inlineStr">
        <is>
          <t>HC-101348</t>
        </is>
      </c>
      <c r="B1350" s="18" t="n">
        <v>45866</v>
      </c>
      <c r="C1350" s="13" t="inlineStr">
        <is>
          <t>North</t>
        </is>
      </c>
      <c r="D1350" s="13" t="inlineStr">
        <is>
          <t>Wholesale</t>
        </is>
      </c>
      <c r="E1350" s="13" t="inlineStr">
        <is>
          <t>Furniture</t>
        </is>
      </c>
      <c r="F1350" s="13" t="inlineStr">
        <is>
          <t>Oak Desk</t>
        </is>
      </c>
      <c r="G1350" s="13" t="inlineStr">
        <is>
          <t>Consumer</t>
        </is>
      </c>
      <c r="H1350" s="13" t="n">
        <v>12</v>
      </c>
      <c r="I1350" s="14" t="n">
        <v>828.13</v>
      </c>
      <c r="J1350" s="15" t="n">
        <v>0.18</v>
      </c>
      <c r="K1350" s="14" t="n">
        <v>513.4400000000001</v>
      </c>
      <c r="L1350" s="13" t="n">
        <v>4</v>
      </c>
      <c r="M1350" s="13" t="inlineStr">
        <is>
          <t>Completed</t>
        </is>
      </c>
      <c r="N1350" s="13" t="inlineStr">
        <is>
          <t>J. Patel</t>
        </is>
      </c>
      <c r="O1350" s="13" t="inlineStr">
        <is>
          <t>No</t>
        </is>
      </c>
      <c r="P1350" s="14">
        <f>H1350*I1350</f>
        <v/>
      </c>
      <c r="Q1350" s="14">
        <f>P1350*(1-J1350)</f>
        <v/>
      </c>
      <c r="R1350" s="14">
        <f>H1350*K1350</f>
        <v/>
      </c>
      <c r="S1350" s="15">
        <f>IF(Q1350=0,"",(Q1350-R1350)/Q1350)</f>
        <v/>
      </c>
      <c r="T1350" s="13">
        <f>YEAR(B1350)</f>
        <v/>
      </c>
      <c r="U1350" s="13">
        <f>YEAR(B1350)&amp;"-Q"&amp;ROUNDUP(MONTH(B1350)/3,0)</f>
        <v/>
      </c>
      <c r="V1350" s="13">
        <f>TEXT(B1350,"YYYY-MM")</f>
        <v/>
      </c>
      <c r="W1350" s="13">
        <f>IF(L1350="","",IF(L1350&gt;pLateDays,1,0))</f>
        <v/>
      </c>
      <c r="X1350" s="13">
        <f>IF(Q1350&gt;=pHighCutoff,1,0)</f>
        <v/>
      </c>
      <c r="Y1350" s="13">
        <f>IF(M1350="Returned",1,0)</f>
        <v/>
      </c>
    </row>
    <row r="1351">
      <c r="A1351" s="13" t="inlineStr">
        <is>
          <t>HC-101349</t>
        </is>
      </c>
      <c r="B1351" s="18" t="n">
        <v>45896</v>
      </c>
      <c r="C1351" s="13" t="inlineStr">
        <is>
          <t>North</t>
        </is>
      </c>
      <c r="D1351" s="13" t="inlineStr">
        <is>
          <t>Store</t>
        </is>
      </c>
      <c r="E1351" s="13" t="inlineStr">
        <is>
          <t>Textiles</t>
        </is>
      </c>
      <c r="F1351" s="13" t="inlineStr">
        <is>
          <t>Wool Throw</t>
        </is>
      </c>
      <c r="G1351" s="13" t="inlineStr">
        <is>
          <t>Consumer</t>
        </is>
      </c>
      <c r="H1351" s="13" t="n">
        <v>1</v>
      </c>
      <c r="I1351" s="14" t="n">
        <v>80.58</v>
      </c>
      <c r="J1351" s="15" t="n">
        <v>0.1</v>
      </c>
      <c r="K1351" s="14" t="n">
        <v>33.84</v>
      </c>
      <c r="L1351" s="13" t="n"/>
      <c r="M1351" s="13" t="inlineStr">
        <is>
          <t>Completed</t>
        </is>
      </c>
      <c r="N1351" s="13" t="inlineStr">
        <is>
          <t>M. Okonkwo</t>
        </is>
      </c>
      <c r="O1351" s="13" t="inlineStr">
        <is>
          <t>No</t>
        </is>
      </c>
      <c r="P1351" s="14">
        <f>H1351*I1351</f>
        <v/>
      </c>
      <c r="Q1351" s="14">
        <f>P1351*(1-J1351)</f>
        <v/>
      </c>
      <c r="R1351" s="14">
        <f>H1351*K1351</f>
        <v/>
      </c>
      <c r="S1351" s="15">
        <f>IF(Q1351=0,"",(Q1351-R1351)/Q1351)</f>
        <v/>
      </c>
      <c r="T1351" s="13">
        <f>YEAR(B1351)</f>
        <v/>
      </c>
      <c r="U1351" s="13">
        <f>YEAR(B1351)&amp;"-Q"&amp;ROUNDUP(MONTH(B1351)/3,0)</f>
        <v/>
      </c>
      <c r="V1351" s="13">
        <f>TEXT(B1351,"YYYY-MM")</f>
        <v/>
      </c>
      <c r="W1351" s="13">
        <f>IF(L1351="","",IF(L1351&gt;pLateDays,1,0))</f>
        <v/>
      </c>
      <c r="X1351" s="13">
        <f>IF(Q1351&gt;=pHighCutoff,1,0)</f>
        <v/>
      </c>
      <c r="Y1351" s="13">
        <f>IF(M1351="Returned",1,0)</f>
        <v/>
      </c>
    </row>
    <row r="1352">
      <c r="A1352" s="13" t="inlineStr">
        <is>
          <t>HC-101350</t>
        </is>
      </c>
      <c r="B1352" s="18" t="n">
        <v>45634</v>
      </c>
      <c r="C1352" s="13" t="inlineStr">
        <is>
          <t>West</t>
        </is>
      </c>
      <c r="D1352" s="13" t="inlineStr">
        <is>
          <t>Wholesale</t>
        </is>
      </c>
      <c r="E1352" s="13" t="inlineStr">
        <is>
          <t>Textiles</t>
        </is>
      </c>
      <c r="F1352" s="13" t="inlineStr">
        <is>
          <t>Linen Curtain</t>
        </is>
      </c>
      <c r="G1352" s="13" t="inlineStr">
        <is>
          <t>Consumer</t>
        </is>
      </c>
      <c r="H1352" s="13" t="n">
        <v>24</v>
      </c>
      <c r="I1352" s="14" t="n">
        <v>98.45999999999999</v>
      </c>
      <c r="J1352" s="15" t="n">
        <v>0.15</v>
      </c>
      <c r="K1352" s="14" t="n">
        <v>44.31</v>
      </c>
      <c r="L1352" s="13" t="n">
        <v>3</v>
      </c>
      <c r="M1352" s="13" t="inlineStr">
        <is>
          <t>Completed</t>
        </is>
      </c>
      <c r="N1352" s="13" t="inlineStr">
        <is>
          <t>S. Nguyen</t>
        </is>
      </c>
      <c r="O1352" s="13" t="inlineStr">
        <is>
          <t>No</t>
        </is>
      </c>
      <c r="P1352" s="14">
        <f>H1352*I1352</f>
        <v/>
      </c>
      <c r="Q1352" s="14">
        <f>P1352*(1-J1352)</f>
        <v/>
      </c>
      <c r="R1352" s="14">
        <f>H1352*K1352</f>
        <v/>
      </c>
      <c r="S1352" s="15">
        <f>IF(Q1352=0,"",(Q1352-R1352)/Q1352)</f>
        <v/>
      </c>
      <c r="T1352" s="13">
        <f>YEAR(B1352)</f>
        <v/>
      </c>
      <c r="U1352" s="13">
        <f>YEAR(B1352)&amp;"-Q"&amp;ROUNDUP(MONTH(B1352)/3,0)</f>
        <v/>
      </c>
      <c r="V1352" s="13">
        <f>TEXT(B1352,"YYYY-MM")</f>
        <v/>
      </c>
      <c r="W1352" s="13">
        <f>IF(L1352="","",IF(L1352&gt;pLateDays,1,0))</f>
        <v/>
      </c>
      <c r="X1352" s="13">
        <f>IF(Q1352&gt;=pHighCutoff,1,0)</f>
        <v/>
      </c>
      <c r="Y1352" s="13">
        <f>IF(M1352="Returned",1,0)</f>
        <v/>
      </c>
    </row>
    <row r="1353">
      <c r="A1353" s="13" t="inlineStr">
        <is>
          <t>HC-101351</t>
        </is>
      </c>
      <c r="B1353" s="18" t="n">
        <v>45656</v>
      </c>
      <c r="C1353" s="13" t="inlineStr">
        <is>
          <t>West</t>
        </is>
      </c>
      <c r="D1353" s="13" t="inlineStr">
        <is>
          <t>Online</t>
        </is>
      </c>
      <c r="E1353" s="13" t="inlineStr">
        <is>
          <t>Furniture</t>
        </is>
      </c>
      <c r="F1353" s="13" t="inlineStr">
        <is>
          <t>Linen Sofa</t>
        </is>
      </c>
      <c r="G1353" s="13" t="inlineStr">
        <is>
          <t>Corporate</t>
        </is>
      </c>
      <c r="H1353" s="13" t="n">
        <v>4</v>
      </c>
      <c r="I1353" s="14" t="n">
        <v>1165.92</v>
      </c>
      <c r="J1353" s="15" t="n">
        <v>0.13</v>
      </c>
      <c r="K1353" s="14" t="n">
        <v>769.51</v>
      </c>
      <c r="L1353" s="13" t="n">
        <v>5</v>
      </c>
      <c r="M1353" s="13" t="inlineStr">
        <is>
          <t>Completed</t>
        </is>
      </c>
      <c r="N1353" s="13" t="inlineStr">
        <is>
          <t>M. Okonkwo</t>
        </is>
      </c>
      <c r="O1353" s="13" t="inlineStr">
        <is>
          <t>No</t>
        </is>
      </c>
      <c r="P1353" s="14">
        <f>H1353*I1353</f>
        <v/>
      </c>
      <c r="Q1353" s="14">
        <f>P1353*(1-J1353)</f>
        <v/>
      </c>
      <c r="R1353" s="14">
        <f>H1353*K1353</f>
        <v/>
      </c>
      <c r="S1353" s="15">
        <f>IF(Q1353=0,"",(Q1353-R1353)/Q1353)</f>
        <v/>
      </c>
      <c r="T1353" s="13">
        <f>YEAR(B1353)</f>
        <v/>
      </c>
      <c r="U1353" s="13">
        <f>YEAR(B1353)&amp;"-Q"&amp;ROUNDUP(MONTH(B1353)/3,0)</f>
        <v/>
      </c>
      <c r="V1353" s="13">
        <f>TEXT(B1353,"YYYY-MM")</f>
        <v/>
      </c>
      <c r="W1353" s="13">
        <f>IF(L1353="","",IF(L1353&gt;pLateDays,1,0))</f>
        <v/>
      </c>
      <c r="X1353" s="13">
        <f>IF(Q1353&gt;=pHighCutoff,1,0)</f>
        <v/>
      </c>
      <c r="Y1353" s="13">
        <f>IF(M1353="Returned",1,0)</f>
        <v/>
      </c>
    </row>
    <row r="1354">
      <c r="A1354" s="13" t="inlineStr">
        <is>
          <t>HC-101352</t>
        </is>
      </c>
      <c r="B1354" s="18" t="n">
        <v>45781</v>
      </c>
      <c r="C1354" s="13" t="inlineStr">
        <is>
          <t>South</t>
        </is>
      </c>
      <c r="D1354" s="13" t="inlineStr">
        <is>
          <t>Online</t>
        </is>
      </c>
      <c r="E1354" s="13" t="inlineStr">
        <is>
          <t>Furniture</t>
        </is>
      </c>
      <c r="F1354" s="13" t="inlineStr">
        <is>
          <t>Linen Sofa</t>
        </is>
      </c>
      <c r="G1354" s="13" t="inlineStr">
        <is>
          <t>Consumer</t>
        </is>
      </c>
      <c r="H1354" s="13" t="n">
        <v>3</v>
      </c>
      <c r="I1354" s="14" t="n">
        <v>1232.65</v>
      </c>
      <c r="J1354" s="15" t="n">
        <v>0.15</v>
      </c>
      <c r="K1354" s="14" t="n">
        <v>813.55</v>
      </c>
      <c r="L1354" s="13" t="n">
        <v>5</v>
      </c>
      <c r="M1354" s="13" t="inlineStr">
        <is>
          <t>Completed</t>
        </is>
      </c>
      <c r="N1354" s="13" t="inlineStr">
        <is>
          <t>A. Shah</t>
        </is>
      </c>
      <c r="O1354" s="13" t="inlineStr">
        <is>
          <t>No</t>
        </is>
      </c>
      <c r="P1354" s="14">
        <f>H1354*I1354</f>
        <v/>
      </c>
      <c r="Q1354" s="14">
        <f>P1354*(1-J1354)</f>
        <v/>
      </c>
      <c r="R1354" s="14">
        <f>H1354*K1354</f>
        <v/>
      </c>
      <c r="S1354" s="15">
        <f>IF(Q1354=0,"",(Q1354-R1354)/Q1354)</f>
        <v/>
      </c>
      <c r="T1354" s="13">
        <f>YEAR(B1354)</f>
        <v/>
      </c>
      <c r="U1354" s="13">
        <f>YEAR(B1354)&amp;"-Q"&amp;ROUNDUP(MONTH(B1354)/3,0)</f>
        <v/>
      </c>
      <c r="V1354" s="13">
        <f>TEXT(B1354,"YYYY-MM")</f>
        <v/>
      </c>
      <c r="W1354" s="13">
        <f>IF(L1354="","",IF(L1354&gt;pLateDays,1,0))</f>
        <v/>
      </c>
      <c r="X1354" s="13">
        <f>IF(Q1354&gt;=pHighCutoff,1,0)</f>
        <v/>
      </c>
      <c r="Y1354" s="13">
        <f>IF(M1354="Returned",1,0)</f>
        <v/>
      </c>
    </row>
    <row r="1355">
      <c r="A1355" s="13" t="inlineStr">
        <is>
          <t>HC-101353</t>
        </is>
      </c>
      <c r="B1355" s="18" t="n">
        <v>45601</v>
      </c>
      <c r="C1355" s="13" t="inlineStr">
        <is>
          <t>West</t>
        </is>
      </c>
      <c r="D1355" s="13" t="inlineStr">
        <is>
          <t>Store</t>
        </is>
      </c>
      <c r="E1355" s="13" t="inlineStr">
        <is>
          <t>Textiles</t>
        </is>
      </c>
      <c r="F1355" s="13" t="inlineStr">
        <is>
          <t>Cotton Duvet</t>
        </is>
      </c>
      <c r="G1355" s="13" t="inlineStr">
        <is>
          <t>Consumer</t>
        </is>
      </c>
      <c r="H1355" s="13" t="n">
        <v>2</v>
      </c>
      <c r="I1355" s="14" t="n">
        <v>125.01</v>
      </c>
      <c r="J1355" s="15" t="n">
        <v>0.04</v>
      </c>
      <c r="K1355" s="14" t="n">
        <v>55.01</v>
      </c>
      <c r="L1355" s="13" t="n">
        <v>5</v>
      </c>
      <c r="M1355" s="13" t="inlineStr">
        <is>
          <t>Completed</t>
        </is>
      </c>
      <c r="N1355" s="13" t="inlineStr">
        <is>
          <t>A. Shah</t>
        </is>
      </c>
      <c r="O1355" s="13" t="inlineStr">
        <is>
          <t>No</t>
        </is>
      </c>
      <c r="P1355" s="14">
        <f>H1355*I1355</f>
        <v/>
      </c>
      <c r="Q1355" s="14">
        <f>P1355*(1-J1355)</f>
        <v/>
      </c>
      <c r="R1355" s="14">
        <f>H1355*K1355</f>
        <v/>
      </c>
      <c r="S1355" s="15">
        <f>IF(Q1355=0,"",(Q1355-R1355)/Q1355)</f>
        <v/>
      </c>
      <c r="T1355" s="13">
        <f>YEAR(B1355)</f>
        <v/>
      </c>
      <c r="U1355" s="13">
        <f>YEAR(B1355)&amp;"-Q"&amp;ROUNDUP(MONTH(B1355)/3,0)</f>
        <v/>
      </c>
      <c r="V1355" s="13">
        <f>TEXT(B1355,"YYYY-MM")</f>
        <v/>
      </c>
      <c r="W1355" s="13">
        <f>IF(L1355="","",IF(L1355&gt;pLateDays,1,0))</f>
        <v/>
      </c>
      <c r="X1355" s="13">
        <f>IF(Q1355&gt;=pHighCutoff,1,0)</f>
        <v/>
      </c>
      <c r="Y1355" s="13">
        <f>IF(M1355="Returned",1,0)</f>
        <v/>
      </c>
    </row>
    <row r="1356">
      <c r="A1356" s="13" t="inlineStr">
        <is>
          <t>HC-101354</t>
        </is>
      </c>
      <c r="B1356" s="18" t="n">
        <v>45446</v>
      </c>
      <c r="C1356" s="13" t="inlineStr">
        <is>
          <t>West</t>
        </is>
      </c>
      <c r="D1356" s="13" t="inlineStr">
        <is>
          <t>Store</t>
        </is>
      </c>
      <c r="E1356" s="13" t="inlineStr">
        <is>
          <t>Kitchen</t>
        </is>
      </c>
      <c r="F1356" s="13" t="inlineStr">
        <is>
          <t>Ceramic Set</t>
        </is>
      </c>
      <c r="G1356" s="13" t="inlineStr">
        <is>
          <t>Consumer</t>
        </is>
      </c>
      <c r="H1356" s="13" t="n">
        <v>2</v>
      </c>
      <c r="I1356" s="14" t="n">
        <v>82.17</v>
      </c>
      <c r="J1356" s="15" t="n">
        <v>0.1</v>
      </c>
      <c r="K1356" s="14" t="n">
        <v>31.23</v>
      </c>
      <c r="L1356" s="13" t="n">
        <v>9</v>
      </c>
      <c r="M1356" s="13" t="inlineStr">
        <is>
          <t>Completed</t>
        </is>
      </c>
      <c r="N1356" s="13" t="inlineStr">
        <is>
          <t>P. Rossi</t>
        </is>
      </c>
      <c r="O1356" s="13" t="inlineStr">
        <is>
          <t>No</t>
        </is>
      </c>
      <c r="P1356" s="14">
        <f>H1356*I1356</f>
        <v/>
      </c>
      <c r="Q1356" s="14">
        <f>P1356*(1-J1356)</f>
        <v/>
      </c>
      <c r="R1356" s="14">
        <f>H1356*K1356</f>
        <v/>
      </c>
      <c r="S1356" s="15">
        <f>IF(Q1356=0,"",(Q1356-R1356)/Q1356)</f>
        <v/>
      </c>
      <c r="T1356" s="13">
        <f>YEAR(B1356)</f>
        <v/>
      </c>
      <c r="U1356" s="13">
        <f>YEAR(B1356)&amp;"-Q"&amp;ROUNDUP(MONTH(B1356)/3,0)</f>
        <v/>
      </c>
      <c r="V1356" s="13">
        <f>TEXT(B1356,"YYYY-MM")</f>
        <v/>
      </c>
      <c r="W1356" s="13">
        <f>IF(L1356="","",IF(L1356&gt;pLateDays,1,0))</f>
        <v/>
      </c>
      <c r="X1356" s="13">
        <f>IF(Q1356&gt;=pHighCutoff,1,0)</f>
        <v/>
      </c>
      <c r="Y1356" s="13">
        <f>IF(M1356="Returned",1,0)</f>
        <v/>
      </c>
    </row>
    <row r="1357">
      <c r="A1357" s="13" t="inlineStr">
        <is>
          <t>HC-101355</t>
        </is>
      </c>
      <c r="B1357" s="18" t="n">
        <v>45459</v>
      </c>
      <c r="C1357" s="13" t="inlineStr">
        <is>
          <t>North</t>
        </is>
      </c>
      <c r="D1357" s="13" t="inlineStr">
        <is>
          <t>Store</t>
        </is>
      </c>
      <c r="E1357" s="13" t="inlineStr">
        <is>
          <t>Furniture</t>
        </is>
      </c>
      <c r="F1357" s="13" t="inlineStr">
        <is>
          <t>Linen Sofa</t>
        </is>
      </c>
      <c r="G1357" s="13" t="inlineStr">
        <is>
          <t>Unknown</t>
        </is>
      </c>
      <c r="H1357" s="13" t="n">
        <v>3</v>
      </c>
      <c r="I1357" s="14" t="n">
        <v>1219.9</v>
      </c>
      <c r="J1357" s="15" t="n">
        <v>0.05</v>
      </c>
      <c r="K1357" s="14" t="n">
        <v>805.13</v>
      </c>
      <c r="L1357" s="13" t="n">
        <v>6</v>
      </c>
      <c r="M1357" s="13" t="inlineStr">
        <is>
          <t>Completed</t>
        </is>
      </c>
      <c r="N1357" s="13" t="inlineStr">
        <is>
          <t>L. Berger</t>
        </is>
      </c>
      <c r="O1357" s="13" t="inlineStr">
        <is>
          <t>No</t>
        </is>
      </c>
      <c r="P1357" s="14">
        <f>H1357*I1357</f>
        <v/>
      </c>
      <c r="Q1357" s="14">
        <f>P1357*(1-J1357)</f>
        <v/>
      </c>
      <c r="R1357" s="14">
        <f>H1357*K1357</f>
        <v/>
      </c>
      <c r="S1357" s="15">
        <f>IF(Q1357=0,"",(Q1357-R1357)/Q1357)</f>
        <v/>
      </c>
      <c r="T1357" s="13">
        <f>YEAR(B1357)</f>
        <v/>
      </c>
      <c r="U1357" s="13">
        <f>YEAR(B1357)&amp;"-Q"&amp;ROUNDUP(MONTH(B1357)/3,0)</f>
        <v/>
      </c>
      <c r="V1357" s="13">
        <f>TEXT(B1357,"YYYY-MM")</f>
        <v/>
      </c>
      <c r="W1357" s="13">
        <f>IF(L1357="","",IF(L1357&gt;pLateDays,1,0))</f>
        <v/>
      </c>
      <c r="X1357" s="13">
        <f>IF(Q1357&gt;=pHighCutoff,1,0)</f>
        <v/>
      </c>
      <c r="Y1357" s="13">
        <f>IF(M1357="Returned",1,0)</f>
        <v/>
      </c>
    </row>
    <row r="1358">
      <c r="A1358" s="13" t="inlineStr">
        <is>
          <t>HC-101356</t>
        </is>
      </c>
      <c r="B1358" s="18" t="n">
        <v>45523</v>
      </c>
      <c r="C1358" s="13" t="inlineStr">
        <is>
          <t>North</t>
        </is>
      </c>
      <c r="D1358" s="13" t="inlineStr">
        <is>
          <t>Online</t>
        </is>
      </c>
      <c r="E1358" s="13" t="inlineStr">
        <is>
          <t>Lighting</t>
        </is>
      </c>
      <c r="F1358" s="13" t="inlineStr">
        <is>
          <t>Arc Lamp</t>
        </is>
      </c>
      <c r="G1358" s="13" t="inlineStr">
        <is>
          <t>Consumer</t>
        </is>
      </c>
      <c r="H1358" s="13" t="n">
        <v>1</v>
      </c>
      <c r="I1358" s="14" t="n">
        <v>325.29</v>
      </c>
      <c r="J1358" s="15" t="n">
        <v>0.15</v>
      </c>
      <c r="K1358" s="14" t="n">
        <v>156.14</v>
      </c>
      <c r="L1358" s="13" t="n"/>
      <c r="M1358" s="13" t="inlineStr">
        <is>
          <t>Completed</t>
        </is>
      </c>
      <c r="N1358" s="13" t="inlineStr">
        <is>
          <t>A. Shah</t>
        </is>
      </c>
      <c r="O1358" s="13" t="inlineStr">
        <is>
          <t>No</t>
        </is>
      </c>
      <c r="P1358" s="14">
        <f>H1358*I1358</f>
        <v/>
      </c>
      <c r="Q1358" s="14">
        <f>P1358*(1-J1358)</f>
        <v/>
      </c>
      <c r="R1358" s="14">
        <f>H1358*K1358</f>
        <v/>
      </c>
      <c r="S1358" s="15">
        <f>IF(Q1358=0,"",(Q1358-R1358)/Q1358)</f>
        <v/>
      </c>
      <c r="T1358" s="13">
        <f>YEAR(B1358)</f>
        <v/>
      </c>
      <c r="U1358" s="13">
        <f>YEAR(B1358)&amp;"-Q"&amp;ROUNDUP(MONTH(B1358)/3,0)</f>
        <v/>
      </c>
      <c r="V1358" s="13">
        <f>TEXT(B1358,"YYYY-MM")</f>
        <v/>
      </c>
      <c r="W1358" s="13">
        <f>IF(L1358="","",IF(L1358&gt;pLateDays,1,0))</f>
        <v/>
      </c>
      <c r="X1358" s="13">
        <f>IF(Q1358&gt;=pHighCutoff,1,0)</f>
        <v/>
      </c>
      <c r="Y1358" s="13">
        <f>IF(M1358="Returned",1,0)</f>
        <v/>
      </c>
    </row>
    <row r="1359">
      <c r="A1359" s="13" t="inlineStr">
        <is>
          <t>HC-101357</t>
        </is>
      </c>
      <c r="B1359" s="18" t="n">
        <v>45338</v>
      </c>
      <c r="C1359" s="13" t="inlineStr">
        <is>
          <t>West</t>
        </is>
      </c>
      <c r="D1359" s="13" t="inlineStr">
        <is>
          <t>Store</t>
        </is>
      </c>
      <c r="E1359" s="13" t="inlineStr">
        <is>
          <t>Furniture</t>
        </is>
      </c>
      <c r="F1359" s="13" t="inlineStr">
        <is>
          <t>Lounge Chair</t>
        </is>
      </c>
      <c r="G1359" s="13" t="inlineStr">
        <is>
          <t>Consumer</t>
        </is>
      </c>
      <c r="H1359" s="13" t="n">
        <v>1</v>
      </c>
      <c r="I1359" s="14" t="n">
        <v>446.69</v>
      </c>
      <c r="J1359" s="15" t="n">
        <v>0.02</v>
      </c>
      <c r="K1359" s="14" t="n">
        <v>268.01</v>
      </c>
      <c r="L1359" s="13" t="n">
        <v>4</v>
      </c>
      <c r="M1359" s="13" t="inlineStr">
        <is>
          <t>Completed</t>
        </is>
      </c>
      <c r="N1359" s="13" t="inlineStr">
        <is>
          <t>R. Ibarra</t>
        </is>
      </c>
      <c r="O1359" s="13" t="inlineStr">
        <is>
          <t>No</t>
        </is>
      </c>
      <c r="P1359" s="14">
        <f>H1359*I1359</f>
        <v/>
      </c>
      <c r="Q1359" s="14">
        <f>P1359*(1-J1359)</f>
        <v/>
      </c>
      <c r="R1359" s="14">
        <f>H1359*K1359</f>
        <v/>
      </c>
      <c r="S1359" s="15">
        <f>IF(Q1359=0,"",(Q1359-R1359)/Q1359)</f>
        <v/>
      </c>
      <c r="T1359" s="13">
        <f>YEAR(B1359)</f>
        <v/>
      </c>
      <c r="U1359" s="13">
        <f>YEAR(B1359)&amp;"-Q"&amp;ROUNDUP(MONTH(B1359)/3,0)</f>
        <v/>
      </c>
      <c r="V1359" s="13">
        <f>TEXT(B1359,"YYYY-MM")</f>
        <v/>
      </c>
      <c r="W1359" s="13">
        <f>IF(L1359="","",IF(L1359&gt;pLateDays,1,0))</f>
        <v/>
      </c>
      <c r="X1359" s="13">
        <f>IF(Q1359&gt;=pHighCutoff,1,0)</f>
        <v/>
      </c>
      <c r="Y1359" s="13">
        <f>IF(M1359="Returned",1,0)</f>
        <v/>
      </c>
    </row>
    <row r="1360">
      <c r="A1360" s="13" t="inlineStr">
        <is>
          <t>HC-101358</t>
        </is>
      </c>
      <c r="B1360" s="18" t="n">
        <v>45878</v>
      </c>
      <c r="C1360" s="13" t="inlineStr">
        <is>
          <t>South</t>
        </is>
      </c>
      <c r="D1360" s="13" t="inlineStr">
        <is>
          <t>Store</t>
        </is>
      </c>
      <c r="E1360" s="13" t="inlineStr">
        <is>
          <t>Kitchen</t>
        </is>
      </c>
      <c r="F1360" s="13" t="inlineStr">
        <is>
          <t>Ceramic Set</t>
        </is>
      </c>
      <c r="G1360" s="13" t="inlineStr">
        <is>
          <t>Corporate</t>
        </is>
      </c>
      <c r="H1360" s="13" t="n">
        <v>4</v>
      </c>
      <c r="I1360" s="14" t="n">
        <v>80.67</v>
      </c>
      <c r="J1360" s="15" t="n">
        <v>0.01</v>
      </c>
      <c r="K1360" s="14" t="n">
        <v>30.65</v>
      </c>
      <c r="L1360" s="13" t="n">
        <v>7</v>
      </c>
      <c r="M1360" s="13" t="inlineStr">
        <is>
          <t>Completed</t>
        </is>
      </c>
      <c r="N1360" s="13" t="inlineStr">
        <is>
          <t>L. Berger</t>
        </is>
      </c>
      <c r="O1360" s="13" t="inlineStr">
        <is>
          <t>No</t>
        </is>
      </c>
      <c r="P1360" s="14">
        <f>H1360*I1360</f>
        <v/>
      </c>
      <c r="Q1360" s="14">
        <f>P1360*(1-J1360)</f>
        <v/>
      </c>
      <c r="R1360" s="14">
        <f>H1360*K1360</f>
        <v/>
      </c>
      <c r="S1360" s="15">
        <f>IF(Q1360=0,"",(Q1360-R1360)/Q1360)</f>
        <v/>
      </c>
      <c r="T1360" s="13">
        <f>YEAR(B1360)</f>
        <v/>
      </c>
      <c r="U1360" s="13">
        <f>YEAR(B1360)&amp;"-Q"&amp;ROUNDUP(MONTH(B1360)/3,0)</f>
        <v/>
      </c>
      <c r="V1360" s="13">
        <f>TEXT(B1360,"YYYY-MM")</f>
        <v/>
      </c>
      <c r="W1360" s="13">
        <f>IF(L1360="","",IF(L1360&gt;pLateDays,1,0))</f>
        <v/>
      </c>
      <c r="X1360" s="13">
        <f>IF(Q1360&gt;=pHighCutoff,1,0)</f>
        <v/>
      </c>
      <c r="Y1360" s="13">
        <f>IF(M1360="Returned",1,0)</f>
        <v/>
      </c>
    </row>
    <row r="1361">
      <c r="A1361" s="13" t="inlineStr">
        <is>
          <t>HC-101359</t>
        </is>
      </c>
      <c r="B1361" s="18" t="n">
        <v>45869</v>
      </c>
      <c r="C1361" s="13" t="inlineStr">
        <is>
          <t>North</t>
        </is>
      </c>
      <c r="D1361" s="13" t="inlineStr">
        <is>
          <t>Wholesale</t>
        </is>
      </c>
      <c r="E1361" s="13" t="inlineStr">
        <is>
          <t>Furniture</t>
        </is>
      </c>
      <c r="F1361" s="13" t="inlineStr">
        <is>
          <t>Linen Sofa</t>
        </is>
      </c>
      <c r="G1361" s="13" t="inlineStr">
        <is>
          <t>Corporate</t>
        </is>
      </c>
      <c r="H1361" s="13" t="n">
        <v>9</v>
      </c>
      <c r="I1361" s="14" t="n">
        <v>1210.26</v>
      </c>
      <c r="J1361" s="15" t="n">
        <v>0.2</v>
      </c>
      <c r="K1361" s="14" t="n">
        <v>798.77</v>
      </c>
      <c r="L1361" s="13" t="n">
        <v>3</v>
      </c>
      <c r="M1361" s="13" t="inlineStr">
        <is>
          <t>Completed</t>
        </is>
      </c>
      <c r="N1361" s="13" t="inlineStr">
        <is>
          <t>K. Mensah</t>
        </is>
      </c>
      <c r="O1361" s="13" t="inlineStr">
        <is>
          <t>No</t>
        </is>
      </c>
      <c r="P1361" s="14">
        <f>H1361*I1361</f>
        <v/>
      </c>
      <c r="Q1361" s="14">
        <f>P1361*(1-J1361)</f>
        <v/>
      </c>
      <c r="R1361" s="14">
        <f>H1361*K1361</f>
        <v/>
      </c>
      <c r="S1361" s="15">
        <f>IF(Q1361=0,"",(Q1361-R1361)/Q1361)</f>
        <v/>
      </c>
      <c r="T1361" s="13">
        <f>YEAR(B1361)</f>
        <v/>
      </c>
      <c r="U1361" s="13">
        <f>YEAR(B1361)&amp;"-Q"&amp;ROUNDUP(MONTH(B1361)/3,0)</f>
        <v/>
      </c>
      <c r="V1361" s="13">
        <f>TEXT(B1361,"YYYY-MM")</f>
        <v/>
      </c>
      <c r="W1361" s="13">
        <f>IF(L1361="","",IF(L1361&gt;pLateDays,1,0))</f>
        <v/>
      </c>
      <c r="X1361" s="13">
        <f>IF(Q1361&gt;=pHighCutoff,1,0)</f>
        <v/>
      </c>
      <c r="Y1361" s="13">
        <f>IF(M1361="Returned",1,0)</f>
        <v/>
      </c>
    </row>
    <row r="1362">
      <c r="A1362" s="13" t="inlineStr">
        <is>
          <t>HC-101360</t>
        </is>
      </c>
      <c r="B1362" s="18" t="n">
        <v>45343</v>
      </c>
      <c r="C1362" s="13" t="inlineStr">
        <is>
          <t>South</t>
        </is>
      </c>
      <c r="D1362" s="13" t="inlineStr">
        <is>
          <t>Wholesale</t>
        </is>
      </c>
      <c r="E1362" s="13" t="inlineStr">
        <is>
          <t>Lighting</t>
        </is>
      </c>
      <c r="F1362" s="13" t="inlineStr">
        <is>
          <t>Brass Sconce</t>
        </is>
      </c>
      <c r="G1362" s="13" t="inlineStr">
        <is>
          <t>Corporate</t>
        </is>
      </c>
      <c r="H1362" s="13" t="n">
        <v>17</v>
      </c>
      <c r="I1362" s="14" t="n">
        <v>142.12</v>
      </c>
      <c r="J1362" s="15" t="n">
        <v>0.23</v>
      </c>
      <c r="K1362" s="14" t="n">
        <v>65.37</v>
      </c>
      <c r="L1362" s="13" t="n">
        <v>4</v>
      </c>
      <c r="M1362" s="13" t="inlineStr">
        <is>
          <t>Completed</t>
        </is>
      </c>
      <c r="N1362" s="13" t="inlineStr">
        <is>
          <t>A. Shah</t>
        </is>
      </c>
      <c r="O1362" s="13" t="inlineStr">
        <is>
          <t>No</t>
        </is>
      </c>
      <c r="P1362" s="14">
        <f>H1362*I1362</f>
        <v/>
      </c>
      <c r="Q1362" s="14">
        <f>P1362*(1-J1362)</f>
        <v/>
      </c>
      <c r="R1362" s="14">
        <f>H1362*K1362</f>
        <v/>
      </c>
      <c r="S1362" s="15">
        <f>IF(Q1362=0,"",(Q1362-R1362)/Q1362)</f>
        <v/>
      </c>
      <c r="T1362" s="13">
        <f>YEAR(B1362)</f>
        <v/>
      </c>
      <c r="U1362" s="13">
        <f>YEAR(B1362)&amp;"-Q"&amp;ROUNDUP(MONTH(B1362)/3,0)</f>
        <v/>
      </c>
      <c r="V1362" s="13">
        <f>TEXT(B1362,"YYYY-MM")</f>
        <v/>
      </c>
      <c r="W1362" s="13">
        <f>IF(L1362="","",IF(L1362&gt;pLateDays,1,0))</f>
        <v/>
      </c>
      <c r="X1362" s="13">
        <f>IF(Q1362&gt;=pHighCutoff,1,0)</f>
        <v/>
      </c>
      <c r="Y1362" s="13">
        <f>IF(M1362="Returned",1,0)</f>
        <v/>
      </c>
    </row>
    <row r="1363">
      <c r="A1363" s="13" t="inlineStr">
        <is>
          <t>HC-101361</t>
        </is>
      </c>
      <c r="B1363" s="18" t="n">
        <v>45550</v>
      </c>
      <c r="C1363" s="13" t="inlineStr">
        <is>
          <t>South</t>
        </is>
      </c>
      <c r="D1363" s="13" t="inlineStr">
        <is>
          <t>Store</t>
        </is>
      </c>
      <c r="E1363" s="13" t="inlineStr">
        <is>
          <t>Furniture</t>
        </is>
      </c>
      <c r="F1363" s="13" t="inlineStr">
        <is>
          <t>Walnut Shelf</t>
        </is>
      </c>
      <c r="G1363" s="13" t="inlineStr">
        <is>
          <t>Corporate</t>
        </is>
      </c>
      <c r="H1363" s="13" t="n">
        <v>3</v>
      </c>
      <c r="I1363" s="14" t="n">
        <v>218.82</v>
      </c>
      <c r="J1363" s="15" t="n">
        <v>0.06</v>
      </c>
      <c r="K1363" s="14" t="n">
        <v>120.35</v>
      </c>
      <c r="L1363" s="13" t="n">
        <v>4</v>
      </c>
      <c r="M1363" s="13" t="inlineStr">
        <is>
          <t>Completed</t>
        </is>
      </c>
      <c r="N1363" s="13" t="inlineStr">
        <is>
          <t>P. Rossi</t>
        </is>
      </c>
      <c r="O1363" s="13" t="inlineStr">
        <is>
          <t>No</t>
        </is>
      </c>
      <c r="P1363" s="14">
        <f>H1363*I1363</f>
        <v/>
      </c>
      <c r="Q1363" s="14">
        <f>P1363*(1-J1363)</f>
        <v/>
      </c>
      <c r="R1363" s="14">
        <f>H1363*K1363</f>
        <v/>
      </c>
      <c r="S1363" s="15">
        <f>IF(Q1363=0,"",(Q1363-R1363)/Q1363)</f>
        <v/>
      </c>
      <c r="T1363" s="13">
        <f>YEAR(B1363)</f>
        <v/>
      </c>
      <c r="U1363" s="13">
        <f>YEAR(B1363)&amp;"-Q"&amp;ROUNDUP(MONTH(B1363)/3,0)</f>
        <v/>
      </c>
      <c r="V1363" s="13">
        <f>TEXT(B1363,"YYYY-MM")</f>
        <v/>
      </c>
      <c r="W1363" s="13">
        <f>IF(L1363="","",IF(L1363&gt;pLateDays,1,0))</f>
        <v/>
      </c>
      <c r="X1363" s="13">
        <f>IF(Q1363&gt;=pHighCutoff,1,0)</f>
        <v/>
      </c>
      <c r="Y1363" s="13">
        <f>IF(M1363="Returned",1,0)</f>
        <v/>
      </c>
    </row>
    <row r="1364">
      <c r="A1364" s="13" t="inlineStr">
        <is>
          <t>HC-101362</t>
        </is>
      </c>
      <c r="B1364" s="18" t="n">
        <v>45377</v>
      </c>
      <c r="C1364" s="13" t="inlineStr">
        <is>
          <t>South</t>
        </is>
      </c>
      <c r="D1364" s="13" t="inlineStr">
        <is>
          <t>Store</t>
        </is>
      </c>
      <c r="E1364" s="13" t="inlineStr">
        <is>
          <t>Furniture</t>
        </is>
      </c>
      <c r="F1364" s="13" t="inlineStr">
        <is>
          <t>Oak Desk</t>
        </is>
      </c>
      <c r="G1364" s="13" t="inlineStr">
        <is>
          <t>Consumer</t>
        </is>
      </c>
      <c r="H1364" s="13" t="n">
        <v>4</v>
      </c>
      <c r="I1364" s="14" t="n">
        <v>818.97</v>
      </c>
      <c r="J1364" s="15" t="n">
        <v>0</v>
      </c>
      <c r="K1364" s="14" t="n">
        <v>507.76</v>
      </c>
      <c r="L1364" s="13" t="n">
        <v>5</v>
      </c>
      <c r="M1364" s="13" t="inlineStr">
        <is>
          <t>Completed</t>
        </is>
      </c>
      <c r="N1364" s="13" t="inlineStr">
        <is>
          <t>M. Okonkwo</t>
        </is>
      </c>
      <c r="O1364" s="13" t="inlineStr">
        <is>
          <t>No</t>
        </is>
      </c>
      <c r="P1364" s="14">
        <f>H1364*I1364</f>
        <v/>
      </c>
      <c r="Q1364" s="14">
        <f>P1364*(1-J1364)</f>
        <v/>
      </c>
      <c r="R1364" s="14">
        <f>H1364*K1364</f>
        <v/>
      </c>
      <c r="S1364" s="15">
        <f>IF(Q1364=0,"",(Q1364-R1364)/Q1364)</f>
        <v/>
      </c>
      <c r="T1364" s="13">
        <f>YEAR(B1364)</f>
        <v/>
      </c>
      <c r="U1364" s="13">
        <f>YEAR(B1364)&amp;"-Q"&amp;ROUNDUP(MONTH(B1364)/3,0)</f>
        <v/>
      </c>
      <c r="V1364" s="13">
        <f>TEXT(B1364,"YYYY-MM")</f>
        <v/>
      </c>
      <c r="W1364" s="13">
        <f>IF(L1364="","",IF(L1364&gt;pLateDays,1,0))</f>
        <v/>
      </c>
      <c r="X1364" s="13">
        <f>IF(Q1364&gt;=pHighCutoff,1,0)</f>
        <v/>
      </c>
      <c r="Y1364" s="13">
        <f>IF(M1364="Returned",1,0)</f>
        <v/>
      </c>
    </row>
    <row r="1365">
      <c r="A1365" s="13" t="inlineStr">
        <is>
          <t>HC-101363</t>
        </is>
      </c>
      <c r="B1365" s="18" t="n">
        <v>45728</v>
      </c>
      <c r="C1365" s="13" t="inlineStr">
        <is>
          <t>East</t>
        </is>
      </c>
      <c r="D1365" s="13" t="inlineStr">
        <is>
          <t>Wholesale</t>
        </is>
      </c>
      <c r="E1365" s="13" t="inlineStr">
        <is>
          <t>Textiles</t>
        </is>
      </c>
      <c r="F1365" s="13" t="inlineStr">
        <is>
          <t>Cotton Duvet</t>
        </is>
      </c>
      <c r="G1365" s="13" t="inlineStr">
        <is>
          <t>Consumer</t>
        </is>
      </c>
      <c r="H1365" s="13" t="n">
        <v>10</v>
      </c>
      <c r="I1365" s="14" t="n">
        <v>102.16</v>
      </c>
      <c r="J1365" s="15" t="n">
        <v>0.26</v>
      </c>
      <c r="K1365" s="14" t="n">
        <v>44.95</v>
      </c>
      <c r="L1365" s="13" t="n">
        <v>9</v>
      </c>
      <c r="M1365" s="13" t="inlineStr">
        <is>
          <t>Completed</t>
        </is>
      </c>
      <c r="N1365" s="13" t="inlineStr">
        <is>
          <t>M. Okonkwo</t>
        </is>
      </c>
      <c r="O1365" s="13" t="inlineStr">
        <is>
          <t>No</t>
        </is>
      </c>
      <c r="P1365" s="14">
        <f>H1365*I1365</f>
        <v/>
      </c>
      <c r="Q1365" s="14">
        <f>P1365*(1-J1365)</f>
        <v/>
      </c>
      <c r="R1365" s="14">
        <f>H1365*K1365</f>
        <v/>
      </c>
      <c r="S1365" s="15">
        <f>IF(Q1365=0,"",(Q1365-R1365)/Q1365)</f>
        <v/>
      </c>
      <c r="T1365" s="13">
        <f>YEAR(B1365)</f>
        <v/>
      </c>
      <c r="U1365" s="13">
        <f>YEAR(B1365)&amp;"-Q"&amp;ROUNDUP(MONTH(B1365)/3,0)</f>
        <v/>
      </c>
      <c r="V1365" s="13">
        <f>TEXT(B1365,"YYYY-MM")</f>
        <v/>
      </c>
      <c r="W1365" s="13">
        <f>IF(L1365="","",IF(L1365&gt;pLateDays,1,0))</f>
        <v/>
      </c>
      <c r="X1365" s="13">
        <f>IF(Q1365&gt;=pHighCutoff,1,0)</f>
        <v/>
      </c>
      <c r="Y1365" s="13">
        <f>IF(M1365="Returned",1,0)</f>
        <v/>
      </c>
    </row>
    <row r="1366">
      <c r="A1366" s="13" t="inlineStr">
        <is>
          <t>HC-101364</t>
        </is>
      </c>
      <c r="B1366" s="18" t="n">
        <v>45456</v>
      </c>
      <c r="C1366" s="13" t="inlineStr">
        <is>
          <t>North</t>
        </is>
      </c>
      <c r="D1366" s="13" t="inlineStr">
        <is>
          <t>Wholesale</t>
        </is>
      </c>
      <c r="E1366" s="13" t="inlineStr">
        <is>
          <t>Lighting</t>
        </is>
      </c>
      <c r="F1366" s="13" t="inlineStr">
        <is>
          <t>Arc Lamp</t>
        </is>
      </c>
      <c r="G1366" s="13" t="inlineStr">
        <is>
          <t>Corporate</t>
        </is>
      </c>
      <c r="H1366" s="13" t="n">
        <v>31</v>
      </c>
      <c r="I1366" s="14" t="n">
        <v>298.01</v>
      </c>
      <c r="J1366" s="15" t="n">
        <v>0.23</v>
      </c>
      <c r="K1366" s="14" t="n">
        <v>143.05</v>
      </c>
      <c r="L1366" s="13" t="n">
        <v>7</v>
      </c>
      <c r="M1366" s="13" t="inlineStr">
        <is>
          <t>Completed</t>
        </is>
      </c>
      <c r="N1366" s="13" t="inlineStr">
        <is>
          <t>A. Shah</t>
        </is>
      </c>
      <c r="O1366" s="13" t="inlineStr">
        <is>
          <t>No</t>
        </is>
      </c>
      <c r="P1366" s="14">
        <f>H1366*I1366</f>
        <v/>
      </c>
      <c r="Q1366" s="14">
        <f>P1366*(1-J1366)</f>
        <v/>
      </c>
      <c r="R1366" s="14">
        <f>H1366*K1366</f>
        <v/>
      </c>
      <c r="S1366" s="15">
        <f>IF(Q1366=0,"",(Q1366-R1366)/Q1366)</f>
        <v/>
      </c>
      <c r="T1366" s="13">
        <f>YEAR(B1366)</f>
        <v/>
      </c>
      <c r="U1366" s="13">
        <f>YEAR(B1366)&amp;"-Q"&amp;ROUNDUP(MONTH(B1366)/3,0)</f>
        <v/>
      </c>
      <c r="V1366" s="13">
        <f>TEXT(B1366,"YYYY-MM")</f>
        <v/>
      </c>
      <c r="W1366" s="13">
        <f>IF(L1366="","",IF(L1366&gt;pLateDays,1,0))</f>
        <v/>
      </c>
      <c r="X1366" s="13">
        <f>IF(Q1366&gt;=pHighCutoff,1,0)</f>
        <v/>
      </c>
      <c r="Y1366" s="13">
        <f>IF(M1366="Returned",1,0)</f>
        <v/>
      </c>
    </row>
    <row r="1367">
      <c r="A1367" s="13" t="inlineStr">
        <is>
          <t>HC-101365</t>
        </is>
      </c>
      <c r="B1367" s="18" t="n">
        <v>45434</v>
      </c>
      <c r="C1367" s="13" t="inlineStr">
        <is>
          <t>East</t>
        </is>
      </c>
      <c r="D1367" s="13" t="inlineStr">
        <is>
          <t>Wholesale</t>
        </is>
      </c>
      <c r="E1367" s="13" t="inlineStr">
        <is>
          <t>Furniture</t>
        </is>
      </c>
      <c r="F1367" s="13" t="inlineStr">
        <is>
          <t>Linen Sofa</t>
        </is>
      </c>
      <c r="G1367" s="13" t="inlineStr">
        <is>
          <t>Consumer</t>
        </is>
      </c>
      <c r="H1367" s="13" t="n">
        <v>18</v>
      </c>
      <c r="I1367" s="14" t="n">
        <v>1110.97</v>
      </c>
      <c r="J1367" s="15" t="n">
        <v>0.17</v>
      </c>
      <c r="K1367" s="14" t="n">
        <v>733.24</v>
      </c>
      <c r="L1367" s="13" t="n">
        <v>8</v>
      </c>
      <c r="M1367" s="13" t="inlineStr">
        <is>
          <t>Completed</t>
        </is>
      </c>
      <c r="N1367" s="13" t="inlineStr">
        <is>
          <t>L. Berger</t>
        </is>
      </c>
      <c r="O1367" s="13" t="inlineStr">
        <is>
          <t>No</t>
        </is>
      </c>
      <c r="P1367" s="14">
        <f>H1367*I1367</f>
        <v/>
      </c>
      <c r="Q1367" s="14">
        <f>P1367*(1-J1367)</f>
        <v/>
      </c>
      <c r="R1367" s="14">
        <f>H1367*K1367</f>
        <v/>
      </c>
      <c r="S1367" s="15">
        <f>IF(Q1367=0,"",(Q1367-R1367)/Q1367)</f>
        <v/>
      </c>
      <c r="T1367" s="13">
        <f>YEAR(B1367)</f>
        <v/>
      </c>
      <c r="U1367" s="13">
        <f>YEAR(B1367)&amp;"-Q"&amp;ROUNDUP(MONTH(B1367)/3,0)</f>
        <v/>
      </c>
      <c r="V1367" s="13">
        <f>TEXT(B1367,"YYYY-MM")</f>
        <v/>
      </c>
      <c r="W1367" s="13">
        <f>IF(L1367="","",IF(L1367&gt;pLateDays,1,0))</f>
        <v/>
      </c>
      <c r="X1367" s="13">
        <f>IF(Q1367&gt;=pHighCutoff,1,0)</f>
        <v/>
      </c>
      <c r="Y1367" s="13">
        <f>IF(M1367="Returned",1,0)</f>
        <v/>
      </c>
    </row>
    <row r="1368">
      <c r="A1368" s="13" t="inlineStr">
        <is>
          <t>HC-101366</t>
        </is>
      </c>
      <c r="B1368" s="18" t="n">
        <v>45715</v>
      </c>
      <c r="C1368" s="13" t="inlineStr">
        <is>
          <t>South</t>
        </is>
      </c>
      <c r="D1368" s="13" t="inlineStr">
        <is>
          <t>Store</t>
        </is>
      </c>
      <c r="E1368" s="13" t="inlineStr">
        <is>
          <t>Kitchen</t>
        </is>
      </c>
      <c r="F1368" s="13" t="inlineStr">
        <is>
          <t>Ceramic Set</t>
        </is>
      </c>
      <c r="G1368" s="13" t="inlineStr">
        <is>
          <t>Consumer</t>
        </is>
      </c>
      <c r="H1368" s="13" t="n">
        <v>3</v>
      </c>
      <c r="I1368" s="14" t="n">
        <v>89.04000000000001</v>
      </c>
      <c r="J1368" s="15" t="n">
        <v>0.1</v>
      </c>
      <c r="K1368" s="14" t="n">
        <v>33.84</v>
      </c>
      <c r="L1368" s="13" t="n">
        <v>2</v>
      </c>
      <c r="M1368" s="13" t="inlineStr">
        <is>
          <t>Completed</t>
        </is>
      </c>
      <c r="N1368" s="13" t="inlineStr">
        <is>
          <t>S. Nguyen</t>
        </is>
      </c>
      <c r="O1368" s="13" t="inlineStr">
        <is>
          <t>No</t>
        </is>
      </c>
      <c r="P1368" s="14">
        <f>H1368*I1368</f>
        <v/>
      </c>
      <c r="Q1368" s="14">
        <f>P1368*(1-J1368)</f>
        <v/>
      </c>
      <c r="R1368" s="14">
        <f>H1368*K1368</f>
        <v/>
      </c>
      <c r="S1368" s="15">
        <f>IF(Q1368=0,"",(Q1368-R1368)/Q1368)</f>
        <v/>
      </c>
      <c r="T1368" s="13">
        <f>YEAR(B1368)</f>
        <v/>
      </c>
      <c r="U1368" s="13">
        <f>YEAR(B1368)&amp;"-Q"&amp;ROUNDUP(MONTH(B1368)/3,0)</f>
        <v/>
      </c>
      <c r="V1368" s="13">
        <f>TEXT(B1368,"YYYY-MM")</f>
        <v/>
      </c>
      <c r="W1368" s="13">
        <f>IF(L1368="","",IF(L1368&gt;pLateDays,1,0))</f>
        <v/>
      </c>
      <c r="X1368" s="13">
        <f>IF(Q1368&gt;=pHighCutoff,1,0)</f>
        <v/>
      </c>
      <c r="Y1368" s="13">
        <f>IF(M1368="Returned",1,0)</f>
        <v/>
      </c>
    </row>
    <row r="1369">
      <c r="A1369" s="13" t="inlineStr">
        <is>
          <t>HC-101367</t>
        </is>
      </c>
      <c r="B1369" s="18" t="n">
        <v>45656</v>
      </c>
      <c r="C1369" s="13" t="inlineStr">
        <is>
          <t>East</t>
        </is>
      </c>
      <c r="D1369" s="13" t="inlineStr">
        <is>
          <t>Wholesale</t>
        </is>
      </c>
      <c r="E1369" s="13" t="inlineStr">
        <is>
          <t>Furniture</t>
        </is>
      </c>
      <c r="F1369" s="13" t="inlineStr">
        <is>
          <t>Linen Sofa</t>
        </is>
      </c>
      <c r="G1369" s="13" t="inlineStr">
        <is>
          <t>Consumer</t>
        </is>
      </c>
      <c r="H1369" s="13" t="n">
        <v>31</v>
      </c>
      <c r="I1369" s="14" t="n">
        <v>1184.98</v>
      </c>
      <c r="J1369" s="15" t="n">
        <v>0.25</v>
      </c>
      <c r="K1369" s="14" t="n">
        <v>782.09</v>
      </c>
      <c r="L1369" s="13" t="n">
        <v>14</v>
      </c>
      <c r="M1369" s="13" t="inlineStr">
        <is>
          <t>Completed</t>
        </is>
      </c>
      <c r="N1369" s="13" t="inlineStr">
        <is>
          <t>L. Berger</t>
        </is>
      </c>
      <c r="O1369" s="13" t="inlineStr">
        <is>
          <t>No</t>
        </is>
      </c>
      <c r="P1369" s="14">
        <f>H1369*I1369</f>
        <v/>
      </c>
      <c r="Q1369" s="14">
        <f>P1369*(1-J1369)</f>
        <v/>
      </c>
      <c r="R1369" s="14">
        <f>H1369*K1369</f>
        <v/>
      </c>
      <c r="S1369" s="15">
        <f>IF(Q1369=0,"",(Q1369-R1369)/Q1369)</f>
        <v/>
      </c>
      <c r="T1369" s="13">
        <f>YEAR(B1369)</f>
        <v/>
      </c>
      <c r="U1369" s="13">
        <f>YEAR(B1369)&amp;"-Q"&amp;ROUNDUP(MONTH(B1369)/3,0)</f>
        <v/>
      </c>
      <c r="V1369" s="13">
        <f>TEXT(B1369,"YYYY-MM")</f>
        <v/>
      </c>
      <c r="W1369" s="13">
        <f>IF(L1369="","",IF(L1369&gt;pLateDays,1,0))</f>
        <v/>
      </c>
      <c r="X1369" s="13">
        <f>IF(Q1369&gt;=pHighCutoff,1,0)</f>
        <v/>
      </c>
      <c r="Y1369" s="13">
        <f>IF(M1369="Returned",1,0)</f>
        <v/>
      </c>
    </row>
    <row r="1370">
      <c r="A1370" s="13" t="inlineStr">
        <is>
          <t>HC-101368</t>
        </is>
      </c>
      <c r="B1370" s="18" t="n">
        <v>45685</v>
      </c>
      <c r="C1370" s="13" t="inlineStr">
        <is>
          <t>West</t>
        </is>
      </c>
      <c r="D1370" s="13" t="inlineStr">
        <is>
          <t>Store</t>
        </is>
      </c>
      <c r="E1370" s="13" t="inlineStr">
        <is>
          <t>Furniture</t>
        </is>
      </c>
      <c r="F1370" s="13" t="inlineStr">
        <is>
          <t>Linen Sofa</t>
        </is>
      </c>
      <c r="G1370" s="13" t="inlineStr">
        <is>
          <t>Consumer</t>
        </is>
      </c>
      <c r="H1370" s="13" t="n">
        <v>2</v>
      </c>
      <c r="I1370" s="14" t="n">
        <v>1289.96</v>
      </c>
      <c r="J1370" s="15" t="n">
        <v>0.12</v>
      </c>
      <c r="K1370" s="14" t="n">
        <v>851.37</v>
      </c>
      <c r="L1370" s="13" t="n">
        <v>6</v>
      </c>
      <c r="M1370" s="13" t="inlineStr">
        <is>
          <t>Completed</t>
        </is>
      </c>
      <c r="N1370" s="13" t="inlineStr">
        <is>
          <t>R. Ibarra</t>
        </is>
      </c>
      <c r="O1370" s="13" t="inlineStr">
        <is>
          <t>No</t>
        </is>
      </c>
      <c r="P1370" s="14">
        <f>H1370*I1370</f>
        <v/>
      </c>
      <c r="Q1370" s="14">
        <f>P1370*(1-J1370)</f>
        <v/>
      </c>
      <c r="R1370" s="14">
        <f>H1370*K1370</f>
        <v/>
      </c>
      <c r="S1370" s="15">
        <f>IF(Q1370=0,"",(Q1370-R1370)/Q1370)</f>
        <v/>
      </c>
      <c r="T1370" s="13">
        <f>YEAR(B1370)</f>
        <v/>
      </c>
      <c r="U1370" s="13">
        <f>YEAR(B1370)&amp;"-Q"&amp;ROUNDUP(MONTH(B1370)/3,0)</f>
        <v/>
      </c>
      <c r="V1370" s="13">
        <f>TEXT(B1370,"YYYY-MM")</f>
        <v/>
      </c>
      <c r="W1370" s="13">
        <f>IF(L1370="","",IF(L1370&gt;pLateDays,1,0))</f>
        <v/>
      </c>
      <c r="X1370" s="13">
        <f>IF(Q1370&gt;=pHighCutoff,1,0)</f>
        <v/>
      </c>
      <c r="Y1370" s="13">
        <f>IF(M1370="Returned",1,0)</f>
        <v/>
      </c>
    </row>
    <row r="1371">
      <c r="A1371" s="13" t="inlineStr">
        <is>
          <t>HC-101369</t>
        </is>
      </c>
      <c r="B1371" s="18" t="n">
        <v>45569</v>
      </c>
      <c r="C1371" s="13" t="inlineStr">
        <is>
          <t>North</t>
        </is>
      </c>
      <c r="D1371" s="13" t="inlineStr">
        <is>
          <t>Store</t>
        </is>
      </c>
      <c r="E1371" s="13" t="inlineStr">
        <is>
          <t>Furniture</t>
        </is>
      </c>
      <c r="F1371" s="13" t="inlineStr">
        <is>
          <t>Lounge Chair</t>
        </is>
      </c>
      <c r="G1371" s="13" t="inlineStr">
        <is>
          <t>Consumer</t>
        </is>
      </c>
      <c r="H1371" s="13" t="n">
        <v>3</v>
      </c>
      <c r="I1371" s="14" t="n">
        <v>446.83</v>
      </c>
      <c r="J1371" s="15" t="n">
        <v>0.02</v>
      </c>
      <c r="K1371" s="14" t="n">
        <v>268.1</v>
      </c>
      <c r="L1371" s="13" t="n">
        <v>5</v>
      </c>
      <c r="M1371" s="13" t="inlineStr">
        <is>
          <t>Completed</t>
        </is>
      </c>
      <c r="N1371" s="13" t="inlineStr">
        <is>
          <t>J. Patel</t>
        </is>
      </c>
      <c r="O1371" s="13" t="inlineStr">
        <is>
          <t>No</t>
        </is>
      </c>
      <c r="P1371" s="14">
        <f>H1371*I1371</f>
        <v/>
      </c>
      <c r="Q1371" s="14">
        <f>P1371*(1-J1371)</f>
        <v/>
      </c>
      <c r="R1371" s="14">
        <f>H1371*K1371</f>
        <v/>
      </c>
      <c r="S1371" s="15">
        <f>IF(Q1371=0,"",(Q1371-R1371)/Q1371)</f>
        <v/>
      </c>
      <c r="T1371" s="13">
        <f>YEAR(B1371)</f>
        <v/>
      </c>
      <c r="U1371" s="13">
        <f>YEAR(B1371)&amp;"-Q"&amp;ROUNDUP(MONTH(B1371)/3,0)</f>
        <v/>
      </c>
      <c r="V1371" s="13">
        <f>TEXT(B1371,"YYYY-MM")</f>
        <v/>
      </c>
      <c r="W1371" s="13">
        <f>IF(L1371="","",IF(L1371&gt;pLateDays,1,0))</f>
        <v/>
      </c>
      <c r="X1371" s="13">
        <f>IF(Q1371&gt;=pHighCutoff,1,0)</f>
        <v/>
      </c>
      <c r="Y1371" s="13">
        <f>IF(M1371="Returned",1,0)</f>
        <v/>
      </c>
    </row>
    <row r="1372">
      <c r="A1372" s="13" t="inlineStr">
        <is>
          <t>HC-101370</t>
        </is>
      </c>
      <c r="B1372" s="18" t="n">
        <v>45772</v>
      </c>
      <c r="C1372" s="13" t="inlineStr">
        <is>
          <t>North</t>
        </is>
      </c>
      <c r="D1372" s="13" t="inlineStr">
        <is>
          <t>Online</t>
        </is>
      </c>
      <c r="E1372" s="13" t="inlineStr">
        <is>
          <t>Textiles</t>
        </is>
      </c>
      <c r="F1372" s="13" t="inlineStr">
        <is>
          <t>Linen Curtain</t>
        </is>
      </c>
      <c r="G1372" s="13" t="inlineStr">
        <is>
          <t>Corporate</t>
        </is>
      </c>
      <c r="H1372" s="13" t="n">
        <v>2</v>
      </c>
      <c r="I1372" s="14" t="n">
        <v>100.92</v>
      </c>
      <c r="J1372" s="15" t="n">
        <v>0.02</v>
      </c>
      <c r="K1372" s="14" t="n">
        <v>45.42</v>
      </c>
      <c r="L1372" s="13" t="n">
        <v>4</v>
      </c>
      <c r="M1372" s="13" t="inlineStr">
        <is>
          <t>Completed</t>
        </is>
      </c>
      <c r="N1372" s="13" t="inlineStr">
        <is>
          <t>L. Berger</t>
        </is>
      </c>
      <c r="O1372" s="13" t="inlineStr">
        <is>
          <t>No</t>
        </is>
      </c>
      <c r="P1372" s="14">
        <f>H1372*I1372</f>
        <v/>
      </c>
      <c r="Q1372" s="14">
        <f>P1372*(1-J1372)</f>
        <v/>
      </c>
      <c r="R1372" s="14">
        <f>H1372*K1372</f>
        <v/>
      </c>
      <c r="S1372" s="15">
        <f>IF(Q1372=0,"",(Q1372-R1372)/Q1372)</f>
        <v/>
      </c>
      <c r="T1372" s="13">
        <f>YEAR(B1372)</f>
        <v/>
      </c>
      <c r="U1372" s="13">
        <f>YEAR(B1372)&amp;"-Q"&amp;ROUNDUP(MONTH(B1372)/3,0)</f>
        <v/>
      </c>
      <c r="V1372" s="13">
        <f>TEXT(B1372,"YYYY-MM")</f>
        <v/>
      </c>
      <c r="W1372" s="13">
        <f>IF(L1372="","",IF(L1372&gt;pLateDays,1,0))</f>
        <v/>
      </c>
      <c r="X1372" s="13">
        <f>IF(Q1372&gt;=pHighCutoff,1,0)</f>
        <v/>
      </c>
      <c r="Y1372" s="13">
        <f>IF(M1372="Returned",1,0)</f>
        <v/>
      </c>
    </row>
    <row r="1373">
      <c r="A1373" s="13" t="inlineStr">
        <is>
          <t>HC-101371</t>
        </is>
      </c>
      <c r="B1373" s="18" t="n">
        <v>45903</v>
      </c>
      <c r="C1373" s="13" t="inlineStr">
        <is>
          <t>South</t>
        </is>
      </c>
      <c r="D1373" s="13" t="inlineStr">
        <is>
          <t>Online</t>
        </is>
      </c>
      <c r="E1373" s="13" t="inlineStr">
        <is>
          <t>Furniture</t>
        </is>
      </c>
      <c r="F1373" s="13" t="inlineStr">
        <is>
          <t>Linen Sofa</t>
        </is>
      </c>
      <c r="G1373" s="13" t="inlineStr">
        <is>
          <t>Consumer</t>
        </is>
      </c>
      <c r="H1373" s="13" t="n">
        <v>2</v>
      </c>
      <c r="I1373" s="14" t="n">
        <v>1330.83</v>
      </c>
      <c r="J1373" s="15" t="n">
        <v>0.11</v>
      </c>
      <c r="K1373" s="14" t="n">
        <v>878.35</v>
      </c>
      <c r="L1373" s="13" t="n">
        <v>3</v>
      </c>
      <c r="M1373" s="13" t="inlineStr">
        <is>
          <t>Completed</t>
        </is>
      </c>
      <c r="N1373" s="13" t="inlineStr">
        <is>
          <t>K. Mensah</t>
        </is>
      </c>
      <c r="O1373" s="13" t="inlineStr">
        <is>
          <t>No</t>
        </is>
      </c>
      <c r="P1373" s="14">
        <f>H1373*I1373</f>
        <v/>
      </c>
      <c r="Q1373" s="14">
        <f>P1373*(1-J1373)</f>
        <v/>
      </c>
      <c r="R1373" s="14">
        <f>H1373*K1373</f>
        <v/>
      </c>
      <c r="S1373" s="15">
        <f>IF(Q1373=0,"",(Q1373-R1373)/Q1373)</f>
        <v/>
      </c>
      <c r="T1373" s="13">
        <f>YEAR(B1373)</f>
        <v/>
      </c>
      <c r="U1373" s="13">
        <f>YEAR(B1373)&amp;"-Q"&amp;ROUNDUP(MONTH(B1373)/3,0)</f>
        <v/>
      </c>
      <c r="V1373" s="13">
        <f>TEXT(B1373,"YYYY-MM")</f>
        <v/>
      </c>
      <c r="W1373" s="13">
        <f>IF(L1373="","",IF(L1373&gt;pLateDays,1,0))</f>
        <v/>
      </c>
      <c r="X1373" s="13">
        <f>IF(Q1373&gt;=pHighCutoff,1,0)</f>
        <v/>
      </c>
      <c r="Y1373" s="13">
        <f>IF(M1373="Returned",1,0)</f>
        <v/>
      </c>
    </row>
    <row r="1374">
      <c r="A1374" s="13" t="inlineStr">
        <is>
          <t>HC-101372</t>
        </is>
      </c>
      <c r="B1374" s="18" t="n">
        <v>45844</v>
      </c>
      <c r="C1374" s="13" t="inlineStr">
        <is>
          <t>West</t>
        </is>
      </c>
      <c r="D1374" s="13" t="inlineStr">
        <is>
          <t>Wholesale</t>
        </is>
      </c>
      <c r="E1374" s="13" t="inlineStr">
        <is>
          <t>Furniture</t>
        </is>
      </c>
      <c r="F1374" s="13" t="inlineStr">
        <is>
          <t>Oak Desk</t>
        </is>
      </c>
      <c r="G1374" s="13" t="inlineStr">
        <is>
          <t>Consumer</t>
        </is>
      </c>
      <c r="H1374" s="13" t="n">
        <v>22</v>
      </c>
      <c r="I1374" s="14" t="n">
        <v>839.76</v>
      </c>
      <c r="J1374" s="15" t="n">
        <v>0.19</v>
      </c>
      <c r="K1374" s="14" t="n">
        <v>520.65</v>
      </c>
      <c r="L1374" s="13" t="n">
        <v>1</v>
      </c>
      <c r="M1374" s="13" t="inlineStr">
        <is>
          <t>Completed</t>
        </is>
      </c>
      <c r="N1374" s="13" t="inlineStr">
        <is>
          <t>R. Ibarra</t>
        </is>
      </c>
      <c r="O1374" s="13" t="inlineStr">
        <is>
          <t>No</t>
        </is>
      </c>
      <c r="P1374" s="14">
        <f>H1374*I1374</f>
        <v/>
      </c>
      <c r="Q1374" s="14">
        <f>P1374*(1-J1374)</f>
        <v/>
      </c>
      <c r="R1374" s="14">
        <f>H1374*K1374</f>
        <v/>
      </c>
      <c r="S1374" s="15">
        <f>IF(Q1374=0,"",(Q1374-R1374)/Q1374)</f>
        <v/>
      </c>
      <c r="T1374" s="13">
        <f>YEAR(B1374)</f>
        <v/>
      </c>
      <c r="U1374" s="13">
        <f>YEAR(B1374)&amp;"-Q"&amp;ROUNDUP(MONTH(B1374)/3,0)</f>
        <v/>
      </c>
      <c r="V1374" s="13">
        <f>TEXT(B1374,"YYYY-MM")</f>
        <v/>
      </c>
      <c r="W1374" s="13">
        <f>IF(L1374="","",IF(L1374&gt;pLateDays,1,0))</f>
        <v/>
      </c>
      <c r="X1374" s="13">
        <f>IF(Q1374&gt;=pHighCutoff,1,0)</f>
        <v/>
      </c>
      <c r="Y1374" s="13">
        <f>IF(M1374="Returned",1,0)</f>
        <v/>
      </c>
    </row>
    <row r="1375">
      <c r="A1375" s="13" t="inlineStr">
        <is>
          <t>HC-101373</t>
        </is>
      </c>
      <c r="B1375" s="18" t="n">
        <v>45616</v>
      </c>
      <c r="C1375" s="13" t="inlineStr">
        <is>
          <t>West</t>
        </is>
      </c>
      <c r="D1375" s="13" t="inlineStr">
        <is>
          <t>Online</t>
        </is>
      </c>
      <c r="E1375" s="13" t="inlineStr">
        <is>
          <t>Furniture</t>
        </is>
      </c>
      <c r="F1375" s="13" t="inlineStr">
        <is>
          <t>Lounge Chair</t>
        </is>
      </c>
      <c r="G1375" s="13" t="inlineStr">
        <is>
          <t>Consumer</t>
        </is>
      </c>
      <c r="H1375" s="13" t="n">
        <v>4</v>
      </c>
      <c r="I1375" s="14" t="n">
        <v>473.21</v>
      </c>
      <c r="J1375" s="15" t="n">
        <v>0.12</v>
      </c>
      <c r="K1375" s="14" t="n">
        <v>283.92</v>
      </c>
      <c r="L1375" s="13" t="n">
        <v>9</v>
      </c>
      <c r="M1375" s="13" t="inlineStr">
        <is>
          <t>Completed</t>
        </is>
      </c>
      <c r="N1375" s="13" t="inlineStr">
        <is>
          <t>P. Rossi</t>
        </is>
      </c>
      <c r="O1375" s="13" t="inlineStr">
        <is>
          <t>No</t>
        </is>
      </c>
      <c r="P1375" s="14">
        <f>H1375*I1375</f>
        <v/>
      </c>
      <c r="Q1375" s="14">
        <f>P1375*(1-J1375)</f>
        <v/>
      </c>
      <c r="R1375" s="14">
        <f>H1375*K1375</f>
        <v/>
      </c>
      <c r="S1375" s="15">
        <f>IF(Q1375=0,"",(Q1375-R1375)/Q1375)</f>
        <v/>
      </c>
      <c r="T1375" s="13">
        <f>YEAR(B1375)</f>
        <v/>
      </c>
      <c r="U1375" s="13">
        <f>YEAR(B1375)&amp;"-Q"&amp;ROUNDUP(MONTH(B1375)/3,0)</f>
        <v/>
      </c>
      <c r="V1375" s="13">
        <f>TEXT(B1375,"YYYY-MM")</f>
        <v/>
      </c>
      <c r="W1375" s="13">
        <f>IF(L1375="","",IF(L1375&gt;pLateDays,1,0))</f>
        <v/>
      </c>
      <c r="X1375" s="13">
        <f>IF(Q1375&gt;=pHighCutoff,1,0)</f>
        <v/>
      </c>
      <c r="Y1375" s="13">
        <f>IF(M1375="Returned",1,0)</f>
        <v/>
      </c>
    </row>
    <row r="1376">
      <c r="A1376" s="13" t="inlineStr">
        <is>
          <t>HC-101374</t>
        </is>
      </c>
      <c r="B1376" s="18" t="n">
        <v>45726</v>
      </c>
      <c r="C1376" s="13" t="inlineStr">
        <is>
          <t>South</t>
        </is>
      </c>
      <c r="D1376" s="13" t="inlineStr">
        <is>
          <t>Store</t>
        </is>
      </c>
      <c r="E1376" s="13" t="inlineStr">
        <is>
          <t>Furniture</t>
        </is>
      </c>
      <c r="F1376" s="13" t="inlineStr">
        <is>
          <t>Walnut Shelf</t>
        </is>
      </c>
      <c r="G1376" s="13" t="inlineStr">
        <is>
          <t>Consumer</t>
        </is>
      </c>
      <c r="H1376" s="13" t="n">
        <v>1</v>
      </c>
      <c r="I1376" s="14" t="n">
        <v>225.82</v>
      </c>
      <c r="J1376" s="15" t="n">
        <v>0.11</v>
      </c>
      <c r="K1376" s="14" t="n">
        <v>124.2</v>
      </c>
      <c r="L1376" s="13" t="n">
        <v>4</v>
      </c>
      <c r="M1376" s="13" t="inlineStr">
        <is>
          <t>Cancelled</t>
        </is>
      </c>
      <c r="N1376" s="13" t="inlineStr">
        <is>
          <t>R. Ibarra</t>
        </is>
      </c>
      <c r="O1376" s="13" t="inlineStr">
        <is>
          <t>No</t>
        </is>
      </c>
      <c r="P1376" s="14">
        <f>H1376*I1376</f>
        <v/>
      </c>
      <c r="Q1376" s="14">
        <f>P1376*(1-J1376)</f>
        <v/>
      </c>
      <c r="R1376" s="14">
        <f>H1376*K1376</f>
        <v/>
      </c>
      <c r="S1376" s="15">
        <f>IF(Q1376=0,"",(Q1376-R1376)/Q1376)</f>
        <v/>
      </c>
      <c r="T1376" s="13">
        <f>YEAR(B1376)</f>
        <v/>
      </c>
      <c r="U1376" s="13">
        <f>YEAR(B1376)&amp;"-Q"&amp;ROUNDUP(MONTH(B1376)/3,0)</f>
        <v/>
      </c>
      <c r="V1376" s="13">
        <f>TEXT(B1376,"YYYY-MM")</f>
        <v/>
      </c>
      <c r="W1376" s="13">
        <f>IF(L1376="","",IF(L1376&gt;pLateDays,1,0))</f>
        <v/>
      </c>
      <c r="X1376" s="13">
        <f>IF(Q1376&gt;=pHighCutoff,1,0)</f>
        <v/>
      </c>
      <c r="Y1376" s="13">
        <f>IF(M1376="Returned",1,0)</f>
        <v/>
      </c>
    </row>
    <row r="1377">
      <c r="A1377" s="13" t="inlineStr">
        <is>
          <t>HC-101375</t>
        </is>
      </c>
      <c r="B1377" s="18" t="n">
        <v>45640</v>
      </c>
      <c r="C1377" s="13" t="inlineStr">
        <is>
          <t>North</t>
        </is>
      </c>
      <c r="D1377" s="13" t="inlineStr">
        <is>
          <t>Store</t>
        </is>
      </c>
      <c r="E1377" s="13" t="inlineStr">
        <is>
          <t>Furniture</t>
        </is>
      </c>
      <c r="F1377" s="13" t="inlineStr">
        <is>
          <t>Walnut Shelf</t>
        </is>
      </c>
      <c r="G1377" s="13" t="inlineStr">
        <is>
          <t>Corporate</t>
        </is>
      </c>
      <c r="H1377" s="13" t="n">
        <v>3</v>
      </c>
      <c r="I1377" s="14" t="n">
        <v>212.4</v>
      </c>
      <c r="J1377" s="15" t="n">
        <v>0.07000000000000001</v>
      </c>
      <c r="K1377" s="14" t="n">
        <v>116.82</v>
      </c>
      <c r="L1377" s="13" t="n">
        <v>4</v>
      </c>
      <c r="M1377" s="13" t="inlineStr">
        <is>
          <t>Completed</t>
        </is>
      </c>
      <c r="N1377" s="13" t="inlineStr">
        <is>
          <t>L. Berger</t>
        </is>
      </c>
      <c r="O1377" s="13" t="inlineStr">
        <is>
          <t>No</t>
        </is>
      </c>
      <c r="P1377" s="14">
        <f>H1377*I1377</f>
        <v/>
      </c>
      <c r="Q1377" s="14">
        <f>P1377*(1-J1377)</f>
        <v/>
      </c>
      <c r="R1377" s="14">
        <f>H1377*K1377</f>
        <v/>
      </c>
      <c r="S1377" s="15">
        <f>IF(Q1377=0,"",(Q1377-R1377)/Q1377)</f>
        <v/>
      </c>
      <c r="T1377" s="13">
        <f>YEAR(B1377)</f>
        <v/>
      </c>
      <c r="U1377" s="13">
        <f>YEAR(B1377)&amp;"-Q"&amp;ROUNDUP(MONTH(B1377)/3,0)</f>
        <v/>
      </c>
      <c r="V1377" s="13">
        <f>TEXT(B1377,"YYYY-MM")</f>
        <v/>
      </c>
      <c r="W1377" s="13">
        <f>IF(L1377="","",IF(L1377&gt;pLateDays,1,0))</f>
        <v/>
      </c>
      <c r="X1377" s="13">
        <f>IF(Q1377&gt;=pHighCutoff,1,0)</f>
        <v/>
      </c>
      <c r="Y1377" s="13">
        <f>IF(M1377="Returned",1,0)</f>
        <v/>
      </c>
    </row>
    <row r="1378">
      <c r="A1378" s="13" t="inlineStr">
        <is>
          <t>HC-101376</t>
        </is>
      </c>
      <c r="B1378" s="18" t="n">
        <v>45780</v>
      </c>
      <c r="C1378" s="13" t="inlineStr">
        <is>
          <t>West</t>
        </is>
      </c>
      <c r="D1378" s="13" t="inlineStr">
        <is>
          <t>Store</t>
        </is>
      </c>
      <c r="E1378" s="13" t="inlineStr">
        <is>
          <t>Textiles</t>
        </is>
      </c>
      <c r="F1378" s="13" t="inlineStr">
        <is>
          <t>Wool Throw</t>
        </is>
      </c>
      <c r="G1378" s="13" t="inlineStr">
        <is>
          <t>Consumer</t>
        </is>
      </c>
      <c r="H1378" s="13" t="n">
        <v>3</v>
      </c>
      <c r="I1378" s="14" t="n">
        <v>77.66</v>
      </c>
      <c r="J1378" s="15" t="n">
        <v>0.01</v>
      </c>
      <c r="K1378" s="14" t="n">
        <v>32.62</v>
      </c>
      <c r="L1378" s="13" t="n">
        <v>5</v>
      </c>
      <c r="M1378" s="13" t="inlineStr">
        <is>
          <t>Completed</t>
        </is>
      </c>
      <c r="N1378" s="13" t="inlineStr">
        <is>
          <t>P. Rossi</t>
        </is>
      </c>
      <c r="O1378" s="13" t="inlineStr">
        <is>
          <t>No</t>
        </is>
      </c>
      <c r="P1378" s="14">
        <f>H1378*I1378</f>
        <v/>
      </c>
      <c r="Q1378" s="14">
        <f>P1378*(1-J1378)</f>
        <v/>
      </c>
      <c r="R1378" s="14">
        <f>H1378*K1378</f>
        <v/>
      </c>
      <c r="S1378" s="15">
        <f>IF(Q1378=0,"",(Q1378-R1378)/Q1378)</f>
        <v/>
      </c>
      <c r="T1378" s="13">
        <f>YEAR(B1378)</f>
        <v/>
      </c>
      <c r="U1378" s="13">
        <f>YEAR(B1378)&amp;"-Q"&amp;ROUNDUP(MONTH(B1378)/3,0)</f>
        <v/>
      </c>
      <c r="V1378" s="13">
        <f>TEXT(B1378,"YYYY-MM")</f>
        <v/>
      </c>
      <c r="W1378" s="13">
        <f>IF(L1378="","",IF(L1378&gt;pLateDays,1,0))</f>
        <v/>
      </c>
      <c r="X1378" s="13">
        <f>IF(Q1378&gt;=pHighCutoff,1,0)</f>
        <v/>
      </c>
      <c r="Y1378" s="13">
        <f>IF(M1378="Returned",1,0)</f>
        <v/>
      </c>
    </row>
    <row r="1379">
      <c r="A1379" s="13" t="inlineStr">
        <is>
          <t>HC-101377</t>
        </is>
      </c>
      <c r="B1379" s="18" t="n">
        <v>45530</v>
      </c>
      <c r="C1379" s="13" t="inlineStr">
        <is>
          <t>South</t>
        </is>
      </c>
      <c r="D1379" s="13" t="inlineStr">
        <is>
          <t>Online</t>
        </is>
      </c>
      <c r="E1379" s="13" t="inlineStr">
        <is>
          <t>Textiles</t>
        </is>
      </c>
      <c r="F1379" s="13" t="inlineStr">
        <is>
          <t>Linen Curtain</t>
        </is>
      </c>
      <c r="G1379" s="13" t="inlineStr">
        <is>
          <t>Consumer</t>
        </is>
      </c>
      <c r="H1379" s="13" t="n">
        <v>2</v>
      </c>
      <c r="I1379" s="14" t="n">
        <v>97.78</v>
      </c>
      <c r="J1379" s="15" t="n">
        <v>0.12</v>
      </c>
      <c r="K1379" s="14" t="n">
        <v>44</v>
      </c>
      <c r="L1379" s="13" t="n">
        <v>8</v>
      </c>
      <c r="M1379" s="13" t="inlineStr">
        <is>
          <t>Completed</t>
        </is>
      </c>
      <c r="N1379" s="13" t="inlineStr">
        <is>
          <t>R. Ibarra</t>
        </is>
      </c>
      <c r="O1379" s="13" t="inlineStr">
        <is>
          <t>No</t>
        </is>
      </c>
      <c r="P1379" s="14">
        <f>H1379*I1379</f>
        <v/>
      </c>
      <c r="Q1379" s="14">
        <f>P1379*(1-J1379)</f>
        <v/>
      </c>
      <c r="R1379" s="14">
        <f>H1379*K1379</f>
        <v/>
      </c>
      <c r="S1379" s="15">
        <f>IF(Q1379=0,"",(Q1379-R1379)/Q1379)</f>
        <v/>
      </c>
      <c r="T1379" s="13">
        <f>YEAR(B1379)</f>
        <v/>
      </c>
      <c r="U1379" s="13">
        <f>YEAR(B1379)&amp;"-Q"&amp;ROUNDUP(MONTH(B1379)/3,0)</f>
        <v/>
      </c>
      <c r="V1379" s="13">
        <f>TEXT(B1379,"YYYY-MM")</f>
        <v/>
      </c>
      <c r="W1379" s="13">
        <f>IF(L1379="","",IF(L1379&gt;pLateDays,1,0))</f>
        <v/>
      </c>
      <c r="X1379" s="13">
        <f>IF(Q1379&gt;=pHighCutoff,1,0)</f>
        <v/>
      </c>
      <c r="Y1379" s="13">
        <f>IF(M1379="Returned",1,0)</f>
        <v/>
      </c>
    </row>
    <row r="1380">
      <c r="A1380" s="13" t="inlineStr">
        <is>
          <t>HC-101378</t>
        </is>
      </c>
      <c r="B1380" s="18" t="n">
        <v>45783</v>
      </c>
      <c r="C1380" s="13" t="inlineStr">
        <is>
          <t>North</t>
        </is>
      </c>
      <c r="D1380" s="13" t="inlineStr">
        <is>
          <t>Store</t>
        </is>
      </c>
      <c r="E1380" s="13" t="inlineStr">
        <is>
          <t>Lighting</t>
        </is>
      </c>
      <c r="F1380" s="13" t="inlineStr">
        <is>
          <t>Arc Lamp</t>
        </is>
      </c>
      <c r="G1380" s="13" t="inlineStr">
        <is>
          <t>Corporate</t>
        </is>
      </c>
      <c r="H1380" s="13" t="n">
        <v>3</v>
      </c>
      <c r="I1380" s="14" t="n">
        <v>297.33</v>
      </c>
      <c r="J1380" s="15" t="n">
        <v>0.1</v>
      </c>
      <c r="K1380" s="14" t="n">
        <v>142.72</v>
      </c>
      <c r="L1380" s="13" t="n">
        <v>6</v>
      </c>
      <c r="M1380" s="13" t="inlineStr">
        <is>
          <t>Completed</t>
        </is>
      </c>
      <c r="N1380" s="13" t="inlineStr">
        <is>
          <t>P. Rossi</t>
        </is>
      </c>
      <c r="O1380" s="13" t="inlineStr">
        <is>
          <t>No</t>
        </is>
      </c>
      <c r="P1380" s="14">
        <f>H1380*I1380</f>
        <v/>
      </c>
      <c r="Q1380" s="14">
        <f>P1380*(1-J1380)</f>
        <v/>
      </c>
      <c r="R1380" s="14">
        <f>H1380*K1380</f>
        <v/>
      </c>
      <c r="S1380" s="15">
        <f>IF(Q1380=0,"",(Q1380-R1380)/Q1380)</f>
        <v/>
      </c>
      <c r="T1380" s="13">
        <f>YEAR(B1380)</f>
        <v/>
      </c>
      <c r="U1380" s="13">
        <f>YEAR(B1380)&amp;"-Q"&amp;ROUNDUP(MONTH(B1380)/3,0)</f>
        <v/>
      </c>
      <c r="V1380" s="13">
        <f>TEXT(B1380,"YYYY-MM")</f>
        <v/>
      </c>
      <c r="W1380" s="13">
        <f>IF(L1380="","",IF(L1380&gt;pLateDays,1,0))</f>
        <v/>
      </c>
      <c r="X1380" s="13">
        <f>IF(Q1380&gt;=pHighCutoff,1,0)</f>
        <v/>
      </c>
      <c r="Y1380" s="13">
        <f>IF(M1380="Returned",1,0)</f>
        <v/>
      </c>
    </row>
    <row r="1381">
      <c r="A1381" s="13" t="inlineStr">
        <is>
          <t>HC-101379</t>
        </is>
      </c>
      <c r="B1381" s="18" t="n">
        <v>45832</v>
      </c>
      <c r="C1381" s="13" t="inlineStr">
        <is>
          <t>West</t>
        </is>
      </c>
      <c r="D1381" s="13" t="inlineStr">
        <is>
          <t>Store</t>
        </is>
      </c>
      <c r="E1381" s="13" t="inlineStr">
        <is>
          <t>Kitchen</t>
        </is>
      </c>
      <c r="F1381" s="13" t="inlineStr">
        <is>
          <t>Ceramic Set</t>
        </is>
      </c>
      <c r="G1381" s="13" t="inlineStr">
        <is>
          <t>Consumer</t>
        </is>
      </c>
      <c r="H1381" s="13" t="n">
        <v>1</v>
      </c>
      <c r="I1381" s="14" t="n">
        <v>84.22</v>
      </c>
      <c r="J1381" s="15" t="n">
        <v>0.04</v>
      </c>
      <c r="K1381" s="14" t="n">
        <v>32</v>
      </c>
      <c r="L1381" s="13" t="n">
        <v>7</v>
      </c>
      <c r="M1381" s="13" t="inlineStr">
        <is>
          <t>Completed</t>
        </is>
      </c>
      <c r="N1381" s="13" t="inlineStr">
        <is>
          <t>K. Mensah</t>
        </is>
      </c>
      <c r="O1381" s="13" t="inlineStr">
        <is>
          <t>No</t>
        </is>
      </c>
      <c r="P1381" s="14">
        <f>H1381*I1381</f>
        <v/>
      </c>
      <c r="Q1381" s="14">
        <f>P1381*(1-J1381)</f>
        <v/>
      </c>
      <c r="R1381" s="14">
        <f>H1381*K1381</f>
        <v/>
      </c>
      <c r="S1381" s="15">
        <f>IF(Q1381=0,"",(Q1381-R1381)/Q1381)</f>
        <v/>
      </c>
      <c r="T1381" s="13">
        <f>YEAR(B1381)</f>
        <v/>
      </c>
      <c r="U1381" s="13">
        <f>YEAR(B1381)&amp;"-Q"&amp;ROUNDUP(MONTH(B1381)/3,0)</f>
        <v/>
      </c>
      <c r="V1381" s="13">
        <f>TEXT(B1381,"YYYY-MM")</f>
        <v/>
      </c>
      <c r="W1381" s="13">
        <f>IF(L1381="","",IF(L1381&gt;pLateDays,1,0))</f>
        <v/>
      </c>
      <c r="X1381" s="13">
        <f>IF(Q1381&gt;=pHighCutoff,1,0)</f>
        <v/>
      </c>
      <c r="Y1381" s="13">
        <f>IF(M1381="Returned",1,0)</f>
        <v/>
      </c>
    </row>
    <row r="1382">
      <c r="A1382" s="13" t="inlineStr">
        <is>
          <t>HC-101380</t>
        </is>
      </c>
      <c r="B1382" s="18" t="n">
        <v>45356</v>
      </c>
      <c r="C1382" s="13" t="inlineStr">
        <is>
          <t>West</t>
        </is>
      </c>
      <c r="D1382" s="13" t="inlineStr">
        <is>
          <t>Store</t>
        </is>
      </c>
      <c r="E1382" s="13" t="inlineStr">
        <is>
          <t>Kitchen</t>
        </is>
      </c>
      <c r="F1382" s="13" t="inlineStr">
        <is>
          <t>Cast Skillet</t>
        </is>
      </c>
      <c r="G1382" s="13" t="inlineStr">
        <is>
          <t>Consumer</t>
        </is>
      </c>
      <c r="H1382" s="13" t="n">
        <v>1</v>
      </c>
      <c r="I1382" s="14" t="n">
        <v>52.16</v>
      </c>
      <c r="J1382" s="15" t="n">
        <v>0.09</v>
      </c>
      <c r="K1382" s="14" t="n">
        <v>20.87</v>
      </c>
      <c r="L1382" s="13" t="n"/>
      <c r="M1382" s="13" t="inlineStr">
        <is>
          <t>Completed</t>
        </is>
      </c>
      <c r="N1382" s="13" t="inlineStr">
        <is>
          <t>R. Ibarra</t>
        </is>
      </c>
      <c r="O1382" s="13" t="inlineStr">
        <is>
          <t>No</t>
        </is>
      </c>
      <c r="P1382" s="14">
        <f>H1382*I1382</f>
        <v/>
      </c>
      <c r="Q1382" s="14">
        <f>P1382*(1-J1382)</f>
        <v/>
      </c>
      <c r="R1382" s="14">
        <f>H1382*K1382</f>
        <v/>
      </c>
      <c r="S1382" s="15">
        <f>IF(Q1382=0,"",(Q1382-R1382)/Q1382)</f>
        <v/>
      </c>
      <c r="T1382" s="13">
        <f>YEAR(B1382)</f>
        <v/>
      </c>
      <c r="U1382" s="13">
        <f>YEAR(B1382)&amp;"-Q"&amp;ROUNDUP(MONTH(B1382)/3,0)</f>
        <v/>
      </c>
      <c r="V1382" s="13">
        <f>TEXT(B1382,"YYYY-MM")</f>
        <v/>
      </c>
      <c r="W1382" s="13">
        <f>IF(L1382="","",IF(L1382&gt;pLateDays,1,0))</f>
        <v/>
      </c>
      <c r="X1382" s="13">
        <f>IF(Q1382&gt;=pHighCutoff,1,0)</f>
        <v/>
      </c>
      <c r="Y1382" s="13">
        <f>IF(M1382="Returned",1,0)</f>
        <v/>
      </c>
    </row>
    <row r="1383">
      <c r="A1383" s="13" t="inlineStr">
        <is>
          <t>HC-101381</t>
        </is>
      </c>
      <c r="B1383" s="18" t="n">
        <v>45473</v>
      </c>
      <c r="C1383" s="13" t="inlineStr">
        <is>
          <t>West</t>
        </is>
      </c>
      <c r="D1383" s="13" t="inlineStr">
        <is>
          <t>Store</t>
        </is>
      </c>
      <c r="E1383" s="13" t="inlineStr">
        <is>
          <t>Textiles</t>
        </is>
      </c>
      <c r="F1383" s="13" t="inlineStr">
        <is>
          <t>Wool Throw</t>
        </is>
      </c>
      <c r="G1383" s="13" t="inlineStr">
        <is>
          <t>Consumer</t>
        </is>
      </c>
      <c r="H1383" s="13" t="n">
        <v>2</v>
      </c>
      <c r="I1383" s="14" t="n">
        <v>71.56999999999999</v>
      </c>
      <c r="J1383" s="15" t="n">
        <v>0.1</v>
      </c>
      <c r="K1383" s="14" t="n">
        <v>30.06</v>
      </c>
      <c r="L1383" s="13" t="n">
        <v>4</v>
      </c>
      <c r="M1383" s="13" t="inlineStr">
        <is>
          <t>Returned</t>
        </is>
      </c>
      <c r="N1383" s="13" t="inlineStr">
        <is>
          <t>M. Okonkwo</t>
        </is>
      </c>
      <c r="O1383" s="13" t="inlineStr">
        <is>
          <t>No</t>
        </is>
      </c>
      <c r="P1383" s="14">
        <f>H1383*I1383</f>
        <v/>
      </c>
      <c r="Q1383" s="14">
        <f>P1383*(1-J1383)</f>
        <v/>
      </c>
      <c r="R1383" s="14">
        <f>H1383*K1383</f>
        <v/>
      </c>
      <c r="S1383" s="15">
        <f>IF(Q1383=0,"",(Q1383-R1383)/Q1383)</f>
        <v/>
      </c>
      <c r="T1383" s="13">
        <f>YEAR(B1383)</f>
        <v/>
      </c>
      <c r="U1383" s="13">
        <f>YEAR(B1383)&amp;"-Q"&amp;ROUNDUP(MONTH(B1383)/3,0)</f>
        <v/>
      </c>
      <c r="V1383" s="13">
        <f>TEXT(B1383,"YYYY-MM")</f>
        <v/>
      </c>
      <c r="W1383" s="13">
        <f>IF(L1383="","",IF(L1383&gt;pLateDays,1,0))</f>
        <v/>
      </c>
      <c r="X1383" s="13">
        <f>IF(Q1383&gt;=pHighCutoff,1,0)</f>
        <v/>
      </c>
      <c r="Y1383" s="13">
        <f>IF(M1383="Returned",1,0)</f>
        <v/>
      </c>
    </row>
    <row r="1384">
      <c r="A1384" s="13" t="inlineStr">
        <is>
          <t>HC-101382</t>
        </is>
      </c>
      <c r="B1384" s="18" t="n">
        <v>45634</v>
      </c>
      <c r="C1384" s="13" t="inlineStr">
        <is>
          <t>West</t>
        </is>
      </c>
      <c r="D1384" s="13" t="inlineStr">
        <is>
          <t>Store</t>
        </is>
      </c>
      <c r="E1384" s="13" t="inlineStr">
        <is>
          <t>Lighting</t>
        </is>
      </c>
      <c r="F1384" s="13" t="inlineStr">
        <is>
          <t>Arc Lamp</t>
        </is>
      </c>
      <c r="G1384" s="13" t="inlineStr">
        <is>
          <t>Consumer</t>
        </is>
      </c>
      <c r="H1384" s="13" t="n">
        <v>2</v>
      </c>
      <c r="I1384" s="14" t="n">
        <v>301.64</v>
      </c>
      <c r="J1384" s="15" t="n">
        <v>0.01</v>
      </c>
      <c r="K1384" s="14" t="n">
        <v>144.79</v>
      </c>
      <c r="L1384" s="13" t="n">
        <v>5</v>
      </c>
      <c r="M1384" s="13" t="inlineStr">
        <is>
          <t>Completed</t>
        </is>
      </c>
      <c r="N1384" s="13" t="inlineStr">
        <is>
          <t>L. Berger</t>
        </is>
      </c>
      <c r="O1384" s="13" t="inlineStr">
        <is>
          <t>No</t>
        </is>
      </c>
      <c r="P1384" s="14">
        <f>H1384*I1384</f>
        <v/>
      </c>
      <c r="Q1384" s="14">
        <f>P1384*(1-J1384)</f>
        <v/>
      </c>
      <c r="R1384" s="14">
        <f>H1384*K1384</f>
        <v/>
      </c>
      <c r="S1384" s="15">
        <f>IF(Q1384=0,"",(Q1384-R1384)/Q1384)</f>
        <v/>
      </c>
      <c r="T1384" s="13">
        <f>YEAR(B1384)</f>
        <v/>
      </c>
      <c r="U1384" s="13">
        <f>YEAR(B1384)&amp;"-Q"&amp;ROUNDUP(MONTH(B1384)/3,0)</f>
        <v/>
      </c>
      <c r="V1384" s="13">
        <f>TEXT(B1384,"YYYY-MM")</f>
        <v/>
      </c>
      <c r="W1384" s="13">
        <f>IF(L1384="","",IF(L1384&gt;pLateDays,1,0))</f>
        <v/>
      </c>
      <c r="X1384" s="13">
        <f>IF(Q1384&gt;=pHighCutoff,1,0)</f>
        <v/>
      </c>
      <c r="Y1384" s="13">
        <f>IF(M1384="Returned",1,0)</f>
        <v/>
      </c>
    </row>
    <row r="1385">
      <c r="A1385" s="13" t="inlineStr">
        <is>
          <t>HC-101383</t>
        </is>
      </c>
      <c r="B1385" s="18" t="n">
        <v>45464</v>
      </c>
      <c r="C1385" s="13" t="inlineStr">
        <is>
          <t>West</t>
        </is>
      </c>
      <c r="D1385" s="13" t="inlineStr">
        <is>
          <t>Online</t>
        </is>
      </c>
      <c r="E1385" s="13" t="inlineStr">
        <is>
          <t>Textiles</t>
        </is>
      </c>
      <c r="F1385" s="13" t="inlineStr">
        <is>
          <t>Cotton Duvet</t>
        </is>
      </c>
      <c r="G1385" s="13" t="inlineStr">
        <is>
          <t>Corporate</t>
        </is>
      </c>
      <c r="H1385" s="13" t="n">
        <v>3</v>
      </c>
      <c r="I1385" s="14" t="n">
        <v>124.66</v>
      </c>
      <c r="J1385" s="15" t="n">
        <v>0.13</v>
      </c>
      <c r="K1385" s="14" t="n">
        <v>54.85</v>
      </c>
      <c r="L1385" s="13" t="n">
        <v>3</v>
      </c>
      <c r="M1385" s="13" t="inlineStr">
        <is>
          <t>Completed</t>
        </is>
      </c>
      <c r="N1385" s="13" t="inlineStr">
        <is>
          <t>J. Patel</t>
        </is>
      </c>
      <c r="O1385" s="13" t="inlineStr">
        <is>
          <t>No</t>
        </is>
      </c>
      <c r="P1385" s="14">
        <f>H1385*I1385</f>
        <v/>
      </c>
      <c r="Q1385" s="14">
        <f>P1385*(1-J1385)</f>
        <v/>
      </c>
      <c r="R1385" s="14">
        <f>H1385*K1385</f>
        <v/>
      </c>
      <c r="S1385" s="15">
        <f>IF(Q1385=0,"",(Q1385-R1385)/Q1385)</f>
        <v/>
      </c>
      <c r="T1385" s="13">
        <f>YEAR(B1385)</f>
        <v/>
      </c>
      <c r="U1385" s="13">
        <f>YEAR(B1385)&amp;"-Q"&amp;ROUNDUP(MONTH(B1385)/3,0)</f>
        <v/>
      </c>
      <c r="V1385" s="13">
        <f>TEXT(B1385,"YYYY-MM")</f>
        <v/>
      </c>
      <c r="W1385" s="13">
        <f>IF(L1385="","",IF(L1385&gt;pLateDays,1,0))</f>
        <v/>
      </c>
      <c r="X1385" s="13">
        <f>IF(Q1385&gt;=pHighCutoff,1,0)</f>
        <v/>
      </c>
      <c r="Y1385" s="13">
        <f>IF(M1385="Returned",1,0)</f>
        <v/>
      </c>
    </row>
    <row r="1386">
      <c r="A1386" s="13" t="inlineStr">
        <is>
          <t>HC-101384</t>
        </is>
      </c>
      <c r="B1386" s="18" t="n">
        <v>45597</v>
      </c>
      <c r="C1386" s="13" t="inlineStr">
        <is>
          <t>West</t>
        </is>
      </c>
      <c r="D1386" s="13" t="inlineStr">
        <is>
          <t>Store</t>
        </is>
      </c>
      <c r="E1386" s="13" t="inlineStr">
        <is>
          <t>Textiles</t>
        </is>
      </c>
      <c r="F1386" s="13" t="inlineStr">
        <is>
          <t>Cotton Duvet</t>
        </is>
      </c>
      <c r="G1386" s="13" t="inlineStr">
        <is>
          <t>Consumer</t>
        </is>
      </c>
      <c r="H1386" s="13" t="n">
        <v>4</v>
      </c>
      <c r="I1386" s="14" t="n">
        <v>116.7</v>
      </c>
      <c r="J1386" s="15" t="n">
        <v>0.09</v>
      </c>
      <c r="K1386" s="14" t="n">
        <v>51.35</v>
      </c>
      <c r="L1386" s="13" t="n">
        <v>5</v>
      </c>
      <c r="M1386" s="13" t="inlineStr">
        <is>
          <t>Completed</t>
        </is>
      </c>
      <c r="N1386" s="13" t="inlineStr">
        <is>
          <t>J. Patel</t>
        </is>
      </c>
      <c r="O1386" s="13" t="inlineStr">
        <is>
          <t>No</t>
        </is>
      </c>
      <c r="P1386" s="14">
        <f>H1386*I1386</f>
        <v/>
      </c>
      <c r="Q1386" s="14">
        <f>P1386*(1-J1386)</f>
        <v/>
      </c>
      <c r="R1386" s="14">
        <f>H1386*K1386</f>
        <v/>
      </c>
      <c r="S1386" s="15">
        <f>IF(Q1386=0,"",(Q1386-R1386)/Q1386)</f>
        <v/>
      </c>
      <c r="T1386" s="13">
        <f>YEAR(B1386)</f>
        <v/>
      </c>
      <c r="U1386" s="13">
        <f>YEAR(B1386)&amp;"-Q"&amp;ROUNDUP(MONTH(B1386)/3,0)</f>
        <v/>
      </c>
      <c r="V1386" s="13">
        <f>TEXT(B1386,"YYYY-MM")</f>
        <v/>
      </c>
      <c r="W1386" s="13">
        <f>IF(L1386="","",IF(L1386&gt;pLateDays,1,0))</f>
        <v/>
      </c>
      <c r="X1386" s="13">
        <f>IF(Q1386&gt;=pHighCutoff,1,0)</f>
        <v/>
      </c>
      <c r="Y1386" s="13">
        <f>IF(M1386="Returned",1,0)</f>
        <v/>
      </c>
    </row>
    <row r="1387">
      <c r="A1387" s="13" t="inlineStr">
        <is>
          <t>HC-101385</t>
        </is>
      </c>
      <c r="B1387" s="18" t="n">
        <v>45859</v>
      </c>
      <c r="C1387" s="13" t="inlineStr">
        <is>
          <t>North</t>
        </is>
      </c>
      <c r="D1387" s="13" t="inlineStr">
        <is>
          <t>Store</t>
        </is>
      </c>
      <c r="E1387" s="13" t="inlineStr">
        <is>
          <t>Textiles</t>
        </is>
      </c>
      <c r="F1387" s="13" t="inlineStr">
        <is>
          <t>Wool Throw</t>
        </is>
      </c>
      <c r="G1387" s="13" t="inlineStr">
        <is>
          <t>Consumer</t>
        </is>
      </c>
      <c r="H1387" s="13" t="n">
        <v>3</v>
      </c>
      <c r="I1387" s="14" t="n">
        <v>79.23</v>
      </c>
      <c r="J1387" s="15" t="n">
        <v>0.12</v>
      </c>
      <c r="K1387" s="14" t="n">
        <v>33.28</v>
      </c>
      <c r="L1387" s="13" t="n">
        <v>5</v>
      </c>
      <c r="M1387" s="13" t="inlineStr">
        <is>
          <t>Returned</t>
        </is>
      </c>
      <c r="N1387" s="13" t="inlineStr">
        <is>
          <t>J. Patel</t>
        </is>
      </c>
      <c r="O1387" s="13" t="inlineStr">
        <is>
          <t>No</t>
        </is>
      </c>
      <c r="P1387" s="14">
        <f>H1387*I1387</f>
        <v/>
      </c>
      <c r="Q1387" s="14">
        <f>P1387*(1-J1387)</f>
        <v/>
      </c>
      <c r="R1387" s="14">
        <f>H1387*K1387</f>
        <v/>
      </c>
      <c r="S1387" s="15">
        <f>IF(Q1387=0,"",(Q1387-R1387)/Q1387)</f>
        <v/>
      </c>
      <c r="T1387" s="13">
        <f>YEAR(B1387)</f>
        <v/>
      </c>
      <c r="U1387" s="13">
        <f>YEAR(B1387)&amp;"-Q"&amp;ROUNDUP(MONTH(B1387)/3,0)</f>
        <v/>
      </c>
      <c r="V1387" s="13">
        <f>TEXT(B1387,"YYYY-MM")</f>
        <v/>
      </c>
      <c r="W1387" s="13">
        <f>IF(L1387="","",IF(L1387&gt;pLateDays,1,0))</f>
        <v/>
      </c>
      <c r="X1387" s="13">
        <f>IF(Q1387&gt;=pHighCutoff,1,0)</f>
        <v/>
      </c>
      <c r="Y1387" s="13">
        <f>IF(M1387="Returned",1,0)</f>
        <v/>
      </c>
    </row>
    <row r="1388">
      <c r="A1388" s="13" t="inlineStr">
        <is>
          <t>HC-101386</t>
        </is>
      </c>
      <c r="B1388" s="18" t="n">
        <v>45437</v>
      </c>
      <c r="C1388" s="13" t="inlineStr">
        <is>
          <t>South</t>
        </is>
      </c>
      <c r="D1388" s="13" t="inlineStr">
        <is>
          <t>Online</t>
        </is>
      </c>
      <c r="E1388" s="13" t="inlineStr">
        <is>
          <t>Kitchen</t>
        </is>
      </c>
      <c r="F1388" s="13" t="inlineStr">
        <is>
          <t>Ceramic Set</t>
        </is>
      </c>
      <c r="G1388" s="13" t="inlineStr">
        <is>
          <t>Consumer</t>
        </is>
      </c>
      <c r="H1388" s="13" t="n">
        <v>3</v>
      </c>
      <c r="I1388" s="14" t="n">
        <v>89.26000000000001</v>
      </c>
      <c r="J1388" s="15" t="n">
        <v>0.02</v>
      </c>
      <c r="K1388" s="14" t="n">
        <v>33.92</v>
      </c>
      <c r="L1388" s="13" t="n">
        <v>8</v>
      </c>
      <c r="M1388" s="13" t="inlineStr">
        <is>
          <t>Completed</t>
        </is>
      </c>
      <c r="N1388" s="13" t="inlineStr">
        <is>
          <t>S. Nguyen</t>
        </is>
      </c>
      <c r="O1388" s="13" t="inlineStr">
        <is>
          <t>No</t>
        </is>
      </c>
      <c r="P1388" s="14">
        <f>H1388*I1388</f>
        <v/>
      </c>
      <c r="Q1388" s="14">
        <f>P1388*(1-J1388)</f>
        <v/>
      </c>
      <c r="R1388" s="14">
        <f>H1388*K1388</f>
        <v/>
      </c>
      <c r="S1388" s="15">
        <f>IF(Q1388=0,"",(Q1388-R1388)/Q1388)</f>
        <v/>
      </c>
      <c r="T1388" s="13">
        <f>YEAR(B1388)</f>
        <v/>
      </c>
      <c r="U1388" s="13">
        <f>YEAR(B1388)&amp;"-Q"&amp;ROUNDUP(MONTH(B1388)/3,0)</f>
        <v/>
      </c>
      <c r="V1388" s="13">
        <f>TEXT(B1388,"YYYY-MM")</f>
        <v/>
      </c>
      <c r="W1388" s="13">
        <f>IF(L1388="","",IF(L1388&gt;pLateDays,1,0))</f>
        <v/>
      </c>
      <c r="X1388" s="13">
        <f>IF(Q1388&gt;=pHighCutoff,1,0)</f>
        <v/>
      </c>
      <c r="Y1388" s="13">
        <f>IF(M1388="Returned",1,0)</f>
        <v/>
      </c>
    </row>
    <row r="1389">
      <c r="A1389" s="13" t="inlineStr">
        <is>
          <t>HC-101387</t>
        </is>
      </c>
      <c r="B1389" s="18" t="n">
        <v>45479</v>
      </c>
      <c r="C1389" s="13" t="inlineStr">
        <is>
          <t>East</t>
        </is>
      </c>
      <c r="D1389" s="13" t="inlineStr">
        <is>
          <t>Store</t>
        </is>
      </c>
      <c r="E1389" s="13" t="inlineStr">
        <is>
          <t>Furniture</t>
        </is>
      </c>
      <c r="F1389" s="13" t="inlineStr">
        <is>
          <t>Lounge Chair</t>
        </is>
      </c>
      <c r="G1389" s="13" t="inlineStr">
        <is>
          <t>Home Office</t>
        </is>
      </c>
      <c r="H1389" s="13" t="n">
        <v>2</v>
      </c>
      <c r="I1389" s="14" t="n">
        <v>455.79</v>
      </c>
      <c r="J1389" s="15" t="n">
        <v>0.06</v>
      </c>
      <c r="K1389" s="14" t="n">
        <v>273.47</v>
      </c>
      <c r="L1389" s="13" t="n">
        <v>7</v>
      </c>
      <c r="M1389" s="13" t="inlineStr">
        <is>
          <t>Completed</t>
        </is>
      </c>
      <c r="N1389" s="13" t="inlineStr">
        <is>
          <t>K. Mensah</t>
        </is>
      </c>
      <c r="O1389" s="13" t="inlineStr">
        <is>
          <t>No</t>
        </is>
      </c>
      <c r="P1389" s="14">
        <f>H1389*I1389</f>
        <v/>
      </c>
      <c r="Q1389" s="14">
        <f>P1389*(1-J1389)</f>
        <v/>
      </c>
      <c r="R1389" s="14">
        <f>H1389*K1389</f>
        <v/>
      </c>
      <c r="S1389" s="15">
        <f>IF(Q1389=0,"",(Q1389-R1389)/Q1389)</f>
        <v/>
      </c>
      <c r="T1389" s="13">
        <f>YEAR(B1389)</f>
        <v/>
      </c>
      <c r="U1389" s="13">
        <f>YEAR(B1389)&amp;"-Q"&amp;ROUNDUP(MONTH(B1389)/3,0)</f>
        <v/>
      </c>
      <c r="V1389" s="13">
        <f>TEXT(B1389,"YYYY-MM")</f>
        <v/>
      </c>
      <c r="W1389" s="13">
        <f>IF(L1389="","",IF(L1389&gt;pLateDays,1,0))</f>
        <v/>
      </c>
      <c r="X1389" s="13">
        <f>IF(Q1389&gt;=pHighCutoff,1,0)</f>
        <v/>
      </c>
      <c r="Y1389" s="13">
        <f>IF(M1389="Returned",1,0)</f>
        <v/>
      </c>
    </row>
    <row r="1390">
      <c r="A1390" s="13" t="inlineStr">
        <is>
          <t>HC-101388</t>
        </is>
      </c>
      <c r="B1390" s="18" t="n">
        <v>45787</v>
      </c>
      <c r="C1390" s="13" t="inlineStr">
        <is>
          <t>East</t>
        </is>
      </c>
      <c r="D1390" s="13" t="inlineStr">
        <is>
          <t>Store</t>
        </is>
      </c>
      <c r="E1390" s="13" t="inlineStr">
        <is>
          <t>Textiles</t>
        </is>
      </c>
      <c r="F1390" s="13" t="inlineStr">
        <is>
          <t>Wool Throw</t>
        </is>
      </c>
      <c r="G1390" s="13" t="inlineStr">
        <is>
          <t>Consumer</t>
        </is>
      </c>
      <c r="H1390" s="13" t="n">
        <v>1</v>
      </c>
      <c r="I1390" s="14" t="n">
        <v>64.69</v>
      </c>
      <c r="J1390" s="15" t="n">
        <v>0.1</v>
      </c>
      <c r="K1390" s="14" t="n">
        <v>27.17</v>
      </c>
      <c r="L1390" s="13" t="n">
        <v>7</v>
      </c>
      <c r="M1390" s="13" t="inlineStr">
        <is>
          <t>Returned</t>
        </is>
      </c>
      <c r="N1390" s="13" t="inlineStr">
        <is>
          <t>P. Rossi</t>
        </is>
      </c>
      <c r="O1390" s="13" t="inlineStr">
        <is>
          <t>No</t>
        </is>
      </c>
      <c r="P1390" s="14">
        <f>H1390*I1390</f>
        <v/>
      </c>
      <c r="Q1390" s="14">
        <f>P1390*(1-J1390)</f>
        <v/>
      </c>
      <c r="R1390" s="14">
        <f>H1390*K1390</f>
        <v/>
      </c>
      <c r="S1390" s="15">
        <f>IF(Q1390=0,"",(Q1390-R1390)/Q1390)</f>
        <v/>
      </c>
      <c r="T1390" s="13">
        <f>YEAR(B1390)</f>
        <v/>
      </c>
      <c r="U1390" s="13">
        <f>YEAR(B1390)&amp;"-Q"&amp;ROUNDUP(MONTH(B1390)/3,0)</f>
        <v/>
      </c>
      <c r="V1390" s="13">
        <f>TEXT(B1390,"YYYY-MM")</f>
        <v/>
      </c>
      <c r="W1390" s="13">
        <f>IF(L1390="","",IF(L1390&gt;pLateDays,1,0))</f>
        <v/>
      </c>
      <c r="X1390" s="13">
        <f>IF(Q1390&gt;=pHighCutoff,1,0)</f>
        <v/>
      </c>
      <c r="Y1390" s="13">
        <f>IF(M1390="Returned",1,0)</f>
        <v/>
      </c>
    </row>
    <row r="1391">
      <c r="A1391" s="13" t="inlineStr">
        <is>
          <t>HC-101389</t>
        </is>
      </c>
      <c r="B1391" s="18" t="n">
        <v>45813</v>
      </c>
      <c r="C1391" s="13" t="inlineStr">
        <is>
          <t>West</t>
        </is>
      </c>
      <c r="D1391" s="13" t="inlineStr">
        <is>
          <t>Online</t>
        </is>
      </c>
      <c r="E1391" s="13" t="inlineStr">
        <is>
          <t>Kitchen</t>
        </is>
      </c>
      <c r="F1391" s="13" t="inlineStr">
        <is>
          <t>Cast Skillet</t>
        </is>
      </c>
      <c r="G1391" s="13" t="inlineStr">
        <is>
          <t>Home Office</t>
        </is>
      </c>
      <c r="H1391" s="13" t="n">
        <v>1</v>
      </c>
      <c r="I1391" s="14" t="n">
        <v>54.83</v>
      </c>
      <c r="J1391" s="15" t="n">
        <v>0.04</v>
      </c>
      <c r="K1391" s="14" t="n">
        <v>21.93</v>
      </c>
      <c r="L1391" s="13" t="n">
        <v>7</v>
      </c>
      <c r="M1391" s="13" t="inlineStr">
        <is>
          <t>Completed</t>
        </is>
      </c>
      <c r="N1391" s="13" t="inlineStr">
        <is>
          <t>R. Ibarra</t>
        </is>
      </c>
      <c r="O1391" s="13" t="inlineStr">
        <is>
          <t>No</t>
        </is>
      </c>
      <c r="P1391" s="14">
        <f>H1391*I1391</f>
        <v/>
      </c>
      <c r="Q1391" s="14">
        <f>P1391*(1-J1391)</f>
        <v/>
      </c>
      <c r="R1391" s="14">
        <f>H1391*K1391</f>
        <v/>
      </c>
      <c r="S1391" s="15">
        <f>IF(Q1391=0,"",(Q1391-R1391)/Q1391)</f>
        <v/>
      </c>
      <c r="T1391" s="13">
        <f>YEAR(B1391)</f>
        <v/>
      </c>
      <c r="U1391" s="13">
        <f>YEAR(B1391)&amp;"-Q"&amp;ROUNDUP(MONTH(B1391)/3,0)</f>
        <v/>
      </c>
      <c r="V1391" s="13">
        <f>TEXT(B1391,"YYYY-MM")</f>
        <v/>
      </c>
      <c r="W1391" s="13">
        <f>IF(L1391="","",IF(L1391&gt;pLateDays,1,0))</f>
        <v/>
      </c>
      <c r="X1391" s="13">
        <f>IF(Q1391&gt;=pHighCutoff,1,0)</f>
        <v/>
      </c>
      <c r="Y1391" s="13">
        <f>IF(M1391="Returned",1,0)</f>
        <v/>
      </c>
    </row>
    <row r="1392">
      <c r="A1392" s="13" t="inlineStr">
        <is>
          <t>HC-101390</t>
        </is>
      </c>
      <c r="B1392" s="18" t="n">
        <v>45692</v>
      </c>
      <c r="C1392" s="13" t="inlineStr">
        <is>
          <t>South</t>
        </is>
      </c>
      <c r="D1392" s="13" t="inlineStr">
        <is>
          <t>Store</t>
        </is>
      </c>
      <c r="E1392" s="13" t="inlineStr">
        <is>
          <t>Textiles</t>
        </is>
      </c>
      <c r="F1392" s="13" t="inlineStr">
        <is>
          <t>Wool Throw</t>
        </is>
      </c>
      <c r="G1392" s="13" t="inlineStr">
        <is>
          <t>Consumer</t>
        </is>
      </c>
      <c r="H1392" s="13" t="n">
        <v>2</v>
      </c>
      <c r="I1392" s="14" t="n">
        <v>74.8</v>
      </c>
      <c r="J1392" s="15" t="n">
        <v>0.02</v>
      </c>
      <c r="K1392" s="14" t="n">
        <v>31.42</v>
      </c>
      <c r="L1392" s="13" t="n">
        <v>9</v>
      </c>
      <c r="M1392" s="13" t="inlineStr">
        <is>
          <t>Completed</t>
        </is>
      </c>
      <c r="N1392" s="13" t="inlineStr">
        <is>
          <t>J. Patel</t>
        </is>
      </c>
      <c r="O1392" s="13" t="inlineStr">
        <is>
          <t>No</t>
        </is>
      </c>
      <c r="P1392" s="14">
        <f>H1392*I1392</f>
        <v/>
      </c>
      <c r="Q1392" s="14">
        <f>P1392*(1-J1392)</f>
        <v/>
      </c>
      <c r="R1392" s="14">
        <f>H1392*K1392</f>
        <v/>
      </c>
      <c r="S1392" s="15">
        <f>IF(Q1392=0,"",(Q1392-R1392)/Q1392)</f>
        <v/>
      </c>
      <c r="T1392" s="13">
        <f>YEAR(B1392)</f>
        <v/>
      </c>
      <c r="U1392" s="13">
        <f>YEAR(B1392)&amp;"-Q"&amp;ROUNDUP(MONTH(B1392)/3,0)</f>
        <v/>
      </c>
      <c r="V1392" s="13">
        <f>TEXT(B1392,"YYYY-MM")</f>
        <v/>
      </c>
      <c r="W1392" s="13">
        <f>IF(L1392="","",IF(L1392&gt;pLateDays,1,0))</f>
        <v/>
      </c>
      <c r="X1392" s="13">
        <f>IF(Q1392&gt;=pHighCutoff,1,0)</f>
        <v/>
      </c>
      <c r="Y1392" s="13">
        <f>IF(M1392="Returned",1,0)</f>
        <v/>
      </c>
    </row>
    <row r="1393">
      <c r="A1393" s="13" t="inlineStr">
        <is>
          <t>HC-101391</t>
        </is>
      </c>
      <c r="B1393" s="18" t="n">
        <v>45595</v>
      </c>
      <c r="C1393" s="13" t="inlineStr">
        <is>
          <t>West</t>
        </is>
      </c>
      <c r="D1393" s="13" t="inlineStr">
        <is>
          <t>Online</t>
        </is>
      </c>
      <c r="E1393" s="13" t="inlineStr">
        <is>
          <t>Kitchen</t>
        </is>
      </c>
      <c r="F1393" s="13" t="inlineStr">
        <is>
          <t>Chef Knife</t>
        </is>
      </c>
      <c r="G1393" s="13" t="inlineStr">
        <is>
          <t>Corporate</t>
        </is>
      </c>
      <c r="H1393" s="13" t="n">
        <v>1</v>
      </c>
      <c r="I1393" s="14" t="n">
        <v>60.71</v>
      </c>
      <c r="J1393" s="15" t="n">
        <v>0.09</v>
      </c>
      <c r="K1393" s="14" t="n">
        <v>21.86</v>
      </c>
      <c r="L1393" s="13" t="n">
        <v>2</v>
      </c>
      <c r="M1393" s="13" t="inlineStr">
        <is>
          <t>Completed</t>
        </is>
      </c>
      <c r="N1393" s="13" t="inlineStr">
        <is>
          <t>M. Okonkwo</t>
        </is>
      </c>
      <c r="O1393" s="13" t="inlineStr">
        <is>
          <t>No</t>
        </is>
      </c>
      <c r="P1393" s="14">
        <f>H1393*I1393</f>
        <v/>
      </c>
      <c r="Q1393" s="14">
        <f>P1393*(1-J1393)</f>
        <v/>
      </c>
      <c r="R1393" s="14">
        <f>H1393*K1393</f>
        <v/>
      </c>
      <c r="S1393" s="15">
        <f>IF(Q1393=0,"",(Q1393-R1393)/Q1393)</f>
        <v/>
      </c>
      <c r="T1393" s="13">
        <f>YEAR(B1393)</f>
        <v/>
      </c>
      <c r="U1393" s="13">
        <f>YEAR(B1393)&amp;"-Q"&amp;ROUNDUP(MONTH(B1393)/3,0)</f>
        <v/>
      </c>
      <c r="V1393" s="13">
        <f>TEXT(B1393,"YYYY-MM")</f>
        <v/>
      </c>
      <c r="W1393" s="13">
        <f>IF(L1393="","",IF(L1393&gt;pLateDays,1,0))</f>
        <v/>
      </c>
      <c r="X1393" s="13">
        <f>IF(Q1393&gt;=pHighCutoff,1,0)</f>
        <v/>
      </c>
      <c r="Y1393" s="13">
        <f>IF(M1393="Returned",1,0)</f>
        <v/>
      </c>
    </row>
    <row r="1394">
      <c r="A1394" s="13" t="inlineStr">
        <is>
          <t>HC-101392</t>
        </is>
      </c>
      <c r="B1394" s="18" t="n">
        <v>45396</v>
      </c>
      <c r="C1394" s="13" t="inlineStr">
        <is>
          <t>West</t>
        </is>
      </c>
      <c r="D1394" s="13" t="inlineStr">
        <is>
          <t>Store</t>
        </is>
      </c>
      <c r="E1394" s="13" t="inlineStr">
        <is>
          <t>Furniture</t>
        </is>
      </c>
      <c r="F1394" s="13" t="inlineStr">
        <is>
          <t>Walnut Shelf</t>
        </is>
      </c>
      <c r="G1394" s="13" t="inlineStr">
        <is>
          <t>Consumer</t>
        </is>
      </c>
      <c r="H1394" s="13" t="n">
        <v>2</v>
      </c>
      <c r="I1394" s="14" t="n">
        <v>213.22</v>
      </c>
      <c r="J1394" s="15" t="n">
        <v>0.1</v>
      </c>
      <c r="K1394" s="14" t="n">
        <v>117.27</v>
      </c>
      <c r="L1394" s="13" t="n">
        <v>7</v>
      </c>
      <c r="M1394" s="13" t="inlineStr">
        <is>
          <t>Completed</t>
        </is>
      </c>
      <c r="N1394" s="13" t="inlineStr">
        <is>
          <t>S. Nguyen</t>
        </is>
      </c>
      <c r="O1394" s="13" t="inlineStr">
        <is>
          <t>No</t>
        </is>
      </c>
      <c r="P1394" s="14">
        <f>H1394*I1394</f>
        <v/>
      </c>
      <c r="Q1394" s="14">
        <f>P1394*(1-J1394)</f>
        <v/>
      </c>
      <c r="R1394" s="14">
        <f>H1394*K1394</f>
        <v/>
      </c>
      <c r="S1394" s="15">
        <f>IF(Q1394=0,"",(Q1394-R1394)/Q1394)</f>
        <v/>
      </c>
      <c r="T1394" s="13">
        <f>YEAR(B1394)</f>
        <v/>
      </c>
      <c r="U1394" s="13">
        <f>YEAR(B1394)&amp;"-Q"&amp;ROUNDUP(MONTH(B1394)/3,0)</f>
        <v/>
      </c>
      <c r="V1394" s="13">
        <f>TEXT(B1394,"YYYY-MM")</f>
        <v/>
      </c>
      <c r="W1394" s="13">
        <f>IF(L1394="","",IF(L1394&gt;pLateDays,1,0))</f>
        <v/>
      </c>
      <c r="X1394" s="13">
        <f>IF(Q1394&gt;=pHighCutoff,1,0)</f>
        <v/>
      </c>
      <c r="Y1394" s="13">
        <f>IF(M1394="Returned",1,0)</f>
        <v/>
      </c>
    </row>
    <row r="1395">
      <c r="A1395" s="13" t="inlineStr">
        <is>
          <t>HC-101393</t>
        </is>
      </c>
      <c r="B1395" s="18" t="n">
        <v>45638</v>
      </c>
      <c r="C1395" s="13" t="inlineStr">
        <is>
          <t>South</t>
        </is>
      </c>
      <c r="D1395" s="13" t="inlineStr">
        <is>
          <t>Store</t>
        </is>
      </c>
      <c r="E1395" s="13" t="inlineStr">
        <is>
          <t>Lighting</t>
        </is>
      </c>
      <c r="F1395" s="13" t="inlineStr">
        <is>
          <t>Pendant Light</t>
        </is>
      </c>
      <c r="G1395" s="13" t="inlineStr">
        <is>
          <t>Consumer</t>
        </is>
      </c>
      <c r="H1395" s="13" t="n">
        <v>2</v>
      </c>
      <c r="I1395" s="14" t="n">
        <v>193.26</v>
      </c>
      <c r="J1395" s="15" t="n">
        <v>0.12</v>
      </c>
      <c r="K1395" s="14" t="n">
        <v>96.63</v>
      </c>
      <c r="L1395" s="13" t="n">
        <v>6</v>
      </c>
      <c r="M1395" s="13" t="inlineStr">
        <is>
          <t>Returned</t>
        </is>
      </c>
      <c r="N1395" s="13" t="inlineStr">
        <is>
          <t>K. Mensah</t>
        </is>
      </c>
      <c r="O1395" s="13" t="inlineStr">
        <is>
          <t>No</t>
        </is>
      </c>
      <c r="P1395" s="14">
        <f>H1395*I1395</f>
        <v/>
      </c>
      <c r="Q1395" s="14">
        <f>P1395*(1-J1395)</f>
        <v/>
      </c>
      <c r="R1395" s="14">
        <f>H1395*K1395</f>
        <v/>
      </c>
      <c r="S1395" s="15">
        <f>IF(Q1395=0,"",(Q1395-R1395)/Q1395)</f>
        <v/>
      </c>
      <c r="T1395" s="13">
        <f>YEAR(B1395)</f>
        <v/>
      </c>
      <c r="U1395" s="13">
        <f>YEAR(B1395)&amp;"-Q"&amp;ROUNDUP(MONTH(B1395)/3,0)</f>
        <v/>
      </c>
      <c r="V1395" s="13">
        <f>TEXT(B1395,"YYYY-MM")</f>
        <v/>
      </c>
      <c r="W1395" s="13">
        <f>IF(L1395="","",IF(L1395&gt;pLateDays,1,0))</f>
        <v/>
      </c>
      <c r="X1395" s="13">
        <f>IF(Q1395&gt;=pHighCutoff,1,0)</f>
        <v/>
      </c>
      <c r="Y1395" s="13">
        <f>IF(M1395="Returned",1,0)</f>
        <v/>
      </c>
    </row>
    <row r="1396">
      <c r="A1396" s="13" t="inlineStr">
        <is>
          <t>HC-101394</t>
        </is>
      </c>
      <c r="B1396" s="18" t="n">
        <v>45615</v>
      </c>
      <c r="C1396" s="13" t="inlineStr">
        <is>
          <t>West</t>
        </is>
      </c>
      <c r="D1396" s="13" t="inlineStr">
        <is>
          <t>Wholesale</t>
        </is>
      </c>
      <c r="E1396" s="13" t="inlineStr">
        <is>
          <t>Furniture</t>
        </is>
      </c>
      <c r="F1396" s="13" t="inlineStr">
        <is>
          <t>Walnut Shelf</t>
        </is>
      </c>
      <c r="G1396" s="13" t="inlineStr">
        <is>
          <t>Consumer</t>
        </is>
      </c>
      <c r="H1396" s="13" t="n">
        <v>29</v>
      </c>
      <c r="I1396" s="14" t="n">
        <v>235.87</v>
      </c>
      <c r="J1396" s="15" t="n">
        <v>0.29</v>
      </c>
      <c r="K1396" s="14" t="n">
        <v>129.73</v>
      </c>
      <c r="L1396" s="13" t="n">
        <v>8</v>
      </c>
      <c r="M1396" s="13" t="inlineStr">
        <is>
          <t>Completed</t>
        </is>
      </c>
      <c r="N1396" s="13" t="inlineStr">
        <is>
          <t>M. Okonkwo</t>
        </is>
      </c>
      <c r="O1396" s="13" t="inlineStr">
        <is>
          <t>No</t>
        </is>
      </c>
      <c r="P1396" s="14">
        <f>H1396*I1396</f>
        <v/>
      </c>
      <c r="Q1396" s="14">
        <f>P1396*(1-J1396)</f>
        <v/>
      </c>
      <c r="R1396" s="14">
        <f>H1396*K1396</f>
        <v/>
      </c>
      <c r="S1396" s="15">
        <f>IF(Q1396=0,"",(Q1396-R1396)/Q1396)</f>
        <v/>
      </c>
      <c r="T1396" s="13">
        <f>YEAR(B1396)</f>
        <v/>
      </c>
      <c r="U1396" s="13">
        <f>YEAR(B1396)&amp;"-Q"&amp;ROUNDUP(MONTH(B1396)/3,0)</f>
        <v/>
      </c>
      <c r="V1396" s="13">
        <f>TEXT(B1396,"YYYY-MM")</f>
        <v/>
      </c>
      <c r="W1396" s="13">
        <f>IF(L1396="","",IF(L1396&gt;pLateDays,1,0))</f>
        <v/>
      </c>
      <c r="X1396" s="13">
        <f>IF(Q1396&gt;=pHighCutoff,1,0)</f>
        <v/>
      </c>
      <c r="Y1396" s="13">
        <f>IF(M1396="Returned",1,0)</f>
        <v/>
      </c>
    </row>
    <row r="1397">
      <c r="A1397" s="13" t="inlineStr">
        <is>
          <t>HC-101395</t>
        </is>
      </c>
      <c r="B1397" s="18" t="n">
        <v>45471</v>
      </c>
      <c r="C1397" s="13" t="inlineStr">
        <is>
          <t>South</t>
        </is>
      </c>
      <c r="D1397" s="13" t="inlineStr">
        <is>
          <t>Online</t>
        </is>
      </c>
      <c r="E1397" s="13" t="inlineStr">
        <is>
          <t>Textiles</t>
        </is>
      </c>
      <c r="F1397" s="13" t="inlineStr">
        <is>
          <t>Cotton Duvet</t>
        </is>
      </c>
      <c r="G1397" s="13" t="inlineStr">
        <is>
          <t>Unknown</t>
        </is>
      </c>
      <c r="H1397" s="13" t="n">
        <v>3</v>
      </c>
      <c r="I1397" s="14" t="n">
        <v>126.66</v>
      </c>
      <c r="J1397" s="15" t="n">
        <v>0.05</v>
      </c>
      <c r="K1397" s="14" t="n">
        <v>55.73</v>
      </c>
      <c r="L1397" s="13" t="n">
        <v>3</v>
      </c>
      <c r="M1397" s="13" t="inlineStr">
        <is>
          <t>Completed</t>
        </is>
      </c>
      <c r="N1397" s="13" t="inlineStr">
        <is>
          <t>M. Okonkwo</t>
        </is>
      </c>
      <c r="O1397" s="13" t="inlineStr">
        <is>
          <t>No</t>
        </is>
      </c>
      <c r="P1397" s="14">
        <f>H1397*I1397</f>
        <v/>
      </c>
      <c r="Q1397" s="14">
        <f>P1397*(1-J1397)</f>
        <v/>
      </c>
      <c r="R1397" s="14">
        <f>H1397*K1397</f>
        <v/>
      </c>
      <c r="S1397" s="15">
        <f>IF(Q1397=0,"",(Q1397-R1397)/Q1397)</f>
        <v/>
      </c>
      <c r="T1397" s="13">
        <f>YEAR(B1397)</f>
        <v/>
      </c>
      <c r="U1397" s="13">
        <f>YEAR(B1397)&amp;"-Q"&amp;ROUNDUP(MONTH(B1397)/3,0)</f>
        <v/>
      </c>
      <c r="V1397" s="13">
        <f>TEXT(B1397,"YYYY-MM")</f>
        <v/>
      </c>
      <c r="W1397" s="13">
        <f>IF(L1397="","",IF(L1397&gt;pLateDays,1,0))</f>
        <v/>
      </c>
      <c r="X1397" s="13">
        <f>IF(Q1397&gt;=pHighCutoff,1,0)</f>
        <v/>
      </c>
      <c r="Y1397" s="13">
        <f>IF(M1397="Returned",1,0)</f>
        <v/>
      </c>
    </row>
    <row r="1398">
      <c r="A1398" s="13" t="inlineStr">
        <is>
          <t>HC-101396</t>
        </is>
      </c>
      <c r="B1398" s="18" t="n">
        <v>45565</v>
      </c>
      <c r="C1398" s="13" t="inlineStr">
        <is>
          <t>East</t>
        </is>
      </c>
      <c r="D1398" s="13" t="inlineStr">
        <is>
          <t>Online</t>
        </is>
      </c>
      <c r="E1398" s="13" t="inlineStr">
        <is>
          <t>Lighting</t>
        </is>
      </c>
      <c r="F1398" s="13" t="inlineStr">
        <is>
          <t>Pendant Light</t>
        </is>
      </c>
      <c r="G1398" s="13" t="inlineStr">
        <is>
          <t>Consumer</t>
        </is>
      </c>
      <c r="H1398" s="13" t="n">
        <v>3</v>
      </c>
      <c r="I1398" s="14" t="n">
        <v>158.03</v>
      </c>
      <c r="J1398" s="15" t="n">
        <v>0.1</v>
      </c>
      <c r="K1398" s="14" t="n">
        <v>79.01000000000001</v>
      </c>
      <c r="L1398" s="13" t="n">
        <v>7</v>
      </c>
      <c r="M1398" s="13" t="inlineStr">
        <is>
          <t>Completed</t>
        </is>
      </c>
      <c r="N1398" s="13" t="inlineStr">
        <is>
          <t>R. Ibarra</t>
        </is>
      </c>
      <c r="O1398" s="13" t="inlineStr">
        <is>
          <t>No</t>
        </is>
      </c>
      <c r="P1398" s="14">
        <f>H1398*I1398</f>
        <v/>
      </c>
      <c r="Q1398" s="14">
        <f>P1398*(1-J1398)</f>
        <v/>
      </c>
      <c r="R1398" s="14">
        <f>H1398*K1398</f>
        <v/>
      </c>
      <c r="S1398" s="15">
        <f>IF(Q1398=0,"",(Q1398-R1398)/Q1398)</f>
        <v/>
      </c>
      <c r="T1398" s="13">
        <f>YEAR(B1398)</f>
        <v/>
      </c>
      <c r="U1398" s="13">
        <f>YEAR(B1398)&amp;"-Q"&amp;ROUNDUP(MONTH(B1398)/3,0)</f>
        <v/>
      </c>
      <c r="V1398" s="13">
        <f>TEXT(B1398,"YYYY-MM")</f>
        <v/>
      </c>
      <c r="W1398" s="13">
        <f>IF(L1398="","",IF(L1398&gt;pLateDays,1,0))</f>
        <v/>
      </c>
      <c r="X1398" s="13">
        <f>IF(Q1398&gt;=pHighCutoff,1,0)</f>
        <v/>
      </c>
      <c r="Y1398" s="13">
        <f>IF(M1398="Returned",1,0)</f>
        <v/>
      </c>
    </row>
    <row r="1399">
      <c r="A1399" s="13" t="inlineStr">
        <is>
          <t>HC-101397</t>
        </is>
      </c>
      <c r="B1399" s="18" t="n">
        <v>45918</v>
      </c>
      <c r="C1399" s="13" t="inlineStr">
        <is>
          <t>West</t>
        </is>
      </c>
      <c r="D1399" s="13" t="inlineStr">
        <is>
          <t>Online</t>
        </is>
      </c>
      <c r="E1399" s="13" t="inlineStr">
        <is>
          <t>Textiles</t>
        </is>
      </c>
      <c r="F1399" s="13" t="inlineStr">
        <is>
          <t>Wool Throw</t>
        </is>
      </c>
      <c r="G1399" s="13" t="inlineStr">
        <is>
          <t>Consumer</t>
        </is>
      </c>
      <c r="H1399" s="13" t="n">
        <v>2</v>
      </c>
      <c r="I1399" s="14" t="n">
        <v>78.59999999999999</v>
      </c>
      <c r="J1399" s="15" t="n">
        <v>0.08</v>
      </c>
      <c r="K1399" s="14" t="n">
        <v>33.01</v>
      </c>
      <c r="L1399" s="13" t="n">
        <v>6</v>
      </c>
      <c r="M1399" s="13" t="inlineStr">
        <is>
          <t>Completed</t>
        </is>
      </c>
      <c r="N1399" s="13" t="inlineStr">
        <is>
          <t>R. Ibarra</t>
        </is>
      </c>
      <c r="O1399" s="13" t="inlineStr">
        <is>
          <t>No</t>
        </is>
      </c>
      <c r="P1399" s="14">
        <f>H1399*I1399</f>
        <v/>
      </c>
      <c r="Q1399" s="14">
        <f>P1399*(1-J1399)</f>
        <v/>
      </c>
      <c r="R1399" s="14">
        <f>H1399*K1399</f>
        <v/>
      </c>
      <c r="S1399" s="15">
        <f>IF(Q1399=0,"",(Q1399-R1399)/Q1399)</f>
        <v/>
      </c>
      <c r="T1399" s="13">
        <f>YEAR(B1399)</f>
        <v/>
      </c>
      <c r="U1399" s="13">
        <f>YEAR(B1399)&amp;"-Q"&amp;ROUNDUP(MONTH(B1399)/3,0)</f>
        <v/>
      </c>
      <c r="V1399" s="13">
        <f>TEXT(B1399,"YYYY-MM")</f>
        <v/>
      </c>
      <c r="W1399" s="13">
        <f>IF(L1399="","",IF(L1399&gt;pLateDays,1,0))</f>
        <v/>
      </c>
      <c r="X1399" s="13">
        <f>IF(Q1399&gt;=pHighCutoff,1,0)</f>
        <v/>
      </c>
      <c r="Y1399" s="13">
        <f>IF(M1399="Returned",1,0)</f>
        <v/>
      </c>
    </row>
    <row r="1400">
      <c r="A1400" s="13" t="inlineStr">
        <is>
          <t>HC-101398</t>
        </is>
      </c>
      <c r="B1400" s="18" t="n">
        <v>45800</v>
      </c>
      <c r="C1400" s="13" t="inlineStr">
        <is>
          <t>South</t>
        </is>
      </c>
      <c r="D1400" s="13" t="inlineStr">
        <is>
          <t>Online</t>
        </is>
      </c>
      <c r="E1400" s="13" t="inlineStr">
        <is>
          <t>Textiles</t>
        </is>
      </c>
      <c r="F1400" s="13" t="inlineStr">
        <is>
          <t>Wool Throw</t>
        </is>
      </c>
      <c r="G1400" s="13" t="inlineStr">
        <is>
          <t>Consumer</t>
        </is>
      </c>
      <c r="H1400" s="13" t="n">
        <v>3</v>
      </c>
      <c r="I1400" s="14" t="n">
        <v>71.23</v>
      </c>
      <c r="J1400" s="15" t="n">
        <v>0.11</v>
      </c>
      <c r="K1400" s="14" t="n">
        <v>29.91</v>
      </c>
      <c r="L1400" s="13" t="n">
        <v>8</v>
      </c>
      <c r="M1400" s="13" t="inlineStr">
        <is>
          <t>Completed</t>
        </is>
      </c>
      <c r="N1400" s="13" t="inlineStr">
        <is>
          <t>L. Berger</t>
        </is>
      </c>
      <c r="O1400" s="13" t="inlineStr">
        <is>
          <t>No</t>
        </is>
      </c>
      <c r="P1400" s="14">
        <f>H1400*I1400</f>
        <v/>
      </c>
      <c r="Q1400" s="14">
        <f>P1400*(1-J1400)</f>
        <v/>
      </c>
      <c r="R1400" s="14">
        <f>H1400*K1400</f>
        <v/>
      </c>
      <c r="S1400" s="15">
        <f>IF(Q1400=0,"",(Q1400-R1400)/Q1400)</f>
        <v/>
      </c>
      <c r="T1400" s="13">
        <f>YEAR(B1400)</f>
        <v/>
      </c>
      <c r="U1400" s="13">
        <f>YEAR(B1400)&amp;"-Q"&amp;ROUNDUP(MONTH(B1400)/3,0)</f>
        <v/>
      </c>
      <c r="V1400" s="13">
        <f>TEXT(B1400,"YYYY-MM")</f>
        <v/>
      </c>
      <c r="W1400" s="13">
        <f>IF(L1400="","",IF(L1400&gt;pLateDays,1,0))</f>
        <v/>
      </c>
      <c r="X1400" s="13">
        <f>IF(Q1400&gt;=pHighCutoff,1,0)</f>
        <v/>
      </c>
      <c r="Y1400" s="13">
        <f>IF(M1400="Returned",1,0)</f>
        <v/>
      </c>
    </row>
    <row r="1401">
      <c r="A1401" s="13" t="inlineStr">
        <is>
          <t>HC-101399</t>
        </is>
      </c>
      <c r="B1401" s="18" t="n">
        <v>45378</v>
      </c>
      <c r="C1401" s="13" t="inlineStr">
        <is>
          <t>West</t>
        </is>
      </c>
      <c r="D1401" s="13" t="inlineStr">
        <is>
          <t>Online</t>
        </is>
      </c>
      <c r="E1401" s="13" t="inlineStr">
        <is>
          <t>Furniture</t>
        </is>
      </c>
      <c r="F1401" s="13" t="inlineStr">
        <is>
          <t>Oak Desk</t>
        </is>
      </c>
      <c r="G1401" s="13" t="inlineStr">
        <is>
          <t>Consumer</t>
        </is>
      </c>
      <c r="H1401" s="13" t="n">
        <v>3</v>
      </c>
      <c r="I1401" s="14" t="n">
        <v>819.95</v>
      </c>
      <c r="J1401" s="15" t="n">
        <v>0.1</v>
      </c>
      <c r="K1401" s="14" t="n">
        <v>508.37</v>
      </c>
      <c r="L1401" s="13" t="n">
        <v>4</v>
      </c>
      <c r="M1401" s="13" t="inlineStr">
        <is>
          <t>Completed</t>
        </is>
      </c>
      <c r="N1401" s="13" t="inlineStr">
        <is>
          <t>K. Mensah</t>
        </is>
      </c>
      <c r="O1401" s="13" t="inlineStr">
        <is>
          <t>No</t>
        </is>
      </c>
      <c r="P1401" s="14">
        <f>H1401*I1401</f>
        <v/>
      </c>
      <c r="Q1401" s="14">
        <f>P1401*(1-J1401)</f>
        <v/>
      </c>
      <c r="R1401" s="14">
        <f>H1401*K1401</f>
        <v/>
      </c>
      <c r="S1401" s="15">
        <f>IF(Q1401=0,"",(Q1401-R1401)/Q1401)</f>
        <v/>
      </c>
      <c r="T1401" s="13">
        <f>YEAR(B1401)</f>
        <v/>
      </c>
      <c r="U1401" s="13">
        <f>YEAR(B1401)&amp;"-Q"&amp;ROUNDUP(MONTH(B1401)/3,0)</f>
        <v/>
      </c>
      <c r="V1401" s="13">
        <f>TEXT(B1401,"YYYY-MM")</f>
        <v/>
      </c>
      <c r="W1401" s="13">
        <f>IF(L1401="","",IF(L1401&gt;pLateDays,1,0))</f>
        <v/>
      </c>
      <c r="X1401" s="13">
        <f>IF(Q1401&gt;=pHighCutoff,1,0)</f>
        <v/>
      </c>
      <c r="Y1401" s="13">
        <f>IF(M1401="Returned",1,0)</f>
        <v/>
      </c>
    </row>
    <row r="1402">
      <c r="A1402" s="13" t="inlineStr">
        <is>
          <t>HC-101400</t>
        </is>
      </c>
      <c r="B1402" s="18" t="n">
        <v>45594</v>
      </c>
      <c r="C1402" s="13" t="inlineStr">
        <is>
          <t>South</t>
        </is>
      </c>
      <c r="D1402" s="13" t="inlineStr">
        <is>
          <t>Online</t>
        </is>
      </c>
      <c r="E1402" s="13" t="inlineStr">
        <is>
          <t>Textiles</t>
        </is>
      </c>
      <c r="F1402" s="13" t="inlineStr">
        <is>
          <t>Wool Throw</t>
        </is>
      </c>
      <c r="G1402" s="13" t="inlineStr">
        <is>
          <t>Consumer</t>
        </is>
      </c>
      <c r="H1402" s="13" t="n">
        <v>3</v>
      </c>
      <c r="I1402" s="14" t="n">
        <v>74.61</v>
      </c>
      <c r="J1402" s="15" t="n">
        <v>0.03</v>
      </c>
      <c r="K1402" s="14" t="n">
        <v>31.34</v>
      </c>
      <c r="L1402" s="13" t="n">
        <v>5</v>
      </c>
      <c r="M1402" s="13" t="inlineStr">
        <is>
          <t>Completed</t>
        </is>
      </c>
      <c r="N1402" s="13" t="inlineStr">
        <is>
          <t>J. Patel</t>
        </is>
      </c>
      <c r="O1402" s="13" t="inlineStr">
        <is>
          <t>No</t>
        </is>
      </c>
      <c r="P1402" s="14">
        <f>H1402*I1402</f>
        <v/>
      </c>
      <c r="Q1402" s="14">
        <f>P1402*(1-J1402)</f>
        <v/>
      </c>
      <c r="R1402" s="14">
        <f>H1402*K1402</f>
        <v/>
      </c>
      <c r="S1402" s="15">
        <f>IF(Q1402=0,"",(Q1402-R1402)/Q1402)</f>
        <v/>
      </c>
      <c r="T1402" s="13">
        <f>YEAR(B1402)</f>
        <v/>
      </c>
      <c r="U1402" s="13">
        <f>YEAR(B1402)&amp;"-Q"&amp;ROUNDUP(MONTH(B1402)/3,0)</f>
        <v/>
      </c>
      <c r="V1402" s="13">
        <f>TEXT(B1402,"YYYY-MM")</f>
        <v/>
      </c>
      <c r="W1402" s="13">
        <f>IF(L1402="","",IF(L1402&gt;pLateDays,1,0))</f>
        <v/>
      </c>
      <c r="X1402" s="13">
        <f>IF(Q1402&gt;=pHighCutoff,1,0)</f>
        <v/>
      </c>
      <c r="Y1402" s="13">
        <f>IF(M1402="Returned",1,0)</f>
        <v/>
      </c>
    </row>
    <row r="1403">
      <c r="A1403" s="13" t="inlineStr">
        <is>
          <t>HC-101401</t>
        </is>
      </c>
      <c r="B1403" s="18" t="n">
        <v>45581</v>
      </c>
      <c r="C1403" s="13" t="inlineStr">
        <is>
          <t>South</t>
        </is>
      </c>
      <c r="D1403" s="13" t="inlineStr">
        <is>
          <t>Online</t>
        </is>
      </c>
      <c r="E1403" s="13" t="inlineStr">
        <is>
          <t>Textiles</t>
        </is>
      </c>
      <c r="F1403" s="13" t="inlineStr">
        <is>
          <t>Linen Curtain</t>
        </is>
      </c>
      <c r="G1403" s="13" t="inlineStr">
        <is>
          <t>Consumer</t>
        </is>
      </c>
      <c r="H1403" s="13" t="n">
        <v>2</v>
      </c>
      <c r="I1403" s="14" t="n">
        <v>93.37</v>
      </c>
      <c r="J1403" s="15" t="n">
        <v>0.17</v>
      </c>
      <c r="K1403" s="14" t="n">
        <v>42.02</v>
      </c>
      <c r="L1403" s="13" t="n">
        <v>3</v>
      </c>
      <c r="M1403" s="13" t="inlineStr">
        <is>
          <t>Completed</t>
        </is>
      </c>
      <c r="N1403" s="13" t="inlineStr">
        <is>
          <t>J. Patel</t>
        </is>
      </c>
      <c r="O1403" s="13" t="inlineStr">
        <is>
          <t>No</t>
        </is>
      </c>
      <c r="P1403" s="14">
        <f>H1403*I1403</f>
        <v/>
      </c>
      <c r="Q1403" s="14">
        <f>P1403*(1-J1403)</f>
        <v/>
      </c>
      <c r="R1403" s="14">
        <f>H1403*K1403</f>
        <v/>
      </c>
      <c r="S1403" s="15">
        <f>IF(Q1403=0,"",(Q1403-R1403)/Q1403)</f>
        <v/>
      </c>
      <c r="T1403" s="13">
        <f>YEAR(B1403)</f>
        <v/>
      </c>
      <c r="U1403" s="13">
        <f>YEAR(B1403)&amp;"-Q"&amp;ROUNDUP(MONTH(B1403)/3,0)</f>
        <v/>
      </c>
      <c r="V1403" s="13">
        <f>TEXT(B1403,"YYYY-MM")</f>
        <v/>
      </c>
      <c r="W1403" s="13">
        <f>IF(L1403="","",IF(L1403&gt;pLateDays,1,0))</f>
        <v/>
      </c>
      <c r="X1403" s="13">
        <f>IF(Q1403&gt;=pHighCutoff,1,0)</f>
        <v/>
      </c>
      <c r="Y1403" s="13">
        <f>IF(M1403="Returned",1,0)</f>
        <v/>
      </c>
    </row>
    <row r="1404">
      <c r="A1404" s="13" t="inlineStr">
        <is>
          <t>HC-101402</t>
        </is>
      </c>
      <c r="B1404" s="18" t="n">
        <v>45928</v>
      </c>
      <c r="C1404" s="13" t="inlineStr">
        <is>
          <t>North</t>
        </is>
      </c>
      <c r="D1404" s="13" t="inlineStr">
        <is>
          <t>Online</t>
        </is>
      </c>
      <c r="E1404" s="13" t="inlineStr">
        <is>
          <t>Furniture</t>
        </is>
      </c>
      <c r="F1404" s="13" t="inlineStr">
        <is>
          <t>Oak Desk</t>
        </is>
      </c>
      <c r="G1404" s="13" t="inlineStr">
        <is>
          <t>Consumer</t>
        </is>
      </c>
      <c r="H1404" s="13" t="n">
        <v>2</v>
      </c>
      <c r="I1404" s="14" t="n">
        <v>828.53</v>
      </c>
      <c r="J1404" s="15" t="n">
        <v>0.14</v>
      </c>
      <c r="K1404" s="14" t="n">
        <v>513.6900000000001</v>
      </c>
      <c r="L1404" s="13" t="n"/>
      <c r="M1404" s="13" t="inlineStr">
        <is>
          <t>Completed</t>
        </is>
      </c>
      <c r="N1404" s="13" t="inlineStr">
        <is>
          <t>P. Rossi</t>
        </is>
      </c>
      <c r="O1404" s="13" t="inlineStr">
        <is>
          <t>No</t>
        </is>
      </c>
      <c r="P1404" s="14">
        <f>H1404*I1404</f>
        <v/>
      </c>
      <c r="Q1404" s="14">
        <f>P1404*(1-J1404)</f>
        <v/>
      </c>
      <c r="R1404" s="14">
        <f>H1404*K1404</f>
        <v/>
      </c>
      <c r="S1404" s="15">
        <f>IF(Q1404=0,"",(Q1404-R1404)/Q1404)</f>
        <v/>
      </c>
      <c r="T1404" s="13">
        <f>YEAR(B1404)</f>
        <v/>
      </c>
      <c r="U1404" s="13">
        <f>YEAR(B1404)&amp;"-Q"&amp;ROUNDUP(MONTH(B1404)/3,0)</f>
        <v/>
      </c>
      <c r="V1404" s="13">
        <f>TEXT(B1404,"YYYY-MM")</f>
        <v/>
      </c>
      <c r="W1404" s="13">
        <f>IF(L1404="","",IF(L1404&gt;pLateDays,1,0))</f>
        <v/>
      </c>
      <c r="X1404" s="13">
        <f>IF(Q1404&gt;=pHighCutoff,1,0)</f>
        <v/>
      </c>
      <c r="Y1404" s="13">
        <f>IF(M1404="Returned",1,0)</f>
        <v/>
      </c>
    </row>
    <row r="1405">
      <c r="A1405" s="13" t="inlineStr">
        <is>
          <t>HC-101403</t>
        </is>
      </c>
      <c r="B1405" s="18" t="n">
        <v>45544</v>
      </c>
      <c r="C1405" s="13" t="inlineStr">
        <is>
          <t>West</t>
        </is>
      </c>
      <c r="D1405" s="13" t="inlineStr">
        <is>
          <t>Store</t>
        </is>
      </c>
      <c r="E1405" s="13" t="inlineStr">
        <is>
          <t>Textiles</t>
        </is>
      </c>
      <c r="F1405" s="13" t="inlineStr">
        <is>
          <t>Cotton Duvet</t>
        </is>
      </c>
      <c r="G1405" s="13" t="inlineStr">
        <is>
          <t>Consumer</t>
        </is>
      </c>
      <c r="H1405" s="13" t="n">
        <v>4</v>
      </c>
      <c r="I1405" s="14" t="n">
        <v>124.5</v>
      </c>
      <c r="J1405" s="15" t="n">
        <v>0.09</v>
      </c>
      <c r="K1405" s="14" t="n">
        <v>54.78</v>
      </c>
      <c r="L1405" s="13" t="n">
        <v>5</v>
      </c>
      <c r="M1405" s="13" t="inlineStr">
        <is>
          <t>Completed</t>
        </is>
      </c>
      <c r="N1405" s="13" t="inlineStr">
        <is>
          <t>R. Ibarra</t>
        </is>
      </c>
      <c r="O1405" s="13" t="inlineStr">
        <is>
          <t>No</t>
        </is>
      </c>
      <c r="P1405" s="14">
        <f>H1405*I1405</f>
        <v/>
      </c>
      <c r="Q1405" s="14">
        <f>P1405*(1-J1405)</f>
        <v/>
      </c>
      <c r="R1405" s="14">
        <f>H1405*K1405</f>
        <v/>
      </c>
      <c r="S1405" s="15">
        <f>IF(Q1405=0,"",(Q1405-R1405)/Q1405)</f>
        <v/>
      </c>
      <c r="T1405" s="13">
        <f>YEAR(B1405)</f>
        <v/>
      </c>
      <c r="U1405" s="13">
        <f>YEAR(B1405)&amp;"-Q"&amp;ROUNDUP(MONTH(B1405)/3,0)</f>
        <v/>
      </c>
      <c r="V1405" s="13">
        <f>TEXT(B1405,"YYYY-MM")</f>
        <v/>
      </c>
      <c r="W1405" s="13">
        <f>IF(L1405="","",IF(L1405&gt;pLateDays,1,0))</f>
        <v/>
      </c>
      <c r="X1405" s="13">
        <f>IF(Q1405&gt;=pHighCutoff,1,0)</f>
        <v/>
      </c>
      <c r="Y1405" s="13">
        <f>IF(M1405="Returned",1,0)</f>
        <v/>
      </c>
    </row>
    <row r="1406">
      <c r="A1406" s="13" t="inlineStr">
        <is>
          <t>HC-101404</t>
        </is>
      </c>
      <c r="B1406" s="18" t="n">
        <v>45604</v>
      </c>
      <c r="C1406" s="13" t="inlineStr">
        <is>
          <t>East</t>
        </is>
      </c>
      <c r="D1406" s="13" t="inlineStr">
        <is>
          <t>Store</t>
        </is>
      </c>
      <c r="E1406" s="13" t="inlineStr">
        <is>
          <t>Furniture</t>
        </is>
      </c>
      <c r="F1406" s="13" t="inlineStr">
        <is>
          <t>Lounge Chair</t>
        </is>
      </c>
      <c r="G1406" s="13" t="inlineStr">
        <is>
          <t>Consumer</t>
        </is>
      </c>
      <c r="H1406" s="13" t="n">
        <v>2</v>
      </c>
      <c r="I1406" s="14" t="n">
        <v>414.33</v>
      </c>
      <c r="J1406" s="15" t="n">
        <v>0.04</v>
      </c>
      <c r="K1406" s="14" t="n">
        <v>248.6</v>
      </c>
      <c r="L1406" s="13" t="n">
        <v>9</v>
      </c>
      <c r="M1406" s="13" t="inlineStr">
        <is>
          <t>Completed</t>
        </is>
      </c>
      <c r="N1406" s="13" t="inlineStr">
        <is>
          <t>M. Okonkwo</t>
        </is>
      </c>
      <c r="O1406" s="13" t="inlineStr">
        <is>
          <t>No</t>
        </is>
      </c>
      <c r="P1406" s="14">
        <f>H1406*I1406</f>
        <v/>
      </c>
      <c r="Q1406" s="14">
        <f>P1406*(1-J1406)</f>
        <v/>
      </c>
      <c r="R1406" s="14">
        <f>H1406*K1406</f>
        <v/>
      </c>
      <c r="S1406" s="15">
        <f>IF(Q1406=0,"",(Q1406-R1406)/Q1406)</f>
        <v/>
      </c>
      <c r="T1406" s="13">
        <f>YEAR(B1406)</f>
        <v/>
      </c>
      <c r="U1406" s="13">
        <f>YEAR(B1406)&amp;"-Q"&amp;ROUNDUP(MONTH(B1406)/3,0)</f>
        <v/>
      </c>
      <c r="V1406" s="13">
        <f>TEXT(B1406,"YYYY-MM")</f>
        <v/>
      </c>
      <c r="W1406" s="13">
        <f>IF(L1406="","",IF(L1406&gt;pLateDays,1,0))</f>
        <v/>
      </c>
      <c r="X1406" s="13">
        <f>IF(Q1406&gt;=pHighCutoff,1,0)</f>
        <v/>
      </c>
      <c r="Y1406" s="13">
        <f>IF(M1406="Returned",1,0)</f>
        <v/>
      </c>
    </row>
    <row r="1407">
      <c r="A1407" s="13" t="inlineStr">
        <is>
          <t>HC-101405</t>
        </is>
      </c>
      <c r="B1407" s="18" t="n">
        <v>45792</v>
      </c>
      <c r="C1407" s="13" t="inlineStr">
        <is>
          <t>North</t>
        </is>
      </c>
      <c r="D1407" s="13" t="inlineStr">
        <is>
          <t>Store</t>
        </is>
      </c>
      <c r="E1407" s="13" t="inlineStr">
        <is>
          <t>Kitchen</t>
        </is>
      </c>
      <c r="F1407" s="13" t="inlineStr">
        <is>
          <t>Chef Knife</t>
        </is>
      </c>
      <c r="G1407" s="13" t="inlineStr">
        <is>
          <t>Consumer</t>
        </is>
      </c>
      <c r="H1407" s="13" t="n">
        <v>1</v>
      </c>
      <c r="I1407" s="14" t="n">
        <v>59.52</v>
      </c>
      <c r="J1407" s="15" t="n">
        <v>0.1</v>
      </c>
      <c r="K1407" s="14" t="n">
        <v>21.43</v>
      </c>
      <c r="L1407" s="13" t="n">
        <v>4</v>
      </c>
      <c r="M1407" s="13" t="inlineStr">
        <is>
          <t>Returned</t>
        </is>
      </c>
      <c r="N1407" s="13" t="inlineStr">
        <is>
          <t>P. Rossi</t>
        </is>
      </c>
      <c r="O1407" s="13" t="inlineStr">
        <is>
          <t>No</t>
        </is>
      </c>
      <c r="P1407" s="14">
        <f>H1407*I1407</f>
        <v/>
      </c>
      <c r="Q1407" s="14">
        <f>P1407*(1-J1407)</f>
        <v/>
      </c>
      <c r="R1407" s="14">
        <f>H1407*K1407</f>
        <v/>
      </c>
      <c r="S1407" s="15">
        <f>IF(Q1407=0,"",(Q1407-R1407)/Q1407)</f>
        <v/>
      </c>
      <c r="T1407" s="13">
        <f>YEAR(B1407)</f>
        <v/>
      </c>
      <c r="U1407" s="13">
        <f>YEAR(B1407)&amp;"-Q"&amp;ROUNDUP(MONTH(B1407)/3,0)</f>
        <v/>
      </c>
      <c r="V1407" s="13">
        <f>TEXT(B1407,"YYYY-MM")</f>
        <v/>
      </c>
      <c r="W1407" s="13">
        <f>IF(L1407="","",IF(L1407&gt;pLateDays,1,0))</f>
        <v/>
      </c>
      <c r="X1407" s="13">
        <f>IF(Q1407&gt;=pHighCutoff,1,0)</f>
        <v/>
      </c>
      <c r="Y1407" s="13">
        <f>IF(M1407="Returned",1,0)</f>
        <v/>
      </c>
    </row>
    <row r="1408">
      <c r="A1408" s="13" t="inlineStr">
        <is>
          <t>HC-101406</t>
        </is>
      </c>
      <c r="B1408" s="18" t="n">
        <v>45576</v>
      </c>
      <c r="C1408" s="13" t="inlineStr">
        <is>
          <t>South</t>
        </is>
      </c>
      <c r="D1408" s="13" t="inlineStr">
        <is>
          <t>Store</t>
        </is>
      </c>
      <c r="E1408" s="13" t="inlineStr">
        <is>
          <t>Furniture</t>
        </is>
      </c>
      <c r="F1408" s="13" t="inlineStr">
        <is>
          <t>Walnut Shelf</t>
        </is>
      </c>
      <c r="G1408" s="13" t="inlineStr">
        <is>
          <t>Consumer</t>
        </is>
      </c>
      <c r="H1408" s="13" t="n">
        <v>4</v>
      </c>
      <c r="I1408" s="14" t="n">
        <v>211.86</v>
      </c>
      <c r="J1408" s="15" t="n">
        <v>0.02</v>
      </c>
      <c r="K1408" s="14" t="n">
        <v>116.52</v>
      </c>
      <c r="L1408" s="13" t="n">
        <v>3</v>
      </c>
      <c r="M1408" s="13" t="inlineStr">
        <is>
          <t>Completed</t>
        </is>
      </c>
      <c r="N1408" s="13" t="inlineStr">
        <is>
          <t>L. Berger</t>
        </is>
      </c>
      <c r="O1408" s="13" t="inlineStr">
        <is>
          <t>No</t>
        </is>
      </c>
      <c r="P1408" s="14">
        <f>H1408*I1408</f>
        <v/>
      </c>
      <c r="Q1408" s="14">
        <f>P1408*(1-J1408)</f>
        <v/>
      </c>
      <c r="R1408" s="14">
        <f>H1408*K1408</f>
        <v/>
      </c>
      <c r="S1408" s="15">
        <f>IF(Q1408=0,"",(Q1408-R1408)/Q1408)</f>
        <v/>
      </c>
      <c r="T1408" s="13">
        <f>YEAR(B1408)</f>
        <v/>
      </c>
      <c r="U1408" s="13">
        <f>YEAR(B1408)&amp;"-Q"&amp;ROUNDUP(MONTH(B1408)/3,0)</f>
        <v/>
      </c>
      <c r="V1408" s="13">
        <f>TEXT(B1408,"YYYY-MM")</f>
        <v/>
      </c>
      <c r="W1408" s="13">
        <f>IF(L1408="","",IF(L1408&gt;pLateDays,1,0))</f>
        <v/>
      </c>
      <c r="X1408" s="13">
        <f>IF(Q1408&gt;=pHighCutoff,1,0)</f>
        <v/>
      </c>
      <c r="Y1408" s="13">
        <f>IF(M1408="Returned",1,0)</f>
        <v/>
      </c>
    </row>
    <row r="1409">
      <c r="A1409" s="13" t="inlineStr">
        <is>
          <t>HC-101407</t>
        </is>
      </c>
      <c r="B1409" s="18" t="n">
        <v>45569</v>
      </c>
      <c r="C1409" s="13" t="inlineStr">
        <is>
          <t>West</t>
        </is>
      </c>
      <c r="D1409" s="13" t="inlineStr">
        <is>
          <t>Wholesale</t>
        </is>
      </c>
      <c r="E1409" s="13" t="inlineStr">
        <is>
          <t>Textiles</t>
        </is>
      </c>
      <c r="F1409" s="13" t="inlineStr">
        <is>
          <t>Wool Throw</t>
        </is>
      </c>
      <c r="G1409" s="13" t="inlineStr">
        <is>
          <t>Unknown</t>
        </is>
      </c>
      <c r="H1409" s="13" t="n">
        <v>10</v>
      </c>
      <c r="I1409" s="14" t="n">
        <v>71.84</v>
      </c>
      <c r="J1409" s="15" t="n">
        <v>0.22</v>
      </c>
      <c r="K1409" s="14" t="n">
        <v>30.17</v>
      </c>
      <c r="L1409" s="13" t="n">
        <v>3</v>
      </c>
      <c r="M1409" s="13" t="inlineStr">
        <is>
          <t>Returned</t>
        </is>
      </c>
      <c r="N1409" s="13" t="inlineStr">
        <is>
          <t>K. Mensah</t>
        </is>
      </c>
      <c r="O1409" s="13" t="inlineStr">
        <is>
          <t>No</t>
        </is>
      </c>
      <c r="P1409" s="14">
        <f>H1409*I1409</f>
        <v/>
      </c>
      <c r="Q1409" s="14">
        <f>P1409*(1-J1409)</f>
        <v/>
      </c>
      <c r="R1409" s="14">
        <f>H1409*K1409</f>
        <v/>
      </c>
      <c r="S1409" s="15">
        <f>IF(Q1409=0,"",(Q1409-R1409)/Q1409)</f>
        <v/>
      </c>
      <c r="T1409" s="13">
        <f>YEAR(B1409)</f>
        <v/>
      </c>
      <c r="U1409" s="13">
        <f>YEAR(B1409)&amp;"-Q"&amp;ROUNDUP(MONTH(B1409)/3,0)</f>
        <v/>
      </c>
      <c r="V1409" s="13">
        <f>TEXT(B1409,"YYYY-MM")</f>
        <v/>
      </c>
      <c r="W1409" s="13">
        <f>IF(L1409="","",IF(L1409&gt;pLateDays,1,0))</f>
        <v/>
      </c>
      <c r="X1409" s="13">
        <f>IF(Q1409&gt;=pHighCutoff,1,0)</f>
        <v/>
      </c>
      <c r="Y1409" s="13">
        <f>IF(M1409="Returned",1,0)</f>
        <v/>
      </c>
    </row>
    <row r="1410">
      <c r="A1410" s="13" t="inlineStr">
        <is>
          <t>HC-101408</t>
        </is>
      </c>
      <c r="B1410" s="18" t="n">
        <v>45555</v>
      </c>
      <c r="C1410" s="13" t="inlineStr">
        <is>
          <t>West</t>
        </is>
      </c>
      <c r="D1410" s="13" t="inlineStr">
        <is>
          <t>Wholesale</t>
        </is>
      </c>
      <c r="E1410" s="13" t="inlineStr">
        <is>
          <t>Textiles</t>
        </is>
      </c>
      <c r="F1410" s="13" t="inlineStr">
        <is>
          <t>Linen Curtain</t>
        </is>
      </c>
      <c r="G1410" s="13" t="inlineStr">
        <is>
          <t>Consumer</t>
        </is>
      </c>
      <c r="H1410" s="13" t="n">
        <v>35</v>
      </c>
      <c r="I1410" s="14" t="n">
        <v>98.72</v>
      </c>
      <c r="J1410" s="15" t="n">
        <v>0.26</v>
      </c>
      <c r="K1410" s="14" t="n">
        <v>44.42</v>
      </c>
      <c r="L1410" s="13" t="n"/>
      <c r="M1410" s="13" t="inlineStr">
        <is>
          <t>Completed</t>
        </is>
      </c>
      <c r="N1410" s="13" t="inlineStr">
        <is>
          <t>A. Shah</t>
        </is>
      </c>
      <c r="O1410" s="13" t="inlineStr">
        <is>
          <t>No</t>
        </is>
      </c>
      <c r="P1410" s="14">
        <f>H1410*I1410</f>
        <v/>
      </c>
      <c r="Q1410" s="14">
        <f>P1410*(1-J1410)</f>
        <v/>
      </c>
      <c r="R1410" s="14">
        <f>H1410*K1410</f>
        <v/>
      </c>
      <c r="S1410" s="15">
        <f>IF(Q1410=0,"",(Q1410-R1410)/Q1410)</f>
        <v/>
      </c>
      <c r="T1410" s="13">
        <f>YEAR(B1410)</f>
        <v/>
      </c>
      <c r="U1410" s="13">
        <f>YEAR(B1410)&amp;"-Q"&amp;ROUNDUP(MONTH(B1410)/3,0)</f>
        <v/>
      </c>
      <c r="V1410" s="13">
        <f>TEXT(B1410,"YYYY-MM")</f>
        <v/>
      </c>
      <c r="W1410" s="13">
        <f>IF(L1410="","",IF(L1410&gt;pLateDays,1,0))</f>
        <v/>
      </c>
      <c r="X1410" s="13">
        <f>IF(Q1410&gt;=pHighCutoff,1,0)</f>
        <v/>
      </c>
      <c r="Y1410" s="13">
        <f>IF(M1410="Returned",1,0)</f>
        <v/>
      </c>
    </row>
    <row r="1411">
      <c r="A1411" s="13" t="inlineStr">
        <is>
          <t>HC-101409</t>
        </is>
      </c>
      <c r="B1411" s="18" t="n">
        <v>45467</v>
      </c>
      <c r="C1411" s="13" t="inlineStr">
        <is>
          <t>North</t>
        </is>
      </c>
      <c r="D1411" s="13" t="inlineStr">
        <is>
          <t>Online</t>
        </is>
      </c>
      <c r="E1411" s="13" t="inlineStr">
        <is>
          <t>Furniture</t>
        </is>
      </c>
      <c r="F1411" s="13" t="inlineStr">
        <is>
          <t>Walnut Shelf</t>
        </is>
      </c>
      <c r="G1411" s="13" t="inlineStr">
        <is>
          <t>Consumer</t>
        </is>
      </c>
      <c r="H1411" s="13" t="n">
        <v>2</v>
      </c>
      <c r="I1411" s="14" t="n">
        <v>208.24</v>
      </c>
      <c r="J1411" s="15" t="n">
        <v>0.06</v>
      </c>
      <c r="K1411" s="14" t="n">
        <v>114.53</v>
      </c>
      <c r="L1411" s="13" t="n">
        <v>5</v>
      </c>
      <c r="M1411" s="13" t="inlineStr">
        <is>
          <t>Completed</t>
        </is>
      </c>
      <c r="N1411" s="13" t="inlineStr">
        <is>
          <t>R. Ibarra</t>
        </is>
      </c>
      <c r="O1411" s="13" t="inlineStr">
        <is>
          <t>No</t>
        </is>
      </c>
      <c r="P1411" s="14">
        <f>H1411*I1411</f>
        <v/>
      </c>
      <c r="Q1411" s="14">
        <f>P1411*(1-J1411)</f>
        <v/>
      </c>
      <c r="R1411" s="14">
        <f>H1411*K1411</f>
        <v/>
      </c>
      <c r="S1411" s="15">
        <f>IF(Q1411=0,"",(Q1411-R1411)/Q1411)</f>
        <v/>
      </c>
      <c r="T1411" s="13">
        <f>YEAR(B1411)</f>
        <v/>
      </c>
      <c r="U1411" s="13">
        <f>YEAR(B1411)&amp;"-Q"&amp;ROUNDUP(MONTH(B1411)/3,0)</f>
        <v/>
      </c>
      <c r="V1411" s="13">
        <f>TEXT(B1411,"YYYY-MM")</f>
        <v/>
      </c>
      <c r="W1411" s="13">
        <f>IF(L1411="","",IF(L1411&gt;pLateDays,1,0))</f>
        <v/>
      </c>
      <c r="X1411" s="13">
        <f>IF(Q1411&gt;=pHighCutoff,1,0)</f>
        <v/>
      </c>
      <c r="Y1411" s="13">
        <f>IF(M1411="Returned",1,0)</f>
        <v/>
      </c>
    </row>
    <row r="1412">
      <c r="A1412" s="13" t="inlineStr">
        <is>
          <t>HC-101410</t>
        </is>
      </c>
      <c r="B1412" s="18" t="n">
        <v>45656</v>
      </c>
      <c r="C1412" s="13" t="inlineStr">
        <is>
          <t>East</t>
        </is>
      </c>
      <c r="D1412" s="13" t="inlineStr">
        <is>
          <t>Store</t>
        </is>
      </c>
      <c r="E1412" s="13" t="inlineStr">
        <is>
          <t>Kitchen</t>
        </is>
      </c>
      <c r="F1412" s="13" t="inlineStr">
        <is>
          <t>Cast Skillet</t>
        </is>
      </c>
      <c r="G1412" s="13" t="inlineStr">
        <is>
          <t>Home Office</t>
        </is>
      </c>
      <c r="H1412" s="13" t="n">
        <v>2</v>
      </c>
      <c r="I1412" s="14" t="n">
        <v>50.03</v>
      </c>
      <c r="J1412" s="15" t="n">
        <v>0.01</v>
      </c>
      <c r="K1412" s="14" t="n">
        <v>20.01</v>
      </c>
      <c r="L1412" s="13" t="n"/>
      <c r="M1412" s="13" t="inlineStr">
        <is>
          <t>Completed</t>
        </is>
      </c>
      <c r="N1412" s="13" t="inlineStr">
        <is>
          <t>K. Mensah</t>
        </is>
      </c>
      <c r="O1412" s="13" t="inlineStr">
        <is>
          <t>No</t>
        </is>
      </c>
      <c r="P1412" s="14">
        <f>H1412*I1412</f>
        <v/>
      </c>
      <c r="Q1412" s="14">
        <f>P1412*(1-J1412)</f>
        <v/>
      </c>
      <c r="R1412" s="14">
        <f>H1412*K1412</f>
        <v/>
      </c>
      <c r="S1412" s="15">
        <f>IF(Q1412=0,"",(Q1412-R1412)/Q1412)</f>
        <v/>
      </c>
      <c r="T1412" s="13">
        <f>YEAR(B1412)</f>
        <v/>
      </c>
      <c r="U1412" s="13">
        <f>YEAR(B1412)&amp;"-Q"&amp;ROUNDUP(MONTH(B1412)/3,0)</f>
        <v/>
      </c>
      <c r="V1412" s="13">
        <f>TEXT(B1412,"YYYY-MM")</f>
        <v/>
      </c>
      <c r="W1412" s="13">
        <f>IF(L1412="","",IF(L1412&gt;pLateDays,1,0))</f>
        <v/>
      </c>
      <c r="X1412" s="13">
        <f>IF(Q1412&gt;=pHighCutoff,1,0)</f>
        <v/>
      </c>
      <c r="Y1412" s="13">
        <f>IF(M1412="Returned",1,0)</f>
        <v/>
      </c>
    </row>
    <row r="1413">
      <c r="A1413" s="13" t="inlineStr">
        <is>
          <t>HC-101411</t>
        </is>
      </c>
      <c r="B1413" s="18" t="n">
        <v>45637</v>
      </c>
      <c r="C1413" s="13" t="inlineStr">
        <is>
          <t>North</t>
        </is>
      </c>
      <c r="D1413" s="13" t="inlineStr">
        <is>
          <t>Online</t>
        </is>
      </c>
      <c r="E1413" s="13" t="inlineStr">
        <is>
          <t>Kitchen</t>
        </is>
      </c>
      <c r="F1413" s="13" t="inlineStr">
        <is>
          <t>Ceramic Set</t>
        </is>
      </c>
      <c r="G1413" s="13" t="inlineStr">
        <is>
          <t>Consumer</t>
        </is>
      </c>
      <c r="H1413" s="13" t="n">
        <v>3</v>
      </c>
      <c r="I1413" s="14" t="n">
        <v>88.78</v>
      </c>
      <c r="J1413" s="15" t="n">
        <v>0.08</v>
      </c>
      <c r="K1413" s="14" t="n">
        <v>33.74</v>
      </c>
      <c r="L1413" s="13" t="n">
        <v>5</v>
      </c>
      <c r="M1413" s="13" t="inlineStr">
        <is>
          <t>Completed</t>
        </is>
      </c>
      <c r="N1413" s="13" t="inlineStr">
        <is>
          <t>S. Nguyen</t>
        </is>
      </c>
      <c r="O1413" s="13" t="inlineStr">
        <is>
          <t>No</t>
        </is>
      </c>
      <c r="P1413" s="14">
        <f>H1413*I1413</f>
        <v/>
      </c>
      <c r="Q1413" s="14">
        <f>P1413*(1-J1413)</f>
        <v/>
      </c>
      <c r="R1413" s="14">
        <f>H1413*K1413</f>
        <v/>
      </c>
      <c r="S1413" s="15">
        <f>IF(Q1413=0,"",(Q1413-R1413)/Q1413)</f>
        <v/>
      </c>
      <c r="T1413" s="13">
        <f>YEAR(B1413)</f>
        <v/>
      </c>
      <c r="U1413" s="13">
        <f>YEAR(B1413)&amp;"-Q"&amp;ROUNDUP(MONTH(B1413)/3,0)</f>
        <v/>
      </c>
      <c r="V1413" s="13">
        <f>TEXT(B1413,"YYYY-MM")</f>
        <v/>
      </c>
      <c r="W1413" s="13">
        <f>IF(L1413="","",IF(L1413&gt;pLateDays,1,0))</f>
        <v/>
      </c>
      <c r="X1413" s="13">
        <f>IF(Q1413&gt;=pHighCutoff,1,0)</f>
        <v/>
      </c>
      <c r="Y1413" s="13">
        <f>IF(M1413="Returned",1,0)</f>
        <v/>
      </c>
    </row>
    <row r="1414">
      <c r="A1414" s="13" t="inlineStr">
        <is>
          <t>HC-101412</t>
        </is>
      </c>
      <c r="B1414" s="18" t="n">
        <v>45426</v>
      </c>
      <c r="C1414" s="13" t="inlineStr">
        <is>
          <t>North</t>
        </is>
      </c>
      <c r="D1414" s="13" t="inlineStr">
        <is>
          <t>Store</t>
        </is>
      </c>
      <c r="E1414" s="13" t="inlineStr">
        <is>
          <t>Furniture</t>
        </is>
      </c>
      <c r="F1414" s="13" t="inlineStr">
        <is>
          <t>Lounge Chair</t>
        </is>
      </c>
      <c r="G1414" s="13" t="inlineStr">
        <is>
          <t>Consumer</t>
        </is>
      </c>
      <c r="H1414" s="13" t="n">
        <v>4</v>
      </c>
      <c r="I1414" s="14" t="n">
        <v>442.19</v>
      </c>
      <c r="J1414" s="15" t="n">
        <v>0.01</v>
      </c>
      <c r="K1414" s="14" t="n">
        <v>265.32</v>
      </c>
      <c r="L1414" s="13" t="n">
        <v>2</v>
      </c>
      <c r="M1414" s="13" t="inlineStr">
        <is>
          <t>Completed</t>
        </is>
      </c>
      <c r="N1414" s="13" t="inlineStr">
        <is>
          <t>P. Rossi</t>
        </is>
      </c>
      <c r="O1414" s="13" t="inlineStr">
        <is>
          <t>No</t>
        </is>
      </c>
      <c r="P1414" s="14">
        <f>H1414*I1414</f>
        <v/>
      </c>
      <c r="Q1414" s="14">
        <f>P1414*(1-J1414)</f>
        <v/>
      </c>
      <c r="R1414" s="14">
        <f>H1414*K1414</f>
        <v/>
      </c>
      <c r="S1414" s="15">
        <f>IF(Q1414=0,"",(Q1414-R1414)/Q1414)</f>
        <v/>
      </c>
      <c r="T1414" s="13">
        <f>YEAR(B1414)</f>
        <v/>
      </c>
      <c r="U1414" s="13">
        <f>YEAR(B1414)&amp;"-Q"&amp;ROUNDUP(MONTH(B1414)/3,0)</f>
        <v/>
      </c>
      <c r="V1414" s="13">
        <f>TEXT(B1414,"YYYY-MM")</f>
        <v/>
      </c>
      <c r="W1414" s="13">
        <f>IF(L1414="","",IF(L1414&gt;pLateDays,1,0))</f>
        <v/>
      </c>
      <c r="X1414" s="13">
        <f>IF(Q1414&gt;=pHighCutoff,1,0)</f>
        <v/>
      </c>
      <c r="Y1414" s="13">
        <f>IF(M1414="Returned",1,0)</f>
        <v/>
      </c>
    </row>
    <row r="1415">
      <c r="A1415" s="13" t="inlineStr">
        <is>
          <t>HC-101413</t>
        </is>
      </c>
      <c r="B1415" s="18" t="n">
        <v>45877</v>
      </c>
      <c r="C1415" s="13" t="inlineStr">
        <is>
          <t>West</t>
        </is>
      </c>
      <c r="D1415" s="13" t="inlineStr">
        <is>
          <t>Online</t>
        </is>
      </c>
      <c r="E1415" s="13" t="inlineStr">
        <is>
          <t>Textiles</t>
        </is>
      </c>
      <c r="F1415" s="13" t="inlineStr">
        <is>
          <t>Cotton Duvet</t>
        </is>
      </c>
      <c r="G1415" s="13" t="inlineStr">
        <is>
          <t>Consumer</t>
        </is>
      </c>
      <c r="H1415" s="13" t="n">
        <v>3</v>
      </c>
      <c r="I1415" s="14" t="n">
        <v>117.06</v>
      </c>
      <c r="J1415" s="15" t="n">
        <v>0.04</v>
      </c>
      <c r="K1415" s="14" t="n">
        <v>51.51</v>
      </c>
      <c r="L1415" s="13" t="n">
        <v>4</v>
      </c>
      <c r="M1415" s="13" t="inlineStr">
        <is>
          <t>Completed</t>
        </is>
      </c>
      <c r="N1415" s="13" t="inlineStr">
        <is>
          <t>R. Ibarra</t>
        </is>
      </c>
      <c r="O1415" s="13" t="inlineStr">
        <is>
          <t>No</t>
        </is>
      </c>
      <c r="P1415" s="14">
        <f>H1415*I1415</f>
        <v/>
      </c>
      <c r="Q1415" s="14">
        <f>P1415*(1-J1415)</f>
        <v/>
      </c>
      <c r="R1415" s="14">
        <f>H1415*K1415</f>
        <v/>
      </c>
      <c r="S1415" s="15">
        <f>IF(Q1415=0,"",(Q1415-R1415)/Q1415)</f>
        <v/>
      </c>
      <c r="T1415" s="13">
        <f>YEAR(B1415)</f>
        <v/>
      </c>
      <c r="U1415" s="13">
        <f>YEAR(B1415)&amp;"-Q"&amp;ROUNDUP(MONTH(B1415)/3,0)</f>
        <v/>
      </c>
      <c r="V1415" s="13">
        <f>TEXT(B1415,"YYYY-MM")</f>
        <v/>
      </c>
      <c r="W1415" s="13">
        <f>IF(L1415="","",IF(L1415&gt;pLateDays,1,0))</f>
        <v/>
      </c>
      <c r="X1415" s="13">
        <f>IF(Q1415&gt;=pHighCutoff,1,0)</f>
        <v/>
      </c>
      <c r="Y1415" s="13">
        <f>IF(M1415="Returned",1,0)</f>
        <v/>
      </c>
    </row>
    <row r="1416">
      <c r="A1416" s="13" t="inlineStr">
        <is>
          <t>HC-101414</t>
        </is>
      </c>
      <c r="B1416" s="18" t="n">
        <v>45627</v>
      </c>
      <c r="C1416" s="13" t="inlineStr">
        <is>
          <t>North</t>
        </is>
      </c>
      <c r="D1416" s="13" t="inlineStr">
        <is>
          <t>Online</t>
        </is>
      </c>
      <c r="E1416" s="13" t="inlineStr">
        <is>
          <t>Lighting</t>
        </is>
      </c>
      <c r="F1416" s="13" t="inlineStr">
        <is>
          <t>Arc Lamp</t>
        </is>
      </c>
      <c r="G1416" s="13" t="inlineStr">
        <is>
          <t>Home Office</t>
        </is>
      </c>
      <c r="H1416" s="13" t="n">
        <v>4</v>
      </c>
      <c r="I1416" s="14" t="n">
        <v>294.11</v>
      </c>
      <c r="J1416" s="15" t="n">
        <v>0.05</v>
      </c>
      <c r="K1416" s="14" t="n">
        <v>141.17</v>
      </c>
      <c r="L1416" s="13" t="n">
        <v>4</v>
      </c>
      <c r="M1416" s="13" t="inlineStr">
        <is>
          <t>Cancelled</t>
        </is>
      </c>
      <c r="N1416" s="13" t="inlineStr">
        <is>
          <t>P. Rossi</t>
        </is>
      </c>
      <c r="O1416" s="13" t="inlineStr">
        <is>
          <t>No</t>
        </is>
      </c>
      <c r="P1416" s="14">
        <f>H1416*I1416</f>
        <v/>
      </c>
      <c r="Q1416" s="14">
        <f>P1416*(1-J1416)</f>
        <v/>
      </c>
      <c r="R1416" s="14">
        <f>H1416*K1416</f>
        <v/>
      </c>
      <c r="S1416" s="15">
        <f>IF(Q1416=0,"",(Q1416-R1416)/Q1416)</f>
        <v/>
      </c>
      <c r="T1416" s="13">
        <f>YEAR(B1416)</f>
        <v/>
      </c>
      <c r="U1416" s="13">
        <f>YEAR(B1416)&amp;"-Q"&amp;ROUNDUP(MONTH(B1416)/3,0)</f>
        <v/>
      </c>
      <c r="V1416" s="13">
        <f>TEXT(B1416,"YYYY-MM")</f>
        <v/>
      </c>
      <c r="W1416" s="13">
        <f>IF(L1416="","",IF(L1416&gt;pLateDays,1,0))</f>
        <v/>
      </c>
      <c r="X1416" s="13">
        <f>IF(Q1416&gt;=pHighCutoff,1,0)</f>
        <v/>
      </c>
      <c r="Y1416" s="13">
        <f>IF(M1416="Returned",1,0)</f>
        <v/>
      </c>
    </row>
    <row r="1417">
      <c r="A1417" s="13" t="inlineStr">
        <is>
          <t>HC-101415</t>
        </is>
      </c>
      <c r="B1417" s="18" t="n">
        <v>45319</v>
      </c>
      <c r="C1417" s="13" t="inlineStr">
        <is>
          <t>South</t>
        </is>
      </c>
      <c r="D1417" s="13" t="inlineStr">
        <is>
          <t>Online</t>
        </is>
      </c>
      <c r="E1417" s="13" t="inlineStr">
        <is>
          <t>Textiles</t>
        </is>
      </c>
      <c r="F1417" s="13" t="inlineStr">
        <is>
          <t>Cotton Duvet</t>
        </is>
      </c>
      <c r="G1417" s="13" t="inlineStr">
        <is>
          <t>Consumer</t>
        </is>
      </c>
      <c r="H1417" s="13" t="n">
        <v>3</v>
      </c>
      <c r="I1417" s="14" t="n">
        <v>114.95</v>
      </c>
      <c r="J1417" s="15" t="n">
        <v>0.03</v>
      </c>
      <c r="K1417" s="14" t="n">
        <v>50.58</v>
      </c>
      <c r="L1417" s="13" t="n">
        <v>8</v>
      </c>
      <c r="M1417" s="13" t="inlineStr">
        <is>
          <t>Completed</t>
        </is>
      </c>
      <c r="N1417" s="13" t="inlineStr">
        <is>
          <t>P. Rossi</t>
        </is>
      </c>
      <c r="O1417" s="13" t="inlineStr">
        <is>
          <t>No</t>
        </is>
      </c>
      <c r="P1417" s="14">
        <f>H1417*I1417</f>
        <v/>
      </c>
      <c r="Q1417" s="14">
        <f>P1417*(1-J1417)</f>
        <v/>
      </c>
      <c r="R1417" s="14">
        <f>H1417*K1417</f>
        <v/>
      </c>
      <c r="S1417" s="15">
        <f>IF(Q1417=0,"",(Q1417-R1417)/Q1417)</f>
        <v/>
      </c>
      <c r="T1417" s="13">
        <f>YEAR(B1417)</f>
        <v/>
      </c>
      <c r="U1417" s="13">
        <f>YEAR(B1417)&amp;"-Q"&amp;ROUNDUP(MONTH(B1417)/3,0)</f>
        <v/>
      </c>
      <c r="V1417" s="13">
        <f>TEXT(B1417,"YYYY-MM")</f>
        <v/>
      </c>
      <c r="W1417" s="13">
        <f>IF(L1417="","",IF(L1417&gt;pLateDays,1,0))</f>
        <v/>
      </c>
      <c r="X1417" s="13">
        <f>IF(Q1417&gt;=pHighCutoff,1,0)</f>
        <v/>
      </c>
      <c r="Y1417" s="13">
        <f>IF(M1417="Returned",1,0)</f>
        <v/>
      </c>
    </row>
    <row r="1418">
      <c r="A1418" s="13" t="inlineStr">
        <is>
          <t>HC-101416</t>
        </is>
      </c>
      <c r="B1418" s="18" t="n">
        <v>45469</v>
      </c>
      <c r="C1418" s="13" t="inlineStr">
        <is>
          <t>South</t>
        </is>
      </c>
      <c r="D1418" s="13" t="inlineStr">
        <is>
          <t>Online</t>
        </is>
      </c>
      <c r="E1418" s="13" t="inlineStr">
        <is>
          <t>Kitchen</t>
        </is>
      </c>
      <c r="F1418" s="13" t="inlineStr">
        <is>
          <t>Chef Knife</t>
        </is>
      </c>
      <c r="G1418" s="13" t="inlineStr">
        <is>
          <t>Corporate</t>
        </is>
      </c>
      <c r="H1418" s="13" t="n">
        <v>3</v>
      </c>
      <c r="I1418" s="14" t="n">
        <v>65.93000000000001</v>
      </c>
      <c r="J1418" s="15" t="n">
        <v>0.07000000000000001</v>
      </c>
      <c r="K1418" s="14" t="n">
        <v>23.73</v>
      </c>
      <c r="L1418" s="13" t="n">
        <v>9</v>
      </c>
      <c r="M1418" s="13" t="inlineStr">
        <is>
          <t>Completed</t>
        </is>
      </c>
      <c r="N1418" s="13" t="inlineStr">
        <is>
          <t>A. Shah</t>
        </is>
      </c>
      <c r="O1418" s="13" t="inlineStr">
        <is>
          <t>No</t>
        </is>
      </c>
      <c r="P1418" s="14">
        <f>H1418*I1418</f>
        <v/>
      </c>
      <c r="Q1418" s="14">
        <f>P1418*(1-J1418)</f>
        <v/>
      </c>
      <c r="R1418" s="14">
        <f>H1418*K1418</f>
        <v/>
      </c>
      <c r="S1418" s="15">
        <f>IF(Q1418=0,"",(Q1418-R1418)/Q1418)</f>
        <v/>
      </c>
      <c r="T1418" s="13">
        <f>YEAR(B1418)</f>
        <v/>
      </c>
      <c r="U1418" s="13">
        <f>YEAR(B1418)&amp;"-Q"&amp;ROUNDUP(MONTH(B1418)/3,0)</f>
        <v/>
      </c>
      <c r="V1418" s="13">
        <f>TEXT(B1418,"YYYY-MM")</f>
        <v/>
      </c>
      <c r="W1418" s="13">
        <f>IF(L1418="","",IF(L1418&gt;pLateDays,1,0))</f>
        <v/>
      </c>
      <c r="X1418" s="13">
        <f>IF(Q1418&gt;=pHighCutoff,1,0)</f>
        <v/>
      </c>
      <c r="Y1418" s="13">
        <f>IF(M1418="Returned",1,0)</f>
        <v/>
      </c>
    </row>
    <row r="1419">
      <c r="A1419" s="13" t="inlineStr">
        <is>
          <t>HC-101417</t>
        </is>
      </c>
      <c r="B1419" s="18" t="n">
        <v>45478</v>
      </c>
      <c r="C1419" s="13" t="inlineStr">
        <is>
          <t>North</t>
        </is>
      </c>
      <c r="D1419" s="13" t="inlineStr">
        <is>
          <t>Online</t>
        </is>
      </c>
      <c r="E1419" s="13" t="inlineStr">
        <is>
          <t>Textiles</t>
        </is>
      </c>
      <c r="F1419" s="13" t="inlineStr">
        <is>
          <t>Wool Throw</t>
        </is>
      </c>
      <c r="G1419" s="13" t="inlineStr">
        <is>
          <t>Consumer</t>
        </is>
      </c>
      <c r="H1419" s="13" t="n">
        <v>1</v>
      </c>
      <c r="I1419" s="14" t="n">
        <v>71.02</v>
      </c>
      <c r="J1419" s="15" t="n">
        <v>0.03</v>
      </c>
      <c r="K1419" s="14" t="n">
        <v>29.83</v>
      </c>
      <c r="L1419" s="13" t="n">
        <v>7</v>
      </c>
      <c r="M1419" s="13" t="inlineStr">
        <is>
          <t>Completed</t>
        </is>
      </c>
      <c r="N1419" s="13" t="inlineStr">
        <is>
          <t>A. Shah</t>
        </is>
      </c>
      <c r="O1419" s="13" t="inlineStr">
        <is>
          <t>No</t>
        </is>
      </c>
      <c r="P1419" s="14">
        <f>H1419*I1419</f>
        <v/>
      </c>
      <c r="Q1419" s="14">
        <f>P1419*(1-J1419)</f>
        <v/>
      </c>
      <c r="R1419" s="14">
        <f>H1419*K1419</f>
        <v/>
      </c>
      <c r="S1419" s="15">
        <f>IF(Q1419=0,"",(Q1419-R1419)/Q1419)</f>
        <v/>
      </c>
      <c r="T1419" s="13">
        <f>YEAR(B1419)</f>
        <v/>
      </c>
      <c r="U1419" s="13">
        <f>YEAR(B1419)&amp;"-Q"&amp;ROUNDUP(MONTH(B1419)/3,0)</f>
        <v/>
      </c>
      <c r="V1419" s="13">
        <f>TEXT(B1419,"YYYY-MM")</f>
        <v/>
      </c>
      <c r="W1419" s="13">
        <f>IF(L1419="","",IF(L1419&gt;pLateDays,1,0))</f>
        <v/>
      </c>
      <c r="X1419" s="13">
        <f>IF(Q1419&gt;=pHighCutoff,1,0)</f>
        <v/>
      </c>
      <c r="Y1419" s="13">
        <f>IF(M1419="Returned",1,0)</f>
        <v/>
      </c>
    </row>
    <row r="1420">
      <c r="A1420" s="13" t="inlineStr">
        <is>
          <t>HC-101418</t>
        </is>
      </c>
      <c r="B1420" s="18" t="n">
        <v>45777</v>
      </c>
      <c r="C1420" s="13" t="inlineStr">
        <is>
          <t>West</t>
        </is>
      </c>
      <c r="D1420" s="13" t="inlineStr">
        <is>
          <t>Wholesale</t>
        </is>
      </c>
      <c r="E1420" s="13" t="inlineStr">
        <is>
          <t>Furniture</t>
        </is>
      </c>
      <c r="F1420" s="13" t="inlineStr">
        <is>
          <t>Walnut Shelf</t>
        </is>
      </c>
      <c r="G1420" s="13" t="inlineStr">
        <is>
          <t>Home Office</t>
        </is>
      </c>
      <c r="H1420" s="13" t="n">
        <v>12</v>
      </c>
      <c r="I1420" s="14" t="n">
        <v>227.5</v>
      </c>
      <c r="J1420" s="15" t="n">
        <v>0.31</v>
      </c>
      <c r="K1420" s="14" t="n">
        <v>125.12</v>
      </c>
      <c r="L1420" s="13" t="n">
        <v>8</v>
      </c>
      <c r="M1420" s="13" t="inlineStr">
        <is>
          <t>Cancelled</t>
        </is>
      </c>
      <c r="N1420" s="13" t="inlineStr">
        <is>
          <t>M. Okonkwo</t>
        </is>
      </c>
      <c r="O1420" s="13" t="inlineStr">
        <is>
          <t>No</t>
        </is>
      </c>
      <c r="P1420" s="14">
        <f>H1420*I1420</f>
        <v/>
      </c>
      <c r="Q1420" s="14">
        <f>P1420*(1-J1420)</f>
        <v/>
      </c>
      <c r="R1420" s="14">
        <f>H1420*K1420</f>
        <v/>
      </c>
      <c r="S1420" s="15">
        <f>IF(Q1420=0,"",(Q1420-R1420)/Q1420)</f>
        <v/>
      </c>
      <c r="T1420" s="13">
        <f>YEAR(B1420)</f>
        <v/>
      </c>
      <c r="U1420" s="13">
        <f>YEAR(B1420)&amp;"-Q"&amp;ROUNDUP(MONTH(B1420)/3,0)</f>
        <v/>
      </c>
      <c r="V1420" s="13">
        <f>TEXT(B1420,"YYYY-MM")</f>
        <v/>
      </c>
      <c r="W1420" s="13">
        <f>IF(L1420="","",IF(L1420&gt;pLateDays,1,0))</f>
        <v/>
      </c>
      <c r="X1420" s="13">
        <f>IF(Q1420&gt;=pHighCutoff,1,0)</f>
        <v/>
      </c>
      <c r="Y1420" s="13">
        <f>IF(M1420="Returned",1,0)</f>
        <v/>
      </c>
    </row>
    <row r="1421">
      <c r="A1421" s="13" t="inlineStr">
        <is>
          <t>HC-101419</t>
        </is>
      </c>
      <c r="B1421" s="18" t="n">
        <v>45810</v>
      </c>
      <c r="C1421" s="13" t="inlineStr">
        <is>
          <t>North</t>
        </is>
      </c>
      <c r="D1421" s="13" t="inlineStr">
        <is>
          <t>Store</t>
        </is>
      </c>
      <c r="E1421" s="13" t="inlineStr">
        <is>
          <t>Kitchen</t>
        </is>
      </c>
      <c r="F1421" s="13" t="inlineStr">
        <is>
          <t>Cast Skillet</t>
        </is>
      </c>
      <c r="G1421" s="13" t="inlineStr">
        <is>
          <t>Corporate</t>
        </is>
      </c>
      <c r="H1421" s="13" t="n">
        <v>3</v>
      </c>
      <c r="I1421" s="14" t="n">
        <v>54.53</v>
      </c>
      <c r="J1421" s="15" t="n">
        <v>0.09</v>
      </c>
      <c r="K1421" s="14" t="n">
        <v>21.81</v>
      </c>
      <c r="L1421" s="13" t="n">
        <v>7</v>
      </c>
      <c r="M1421" s="13" t="inlineStr">
        <is>
          <t>Completed</t>
        </is>
      </c>
      <c r="N1421" s="13" t="inlineStr">
        <is>
          <t>R. Ibarra</t>
        </is>
      </c>
      <c r="O1421" s="13" t="inlineStr">
        <is>
          <t>No</t>
        </is>
      </c>
      <c r="P1421" s="14">
        <f>H1421*I1421</f>
        <v/>
      </c>
      <c r="Q1421" s="14">
        <f>P1421*(1-J1421)</f>
        <v/>
      </c>
      <c r="R1421" s="14">
        <f>H1421*K1421</f>
        <v/>
      </c>
      <c r="S1421" s="15">
        <f>IF(Q1421=0,"",(Q1421-R1421)/Q1421)</f>
        <v/>
      </c>
      <c r="T1421" s="13">
        <f>YEAR(B1421)</f>
        <v/>
      </c>
      <c r="U1421" s="13">
        <f>YEAR(B1421)&amp;"-Q"&amp;ROUNDUP(MONTH(B1421)/3,0)</f>
        <v/>
      </c>
      <c r="V1421" s="13">
        <f>TEXT(B1421,"YYYY-MM")</f>
        <v/>
      </c>
      <c r="W1421" s="13">
        <f>IF(L1421="","",IF(L1421&gt;pLateDays,1,0))</f>
        <v/>
      </c>
      <c r="X1421" s="13">
        <f>IF(Q1421&gt;=pHighCutoff,1,0)</f>
        <v/>
      </c>
      <c r="Y1421" s="13">
        <f>IF(M1421="Returned",1,0)</f>
        <v/>
      </c>
    </row>
    <row r="1422">
      <c r="A1422" s="13" t="inlineStr">
        <is>
          <t>HC-101420</t>
        </is>
      </c>
      <c r="B1422" s="18" t="n">
        <v>45812</v>
      </c>
      <c r="C1422" s="13" t="inlineStr">
        <is>
          <t>West</t>
        </is>
      </c>
      <c r="D1422" s="13" t="inlineStr">
        <is>
          <t>Online</t>
        </is>
      </c>
      <c r="E1422" s="13" t="inlineStr">
        <is>
          <t>Textiles</t>
        </is>
      </c>
      <c r="F1422" s="13" t="inlineStr">
        <is>
          <t>Linen Curtain</t>
        </is>
      </c>
      <c r="G1422" s="13" t="inlineStr">
        <is>
          <t>Consumer</t>
        </is>
      </c>
      <c r="H1422" s="13" t="n">
        <v>1</v>
      </c>
      <c r="I1422" s="14" t="n">
        <v>90.66</v>
      </c>
      <c r="J1422" s="15" t="n">
        <v>0.05</v>
      </c>
      <c r="K1422" s="14" t="n">
        <v>40.8</v>
      </c>
      <c r="L1422" s="13" t="n">
        <v>11</v>
      </c>
      <c r="M1422" s="13" t="inlineStr">
        <is>
          <t>Completed</t>
        </is>
      </c>
      <c r="N1422" s="13" t="inlineStr">
        <is>
          <t>S. Nguyen</t>
        </is>
      </c>
      <c r="O1422" s="13" t="inlineStr">
        <is>
          <t>No</t>
        </is>
      </c>
      <c r="P1422" s="14">
        <f>H1422*I1422</f>
        <v/>
      </c>
      <c r="Q1422" s="14">
        <f>P1422*(1-J1422)</f>
        <v/>
      </c>
      <c r="R1422" s="14">
        <f>H1422*K1422</f>
        <v/>
      </c>
      <c r="S1422" s="15">
        <f>IF(Q1422=0,"",(Q1422-R1422)/Q1422)</f>
        <v/>
      </c>
      <c r="T1422" s="13">
        <f>YEAR(B1422)</f>
        <v/>
      </c>
      <c r="U1422" s="13">
        <f>YEAR(B1422)&amp;"-Q"&amp;ROUNDUP(MONTH(B1422)/3,0)</f>
        <v/>
      </c>
      <c r="V1422" s="13">
        <f>TEXT(B1422,"YYYY-MM")</f>
        <v/>
      </c>
      <c r="W1422" s="13">
        <f>IF(L1422="","",IF(L1422&gt;pLateDays,1,0))</f>
        <v/>
      </c>
      <c r="X1422" s="13">
        <f>IF(Q1422&gt;=pHighCutoff,1,0)</f>
        <v/>
      </c>
      <c r="Y1422" s="13">
        <f>IF(M1422="Returned",1,0)</f>
        <v/>
      </c>
    </row>
    <row r="1423">
      <c r="A1423" s="13" t="inlineStr">
        <is>
          <t>HC-101421</t>
        </is>
      </c>
      <c r="B1423" s="18" t="n">
        <v>45294</v>
      </c>
      <c r="C1423" s="13" t="inlineStr">
        <is>
          <t>North</t>
        </is>
      </c>
      <c r="D1423" s="13" t="inlineStr">
        <is>
          <t>Online</t>
        </is>
      </c>
      <c r="E1423" s="13" t="inlineStr">
        <is>
          <t>Textiles</t>
        </is>
      </c>
      <c r="F1423" s="13" t="inlineStr">
        <is>
          <t>Linen Curtain</t>
        </is>
      </c>
      <c r="G1423" s="13" t="inlineStr">
        <is>
          <t>Consumer</t>
        </is>
      </c>
      <c r="H1423" s="13" t="n">
        <v>1</v>
      </c>
      <c r="I1423" s="14" t="n">
        <v>97.86</v>
      </c>
      <c r="J1423" s="15" t="n">
        <v>0.16</v>
      </c>
      <c r="K1423" s="14" t="n">
        <v>44.04</v>
      </c>
      <c r="L1423" s="13" t="n">
        <v>5</v>
      </c>
      <c r="M1423" s="13" t="inlineStr">
        <is>
          <t>Completed</t>
        </is>
      </c>
      <c r="N1423" s="13" t="inlineStr">
        <is>
          <t>R. Ibarra</t>
        </is>
      </c>
      <c r="O1423" s="13" t="inlineStr">
        <is>
          <t>No</t>
        </is>
      </c>
      <c r="P1423" s="14">
        <f>H1423*I1423</f>
        <v/>
      </c>
      <c r="Q1423" s="14">
        <f>P1423*(1-J1423)</f>
        <v/>
      </c>
      <c r="R1423" s="14">
        <f>H1423*K1423</f>
        <v/>
      </c>
      <c r="S1423" s="15">
        <f>IF(Q1423=0,"",(Q1423-R1423)/Q1423)</f>
        <v/>
      </c>
      <c r="T1423" s="13">
        <f>YEAR(B1423)</f>
        <v/>
      </c>
      <c r="U1423" s="13">
        <f>YEAR(B1423)&amp;"-Q"&amp;ROUNDUP(MONTH(B1423)/3,0)</f>
        <v/>
      </c>
      <c r="V1423" s="13">
        <f>TEXT(B1423,"YYYY-MM")</f>
        <v/>
      </c>
      <c r="W1423" s="13">
        <f>IF(L1423="","",IF(L1423&gt;pLateDays,1,0))</f>
        <v/>
      </c>
      <c r="X1423" s="13">
        <f>IF(Q1423&gt;=pHighCutoff,1,0)</f>
        <v/>
      </c>
      <c r="Y1423" s="13">
        <f>IF(M1423="Returned",1,0)</f>
        <v/>
      </c>
    </row>
    <row r="1424">
      <c r="A1424" s="13" t="inlineStr">
        <is>
          <t>HC-101422</t>
        </is>
      </c>
      <c r="B1424" s="18" t="n">
        <v>45558</v>
      </c>
      <c r="C1424" s="13" t="inlineStr">
        <is>
          <t>West</t>
        </is>
      </c>
      <c r="D1424" s="13" t="inlineStr">
        <is>
          <t>Online</t>
        </is>
      </c>
      <c r="E1424" s="13" t="inlineStr">
        <is>
          <t>Furniture</t>
        </is>
      </c>
      <c r="F1424" s="13" t="inlineStr">
        <is>
          <t>Walnut Shelf</t>
        </is>
      </c>
      <c r="G1424" s="13" t="inlineStr">
        <is>
          <t>Corporate</t>
        </is>
      </c>
      <c r="H1424" s="13" t="n">
        <v>3</v>
      </c>
      <c r="I1424" s="14" t="n">
        <v>209.05</v>
      </c>
      <c r="J1424" s="15" t="n">
        <v>0.15</v>
      </c>
      <c r="K1424" s="14" t="n">
        <v>114.98</v>
      </c>
      <c r="L1424" s="13" t="n">
        <v>7</v>
      </c>
      <c r="M1424" s="13" t="inlineStr">
        <is>
          <t>Returned</t>
        </is>
      </c>
      <c r="N1424" s="13" t="inlineStr">
        <is>
          <t>J. Patel</t>
        </is>
      </c>
      <c r="O1424" s="13" t="inlineStr">
        <is>
          <t>No</t>
        </is>
      </c>
      <c r="P1424" s="14">
        <f>H1424*I1424</f>
        <v/>
      </c>
      <c r="Q1424" s="14">
        <f>P1424*(1-J1424)</f>
        <v/>
      </c>
      <c r="R1424" s="14">
        <f>H1424*K1424</f>
        <v/>
      </c>
      <c r="S1424" s="15">
        <f>IF(Q1424=0,"",(Q1424-R1424)/Q1424)</f>
        <v/>
      </c>
      <c r="T1424" s="13">
        <f>YEAR(B1424)</f>
        <v/>
      </c>
      <c r="U1424" s="13">
        <f>YEAR(B1424)&amp;"-Q"&amp;ROUNDUP(MONTH(B1424)/3,0)</f>
        <v/>
      </c>
      <c r="V1424" s="13">
        <f>TEXT(B1424,"YYYY-MM")</f>
        <v/>
      </c>
      <c r="W1424" s="13">
        <f>IF(L1424="","",IF(L1424&gt;pLateDays,1,0))</f>
        <v/>
      </c>
      <c r="X1424" s="13">
        <f>IF(Q1424&gt;=pHighCutoff,1,0)</f>
        <v/>
      </c>
      <c r="Y1424" s="13">
        <f>IF(M1424="Returned",1,0)</f>
        <v/>
      </c>
    </row>
    <row r="1425">
      <c r="A1425" s="13" t="inlineStr">
        <is>
          <t>HC-101423</t>
        </is>
      </c>
      <c r="B1425" s="18" t="n">
        <v>45771</v>
      </c>
      <c r="C1425" s="13" t="inlineStr">
        <is>
          <t>East</t>
        </is>
      </c>
      <c r="D1425" s="13" t="inlineStr">
        <is>
          <t>Store</t>
        </is>
      </c>
      <c r="E1425" s="13" t="inlineStr">
        <is>
          <t>Textiles</t>
        </is>
      </c>
      <c r="F1425" s="13" t="inlineStr">
        <is>
          <t>Wool Throw</t>
        </is>
      </c>
      <c r="G1425" s="13" t="inlineStr">
        <is>
          <t>Consumer</t>
        </is>
      </c>
      <c r="H1425" s="13" t="n">
        <v>3</v>
      </c>
      <c r="I1425" s="14" t="n">
        <v>69.16</v>
      </c>
      <c r="J1425" s="15" t="n">
        <v>0.1</v>
      </c>
      <c r="K1425" s="14" t="n">
        <v>29.05</v>
      </c>
      <c r="L1425" s="13" t="n">
        <v>9</v>
      </c>
      <c r="M1425" s="13" t="inlineStr">
        <is>
          <t>Completed</t>
        </is>
      </c>
      <c r="N1425" s="13" t="inlineStr">
        <is>
          <t>M. Okonkwo</t>
        </is>
      </c>
      <c r="O1425" s="13" t="inlineStr">
        <is>
          <t>No</t>
        </is>
      </c>
      <c r="P1425" s="14">
        <f>H1425*I1425</f>
        <v/>
      </c>
      <c r="Q1425" s="14">
        <f>P1425*(1-J1425)</f>
        <v/>
      </c>
      <c r="R1425" s="14">
        <f>H1425*K1425</f>
        <v/>
      </c>
      <c r="S1425" s="15">
        <f>IF(Q1425=0,"",(Q1425-R1425)/Q1425)</f>
        <v/>
      </c>
      <c r="T1425" s="13">
        <f>YEAR(B1425)</f>
        <v/>
      </c>
      <c r="U1425" s="13">
        <f>YEAR(B1425)&amp;"-Q"&amp;ROUNDUP(MONTH(B1425)/3,0)</f>
        <v/>
      </c>
      <c r="V1425" s="13">
        <f>TEXT(B1425,"YYYY-MM")</f>
        <v/>
      </c>
      <c r="W1425" s="13">
        <f>IF(L1425="","",IF(L1425&gt;pLateDays,1,0))</f>
        <v/>
      </c>
      <c r="X1425" s="13">
        <f>IF(Q1425&gt;=pHighCutoff,1,0)</f>
        <v/>
      </c>
      <c r="Y1425" s="13">
        <f>IF(M1425="Returned",1,0)</f>
        <v/>
      </c>
    </row>
    <row r="1426">
      <c r="A1426" s="13" t="inlineStr">
        <is>
          <t>HC-101424</t>
        </is>
      </c>
      <c r="B1426" s="18" t="n">
        <v>45880</v>
      </c>
      <c r="C1426" s="13" t="inlineStr">
        <is>
          <t>East</t>
        </is>
      </c>
      <c r="D1426" s="13" t="inlineStr">
        <is>
          <t>Store</t>
        </is>
      </c>
      <c r="E1426" s="13" t="inlineStr">
        <is>
          <t>Textiles</t>
        </is>
      </c>
      <c r="F1426" s="13" t="inlineStr">
        <is>
          <t>Cotton Duvet</t>
        </is>
      </c>
      <c r="G1426" s="13" t="inlineStr">
        <is>
          <t>Consumer</t>
        </is>
      </c>
      <c r="H1426" s="13" t="n">
        <v>4</v>
      </c>
      <c r="I1426" s="14" t="n">
        <v>116.14</v>
      </c>
      <c r="J1426" s="15" t="n">
        <v>0.01</v>
      </c>
      <c r="K1426" s="14" t="n">
        <v>51.1</v>
      </c>
      <c r="L1426" s="13" t="n">
        <v>7</v>
      </c>
      <c r="M1426" s="13" t="inlineStr">
        <is>
          <t>Cancelled</t>
        </is>
      </c>
      <c r="N1426" s="13" t="inlineStr">
        <is>
          <t>P. Rossi</t>
        </is>
      </c>
      <c r="O1426" s="13" t="inlineStr">
        <is>
          <t>No</t>
        </is>
      </c>
      <c r="P1426" s="14">
        <f>H1426*I1426</f>
        <v/>
      </c>
      <c r="Q1426" s="14">
        <f>P1426*(1-J1426)</f>
        <v/>
      </c>
      <c r="R1426" s="14">
        <f>H1426*K1426</f>
        <v/>
      </c>
      <c r="S1426" s="15">
        <f>IF(Q1426=0,"",(Q1426-R1426)/Q1426)</f>
        <v/>
      </c>
      <c r="T1426" s="13">
        <f>YEAR(B1426)</f>
        <v/>
      </c>
      <c r="U1426" s="13">
        <f>YEAR(B1426)&amp;"-Q"&amp;ROUNDUP(MONTH(B1426)/3,0)</f>
        <v/>
      </c>
      <c r="V1426" s="13">
        <f>TEXT(B1426,"YYYY-MM")</f>
        <v/>
      </c>
      <c r="W1426" s="13">
        <f>IF(L1426="","",IF(L1426&gt;pLateDays,1,0))</f>
        <v/>
      </c>
      <c r="X1426" s="13">
        <f>IF(Q1426&gt;=pHighCutoff,1,0)</f>
        <v/>
      </c>
      <c r="Y1426" s="13">
        <f>IF(M1426="Returned",1,0)</f>
        <v/>
      </c>
    </row>
    <row r="1427">
      <c r="A1427" s="13" t="inlineStr">
        <is>
          <t>HC-101425</t>
        </is>
      </c>
      <c r="B1427" s="18" t="n">
        <v>45572</v>
      </c>
      <c r="C1427" s="13" t="inlineStr">
        <is>
          <t>East</t>
        </is>
      </c>
      <c r="D1427" s="13" t="inlineStr">
        <is>
          <t>Store</t>
        </is>
      </c>
      <c r="E1427" s="13" t="inlineStr">
        <is>
          <t>Kitchen</t>
        </is>
      </c>
      <c r="F1427" s="13" t="inlineStr">
        <is>
          <t>Ceramic Set</t>
        </is>
      </c>
      <c r="G1427" s="13" t="inlineStr">
        <is>
          <t>Consumer</t>
        </is>
      </c>
      <c r="H1427" s="13" t="n">
        <v>4</v>
      </c>
      <c r="I1427" s="14" t="n">
        <v>78.03</v>
      </c>
      <c r="J1427" s="15" t="n">
        <v>0.01</v>
      </c>
      <c r="K1427" s="14" t="n">
        <v>29.65</v>
      </c>
      <c r="L1427" s="13" t="n">
        <v>6</v>
      </c>
      <c r="M1427" s="13" t="inlineStr">
        <is>
          <t>Completed</t>
        </is>
      </c>
      <c r="N1427" s="13" t="inlineStr">
        <is>
          <t>J. Patel</t>
        </is>
      </c>
      <c r="O1427" s="13" t="inlineStr">
        <is>
          <t>No</t>
        </is>
      </c>
      <c r="P1427" s="14">
        <f>H1427*I1427</f>
        <v/>
      </c>
      <c r="Q1427" s="14">
        <f>P1427*(1-J1427)</f>
        <v/>
      </c>
      <c r="R1427" s="14">
        <f>H1427*K1427</f>
        <v/>
      </c>
      <c r="S1427" s="15">
        <f>IF(Q1427=0,"",(Q1427-R1427)/Q1427)</f>
        <v/>
      </c>
      <c r="T1427" s="13">
        <f>YEAR(B1427)</f>
        <v/>
      </c>
      <c r="U1427" s="13">
        <f>YEAR(B1427)&amp;"-Q"&amp;ROUNDUP(MONTH(B1427)/3,0)</f>
        <v/>
      </c>
      <c r="V1427" s="13">
        <f>TEXT(B1427,"YYYY-MM")</f>
        <v/>
      </c>
      <c r="W1427" s="13">
        <f>IF(L1427="","",IF(L1427&gt;pLateDays,1,0))</f>
        <v/>
      </c>
      <c r="X1427" s="13">
        <f>IF(Q1427&gt;=pHighCutoff,1,0)</f>
        <v/>
      </c>
      <c r="Y1427" s="13">
        <f>IF(M1427="Returned",1,0)</f>
        <v/>
      </c>
    </row>
    <row r="1428">
      <c r="A1428" s="13" t="inlineStr">
        <is>
          <t>HC-101426</t>
        </is>
      </c>
      <c r="B1428" s="18" t="n">
        <v>45495</v>
      </c>
      <c r="C1428" s="13" t="inlineStr">
        <is>
          <t>North</t>
        </is>
      </c>
      <c r="D1428" s="13" t="inlineStr">
        <is>
          <t>Online</t>
        </is>
      </c>
      <c r="E1428" s="13" t="inlineStr">
        <is>
          <t>Textiles</t>
        </is>
      </c>
      <c r="F1428" s="13" t="inlineStr">
        <is>
          <t>Cotton Duvet</t>
        </is>
      </c>
      <c r="G1428" s="13" t="inlineStr">
        <is>
          <t>Home Office</t>
        </is>
      </c>
      <c r="H1428" s="13" t="n">
        <v>2</v>
      </c>
      <c r="I1428" s="14" t="n">
        <v>118.2</v>
      </c>
      <c r="J1428" s="15" t="n">
        <v>0.1</v>
      </c>
      <c r="K1428" s="14" t="n">
        <v>52.01</v>
      </c>
      <c r="L1428" s="13" t="n">
        <v>6</v>
      </c>
      <c r="M1428" s="13" t="inlineStr">
        <is>
          <t>Completed</t>
        </is>
      </c>
      <c r="N1428" s="13" t="inlineStr">
        <is>
          <t>L. Berger</t>
        </is>
      </c>
      <c r="O1428" s="13" t="inlineStr">
        <is>
          <t>No</t>
        </is>
      </c>
      <c r="P1428" s="14">
        <f>H1428*I1428</f>
        <v/>
      </c>
      <c r="Q1428" s="14">
        <f>P1428*(1-J1428)</f>
        <v/>
      </c>
      <c r="R1428" s="14">
        <f>H1428*K1428</f>
        <v/>
      </c>
      <c r="S1428" s="15">
        <f>IF(Q1428=0,"",(Q1428-R1428)/Q1428)</f>
        <v/>
      </c>
      <c r="T1428" s="13">
        <f>YEAR(B1428)</f>
        <v/>
      </c>
      <c r="U1428" s="13">
        <f>YEAR(B1428)&amp;"-Q"&amp;ROUNDUP(MONTH(B1428)/3,0)</f>
        <v/>
      </c>
      <c r="V1428" s="13">
        <f>TEXT(B1428,"YYYY-MM")</f>
        <v/>
      </c>
      <c r="W1428" s="13">
        <f>IF(L1428="","",IF(L1428&gt;pLateDays,1,0))</f>
        <v/>
      </c>
      <c r="X1428" s="13">
        <f>IF(Q1428&gt;=pHighCutoff,1,0)</f>
        <v/>
      </c>
      <c r="Y1428" s="13">
        <f>IF(M1428="Returned",1,0)</f>
        <v/>
      </c>
    </row>
    <row r="1429">
      <c r="A1429" s="13" t="inlineStr">
        <is>
          <t>HC-101427</t>
        </is>
      </c>
      <c r="B1429" s="18" t="n">
        <v>45459</v>
      </c>
      <c r="C1429" s="13" t="inlineStr">
        <is>
          <t>South</t>
        </is>
      </c>
      <c r="D1429" s="13" t="inlineStr">
        <is>
          <t>Store</t>
        </is>
      </c>
      <c r="E1429" s="13" t="inlineStr">
        <is>
          <t>Kitchen</t>
        </is>
      </c>
      <c r="F1429" s="13" t="inlineStr">
        <is>
          <t>Cast Skillet</t>
        </is>
      </c>
      <c r="G1429" s="13" t="inlineStr">
        <is>
          <t>Consumer</t>
        </is>
      </c>
      <c r="H1429" s="13" t="n">
        <v>1</v>
      </c>
      <c r="I1429" s="14" t="n">
        <v>55.87</v>
      </c>
      <c r="J1429" s="15" t="n">
        <v>0.12</v>
      </c>
      <c r="K1429" s="14" t="n">
        <v>22.35</v>
      </c>
      <c r="L1429" s="13" t="n"/>
      <c r="M1429" s="13" t="inlineStr">
        <is>
          <t>Completed</t>
        </is>
      </c>
      <c r="N1429" s="13" t="inlineStr">
        <is>
          <t>K. Mensah</t>
        </is>
      </c>
      <c r="O1429" s="13" t="inlineStr">
        <is>
          <t>No</t>
        </is>
      </c>
      <c r="P1429" s="14">
        <f>H1429*I1429</f>
        <v/>
      </c>
      <c r="Q1429" s="14">
        <f>P1429*(1-J1429)</f>
        <v/>
      </c>
      <c r="R1429" s="14">
        <f>H1429*K1429</f>
        <v/>
      </c>
      <c r="S1429" s="15">
        <f>IF(Q1429=0,"",(Q1429-R1429)/Q1429)</f>
        <v/>
      </c>
      <c r="T1429" s="13">
        <f>YEAR(B1429)</f>
        <v/>
      </c>
      <c r="U1429" s="13">
        <f>YEAR(B1429)&amp;"-Q"&amp;ROUNDUP(MONTH(B1429)/3,0)</f>
        <v/>
      </c>
      <c r="V1429" s="13">
        <f>TEXT(B1429,"YYYY-MM")</f>
        <v/>
      </c>
      <c r="W1429" s="13">
        <f>IF(L1429="","",IF(L1429&gt;pLateDays,1,0))</f>
        <v/>
      </c>
      <c r="X1429" s="13">
        <f>IF(Q1429&gt;=pHighCutoff,1,0)</f>
        <v/>
      </c>
      <c r="Y1429" s="13">
        <f>IF(M1429="Returned",1,0)</f>
        <v/>
      </c>
    </row>
    <row r="1430">
      <c r="A1430" s="13" t="inlineStr">
        <is>
          <t>HC-101428</t>
        </is>
      </c>
      <c r="B1430" s="18" t="n">
        <v>45418</v>
      </c>
      <c r="C1430" s="13" t="inlineStr">
        <is>
          <t>West</t>
        </is>
      </c>
      <c r="D1430" s="13" t="inlineStr">
        <is>
          <t>Online</t>
        </is>
      </c>
      <c r="E1430" s="13" t="inlineStr">
        <is>
          <t>Lighting</t>
        </is>
      </c>
      <c r="F1430" s="13" t="inlineStr">
        <is>
          <t>Arc Lamp</t>
        </is>
      </c>
      <c r="G1430" s="13" t="inlineStr">
        <is>
          <t>Corporate</t>
        </is>
      </c>
      <c r="H1430" s="13" t="n">
        <v>2</v>
      </c>
      <c r="I1430" s="14" t="n">
        <v>288.98</v>
      </c>
      <c r="J1430" s="15" t="n">
        <v>0.03</v>
      </c>
      <c r="K1430" s="14" t="n">
        <v>138.71</v>
      </c>
      <c r="L1430" s="13" t="n">
        <v>5</v>
      </c>
      <c r="M1430" s="13" t="inlineStr">
        <is>
          <t>Completed</t>
        </is>
      </c>
      <c r="N1430" s="13" t="inlineStr">
        <is>
          <t>K. Mensah</t>
        </is>
      </c>
      <c r="O1430" s="13" t="inlineStr">
        <is>
          <t>No</t>
        </is>
      </c>
      <c r="P1430" s="14">
        <f>H1430*I1430</f>
        <v/>
      </c>
      <c r="Q1430" s="14">
        <f>P1430*(1-J1430)</f>
        <v/>
      </c>
      <c r="R1430" s="14">
        <f>H1430*K1430</f>
        <v/>
      </c>
      <c r="S1430" s="15">
        <f>IF(Q1430=0,"",(Q1430-R1430)/Q1430)</f>
        <v/>
      </c>
      <c r="T1430" s="13">
        <f>YEAR(B1430)</f>
        <v/>
      </c>
      <c r="U1430" s="13">
        <f>YEAR(B1430)&amp;"-Q"&amp;ROUNDUP(MONTH(B1430)/3,0)</f>
        <v/>
      </c>
      <c r="V1430" s="13">
        <f>TEXT(B1430,"YYYY-MM")</f>
        <v/>
      </c>
      <c r="W1430" s="13">
        <f>IF(L1430="","",IF(L1430&gt;pLateDays,1,0))</f>
        <v/>
      </c>
      <c r="X1430" s="13">
        <f>IF(Q1430&gt;=pHighCutoff,1,0)</f>
        <v/>
      </c>
      <c r="Y1430" s="13">
        <f>IF(M1430="Returned",1,0)</f>
        <v/>
      </c>
    </row>
    <row r="1431">
      <c r="A1431" s="13" t="inlineStr">
        <is>
          <t>HC-101429</t>
        </is>
      </c>
      <c r="B1431" s="18" t="n">
        <v>45802</v>
      </c>
      <c r="C1431" s="13" t="inlineStr">
        <is>
          <t>East</t>
        </is>
      </c>
      <c r="D1431" s="13" t="inlineStr">
        <is>
          <t>Wholesale</t>
        </is>
      </c>
      <c r="E1431" s="13" t="inlineStr">
        <is>
          <t>Textiles</t>
        </is>
      </c>
      <c r="F1431" s="13" t="inlineStr">
        <is>
          <t>Linen Curtain</t>
        </is>
      </c>
      <c r="G1431" s="13" t="inlineStr">
        <is>
          <t>Home Office</t>
        </is>
      </c>
      <c r="H1431" s="13" t="n">
        <v>13</v>
      </c>
      <c r="I1431" s="14" t="n">
        <v>89.78</v>
      </c>
      <c r="J1431" s="15" t="n">
        <v>0.16</v>
      </c>
      <c r="K1431" s="14" t="n">
        <v>40.4</v>
      </c>
      <c r="L1431" s="13" t="n">
        <v>9</v>
      </c>
      <c r="M1431" s="13" t="inlineStr">
        <is>
          <t>Completed</t>
        </is>
      </c>
      <c r="N1431" s="13" t="inlineStr">
        <is>
          <t>L. Berger</t>
        </is>
      </c>
      <c r="O1431" s="13" t="inlineStr">
        <is>
          <t>No</t>
        </is>
      </c>
      <c r="P1431" s="14">
        <f>H1431*I1431</f>
        <v/>
      </c>
      <c r="Q1431" s="14">
        <f>P1431*(1-J1431)</f>
        <v/>
      </c>
      <c r="R1431" s="14">
        <f>H1431*K1431</f>
        <v/>
      </c>
      <c r="S1431" s="15">
        <f>IF(Q1431=0,"",(Q1431-R1431)/Q1431)</f>
        <v/>
      </c>
      <c r="T1431" s="13">
        <f>YEAR(B1431)</f>
        <v/>
      </c>
      <c r="U1431" s="13">
        <f>YEAR(B1431)&amp;"-Q"&amp;ROUNDUP(MONTH(B1431)/3,0)</f>
        <v/>
      </c>
      <c r="V1431" s="13">
        <f>TEXT(B1431,"YYYY-MM")</f>
        <v/>
      </c>
      <c r="W1431" s="13">
        <f>IF(L1431="","",IF(L1431&gt;pLateDays,1,0))</f>
        <v/>
      </c>
      <c r="X1431" s="13">
        <f>IF(Q1431&gt;=pHighCutoff,1,0)</f>
        <v/>
      </c>
      <c r="Y1431" s="13">
        <f>IF(M1431="Returned",1,0)</f>
        <v/>
      </c>
    </row>
    <row r="1432">
      <c r="A1432" s="13" t="inlineStr">
        <is>
          <t>HC-101430</t>
        </is>
      </c>
      <c r="B1432" s="18" t="n">
        <v>45458</v>
      </c>
      <c r="C1432" s="13" t="inlineStr">
        <is>
          <t>West</t>
        </is>
      </c>
      <c r="D1432" s="13" t="inlineStr">
        <is>
          <t>Store</t>
        </is>
      </c>
      <c r="E1432" s="13" t="inlineStr">
        <is>
          <t>Furniture</t>
        </is>
      </c>
      <c r="F1432" s="13" t="inlineStr">
        <is>
          <t>Lounge Chair</t>
        </is>
      </c>
      <c r="G1432" s="13" t="inlineStr">
        <is>
          <t>Corporate</t>
        </is>
      </c>
      <c r="H1432" s="13" t="n">
        <v>2</v>
      </c>
      <c r="I1432" s="14" t="n">
        <v>499.39</v>
      </c>
      <c r="J1432" s="15" t="n">
        <v>0.08</v>
      </c>
      <c r="K1432" s="14" t="n">
        <v>299.63</v>
      </c>
      <c r="L1432" s="13" t="n">
        <v>5</v>
      </c>
      <c r="M1432" s="13" t="inlineStr">
        <is>
          <t>Completed</t>
        </is>
      </c>
      <c r="N1432" s="13" t="inlineStr">
        <is>
          <t>K. Mensah</t>
        </is>
      </c>
      <c r="O1432" s="13" t="inlineStr">
        <is>
          <t>No</t>
        </is>
      </c>
      <c r="P1432" s="14">
        <f>H1432*I1432</f>
        <v/>
      </c>
      <c r="Q1432" s="14">
        <f>P1432*(1-J1432)</f>
        <v/>
      </c>
      <c r="R1432" s="14">
        <f>H1432*K1432</f>
        <v/>
      </c>
      <c r="S1432" s="15">
        <f>IF(Q1432=0,"",(Q1432-R1432)/Q1432)</f>
        <v/>
      </c>
      <c r="T1432" s="13">
        <f>YEAR(B1432)</f>
        <v/>
      </c>
      <c r="U1432" s="13">
        <f>YEAR(B1432)&amp;"-Q"&amp;ROUNDUP(MONTH(B1432)/3,0)</f>
        <v/>
      </c>
      <c r="V1432" s="13">
        <f>TEXT(B1432,"YYYY-MM")</f>
        <v/>
      </c>
      <c r="W1432" s="13">
        <f>IF(L1432="","",IF(L1432&gt;pLateDays,1,0))</f>
        <v/>
      </c>
      <c r="X1432" s="13">
        <f>IF(Q1432&gt;=pHighCutoff,1,0)</f>
        <v/>
      </c>
      <c r="Y1432" s="13">
        <f>IF(M1432="Returned",1,0)</f>
        <v/>
      </c>
    </row>
    <row r="1433">
      <c r="A1433" s="13" t="inlineStr">
        <is>
          <t>HC-101431</t>
        </is>
      </c>
      <c r="B1433" s="18" t="n">
        <v>45860</v>
      </c>
      <c r="C1433" s="13" t="inlineStr">
        <is>
          <t>West</t>
        </is>
      </c>
      <c r="D1433" s="13" t="inlineStr">
        <is>
          <t>Wholesale</t>
        </is>
      </c>
      <c r="E1433" s="13" t="inlineStr">
        <is>
          <t>Textiles</t>
        </is>
      </c>
      <c r="F1433" s="13" t="inlineStr">
        <is>
          <t>Wool Throw</t>
        </is>
      </c>
      <c r="G1433" s="13" t="inlineStr">
        <is>
          <t>Consumer</t>
        </is>
      </c>
      <c r="H1433" s="13" t="n">
        <v>9</v>
      </c>
      <c r="I1433" s="14" t="n">
        <v>80.09999999999999</v>
      </c>
      <c r="J1433" s="15" t="n">
        <v>0.31</v>
      </c>
      <c r="K1433" s="14" t="n">
        <v>33.64</v>
      </c>
      <c r="L1433" s="13" t="n">
        <v>10</v>
      </c>
      <c r="M1433" s="13" t="inlineStr">
        <is>
          <t>Completed</t>
        </is>
      </c>
      <c r="N1433" s="13" t="inlineStr">
        <is>
          <t>J. Patel</t>
        </is>
      </c>
      <c r="O1433" s="13" t="inlineStr">
        <is>
          <t>No</t>
        </is>
      </c>
      <c r="P1433" s="14">
        <f>H1433*I1433</f>
        <v/>
      </c>
      <c r="Q1433" s="14">
        <f>P1433*(1-J1433)</f>
        <v/>
      </c>
      <c r="R1433" s="14">
        <f>H1433*K1433</f>
        <v/>
      </c>
      <c r="S1433" s="15">
        <f>IF(Q1433=0,"",(Q1433-R1433)/Q1433)</f>
        <v/>
      </c>
      <c r="T1433" s="13">
        <f>YEAR(B1433)</f>
        <v/>
      </c>
      <c r="U1433" s="13">
        <f>YEAR(B1433)&amp;"-Q"&amp;ROUNDUP(MONTH(B1433)/3,0)</f>
        <v/>
      </c>
      <c r="V1433" s="13">
        <f>TEXT(B1433,"YYYY-MM")</f>
        <v/>
      </c>
      <c r="W1433" s="13">
        <f>IF(L1433="","",IF(L1433&gt;pLateDays,1,0))</f>
        <v/>
      </c>
      <c r="X1433" s="13">
        <f>IF(Q1433&gt;=pHighCutoff,1,0)</f>
        <v/>
      </c>
      <c r="Y1433" s="13">
        <f>IF(M1433="Returned",1,0)</f>
        <v/>
      </c>
    </row>
    <row r="1434">
      <c r="A1434" s="13" t="inlineStr">
        <is>
          <t>HC-101432</t>
        </is>
      </c>
      <c r="B1434" s="18" t="n">
        <v>45807</v>
      </c>
      <c r="C1434" s="13" t="inlineStr">
        <is>
          <t>West</t>
        </is>
      </c>
      <c r="D1434" s="13" t="inlineStr">
        <is>
          <t>Online</t>
        </is>
      </c>
      <c r="E1434" s="13" t="inlineStr">
        <is>
          <t>Furniture</t>
        </is>
      </c>
      <c r="F1434" s="13" t="inlineStr">
        <is>
          <t>Linen Sofa</t>
        </is>
      </c>
      <c r="G1434" s="13" t="inlineStr">
        <is>
          <t>Consumer</t>
        </is>
      </c>
      <c r="H1434" s="13" t="n">
        <v>1</v>
      </c>
      <c r="I1434" s="14" t="n">
        <v>1290.17</v>
      </c>
      <c r="J1434" s="15" t="n">
        <v>0.15</v>
      </c>
      <c r="K1434" s="14" t="n">
        <v>851.51</v>
      </c>
      <c r="L1434" s="13" t="n">
        <v>7</v>
      </c>
      <c r="M1434" s="13" t="inlineStr">
        <is>
          <t>Completed</t>
        </is>
      </c>
      <c r="N1434" s="13" t="inlineStr">
        <is>
          <t>A. Shah</t>
        </is>
      </c>
      <c r="O1434" s="13" t="inlineStr">
        <is>
          <t>No</t>
        </is>
      </c>
      <c r="P1434" s="14">
        <f>H1434*I1434</f>
        <v/>
      </c>
      <c r="Q1434" s="14">
        <f>P1434*(1-J1434)</f>
        <v/>
      </c>
      <c r="R1434" s="14">
        <f>H1434*K1434</f>
        <v/>
      </c>
      <c r="S1434" s="15">
        <f>IF(Q1434=0,"",(Q1434-R1434)/Q1434)</f>
        <v/>
      </c>
      <c r="T1434" s="13">
        <f>YEAR(B1434)</f>
        <v/>
      </c>
      <c r="U1434" s="13">
        <f>YEAR(B1434)&amp;"-Q"&amp;ROUNDUP(MONTH(B1434)/3,0)</f>
        <v/>
      </c>
      <c r="V1434" s="13">
        <f>TEXT(B1434,"YYYY-MM")</f>
        <v/>
      </c>
      <c r="W1434" s="13">
        <f>IF(L1434="","",IF(L1434&gt;pLateDays,1,0))</f>
        <v/>
      </c>
      <c r="X1434" s="13">
        <f>IF(Q1434&gt;=pHighCutoff,1,0)</f>
        <v/>
      </c>
      <c r="Y1434" s="13">
        <f>IF(M1434="Returned",1,0)</f>
        <v/>
      </c>
    </row>
    <row r="1435">
      <c r="A1435" s="13" t="inlineStr">
        <is>
          <t>HC-101433</t>
        </is>
      </c>
      <c r="B1435" s="18" t="n">
        <v>45420</v>
      </c>
      <c r="C1435" s="13" t="inlineStr">
        <is>
          <t>North</t>
        </is>
      </c>
      <c r="D1435" s="13" t="inlineStr">
        <is>
          <t>Store</t>
        </is>
      </c>
      <c r="E1435" s="13" t="inlineStr">
        <is>
          <t>Kitchen</t>
        </is>
      </c>
      <c r="F1435" s="13" t="inlineStr">
        <is>
          <t>Ceramic Set</t>
        </is>
      </c>
      <c r="G1435" s="13" t="inlineStr">
        <is>
          <t>Corporate</t>
        </is>
      </c>
      <c r="H1435" s="13" t="n">
        <v>3</v>
      </c>
      <c r="I1435" s="14" t="n">
        <v>84.20999999999999</v>
      </c>
      <c r="J1435" s="15" t="n">
        <v>0.1</v>
      </c>
      <c r="K1435" s="14" t="n">
        <v>32</v>
      </c>
      <c r="L1435" s="13" t="n">
        <v>7</v>
      </c>
      <c r="M1435" s="13" t="inlineStr">
        <is>
          <t>Completed</t>
        </is>
      </c>
      <c r="N1435" s="13" t="inlineStr">
        <is>
          <t>P. Rossi</t>
        </is>
      </c>
      <c r="O1435" s="13" t="inlineStr">
        <is>
          <t>No</t>
        </is>
      </c>
      <c r="P1435" s="14">
        <f>H1435*I1435</f>
        <v/>
      </c>
      <c r="Q1435" s="14">
        <f>P1435*(1-J1435)</f>
        <v/>
      </c>
      <c r="R1435" s="14">
        <f>H1435*K1435</f>
        <v/>
      </c>
      <c r="S1435" s="15">
        <f>IF(Q1435=0,"",(Q1435-R1435)/Q1435)</f>
        <v/>
      </c>
      <c r="T1435" s="13">
        <f>YEAR(B1435)</f>
        <v/>
      </c>
      <c r="U1435" s="13">
        <f>YEAR(B1435)&amp;"-Q"&amp;ROUNDUP(MONTH(B1435)/3,0)</f>
        <v/>
      </c>
      <c r="V1435" s="13">
        <f>TEXT(B1435,"YYYY-MM")</f>
        <v/>
      </c>
      <c r="W1435" s="13">
        <f>IF(L1435="","",IF(L1435&gt;pLateDays,1,0))</f>
        <v/>
      </c>
      <c r="X1435" s="13">
        <f>IF(Q1435&gt;=pHighCutoff,1,0)</f>
        <v/>
      </c>
      <c r="Y1435" s="13">
        <f>IF(M1435="Returned",1,0)</f>
        <v/>
      </c>
    </row>
    <row r="1436">
      <c r="A1436" s="13" t="inlineStr">
        <is>
          <t>HC-101434</t>
        </is>
      </c>
      <c r="B1436" s="18" t="n">
        <v>45893</v>
      </c>
      <c r="C1436" s="13" t="inlineStr">
        <is>
          <t>North</t>
        </is>
      </c>
      <c r="D1436" s="13" t="inlineStr">
        <is>
          <t>Wholesale</t>
        </is>
      </c>
      <c r="E1436" s="13" t="inlineStr">
        <is>
          <t>Lighting</t>
        </is>
      </c>
      <c r="F1436" s="13" t="inlineStr">
        <is>
          <t>Brass Sconce</t>
        </is>
      </c>
      <c r="G1436" s="13" t="inlineStr">
        <is>
          <t>Home Office</t>
        </is>
      </c>
      <c r="H1436" s="13" t="n">
        <v>8</v>
      </c>
      <c r="I1436" s="14" t="n">
        <v>134.36</v>
      </c>
      <c r="J1436" s="15" t="n">
        <v>0.16</v>
      </c>
      <c r="K1436" s="14" t="n">
        <v>61.81</v>
      </c>
      <c r="L1436" s="13" t="n">
        <v>3</v>
      </c>
      <c r="M1436" s="13" t="inlineStr">
        <is>
          <t>Completed</t>
        </is>
      </c>
      <c r="N1436" s="13" t="inlineStr">
        <is>
          <t>S. Nguyen</t>
        </is>
      </c>
      <c r="O1436" s="13" t="inlineStr">
        <is>
          <t>No</t>
        </is>
      </c>
      <c r="P1436" s="14">
        <f>H1436*I1436</f>
        <v/>
      </c>
      <c r="Q1436" s="14">
        <f>P1436*(1-J1436)</f>
        <v/>
      </c>
      <c r="R1436" s="14">
        <f>H1436*K1436</f>
        <v/>
      </c>
      <c r="S1436" s="15">
        <f>IF(Q1436=0,"",(Q1436-R1436)/Q1436)</f>
        <v/>
      </c>
      <c r="T1436" s="13">
        <f>YEAR(B1436)</f>
        <v/>
      </c>
      <c r="U1436" s="13">
        <f>YEAR(B1436)&amp;"-Q"&amp;ROUNDUP(MONTH(B1436)/3,0)</f>
        <v/>
      </c>
      <c r="V1436" s="13">
        <f>TEXT(B1436,"YYYY-MM")</f>
        <v/>
      </c>
      <c r="W1436" s="13">
        <f>IF(L1436="","",IF(L1436&gt;pLateDays,1,0))</f>
        <v/>
      </c>
      <c r="X1436" s="13">
        <f>IF(Q1436&gt;=pHighCutoff,1,0)</f>
        <v/>
      </c>
      <c r="Y1436" s="13">
        <f>IF(M1436="Returned",1,0)</f>
        <v/>
      </c>
    </row>
    <row r="1437">
      <c r="A1437" s="13" t="inlineStr">
        <is>
          <t>HC-101435</t>
        </is>
      </c>
      <c r="B1437" s="18" t="n">
        <v>45715</v>
      </c>
      <c r="C1437" s="13" t="inlineStr">
        <is>
          <t>North</t>
        </is>
      </c>
      <c r="D1437" s="13" t="inlineStr">
        <is>
          <t>Store</t>
        </is>
      </c>
      <c r="E1437" s="13" t="inlineStr">
        <is>
          <t>Furniture</t>
        </is>
      </c>
      <c r="F1437" s="13" t="inlineStr">
        <is>
          <t>Lounge Chair</t>
        </is>
      </c>
      <c r="G1437" s="13" t="inlineStr">
        <is>
          <t>Consumer</t>
        </is>
      </c>
      <c r="H1437" s="13" t="n">
        <v>1</v>
      </c>
      <c r="I1437" s="14" t="n">
        <v>458.43</v>
      </c>
      <c r="J1437" s="15" t="n">
        <v>0.07000000000000001</v>
      </c>
      <c r="K1437" s="14" t="n">
        <v>275.06</v>
      </c>
      <c r="L1437" s="13" t="n">
        <v>3</v>
      </c>
      <c r="M1437" s="13" t="inlineStr">
        <is>
          <t>Completed</t>
        </is>
      </c>
      <c r="N1437" s="13" t="inlineStr">
        <is>
          <t>J. Patel</t>
        </is>
      </c>
      <c r="O1437" s="13" t="inlineStr">
        <is>
          <t>No</t>
        </is>
      </c>
      <c r="P1437" s="14">
        <f>H1437*I1437</f>
        <v/>
      </c>
      <c r="Q1437" s="14">
        <f>P1437*(1-J1437)</f>
        <v/>
      </c>
      <c r="R1437" s="14">
        <f>H1437*K1437</f>
        <v/>
      </c>
      <c r="S1437" s="15">
        <f>IF(Q1437=0,"",(Q1437-R1437)/Q1437)</f>
        <v/>
      </c>
      <c r="T1437" s="13">
        <f>YEAR(B1437)</f>
        <v/>
      </c>
      <c r="U1437" s="13">
        <f>YEAR(B1437)&amp;"-Q"&amp;ROUNDUP(MONTH(B1437)/3,0)</f>
        <v/>
      </c>
      <c r="V1437" s="13">
        <f>TEXT(B1437,"YYYY-MM")</f>
        <v/>
      </c>
      <c r="W1437" s="13">
        <f>IF(L1437="","",IF(L1437&gt;pLateDays,1,0))</f>
        <v/>
      </c>
      <c r="X1437" s="13">
        <f>IF(Q1437&gt;=pHighCutoff,1,0)</f>
        <v/>
      </c>
      <c r="Y1437" s="13">
        <f>IF(M1437="Returned",1,0)</f>
        <v/>
      </c>
    </row>
    <row r="1438">
      <c r="A1438" s="13" t="inlineStr">
        <is>
          <t>HC-101436</t>
        </is>
      </c>
      <c r="B1438" s="18" t="n">
        <v>45620</v>
      </c>
      <c r="C1438" s="13" t="inlineStr">
        <is>
          <t>South</t>
        </is>
      </c>
      <c r="D1438" s="13" t="inlineStr">
        <is>
          <t>Online</t>
        </is>
      </c>
      <c r="E1438" s="13" t="inlineStr">
        <is>
          <t>Textiles</t>
        </is>
      </c>
      <c r="F1438" s="13" t="inlineStr">
        <is>
          <t>Linen Curtain</t>
        </is>
      </c>
      <c r="G1438" s="13" t="inlineStr">
        <is>
          <t>Corporate</t>
        </is>
      </c>
      <c r="H1438" s="13" t="n">
        <v>4</v>
      </c>
      <c r="I1438" s="14" t="n">
        <v>94.79000000000001</v>
      </c>
      <c r="J1438" s="15" t="n">
        <v>0.18</v>
      </c>
      <c r="K1438" s="14" t="n">
        <v>42.65</v>
      </c>
      <c r="L1438" s="13" t="n">
        <v>4</v>
      </c>
      <c r="M1438" s="13" t="inlineStr">
        <is>
          <t>Completed</t>
        </is>
      </c>
      <c r="N1438" s="13" t="inlineStr">
        <is>
          <t>L. Berger</t>
        </is>
      </c>
      <c r="O1438" s="13" t="inlineStr">
        <is>
          <t>No</t>
        </is>
      </c>
      <c r="P1438" s="14">
        <f>H1438*I1438</f>
        <v/>
      </c>
      <c r="Q1438" s="14">
        <f>P1438*(1-J1438)</f>
        <v/>
      </c>
      <c r="R1438" s="14">
        <f>H1438*K1438</f>
        <v/>
      </c>
      <c r="S1438" s="15">
        <f>IF(Q1438=0,"",(Q1438-R1438)/Q1438)</f>
        <v/>
      </c>
      <c r="T1438" s="13">
        <f>YEAR(B1438)</f>
        <v/>
      </c>
      <c r="U1438" s="13">
        <f>YEAR(B1438)&amp;"-Q"&amp;ROUNDUP(MONTH(B1438)/3,0)</f>
        <v/>
      </c>
      <c r="V1438" s="13">
        <f>TEXT(B1438,"YYYY-MM")</f>
        <v/>
      </c>
      <c r="W1438" s="13">
        <f>IF(L1438="","",IF(L1438&gt;pLateDays,1,0))</f>
        <v/>
      </c>
      <c r="X1438" s="13">
        <f>IF(Q1438&gt;=pHighCutoff,1,0)</f>
        <v/>
      </c>
      <c r="Y1438" s="13">
        <f>IF(M1438="Returned",1,0)</f>
        <v/>
      </c>
    </row>
    <row r="1439">
      <c r="A1439" s="13" t="inlineStr">
        <is>
          <t>HC-101437</t>
        </is>
      </c>
      <c r="B1439" s="18" t="n">
        <v>45737</v>
      </c>
      <c r="C1439" s="13" t="inlineStr">
        <is>
          <t>South</t>
        </is>
      </c>
      <c r="D1439" s="13" t="inlineStr">
        <is>
          <t>Store</t>
        </is>
      </c>
      <c r="E1439" s="13" t="inlineStr">
        <is>
          <t>Kitchen</t>
        </is>
      </c>
      <c r="F1439" s="13" t="inlineStr">
        <is>
          <t>Chef Knife</t>
        </is>
      </c>
      <c r="G1439" s="13" t="inlineStr">
        <is>
          <t>Consumer</t>
        </is>
      </c>
      <c r="H1439" s="13" t="n">
        <v>4</v>
      </c>
      <c r="I1439" s="14" t="n">
        <v>65.62</v>
      </c>
      <c r="J1439" s="15" t="n">
        <v>0.07000000000000001</v>
      </c>
      <c r="K1439" s="14" t="n">
        <v>23.62</v>
      </c>
      <c r="L1439" s="13" t="n">
        <v>7</v>
      </c>
      <c r="M1439" s="13" t="inlineStr">
        <is>
          <t>Completed</t>
        </is>
      </c>
      <c r="N1439" s="13" t="inlineStr">
        <is>
          <t>J. Patel</t>
        </is>
      </c>
      <c r="O1439" s="13" t="inlineStr">
        <is>
          <t>No</t>
        </is>
      </c>
      <c r="P1439" s="14">
        <f>H1439*I1439</f>
        <v/>
      </c>
      <c r="Q1439" s="14">
        <f>P1439*(1-J1439)</f>
        <v/>
      </c>
      <c r="R1439" s="14">
        <f>H1439*K1439</f>
        <v/>
      </c>
      <c r="S1439" s="15">
        <f>IF(Q1439=0,"",(Q1439-R1439)/Q1439)</f>
        <v/>
      </c>
      <c r="T1439" s="13">
        <f>YEAR(B1439)</f>
        <v/>
      </c>
      <c r="U1439" s="13">
        <f>YEAR(B1439)&amp;"-Q"&amp;ROUNDUP(MONTH(B1439)/3,0)</f>
        <v/>
      </c>
      <c r="V1439" s="13">
        <f>TEXT(B1439,"YYYY-MM")</f>
        <v/>
      </c>
      <c r="W1439" s="13">
        <f>IF(L1439="","",IF(L1439&gt;pLateDays,1,0))</f>
        <v/>
      </c>
      <c r="X1439" s="13">
        <f>IF(Q1439&gt;=pHighCutoff,1,0)</f>
        <v/>
      </c>
      <c r="Y1439" s="13">
        <f>IF(M1439="Returned",1,0)</f>
        <v/>
      </c>
    </row>
    <row r="1440">
      <c r="A1440" s="13" t="inlineStr">
        <is>
          <t>HC-101438</t>
        </is>
      </c>
      <c r="B1440" s="18" t="n">
        <v>45903</v>
      </c>
      <c r="C1440" s="13" t="inlineStr">
        <is>
          <t>West</t>
        </is>
      </c>
      <c r="D1440" s="13" t="inlineStr">
        <is>
          <t>Online</t>
        </is>
      </c>
      <c r="E1440" s="13" t="inlineStr">
        <is>
          <t>Kitchen</t>
        </is>
      </c>
      <c r="F1440" s="13" t="inlineStr">
        <is>
          <t>Cast Skillet</t>
        </is>
      </c>
      <c r="G1440" s="13" t="inlineStr">
        <is>
          <t>Corporate</t>
        </is>
      </c>
      <c r="H1440" s="13" t="n">
        <v>2</v>
      </c>
      <c r="I1440" s="14" t="n">
        <v>50.47</v>
      </c>
      <c r="J1440" s="15" t="n">
        <v>0.06</v>
      </c>
      <c r="K1440" s="14" t="n">
        <v>20.19</v>
      </c>
      <c r="L1440" s="13" t="n">
        <v>7</v>
      </c>
      <c r="M1440" s="13" t="inlineStr">
        <is>
          <t>Completed</t>
        </is>
      </c>
      <c r="N1440" s="13" t="inlineStr">
        <is>
          <t>A. Shah</t>
        </is>
      </c>
      <c r="O1440" s="13" t="inlineStr">
        <is>
          <t>No</t>
        </is>
      </c>
      <c r="P1440" s="14">
        <f>H1440*I1440</f>
        <v/>
      </c>
      <c r="Q1440" s="14">
        <f>P1440*(1-J1440)</f>
        <v/>
      </c>
      <c r="R1440" s="14">
        <f>H1440*K1440</f>
        <v/>
      </c>
      <c r="S1440" s="15">
        <f>IF(Q1440=0,"",(Q1440-R1440)/Q1440)</f>
        <v/>
      </c>
      <c r="T1440" s="13">
        <f>YEAR(B1440)</f>
        <v/>
      </c>
      <c r="U1440" s="13">
        <f>YEAR(B1440)&amp;"-Q"&amp;ROUNDUP(MONTH(B1440)/3,0)</f>
        <v/>
      </c>
      <c r="V1440" s="13">
        <f>TEXT(B1440,"YYYY-MM")</f>
        <v/>
      </c>
      <c r="W1440" s="13">
        <f>IF(L1440="","",IF(L1440&gt;pLateDays,1,0))</f>
        <v/>
      </c>
      <c r="X1440" s="13">
        <f>IF(Q1440&gt;=pHighCutoff,1,0)</f>
        <v/>
      </c>
      <c r="Y1440" s="13">
        <f>IF(M1440="Returned",1,0)</f>
        <v/>
      </c>
    </row>
    <row r="1441">
      <c r="A1441" s="13" t="inlineStr">
        <is>
          <t>HC-101439</t>
        </is>
      </c>
      <c r="B1441" s="18" t="n">
        <v>45640</v>
      </c>
      <c r="C1441" s="13" t="inlineStr">
        <is>
          <t>South</t>
        </is>
      </c>
      <c r="D1441" s="13" t="inlineStr">
        <is>
          <t>Online</t>
        </is>
      </c>
      <c r="E1441" s="13" t="inlineStr">
        <is>
          <t>Textiles</t>
        </is>
      </c>
      <c r="F1441" s="13" t="inlineStr">
        <is>
          <t>Linen Curtain</t>
        </is>
      </c>
      <c r="G1441" s="13" t="inlineStr">
        <is>
          <t>Corporate</t>
        </is>
      </c>
      <c r="H1441" s="13" t="n">
        <v>2</v>
      </c>
      <c r="I1441" s="14" t="n">
        <v>90.59999999999999</v>
      </c>
      <c r="J1441" s="15" t="n">
        <v>0.1</v>
      </c>
      <c r="K1441" s="14" t="n">
        <v>40.77</v>
      </c>
      <c r="L1441" s="13" t="n">
        <v>1</v>
      </c>
      <c r="M1441" s="13" t="inlineStr">
        <is>
          <t>Completed</t>
        </is>
      </c>
      <c r="N1441" s="13" t="inlineStr">
        <is>
          <t>A. Shah</t>
        </is>
      </c>
      <c r="O1441" s="13" t="inlineStr">
        <is>
          <t>No</t>
        </is>
      </c>
      <c r="P1441" s="14">
        <f>H1441*I1441</f>
        <v/>
      </c>
      <c r="Q1441" s="14">
        <f>P1441*(1-J1441)</f>
        <v/>
      </c>
      <c r="R1441" s="14">
        <f>H1441*K1441</f>
        <v/>
      </c>
      <c r="S1441" s="15">
        <f>IF(Q1441=0,"",(Q1441-R1441)/Q1441)</f>
        <v/>
      </c>
      <c r="T1441" s="13">
        <f>YEAR(B1441)</f>
        <v/>
      </c>
      <c r="U1441" s="13">
        <f>YEAR(B1441)&amp;"-Q"&amp;ROUNDUP(MONTH(B1441)/3,0)</f>
        <v/>
      </c>
      <c r="V1441" s="13">
        <f>TEXT(B1441,"YYYY-MM")</f>
        <v/>
      </c>
      <c r="W1441" s="13">
        <f>IF(L1441="","",IF(L1441&gt;pLateDays,1,0))</f>
        <v/>
      </c>
      <c r="X1441" s="13">
        <f>IF(Q1441&gt;=pHighCutoff,1,0)</f>
        <v/>
      </c>
      <c r="Y1441" s="13">
        <f>IF(M1441="Returned",1,0)</f>
        <v/>
      </c>
    </row>
    <row r="1442">
      <c r="A1442" s="13" t="inlineStr">
        <is>
          <t>HC-101440</t>
        </is>
      </c>
      <c r="B1442" s="18" t="n">
        <v>45393</v>
      </c>
      <c r="C1442" s="13" t="inlineStr">
        <is>
          <t>South</t>
        </is>
      </c>
      <c r="D1442" s="13" t="inlineStr">
        <is>
          <t>Online</t>
        </is>
      </c>
      <c r="E1442" s="13" t="inlineStr">
        <is>
          <t>Textiles</t>
        </is>
      </c>
      <c r="F1442" s="13" t="inlineStr">
        <is>
          <t>Cotton Duvet</t>
        </is>
      </c>
      <c r="G1442" s="13" t="inlineStr">
        <is>
          <t>Consumer</t>
        </is>
      </c>
      <c r="H1442" s="13" t="n">
        <v>2</v>
      </c>
      <c r="I1442" s="14" t="n">
        <v>119.18</v>
      </c>
      <c r="J1442" s="15" t="n">
        <v>0.06</v>
      </c>
      <c r="K1442" s="14" t="n">
        <v>52.44</v>
      </c>
      <c r="L1442" s="13" t="n">
        <v>5</v>
      </c>
      <c r="M1442" s="13" t="inlineStr">
        <is>
          <t>Completed</t>
        </is>
      </c>
      <c r="N1442" s="13" t="inlineStr">
        <is>
          <t>L. Berger</t>
        </is>
      </c>
      <c r="O1442" s="13" t="inlineStr">
        <is>
          <t>No</t>
        </is>
      </c>
      <c r="P1442" s="14">
        <f>H1442*I1442</f>
        <v/>
      </c>
      <c r="Q1442" s="14">
        <f>P1442*(1-J1442)</f>
        <v/>
      </c>
      <c r="R1442" s="14">
        <f>H1442*K1442</f>
        <v/>
      </c>
      <c r="S1442" s="15">
        <f>IF(Q1442=0,"",(Q1442-R1442)/Q1442)</f>
        <v/>
      </c>
      <c r="T1442" s="13">
        <f>YEAR(B1442)</f>
        <v/>
      </c>
      <c r="U1442" s="13">
        <f>YEAR(B1442)&amp;"-Q"&amp;ROUNDUP(MONTH(B1442)/3,0)</f>
        <v/>
      </c>
      <c r="V1442" s="13">
        <f>TEXT(B1442,"YYYY-MM")</f>
        <v/>
      </c>
      <c r="W1442" s="13">
        <f>IF(L1442="","",IF(L1442&gt;pLateDays,1,0))</f>
        <v/>
      </c>
      <c r="X1442" s="13">
        <f>IF(Q1442&gt;=pHighCutoff,1,0)</f>
        <v/>
      </c>
      <c r="Y1442" s="13">
        <f>IF(M1442="Returned",1,0)</f>
        <v/>
      </c>
    </row>
    <row r="1443">
      <c r="A1443" s="13" t="inlineStr">
        <is>
          <t>HC-101441</t>
        </is>
      </c>
      <c r="B1443" s="18" t="n">
        <v>45674</v>
      </c>
      <c r="C1443" s="13" t="inlineStr">
        <is>
          <t>North</t>
        </is>
      </c>
      <c r="D1443" s="13" t="inlineStr">
        <is>
          <t>Online</t>
        </is>
      </c>
      <c r="E1443" s="13" t="inlineStr">
        <is>
          <t>Furniture</t>
        </is>
      </c>
      <c r="F1443" s="13" t="inlineStr">
        <is>
          <t>Oak Desk</t>
        </is>
      </c>
      <c r="G1443" s="13" t="inlineStr">
        <is>
          <t>Consumer</t>
        </is>
      </c>
      <c r="H1443" s="13" t="n">
        <v>3</v>
      </c>
      <c r="I1443" s="14" t="n">
        <v>784.73</v>
      </c>
      <c r="J1443" s="15" t="n">
        <v>0.17</v>
      </c>
      <c r="K1443" s="14" t="n">
        <v>486.53</v>
      </c>
      <c r="L1443" s="13" t="n">
        <v>4</v>
      </c>
      <c r="M1443" s="13" t="inlineStr">
        <is>
          <t>Completed</t>
        </is>
      </c>
      <c r="N1443" s="13" t="inlineStr">
        <is>
          <t>R. Ibarra</t>
        </is>
      </c>
      <c r="O1443" s="13" t="inlineStr">
        <is>
          <t>No</t>
        </is>
      </c>
      <c r="P1443" s="14">
        <f>H1443*I1443</f>
        <v/>
      </c>
      <c r="Q1443" s="14">
        <f>P1443*(1-J1443)</f>
        <v/>
      </c>
      <c r="R1443" s="14">
        <f>H1443*K1443</f>
        <v/>
      </c>
      <c r="S1443" s="15">
        <f>IF(Q1443=0,"",(Q1443-R1443)/Q1443)</f>
        <v/>
      </c>
      <c r="T1443" s="13">
        <f>YEAR(B1443)</f>
        <v/>
      </c>
      <c r="U1443" s="13">
        <f>YEAR(B1443)&amp;"-Q"&amp;ROUNDUP(MONTH(B1443)/3,0)</f>
        <v/>
      </c>
      <c r="V1443" s="13">
        <f>TEXT(B1443,"YYYY-MM")</f>
        <v/>
      </c>
      <c r="W1443" s="13">
        <f>IF(L1443="","",IF(L1443&gt;pLateDays,1,0))</f>
        <v/>
      </c>
      <c r="X1443" s="13">
        <f>IF(Q1443&gt;=pHighCutoff,1,0)</f>
        <v/>
      </c>
      <c r="Y1443" s="13">
        <f>IF(M1443="Returned",1,0)</f>
        <v/>
      </c>
    </row>
    <row r="1444">
      <c r="A1444" s="13" t="inlineStr">
        <is>
          <t>HC-101442</t>
        </is>
      </c>
      <c r="B1444" s="18" t="n">
        <v>45410</v>
      </c>
      <c r="C1444" s="13" t="inlineStr">
        <is>
          <t>West</t>
        </is>
      </c>
      <c r="D1444" s="13" t="inlineStr">
        <is>
          <t>Store</t>
        </is>
      </c>
      <c r="E1444" s="13" t="inlineStr">
        <is>
          <t>Kitchen</t>
        </is>
      </c>
      <c r="F1444" s="13" t="inlineStr">
        <is>
          <t>Cast Skillet</t>
        </is>
      </c>
      <c r="G1444" s="13" t="inlineStr">
        <is>
          <t>Home Office</t>
        </is>
      </c>
      <c r="H1444" s="13" t="n">
        <v>1</v>
      </c>
      <c r="I1444" s="14" t="n">
        <v>51.62</v>
      </c>
      <c r="J1444" s="15" t="n">
        <v>0</v>
      </c>
      <c r="K1444" s="14" t="n">
        <v>20.65</v>
      </c>
      <c r="L1444" s="13" t="n">
        <v>2</v>
      </c>
      <c r="M1444" s="13" t="inlineStr">
        <is>
          <t>Completed</t>
        </is>
      </c>
      <c r="N1444" s="13" t="inlineStr">
        <is>
          <t>K. Mensah</t>
        </is>
      </c>
      <c r="O1444" s="13" t="inlineStr">
        <is>
          <t>No</t>
        </is>
      </c>
      <c r="P1444" s="14">
        <f>H1444*I1444</f>
        <v/>
      </c>
      <c r="Q1444" s="14">
        <f>P1444*(1-J1444)</f>
        <v/>
      </c>
      <c r="R1444" s="14">
        <f>H1444*K1444</f>
        <v/>
      </c>
      <c r="S1444" s="15">
        <f>IF(Q1444=0,"",(Q1444-R1444)/Q1444)</f>
        <v/>
      </c>
      <c r="T1444" s="13">
        <f>YEAR(B1444)</f>
        <v/>
      </c>
      <c r="U1444" s="13">
        <f>YEAR(B1444)&amp;"-Q"&amp;ROUNDUP(MONTH(B1444)/3,0)</f>
        <v/>
      </c>
      <c r="V1444" s="13">
        <f>TEXT(B1444,"YYYY-MM")</f>
        <v/>
      </c>
      <c r="W1444" s="13">
        <f>IF(L1444="","",IF(L1444&gt;pLateDays,1,0))</f>
        <v/>
      </c>
      <c r="X1444" s="13">
        <f>IF(Q1444&gt;=pHighCutoff,1,0)</f>
        <v/>
      </c>
      <c r="Y1444" s="13">
        <f>IF(M1444="Returned",1,0)</f>
        <v/>
      </c>
    </row>
    <row r="1445">
      <c r="A1445" s="13" t="inlineStr">
        <is>
          <t>HC-101443</t>
        </is>
      </c>
      <c r="B1445" s="18" t="n">
        <v>45614</v>
      </c>
      <c r="C1445" s="13" t="inlineStr">
        <is>
          <t>North</t>
        </is>
      </c>
      <c r="D1445" s="13" t="inlineStr">
        <is>
          <t>Wholesale</t>
        </is>
      </c>
      <c r="E1445" s="13" t="inlineStr">
        <is>
          <t>Kitchen</t>
        </is>
      </c>
      <c r="F1445" s="13" t="inlineStr">
        <is>
          <t>Ceramic Set</t>
        </is>
      </c>
      <c r="G1445" s="13" t="inlineStr">
        <is>
          <t>Home Office</t>
        </is>
      </c>
      <c r="H1445" s="13" t="n">
        <v>35</v>
      </c>
      <c r="I1445" s="14" t="n">
        <v>90.02</v>
      </c>
      <c r="J1445" s="15" t="n">
        <v>0.32</v>
      </c>
      <c r="K1445" s="14" t="n">
        <v>34.21</v>
      </c>
      <c r="L1445" s="13" t="n">
        <v>5</v>
      </c>
      <c r="M1445" s="13" t="inlineStr">
        <is>
          <t>Completed</t>
        </is>
      </c>
      <c r="N1445" s="13" t="inlineStr">
        <is>
          <t>A. Shah</t>
        </is>
      </c>
      <c r="O1445" s="13" t="inlineStr">
        <is>
          <t>No</t>
        </is>
      </c>
      <c r="P1445" s="14">
        <f>H1445*I1445</f>
        <v/>
      </c>
      <c r="Q1445" s="14">
        <f>P1445*(1-J1445)</f>
        <v/>
      </c>
      <c r="R1445" s="14">
        <f>H1445*K1445</f>
        <v/>
      </c>
      <c r="S1445" s="15">
        <f>IF(Q1445=0,"",(Q1445-R1445)/Q1445)</f>
        <v/>
      </c>
      <c r="T1445" s="13">
        <f>YEAR(B1445)</f>
        <v/>
      </c>
      <c r="U1445" s="13">
        <f>YEAR(B1445)&amp;"-Q"&amp;ROUNDUP(MONTH(B1445)/3,0)</f>
        <v/>
      </c>
      <c r="V1445" s="13">
        <f>TEXT(B1445,"YYYY-MM")</f>
        <v/>
      </c>
      <c r="W1445" s="13">
        <f>IF(L1445="","",IF(L1445&gt;pLateDays,1,0))</f>
        <v/>
      </c>
      <c r="X1445" s="13">
        <f>IF(Q1445&gt;=pHighCutoff,1,0)</f>
        <v/>
      </c>
      <c r="Y1445" s="13">
        <f>IF(M1445="Returned",1,0)</f>
        <v/>
      </c>
    </row>
    <row r="1446">
      <c r="A1446" s="13" t="inlineStr">
        <is>
          <t>HC-101444</t>
        </is>
      </c>
      <c r="B1446" s="18" t="n">
        <v>45822</v>
      </c>
      <c r="C1446" s="13" t="inlineStr">
        <is>
          <t>South</t>
        </is>
      </c>
      <c r="D1446" s="13" t="inlineStr">
        <is>
          <t>Store</t>
        </is>
      </c>
      <c r="E1446" s="13" t="inlineStr">
        <is>
          <t>Textiles</t>
        </is>
      </c>
      <c r="F1446" s="13" t="inlineStr">
        <is>
          <t>Wool Throw</t>
        </is>
      </c>
      <c r="G1446" s="13" t="inlineStr">
        <is>
          <t>Consumer</t>
        </is>
      </c>
      <c r="H1446" s="13" t="n">
        <v>1</v>
      </c>
      <c r="I1446" s="14" t="n">
        <v>76.42</v>
      </c>
      <c r="J1446" s="15" t="n">
        <v>0.11</v>
      </c>
      <c r="K1446" s="14" t="n">
        <v>32.1</v>
      </c>
      <c r="L1446" s="13" t="n">
        <v>9</v>
      </c>
      <c r="M1446" s="13" t="inlineStr">
        <is>
          <t>Completed</t>
        </is>
      </c>
      <c r="N1446" s="13" t="inlineStr">
        <is>
          <t>M. Okonkwo</t>
        </is>
      </c>
      <c r="O1446" s="13" t="inlineStr">
        <is>
          <t>No</t>
        </is>
      </c>
      <c r="P1446" s="14">
        <f>H1446*I1446</f>
        <v/>
      </c>
      <c r="Q1446" s="14">
        <f>P1446*(1-J1446)</f>
        <v/>
      </c>
      <c r="R1446" s="14">
        <f>H1446*K1446</f>
        <v/>
      </c>
      <c r="S1446" s="15">
        <f>IF(Q1446=0,"",(Q1446-R1446)/Q1446)</f>
        <v/>
      </c>
      <c r="T1446" s="13">
        <f>YEAR(B1446)</f>
        <v/>
      </c>
      <c r="U1446" s="13">
        <f>YEAR(B1446)&amp;"-Q"&amp;ROUNDUP(MONTH(B1446)/3,0)</f>
        <v/>
      </c>
      <c r="V1446" s="13">
        <f>TEXT(B1446,"YYYY-MM")</f>
        <v/>
      </c>
      <c r="W1446" s="13">
        <f>IF(L1446="","",IF(L1446&gt;pLateDays,1,0))</f>
        <v/>
      </c>
      <c r="X1446" s="13">
        <f>IF(Q1446&gt;=pHighCutoff,1,0)</f>
        <v/>
      </c>
      <c r="Y1446" s="13">
        <f>IF(M1446="Returned",1,0)</f>
        <v/>
      </c>
    </row>
    <row r="1447">
      <c r="A1447" s="13" t="inlineStr">
        <is>
          <t>HC-101445</t>
        </is>
      </c>
      <c r="B1447" s="18" t="n">
        <v>45660</v>
      </c>
      <c r="C1447" s="13" t="inlineStr">
        <is>
          <t>South</t>
        </is>
      </c>
      <c r="D1447" s="13" t="inlineStr">
        <is>
          <t>Store</t>
        </is>
      </c>
      <c r="E1447" s="13" t="inlineStr">
        <is>
          <t>Furniture</t>
        </is>
      </c>
      <c r="F1447" s="13" t="inlineStr">
        <is>
          <t>Walnut Shelf</t>
        </is>
      </c>
      <c r="G1447" s="13" t="inlineStr">
        <is>
          <t>Corporate</t>
        </is>
      </c>
      <c r="H1447" s="13" t="n">
        <v>4</v>
      </c>
      <c r="I1447" s="14" t="n">
        <v>214.46</v>
      </c>
      <c r="J1447" s="15" t="n">
        <v>0.07000000000000001</v>
      </c>
      <c r="K1447" s="14" t="n">
        <v>117.95</v>
      </c>
      <c r="L1447" s="13" t="n">
        <v>2</v>
      </c>
      <c r="M1447" s="13" t="inlineStr">
        <is>
          <t>Completed</t>
        </is>
      </c>
      <c r="N1447" s="13" t="inlineStr">
        <is>
          <t>A. Shah</t>
        </is>
      </c>
      <c r="O1447" s="13" t="inlineStr">
        <is>
          <t>No</t>
        </is>
      </c>
      <c r="P1447" s="14">
        <f>H1447*I1447</f>
        <v/>
      </c>
      <c r="Q1447" s="14">
        <f>P1447*(1-J1447)</f>
        <v/>
      </c>
      <c r="R1447" s="14">
        <f>H1447*K1447</f>
        <v/>
      </c>
      <c r="S1447" s="15">
        <f>IF(Q1447=0,"",(Q1447-R1447)/Q1447)</f>
        <v/>
      </c>
      <c r="T1447" s="13">
        <f>YEAR(B1447)</f>
        <v/>
      </c>
      <c r="U1447" s="13">
        <f>YEAR(B1447)&amp;"-Q"&amp;ROUNDUP(MONTH(B1447)/3,0)</f>
        <v/>
      </c>
      <c r="V1447" s="13">
        <f>TEXT(B1447,"YYYY-MM")</f>
        <v/>
      </c>
      <c r="W1447" s="13">
        <f>IF(L1447="","",IF(L1447&gt;pLateDays,1,0))</f>
        <v/>
      </c>
      <c r="X1447" s="13">
        <f>IF(Q1447&gt;=pHighCutoff,1,0)</f>
        <v/>
      </c>
      <c r="Y1447" s="13">
        <f>IF(M1447="Returned",1,0)</f>
        <v/>
      </c>
    </row>
    <row r="1448">
      <c r="A1448" s="13" t="inlineStr">
        <is>
          <t>HC-101446</t>
        </is>
      </c>
      <c r="B1448" s="18" t="n">
        <v>45609</v>
      </c>
      <c r="C1448" s="13" t="inlineStr">
        <is>
          <t>South</t>
        </is>
      </c>
      <c r="D1448" s="13" t="inlineStr">
        <is>
          <t>Online</t>
        </is>
      </c>
      <c r="E1448" s="13" t="inlineStr">
        <is>
          <t>Furniture</t>
        </is>
      </c>
      <c r="F1448" s="13" t="inlineStr">
        <is>
          <t>Walnut Shelf</t>
        </is>
      </c>
      <c r="G1448" s="13" t="inlineStr">
        <is>
          <t>Home Office</t>
        </is>
      </c>
      <c r="H1448" s="13" t="n">
        <v>3</v>
      </c>
      <c r="I1448" s="14" t="n">
        <v>234.75</v>
      </c>
      <c r="J1448" s="15" t="n">
        <v>0.03</v>
      </c>
      <c r="K1448" s="14" t="n">
        <v>129.11</v>
      </c>
      <c r="L1448" s="13" t="n">
        <v>4</v>
      </c>
      <c r="M1448" s="13" t="inlineStr">
        <is>
          <t>Completed</t>
        </is>
      </c>
      <c r="N1448" s="13" t="inlineStr">
        <is>
          <t>P. Rossi</t>
        </is>
      </c>
      <c r="O1448" s="13" t="inlineStr">
        <is>
          <t>No</t>
        </is>
      </c>
      <c r="P1448" s="14">
        <f>H1448*I1448</f>
        <v/>
      </c>
      <c r="Q1448" s="14">
        <f>P1448*(1-J1448)</f>
        <v/>
      </c>
      <c r="R1448" s="14">
        <f>H1448*K1448</f>
        <v/>
      </c>
      <c r="S1448" s="15">
        <f>IF(Q1448=0,"",(Q1448-R1448)/Q1448)</f>
        <v/>
      </c>
      <c r="T1448" s="13">
        <f>YEAR(B1448)</f>
        <v/>
      </c>
      <c r="U1448" s="13">
        <f>YEAR(B1448)&amp;"-Q"&amp;ROUNDUP(MONTH(B1448)/3,0)</f>
        <v/>
      </c>
      <c r="V1448" s="13">
        <f>TEXT(B1448,"YYYY-MM")</f>
        <v/>
      </c>
      <c r="W1448" s="13">
        <f>IF(L1448="","",IF(L1448&gt;pLateDays,1,0))</f>
        <v/>
      </c>
      <c r="X1448" s="13">
        <f>IF(Q1448&gt;=pHighCutoff,1,0)</f>
        <v/>
      </c>
      <c r="Y1448" s="13">
        <f>IF(M1448="Returned",1,0)</f>
        <v/>
      </c>
    </row>
    <row r="1449">
      <c r="A1449" s="13" t="inlineStr">
        <is>
          <t>HC-101447</t>
        </is>
      </c>
      <c r="B1449" s="18" t="n">
        <v>45523</v>
      </c>
      <c r="C1449" s="13" t="inlineStr">
        <is>
          <t>South</t>
        </is>
      </c>
      <c r="D1449" s="13" t="inlineStr">
        <is>
          <t>Online</t>
        </is>
      </c>
      <c r="E1449" s="13" t="inlineStr">
        <is>
          <t>Textiles</t>
        </is>
      </c>
      <c r="F1449" s="13" t="inlineStr">
        <is>
          <t>Wool Throw</t>
        </is>
      </c>
      <c r="G1449" s="13" t="inlineStr">
        <is>
          <t>Consumer</t>
        </is>
      </c>
      <c r="H1449" s="13" t="n">
        <v>2</v>
      </c>
      <c r="I1449" s="14" t="n">
        <v>74.02</v>
      </c>
      <c r="J1449" s="15" t="n">
        <v>0.06</v>
      </c>
      <c r="K1449" s="14" t="n">
        <v>31.09</v>
      </c>
      <c r="L1449" s="13" t="n">
        <v>6</v>
      </c>
      <c r="M1449" s="13" t="inlineStr">
        <is>
          <t>Completed</t>
        </is>
      </c>
      <c r="N1449" s="13" t="inlineStr">
        <is>
          <t>R. Ibarra</t>
        </is>
      </c>
      <c r="O1449" s="13" t="inlineStr">
        <is>
          <t>No</t>
        </is>
      </c>
      <c r="P1449" s="14">
        <f>H1449*I1449</f>
        <v/>
      </c>
      <c r="Q1449" s="14">
        <f>P1449*(1-J1449)</f>
        <v/>
      </c>
      <c r="R1449" s="14">
        <f>H1449*K1449</f>
        <v/>
      </c>
      <c r="S1449" s="15">
        <f>IF(Q1449=0,"",(Q1449-R1449)/Q1449)</f>
        <v/>
      </c>
      <c r="T1449" s="13">
        <f>YEAR(B1449)</f>
        <v/>
      </c>
      <c r="U1449" s="13">
        <f>YEAR(B1449)&amp;"-Q"&amp;ROUNDUP(MONTH(B1449)/3,0)</f>
        <v/>
      </c>
      <c r="V1449" s="13">
        <f>TEXT(B1449,"YYYY-MM")</f>
        <v/>
      </c>
      <c r="W1449" s="13">
        <f>IF(L1449="","",IF(L1449&gt;pLateDays,1,0))</f>
        <v/>
      </c>
      <c r="X1449" s="13">
        <f>IF(Q1449&gt;=pHighCutoff,1,0)</f>
        <v/>
      </c>
      <c r="Y1449" s="13">
        <f>IF(M1449="Returned",1,0)</f>
        <v/>
      </c>
    </row>
    <row r="1450">
      <c r="A1450" s="13" t="inlineStr">
        <is>
          <t>HC-101448</t>
        </is>
      </c>
      <c r="B1450" s="18" t="n">
        <v>45792</v>
      </c>
      <c r="C1450" s="13" t="inlineStr">
        <is>
          <t>North</t>
        </is>
      </c>
      <c r="D1450" s="13" t="inlineStr">
        <is>
          <t>Store</t>
        </is>
      </c>
      <c r="E1450" s="13" t="inlineStr">
        <is>
          <t>Furniture</t>
        </is>
      </c>
      <c r="F1450" s="13" t="inlineStr">
        <is>
          <t>Oak Desk</t>
        </is>
      </c>
      <c r="G1450" s="13" t="inlineStr">
        <is>
          <t>Consumer</t>
        </is>
      </c>
      <c r="H1450" s="13" t="n">
        <v>4</v>
      </c>
      <c r="I1450" s="14" t="n">
        <v>829.5700000000001</v>
      </c>
      <c r="J1450" s="15" t="n">
        <v>0.12</v>
      </c>
      <c r="K1450" s="14" t="n">
        <v>514.33</v>
      </c>
      <c r="L1450" s="13" t="n">
        <v>8</v>
      </c>
      <c r="M1450" s="13" t="inlineStr">
        <is>
          <t>Completed</t>
        </is>
      </c>
      <c r="N1450" s="13" t="inlineStr">
        <is>
          <t>J. Patel</t>
        </is>
      </c>
      <c r="O1450" s="13" t="inlineStr">
        <is>
          <t>No</t>
        </is>
      </c>
      <c r="P1450" s="14">
        <f>H1450*I1450</f>
        <v/>
      </c>
      <c r="Q1450" s="14">
        <f>P1450*(1-J1450)</f>
        <v/>
      </c>
      <c r="R1450" s="14">
        <f>H1450*K1450</f>
        <v/>
      </c>
      <c r="S1450" s="15">
        <f>IF(Q1450=0,"",(Q1450-R1450)/Q1450)</f>
        <v/>
      </c>
      <c r="T1450" s="13">
        <f>YEAR(B1450)</f>
        <v/>
      </c>
      <c r="U1450" s="13">
        <f>YEAR(B1450)&amp;"-Q"&amp;ROUNDUP(MONTH(B1450)/3,0)</f>
        <v/>
      </c>
      <c r="V1450" s="13">
        <f>TEXT(B1450,"YYYY-MM")</f>
        <v/>
      </c>
      <c r="W1450" s="13">
        <f>IF(L1450="","",IF(L1450&gt;pLateDays,1,0))</f>
        <v/>
      </c>
      <c r="X1450" s="13">
        <f>IF(Q1450&gt;=pHighCutoff,1,0)</f>
        <v/>
      </c>
      <c r="Y1450" s="13">
        <f>IF(M1450="Returned",1,0)</f>
        <v/>
      </c>
    </row>
    <row r="1451">
      <c r="A1451" s="13" t="inlineStr">
        <is>
          <t>HC-101449</t>
        </is>
      </c>
      <c r="B1451" s="18" t="n">
        <v>45874</v>
      </c>
      <c r="C1451" s="13" t="inlineStr">
        <is>
          <t>West</t>
        </is>
      </c>
      <c r="D1451" s="13" t="inlineStr">
        <is>
          <t>Store</t>
        </is>
      </c>
      <c r="E1451" s="13" t="inlineStr">
        <is>
          <t>Furniture</t>
        </is>
      </c>
      <c r="F1451" s="13" t="inlineStr">
        <is>
          <t>Walnut Shelf</t>
        </is>
      </c>
      <c r="G1451" s="13" t="inlineStr">
        <is>
          <t>Consumer</t>
        </is>
      </c>
      <c r="H1451" s="13" t="n">
        <v>1</v>
      </c>
      <c r="I1451" s="14" t="n">
        <v>205.15</v>
      </c>
      <c r="J1451" s="15" t="n">
        <v>0.11</v>
      </c>
      <c r="K1451" s="14" t="n">
        <v>112.83</v>
      </c>
      <c r="L1451" s="13" t="n">
        <v>5</v>
      </c>
      <c r="M1451" s="13" t="inlineStr">
        <is>
          <t>Completed</t>
        </is>
      </c>
      <c r="N1451" s="13" t="inlineStr">
        <is>
          <t>K. Mensah</t>
        </is>
      </c>
      <c r="O1451" s="13" t="inlineStr">
        <is>
          <t>No</t>
        </is>
      </c>
      <c r="P1451" s="14">
        <f>H1451*I1451</f>
        <v/>
      </c>
      <c r="Q1451" s="14">
        <f>P1451*(1-J1451)</f>
        <v/>
      </c>
      <c r="R1451" s="14">
        <f>H1451*K1451</f>
        <v/>
      </c>
      <c r="S1451" s="15">
        <f>IF(Q1451=0,"",(Q1451-R1451)/Q1451)</f>
        <v/>
      </c>
      <c r="T1451" s="13">
        <f>YEAR(B1451)</f>
        <v/>
      </c>
      <c r="U1451" s="13">
        <f>YEAR(B1451)&amp;"-Q"&amp;ROUNDUP(MONTH(B1451)/3,0)</f>
        <v/>
      </c>
      <c r="V1451" s="13">
        <f>TEXT(B1451,"YYYY-MM")</f>
        <v/>
      </c>
      <c r="W1451" s="13">
        <f>IF(L1451="","",IF(L1451&gt;pLateDays,1,0))</f>
        <v/>
      </c>
      <c r="X1451" s="13">
        <f>IF(Q1451&gt;=pHighCutoff,1,0)</f>
        <v/>
      </c>
      <c r="Y1451" s="13">
        <f>IF(M1451="Returned",1,0)</f>
        <v/>
      </c>
    </row>
    <row r="1452">
      <c r="A1452" s="13" t="inlineStr">
        <is>
          <t>HC-101450</t>
        </is>
      </c>
      <c r="B1452" s="18" t="n">
        <v>45846</v>
      </c>
      <c r="C1452" s="13" t="inlineStr">
        <is>
          <t>East</t>
        </is>
      </c>
      <c r="D1452" s="13" t="inlineStr">
        <is>
          <t>Wholesale</t>
        </is>
      </c>
      <c r="E1452" s="13" t="inlineStr">
        <is>
          <t>Lighting</t>
        </is>
      </c>
      <c r="F1452" s="13" t="inlineStr">
        <is>
          <t>Brass Sconce</t>
        </is>
      </c>
      <c r="G1452" s="13" t="inlineStr">
        <is>
          <t>Home Office</t>
        </is>
      </c>
      <c r="H1452" s="13" t="n">
        <v>24</v>
      </c>
      <c r="I1452" s="14" t="n">
        <v>121.46</v>
      </c>
      <c r="J1452" s="15" t="n">
        <v>0.12</v>
      </c>
      <c r="K1452" s="14" t="n">
        <v>55.87</v>
      </c>
      <c r="L1452" s="13" t="n">
        <v>8</v>
      </c>
      <c r="M1452" s="13" t="inlineStr">
        <is>
          <t>Completed</t>
        </is>
      </c>
      <c r="N1452" s="13" t="inlineStr">
        <is>
          <t>P. Rossi</t>
        </is>
      </c>
      <c r="O1452" s="13" t="inlineStr">
        <is>
          <t>No</t>
        </is>
      </c>
      <c r="P1452" s="14">
        <f>H1452*I1452</f>
        <v/>
      </c>
      <c r="Q1452" s="14">
        <f>P1452*(1-J1452)</f>
        <v/>
      </c>
      <c r="R1452" s="14">
        <f>H1452*K1452</f>
        <v/>
      </c>
      <c r="S1452" s="15">
        <f>IF(Q1452=0,"",(Q1452-R1452)/Q1452)</f>
        <v/>
      </c>
      <c r="T1452" s="13">
        <f>YEAR(B1452)</f>
        <v/>
      </c>
      <c r="U1452" s="13">
        <f>YEAR(B1452)&amp;"-Q"&amp;ROUNDUP(MONTH(B1452)/3,0)</f>
        <v/>
      </c>
      <c r="V1452" s="13">
        <f>TEXT(B1452,"YYYY-MM")</f>
        <v/>
      </c>
      <c r="W1452" s="13">
        <f>IF(L1452="","",IF(L1452&gt;pLateDays,1,0))</f>
        <v/>
      </c>
      <c r="X1452" s="13">
        <f>IF(Q1452&gt;=pHighCutoff,1,0)</f>
        <v/>
      </c>
      <c r="Y1452" s="13">
        <f>IF(M1452="Returned",1,0)</f>
        <v/>
      </c>
    </row>
    <row r="1453">
      <c r="A1453" s="13" t="inlineStr">
        <is>
          <t>HC-101451</t>
        </is>
      </c>
      <c r="B1453" s="18" t="n">
        <v>45830</v>
      </c>
      <c r="C1453" s="13" t="inlineStr">
        <is>
          <t>East</t>
        </is>
      </c>
      <c r="D1453" s="13" t="inlineStr">
        <is>
          <t>Online</t>
        </is>
      </c>
      <c r="E1453" s="13" t="inlineStr">
        <is>
          <t>Textiles</t>
        </is>
      </c>
      <c r="F1453" s="13" t="inlineStr">
        <is>
          <t>Linen Curtain</t>
        </is>
      </c>
      <c r="G1453" s="13" t="inlineStr">
        <is>
          <t>Consumer</t>
        </is>
      </c>
      <c r="H1453" s="13" t="n">
        <v>3</v>
      </c>
      <c r="I1453" s="14" t="n">
        <v>91.79000000000001</v>
      </c>
      <c r="J1453" s="15" t="n">
        <v>0.1</v>
      </c>
      <c r="K1453" s="14" t="n">
        <v>41.3</v>
      </c>
      <c r="L1453" s="13" t="n">
        <v>8</v>
      </c>
      <c r="M1453" s="13" t="inlineStr">
        <is>
          <t>Completed</t>
        </is>
      </c>
      <c r="N1453" s="13" t="inlineStr">
        <is>
          <t>P. Rossi</t>
        </is>
      </c>
      <c r="O1453" s="13" t="inlineStr">
        <is>
          <t>No</t>
        </is>
      </c>
      <c r="P1453" s="14">
        <f>H1453*I1453</f>
        <v/>
      </c>
      <c r="Q1453" s="14">
        <f>P1453*(1-J1453)</f>
        <v/>
      </c>
      <c r="R1453" s="14">
        <f>H1453*K1453</f>
        <v/>
      </c>
      <c r="S1453" s="15">
        <f>IF(Q1453=0,"",(Q1453-R1453)/Q1453)</f>
        <v/>
      </c>
      <c r="T1453" s="13">
        <f>YEAR(B1453)</f>
        <v/>
      </c>
      <c r="U1453" s="13">
        <f>YEAR(B1453)&amp;"-Q"&amp;ROUNDUP(MONTH(B1453)/3,0)</f>
        <v/>
      </c>
      <c r="V1453" s="13">
        <f>TEXT(B1453,"YYYY-MM")</f>
        <v/>
      </c>
      <c r="W1453" s="13">
        <f>IF(L1453="","",IF(L1453&gt;pLateDays,1,0))</f>
        <v/>
      </c>
      <c r="X1453" s="13">
        <f>IF(Q1453&gt;=pHighCutoff,1,0)</f>
        <v/>
      </c>
      <c r="Y1453" s="13">
        <f>IF(M1453="Returned",1,0)</f>
        <v/>
      </c>
    </row>
    <row r="1454">
      <c r="A1454" s="13" t="inlineStr">
        <is>
          <t>HC-101452</t>
        </is>
      </c>
      <c r="B1454" s="18" t="n">
        <v>45318</v>
      </c>
      <c r="C1454" s="13" t="inlineStr">
        <is>
          <t>South</t>
        </is>
      </c>
      <c r="D1454" s="13" t="inlineStr">
        <is>
          <t>Store</t>
        </is>
      </c>
      <c r="E1454" s="13" t="inlineStr">
        <is>
          <t>Textiles</t>
        </is>
      </c>
      <c r="F1454" s="13" t="inlineStr">
        <is>
          <t>Linen Curtain</t>
        </is>
      </c>
      <c r="G1454" s="13" t="inlineStr">
        <is>
          <t>Home Office</t>
        </is>
      </c>
      <c r="H1454" s="13" t="n">
        <v>3</v>
      </c>
      <c r="I1454" s="14" t="n">
        <v>98.06999999999999</v>
      </c>
      <c r="J1454" s="15" t="n">
        <v>0.09</v>
      </c>
      <c r="K1454" s="14" t="n">
        <v>44.13</v>
      </c>
      <c r="L1454" s="13" t="n">
        <v>7</v>
      </c>
      <c r="M1454" s="13" t="inlineStr">
        <is>
          <t>Completed</t>
        </is>
      </c>
      <c r="N1454" s="13" t="inlineStr">
        <is>
          <t>P. Rossi</t>
        </is>
      </c>
      <c r="O1454" s="13" t="inlineStr">
        <is>
          <t>No</t>
        </is>
      </c>
      <c r="P1454" s="14">
        <f>H1454*I1454</f>
        <v/>
      </c>
      <c r="Q1454" s="14">
        <f>P1454*(1-J1454)</f>
        <v/>
      </c>
      <c r="R1454" s="14">
        <f>H1454*K1454</f>
        <v/>
      </c>
      <c r="S1454" s="15">
        <f>IF(Q1454=0,"",(Q1454-R1454)/Q1454)</f>
        <v/>
      </c>
      <c r="T1454" s="13">
        <f>YEAR(B1454)</f>
        <v/>
      </c>
      <c r="U1454" s="13">
        <f>YEAR(B1454)&amp;"-Q"&amp;ROUNDUP(MONTH(B1454)/3,0)</f>
        <v/>
      </c>
      <c r="V1454" s="13">
        <f>TEXT(B1454,"YYYY-MM")</f>
        <v/>
      </c>
      <c r="W1454" s="13">
        <f>IF(L1454="","",IF(L1454&gt;pLateDays,1,0))</f>
        <v/>
      </c>
      <c r="X1454" s="13">
        <f>IF(Q1454&gt;=pHighCutoff,1,0)</f>
        <v/>
      </c>
      <c r="Y1454" s="13">
        <f>IF(M1454="Returned",1,0)</f>
        <v/>
      </c>
    </row>
    <row r="1455">
      <c r="A1455" s="13" t="inlineStr">
        <is>
          <t>HC-101453</t>
        </is>
      </c>
      <c r="B1455" s="18" t="n">
        <v>45770</v>
      </c>
      <c r="C1455" s="13" t="inlineStr">
        <is>
          <t>South</t>
        </is>
      </c>
      <c r="D1455" s="13" t="inlineStr">
        <is>
          <t>Wholesale</t>
        </is>
      </c>
      <c r="E1455" s="13" t="inlineStr">
        <is>
          <t>Lighting</t>
        </is>
      </c>
      <c r="F1455" s="13" t="inlineStr">
        <is>
          <t>Pendant Light</t>
        </is>
      </c>
      <c r="G1455" s="13" t="inlineStr">
        <is>
          <t>Corporate</t>
        </is>
      </c>
      <c r="H1455" s="13" t="n">
        <v>11</v>
      </c>
      <c r="I1455" s="14" t="n">
        <v>180.85</v>
      </c>
      <c r="J1455" s="15" t="n">
        <v>0.27</v>
      </c>
      <c r="K1455" s="14" t="n">
        <v>90.43000000000001</v>
      </c>
      <c r="L1455" s="13" t="n">
        <v>5</v>
      </c>
      <c r="M1455" s="13" t="inlineStr">
        <is>
          <t>Completed</t>
        </is>
      </c>
      <c r="N1455" s="13" t="inlineStr">
        <is>
          <t>M. Okonkwo</t>
        </is>
      </c>
      <c r="O1455" s="13" t="inlineStr">
        <is>
          <t>No</t>
        </is>
      </c>
      <c r="P1455" s="14">
        <f>H1455*I1455</f>
        <v/>
      </c>
      <c r="Q1455" s="14">
        <f>P1455*(1-J1455)</f>
        <v/>
      </c>
      <c r="R1455" s="14">
        <f>H1455*K1455</f>
        <v/>
      </c>
      <c r="S1455" s="15">
        <f>IF(Q1455=0,"",(Q1455-R1455)/Q1455)</f>
        <v/>
      </c>
      <c r="T1455" s="13">
        <f>YEAR(B1455)</f>
        <v/>
      </c>
      <c r="U1455" s="13">
        <f>YEAR(B1455)&amp;"-Q"&amp;ROUNDUP(MONTH(B1455)/3,0)</f>
        <v/>
      </c>
      <c r="V1455" s="13">
        <f>TEXT(B1455,"YYYY-MM")</f>
        <v/>
      </c>
      <c r="W1455" s="13">
        <f>IF(L1455="","",IF(L1455&gt;pLateDays,1,0))</f>
        <v/>
      </c>
      <c r="X1455" s="13">
        <f>IF(Q1455&gt;=pHighCutoff,1,0)</f>
        <v/>
      </c>
      <c r="Y1455" s="13">
        <f>IF(M1455="Returned",1,0)</f>
        <v/>
      </c>
    </row>
    <row r="1456">
      <c r="A1456" s="13" t="inlineStr">
        <is>
          <t>HC-101454</t>
        </is>
      </c>
      <c r="B1456" s="18" t="n">
        <v>45567</v>
      </c>
      <c r="C1456" s="13" t="inlineStr">
        <is>
          <t>East</t>
        </is>
      </c>
      <c r="D1456" s="13" t="inlineStr">
        <is>
          <t>Store</t>
        </is>
      </c>
      <c r="E1456" s="13" t="inlineStr">
        <is>
          <t>Textiles</t>
        </is>
      </c>
      <c r="F1456" s="13" t="inlineStr">
        <is>
          <t>Linen Curtain</t>
        </is>
      </c>
      <c r="G1456" s="13" t="inlineStr">
        <is>
          <t>Consumer</t>
        </is>
      </c>
      <c r="H1456" s="13" t="n">
        <v>3</v>
      </c>
      <c r="I1456" s="14" t="n">
        <v>85.81</v>
      </c>
      <c r="J1456" s="15" t="n">
        <v>0.09</v>
      </c>
      <c r="K1456" s="14" t="n">
        <v>38.62</v>
      </c>
      <c r="L1456" s="13" t="n">
        <v>10</v>
      </c>
      <c r="M1456" s="13" t="inlineStr">
        <is>
          <t>Completed</t>
        </is>
      </c>
      <c r="N1456" s="13" t="inlineStr">
        <is>
          <t>R. Ibarra</t>
        </is>
      </c>
      <c r="O1456" s="13" t="inlineStr">
        <is>
          <t>No</t>
        </is>
      </c>
      <c r="P1456" s="14">
        <f>H1456*I1456</f>
        <v/>
      </c>
      <c r="Q1456" s="14">
        <f>P1456*(1-J1456)</f>
        <v/>
      </c>
      <c r="R1456" s="14">
        <f>H1456*K1456</f>
        <v/>
      </c>
      <c r="S1456" s="15">
        <f>IF(Q1456=0,"",(Q1456-R1456)/Q1456)</f>
        <v/>
      </c>
      <c r="T1456" s="13">
        <f>YEAR(B1456)</f>
        <v/>
      </c>
      <c r="U1456" s="13">
        <f>YEAR(B1456)&amp;"-Q"&amp;ROUNDUP(MONTH(B1456)/3,0)</f>
        <v/>
      </c>
      <c r="V1456" s="13">
        <f>TEXT(B1456,"YYYY-MM")</f>
        <v/>
      </c>
      <c r="W1456" s="13">
        <f>IF(L1456="","",IF(L1456&gt;pLateDays,1,0))</f>
        <v/>
      </c>
      <c r="X1456" s="13">
        <f>IF(Q1456&gt;=pHighCutoff,1,0)</f>
        <v/>
      </c>
      <c r="Y1456" s="13">
        <f>IF(M1456="Returned",1,0)</f>
        <v/>
      </c>
    </row>
    <row r="1457">
      <c r="A1457" s="13" t="inlineStr">
        <is>
          <t>HC-101455</t>
        </is>
      </c>
      <c r="B1457" s="18" t="n">
        <v>45312</v>
      </c>
      <c r="C1457" s="13" t="inlineStr">
        <is>
          <t>West</t>
        </is>
      </c>
      <c r="D1457" s="13" t="inlineStr">
        <is>
          <t>Store</t>
        </is>
      </c>
      <c r="E1457" s="13" t="inlineStr">
        <is>
          <t>Furniture</t>
        </is>
      </c>
      <c r="F1457" s="13" t="inlineStr">
        <is>
          <t>Oak Desk</t>
        </is>
      </c>
      <c r="G1457" s="13" t="inlineStr">
        <is>
          <t>Home Office</t>
        </is>
      </c>
      <c r="H1457" s="13" t="n">
        <v>2</v>
      </c>
      <c r="I1457" s="14" t="n">
        <v>811.49</v>
      </c>
      <c r="J1457" s="15" t="n">
        <v>0.1</v>
      </c>
      <c r="K1457" s="14" t="n">
        <v>503.13</v>
      </c>
      <c r="L1457" s="13" t="n">
        <v>9</v>
      </c>
      <c r="M1457" s="13" t="inlineStr">
        <is>
          <t>Completed</t>
        </is>
      </c>
      <c r="N1457" s="13" t="inlineStr">
        <is>
          <t>J. Patel</t>
        </is>
      </c>
      <c r="O1457" s="13" t="inlineStr">
        <is>
          <t>No</t>
        </is>
      </c>
      <c r="P1457" s="14">
        <f>H1457*I1457</f>
        <v/>
      </c>
      <c r="Q1457" s="14">
        <f>P1457*(1-J1457)</f>
        <v/>
      </c>
      <c r="R1457" s="14">
        <f>H1457*K1457</f>
        <v/>
      </c>
      <c r="S1457" s="15">
        <f>IF(Q1457=0,"",(Q1457-R1457)/Q1457)</f>
        <v/>
      </c>
      <c r="T1457" s="13">
        <f>YEAR(B1457)</f>
        <v/>
      </c>
      <c r="U1457" s="13">
        <f>YEAR(B1457)&amp;"-Q"&amp;ROUNDUP(MONTH(B1457)/3,0)</f>
        <v/>
      </c>
      <c r="V1457" s="13">
        <f>TEXT(B1457,"YYYY-MM")</f>
        <v/>
      </c>
      <c r="W1457" s="13">
        <f>IF(L1457="","",IF(L1457&gt;pLateDays,1,0))</f>
        <v/>
      </c>
      <c r="X1457" s="13">
        <f>IF(Q1457&gt;=pHighCutoff,1,0)</f>
        <v/>
      </c>
      <c r="Y1457" s="13">
        <f>IF(M1457="Returned",1,0)</f>
        <v/>
      </c>
    </row>
    <row r="1458">
      <c r="A1458" s="13" t="inlineStr">
        <is>
          <t>HC-101456</t>
        </is>
      </c>
      <c r="B1458" s="18" t="n">
        <v>45816</v>
      </c>
      <c r="C1458" s="13" t="inlineStr">
        <is>
          <t>South</t>
        </is>
      </c>
      <c r="D1458" s="13" t="inlineStr">
        <is>
          <t>Store</t>
        </is>
      </c>
      <c r="E1458" s="13" t="inlineStr">
        <is>
          <t>Kitchen</t>
        </is>
      </c>
      <c r="F1458" s="13" t="inlineStr">
        <is>
          <t>Cast Skillet</t>
        </is>
      </c>
      <c r="G1458" s="13" t="inlineStr">
        <is>
          <t>Corporate</t>
        </is>
      </c>
      <c r="H1458" s="13" t="n">
        <v>4</v>
      </c>
      <c r="I1458" s="14" t="n">
        <v>50.2</v>
      </c>
      <c r="J1458" s="15" t="n">
        <v>0.05</v>
      </c>
      <c r="K1458" s="14" t="n">
        <v>20.08</v>
      </c>
      <c r="L1458" s="13" t="n">
        <v>6</v>
      </c>
      <c r="M1458" s="13" t="inlineStr">
        <is>
          <t>Cancelled</t>
        </is>
      </c>
      <c r="N1458" s="13" t="inlineStr">
        <is>
          <t>J. Patel</t>
        </is>
      </c>
      <c r="O1458" s="13" t="inlineStr">
        <is>
          <t>No</t>
        </is>
      </c>
      <c r="P1458" s="14">
        <f>H1458*I1458</f>
        <v/>
      </c>
      <c r="Q1458" s="14">
        <f>P1458*(1-J1458)</f>
        <v/>
      </c>
      <c r="R1458" s="14">
        <f>H1458*K1458</f>
        <v/>
      </c>
      <c r="S1458" s="15">
        <f>IF(Q1458=0,"",(Q1458-R1458)/Q1458)</f>
        <v/>
      </c>
      <c r="T1458" s="13">
        <f>YEAR(B1458)</f>
        <v/>
      </c>
      <c r="U1458" s="13">
        <f>YEAR(B1458)&amp;"-Q"&amp;ROUNDUP(MONTH(B1458)/3,0)</f>
        <v/>
      </c>
      <c r="V1458" s="13">
        <f>TEXT(B1458,"YYYY-MM")</f>
        <v/>
      </c>
      <c r="W1458" s="13">
        <f>IF(L1458="","",IF(L1458&gt;pLateDays,1,0))</f>
        <v/>
      </c>
      <c r="X1458" s="13">
        <f>IF(Q1458&gt;=pHighCutoff,1,0)</f>
        <v/>
      </c>
      <c r="Y1458" s="13">
        <f>IF(M1458="Returned",1,0)</f>
        <v/>
      </c>
    </row>
    <row r="1459">
      <c r="A1459" s="13" t="inlineStr">
        <is>
          <t>HC-101457</t>
        </is>
      </c>
      <c r="B1459" s="18" t="n">
        <v>45513</v>
      </c>
      <c r="C1459" s="13" t="inlineStr">
        <is>
          <t>South</t>
        </is>
      </c>
      <c r="D1459" s="13" t="inlineStr">
        <is>
          <t>Online</t>
        </is>
      </c>
      <c r="E1459" s="13" t="inlineStr">
        <is>
          <t>Furniture</t>
        </is>
      </c>
      <c r="F1459" s="13" t="inlineStr">
        <is>
          <t>Walnut Shelf</t>
        </is>
      </c>
      <c r="G1459" s="13" t="inlineStr">
        <is>
          <t>Consumer</t>
        </is>
      </c>
      <c r="H1459" s="13" t="n">
        <v>2</v>
      </c>
      <c r="I1459" s="14" t="n">
        <v>214.79</v>
      </c>
      <c r="J1459" s="15" t="n">
        <v>0.08</v>
      </c>
      <c r="K1459" s="14" t="n">
        <v>118.13</v>
      </c>
      <c r="L1459" s="13" t="n">
        <v>9</v>
      </c>
      <c r="M1459" s="13" t="inlineStr">
        <is>
          <t>Completed</t>
        </is>
      </c>
      <c r="N1459" s="13" t="inlineStr">
        <is>
          <t>M. Okonkwo</t>
        </is>
      </c>
      <c r="O1459" s="13" t="inlineStr">
        <is>
          <t>No</t>
        </is>
      </c>
      <c r="P1459" s="14">
        <f>H1459*I1459</f>
        <v/>
      </c>
      <c r="Q1459" s="14">
        <f>P1459*(1-J1459)</f>
        <v/>
      </c>
      <c r="R1459" s="14">
        <f>H1459*K1459</f>
        <v/>
      </c>
      <c r="S1459" s="15">
        <f>IF(Q1459=0,"",(Q1459-R1459)/Q1459)</f>
        <v/>
      </c>
      <c r="T1459" s="13">
        <f>YEAR(B1459)</f>
        <v/>
      </c>
      <c r="U1459" s="13">
        <f>YEAR(B1459)&amp;"-Q"&amp;ROUNDUP(MONTH(B1459)/3,0)</f>
        <v/>
      </c>
      <c r="V1459" s="13">
        <f>TEXT(B1459,"YYYY-MM")</f>
        <v/>
      </c>
      <c r="W1459" s="13">
        <f>IF(L1459="","",IF(L1459&gt;pLateDays,1,0))</f>
        <v/>
      </c>
      <c r="X1459" s="13">
        <f>IF(Q1459&gt;=pHighCutoff,1,0)</f>
        <v/>
      </c>
      <c r="Y1459" s="13">
        <f>IF(M1459="Returned",1,0)</f>
        <v/>
      </c>
    </row>
    <row r="1460">
      <c r="A1460" s="13" t="inlineStr">
        <is>
          <t>HC-101458</t>
        </is>
      </c>
      <c r="B1460" s="18" t="n">
        <v>45645</v>
      </c>
      <c r="C1460" s="13" t="inlineStr">
        <is>
          <t>East</t>
        </is>
      </c>
      <c r="D1460" s="13" t="inlineStr">
        <is>
          <t>Store</t>
        </is>
      </c>
      <c r="E1460" s="13" t="inlineStr">
        <is>
          <t>Furniture</t>
        </is>
      </c>
      <c r="F1460" s="13" t="inlineStr">
        <is>
          <t>Walnut Shelf</t>
        </is>
      </c>
      <c r="G1460" s="13" t="inlineStr">
        <is>
          <t>Consumer</t>
        </is>
      </c>
      <c r="H1460" s="13" t="n">
        <v>5</v>
      </c>
      <c r="I1460" s="14" t="n">
        <v>208.06</v>
      </c>
      <c r="J1460" s="15" t="n">
        <v>0.08</v>
      </c>
      <c r="K1460" s="14" t="n">
        <v>114.43</v>
      </c>
      <c r="L1460" s="13" t="n">
        <v>8</v>
      </c>
      <c r="M1460" s="13" t="inlineStr">
        <is>
          <t>Completed</t>
        </is>
      </c>
      <c r="N1460" s="13" t="inlineStr">
        <is>
          <t>P. Rossi</t>
        </is>
      </c>
      <c r="O1460" s="13" t="inlineStr">
        <is>
          <t>No</t>
        </is>
      </c>
      <c r="P1460" s="14">
        <f>H1460*I1460</f>
        <v/>
      </c>
      <c r="Q1460" s="14">
        <f>P1460*(1-J1460)</f>
        <v/>
      </c>
      <c r="R1460" s="14">
        <f>H1460*K1460</f>
        <v/>
      </c>
      <c r="S1460" s="15">
        <f>IF(Q1460=0,"",(Q1460-R1460)/Q1460)</f>
        <v/>
      </c>
      <c r="T1460" s="13">
        <f>YEAR(B1460)</f>
        <v/>
      </c>
      <c r="U1460" s="13">
        <f>YEAR(B1460)&amp;"-Q"&amp;ROUNDUP(MONTH(B1460)/3,0)</f>
        <v/>
      </c>
      <c r="V1460" s="13">
        <f>TEXT(B1460,"YYYY-MM")</f>
        <v/>
      </c>
      <c r="W1460" s="13">
        <f>IF(L1460="","",IF(L1460&gt;pLateDays,1,0))</f>
        <v/>
      </c>
      <c r="X1460" s="13">
        <f>IF(Q1460&gt;=pHighCutoff,1,0)</f>
        <v/>
      </c>
      <c r="Y1460" s="13">
        <f>IF(M1460="Returned",1,0)</f>
        <v/>
      </c>
    </row>
    <row r="1461">
      <c r="A1461" s="13" t="inlineStr">
        <is>
          <t>HC-101459</t>
        </is>
      </c>
      <c r="B1461" s="18" t="n">
        <v>45608</v>
      </c>
      <c r="C1461" s="13" t="inlineStr">
        <is>
          <t>North</t>
        </is>
      </c>
      <c r="D1461" s="13" t="inlineStr">
        <is>
          <t>Online</t>
        </is>
      </c>
      <c r="E1461" s="13" t="inlineStr">
        <is>
          <t>Textiles</t>
        </is>
      </c>
      <c r="F1461" s="13" t="inlineStr">
        <is>
          <t>Cotton Duvet</t>
        </is>
      </c>
      <c r="G1461" s="13" t="inlineStr">
        <is>
          <t>Consumer</t>
        </is>
      </c>
      <c r="H1461" s="13" t="n">
        <v>4</v>
      </c>
      <c r="I1461" s="14" t="n">
        <v>111.99</v>
      </c>
      <c r="J1461" s="15" t="n">
        <v>0.13</v>
      </c>
      <c r="K1461" s="14" t="n">
        <v>49.28</v>
      </c>
      <c r="L1461" s="13" t="n">
        <v>7</v>
      </c>
      <c r="M1461" s="13" t="inlineStr">
        <is>
          <t>Completed</t>
        </is>
      </c>
      <c r="N1461" s="13" t="inlineStr">
        <is>
          <t>A. Shah</t>
        </is>
      </c>
      <c r="O1461" s="13" t="inlineStr">
        <is>
          <t>No</t>
        </is>
      </c>
      <c r="P1461" s="14">
        <f>H1461*I1461</f>
        <v/>
      </c>
      <c r="Q1461" s="14">
        <f>P1461*(1-J1461)</f>
        <v/>
      </c>
      <c r="R1461" s="14">
        <f>H1461*K1461</f>
        <v/>
      </c>
      <c r="S1461" s="15">
        <f>IF(Q1461=0,"",(Q1461-R1461)/Q1461)</f>
        <v/>
      </c>
      <c r="T1461" s="13">
        <f>YEAR(B1461)</f>
        <v/>
      </c>
      <c r="U1461" s="13">
        <f>YEAR(B1461)&amp;"-Q"&amp;ROUNDUP(MONTH(B1461)/3,0)</f>
        <v/>
      </c>
      <c r="V1461" s="13">
        <f>TEXT(B1461,"YYYY-MM")</f>
        <v/>
      </c>
      <c r="W1461" s="13">
        <f>IF(L1461="","",IF(L1461&gt;pLateDays,1,0))</f>
        <v/>
      </c>
      <c r="X1461" s="13">
        <f>IF(Q1461&gt;=pHighCutoff,1,0)</f>
        <v/>
      </c>
      <c r="Y1461" s="13">
        <f>IF(M1461="Returned",1,0)</f>
        <v/>
      </c>
    </row>
    <row r="1462">
      <c r="A1462" s="13" t="inlineStr">
        <is>
          <t>HC-101460</t>
        </is>
      </c>
      <c r="B1462" s="18" t="n">
        <v>45789</v>
      </c>
      <c r="C1462" s="13" t="inlineStr">
        <is>
          <t>East</t>
        </is>
      </c>
      <c r="D1462" s="13" t="inlineStr">
        <is>
          <t>Wholesale</t>
        </is>
      </c>
      <c r="E1462" s="13" t="inlineStr">
        <is>
          <t>Textiles</t>
        </is>
      </c>
      <c r="F1462" s="13" t="inlineStr">
        <is>
          <t>Linen Curtain</t>
        </is>
      </c>
      <c r="G1462" s="13" t="inlineStr">
        <is>
          <t>Consumer</t>
        </is>
      </c>
      <c r="H1462" s="13" t="n">
        <v>17</v>
      </c>
      <c r="I1462" s="14" t="n">
        <v>89.94</v>
      </c>
      <c r="J1462" s="15" t="n">
        <v>0.27</v>
      </c>
      <c r="K1462" s="14" t="n">
        <v>40.47</v>
      </c>
      <c r="L1462" s="13" t="n">
        <v>9</v>
      </c>
      <c r="M1462" s="13" t="inlineStr">
        <is>
          <t>Completed</t>
        </is>
      </c>
      <c r="N1462" s="13" t="inlineStr">
        <is>
          <t>P. Rossi</t>
        </is>
      </c>
      <c r="O1462" s="13" t="inlineStr">
        <is>
          <t>No</t>
        </is>
      </c>
      <c r="P1462" s="14">
        <f>H1462*I1462</f>
        <v/>
      </c>
      <c r="Q1462" s="14">
        <f>P1462*(1-J1462)</f>
        <v/>
      </c>
      <c r="R1462" s="14">
        <f>H1462*K1462</f>
        <v/>
      </c>
      <c r="S1462" s="15">
        <f>IF(Q1462=0,"",(Q1462-R1462)/Q1462)</f>
        <v/>
      </c>
      <c r="T1462" s="13">
        <f>YEAR(B1462)</f>
        <v/>
      </c>
      <c r="U1462" s="13">
        <f>YEAR(B1462)&amp;"-Q"&amp;ROUNDUP(MONTH(B1462)/3,0)</f>
        <v/>
      </c>
      <c r="V1462" s="13">
        <f>TEXT(B1462,"YYYY-MM")</f>
        <v/>
      </c>
      <c r="W1462" s="13">
        <f>IF(L1462="","",IF(L1462&gt;pLateDays,1,0))</f>
        <v/>
      </c>
      <c r="X1462" s="13">
        <f>IF(Q1462&gt;=pHighCutoff,1,0)</f>
        <v/>
      </c>
      <c r="Y1462" s="13">
        <f>IF(M1462="Returned",1,0)</f>
        <v/>
      </c>
    </row>
    <row r="1463">
      <c r="A1463" s="13" t="inlineStr">
        <is>
          <t>HC-101461</t>
        </is>
      </c>
      <c r="B1463" s="18" t="n">
        <v>45632</v>
      </c>
      <c r="C1463" s="13" t="inlineStr">
        <is>
          <t>East</t>
        </is>
      </c>
      <c r="D1463" s="13" t="inlineStr">
        <is>
          <t>Online</t>
        </is>
      </c>
      <c r="E1463" s="13" t="inlineStr">
        <is>
          <t>Textiles</t>
        </is>
      </c>
      <c r="F1463" s="13" t="inlineStr">
        <is>
          <t>Linen Curtain</t>
        </is>
      </c>
      <c r="G1463" s="13" t="inlineStr">
        <is>
          <t>Consumer</t>
        </is>
      </c>
      <c r="H1463" s="13" t="n">
        <v>2</v>
      </c>
      <c r="I1463" s="14" t="n">
        <v>90.81</v>
      </c>
      <c r="J1463" s="15" t="n">
        <v>0.18</v>
      </c>
      <c r="K1463" s="14" t="n">
        <v>40.87</v>
      </c>
      <c r="L1463" s="13" t="n">
        <v>8</v>
      </c>
      <c r="M1463" s="13" t="inlineStr">
        <is>
          <t>Completed</t>
        </is>
      </c>
      <c r="N1463" s="13" t="inlineStr">
        <is>
          <t>R. Ibarra</t>
        </is>
      </c>
      <c r="O1463" s="13" t="inlineStr">
        <is>
          <t>No</t>
        </is>
      </c>
      <c r="P1463" s="14">
        <f>H1463*I1463</f>
        <v/>
      </c>
      <c r="Q1463" s="14">
        <f>P1463*(1-J1463)</f>
        <v/>
      </c>
      <c r="R1463" s="14">
        <f>H1463*K1463</f>
        <v/>
      </c>
      <c r="S1463" s="15">
        <f>IF(Q1463=0,"",(Q1463-R1463)/Q1463)</f>
        <v/>
      </c>
      <c r="T1463" s="13">
        <f>YEAR(B1463)</f>
        <v/>
      </c>
      <c r="U1463" s="13">
        <f>YEAR(B1463)&amp;"-Q"&amp;ROUNDUP(MONTH(B1463)/3,0)</f>
        <v/>
      </c>
      <c r="V1463" s="13">
        <f>TEXT(B1463,"YYYY-MM")</f>
        <v/>
      </c>
      <c r="W1463" s="13">
        <f>IF(L1463="","",IF(L1463&gt;pLateDays,1,0))</f>
        <v/>
      </c>
      <c r="X1463" s="13">
        <f>IF(Q1463&gt;=pHighCutoff,1,0)</f>
        <v/>
      </c>
      <c r="Y1463" s="13">
        <f>IF(M1463="Returned",1,0)</f>
        <v/>
      </c>
    </row>
    <row r="1464">
      <c r="A1464" s="13" t="inlineStr">
        <is>
          <t>HC-101462</t>
        </is>
      </c>
      <c r="B1464" s="18" t="n">
        <v>45804</v>
      </c>
      <c r="C1464" s="13" t="inlineStr">
        <is>
          <t>North</t>
        </is>
      </c>
      <c r="D1464" s="13" t="inlineStr">
        <is>
          <t>Online</t>
        </is>
      </c>
      <c r="E1464" s="13" t="inlineStr">
        <is>
          <t>Kitchen</t>
        </is>
      </c>
      <c r="F1464" s="13" t="inlineStr">
        <is>
          <t>Cast Skillet</t>
        </is>
      </c>
      <c r="G1464" s="13" t="inlineStr">
        <is>
          <t>Consumer</t>
        </is>
      </c>
      <c r="H1464" s="13" t="n">
        <v>1</v>
      </c>
      <c r="I1464" s="14" t="n">
        <v>53.82</v>
      </c>
      <c r="J1464" s="15" t="n">
        <v>0.02</v>
      </c>
      <c r="K1464" s="14" t="n">
        <v>21.53</v>
      </c>
      <c r="L1464" s="13" t="n">
        <v>10</v>
      </c>
      <c r="M1464" s="13" t="inlineStr">
        <is>
          <t>Completed</t>
        </is>
      </c>
      <c r="N1464" s="13" t="inlineStr">
        <is>
          <t>R. Ibarra</t>
        </is>
      </c>
      <c r="O1464" s="13" t="inlineStr">
        <is>
          <t>No</t>
        </is>
      </c>
      <c r="P1464" s="14">
        <f>H1464*I1464</f>
        <v/>
      </c>
      <c r="Q1464" s="14">
        <f>P1464*(1-J1464)</f>
        <v/>
      </c>
      <c r="R1464" s="14">
        <f>H1464*K1464</f>
        <v/>
      </c>
      <c r="S1464" s="15">
        <f>IF(Q1464=0,"",(Q1464-R1464)/Q1464)</f>
        <v/>
      </c>
      <c r="T1464" s="13">
        <f>YEAR(B1464)</f>
        <v/>
      </c>
      <c r="U1464" s="13">
        <f>YEAR(B1464)&amp;"-Q"&amp;ROUNDUP(MONTH(B1464)/3,0)</f>
        <v/>
      </c>
      <c r="V1464" s="13">
        <f>TEXT(B1464,"YYYY-MM")</f>
        <v/>
      </c>
      <c r="W1464" s="13">
        <f>IF(L1464="","",IF(L1464&gt;pLateDays,1,0))</f>
        <v/>
      </c>
      <c r="X1464" s="13">
        <f>IF(Q1464&gt;=pHighCutoff,1,0)</f>
        <v/>
      </c>
      <c r="Y1464" s="13">
        <f>IF(M1464="Returned",1,0)</f>
        <v/>
      </c>
    </row>
    <row r="1465">
      <c r="A1465" s="13" t="inlineStr">
        <is>
          <t>HC-101463</t>
        </is>
      </c>
      <c r="B1465" s="18" t="n">
        <v>45737</v>
      </c>
      <c r="C1465" s="13" t="inlineStr">
        <is>
          <t>North</t>
        </is>
      </c>
      <c r="D1465" s="13" t="inlineStr">
        <is>
          <t>Store</t>
        </is>
      </c>
      <c r="E1465" s="13" t="inlineStr">
        <is>
          <t>Furniture</t>
        </is>
      </c>
      <c r="F1465" s="13" t="inlineStr">
        <is>
          <t>Linen Sofa</t>
        </is>
      </c>
      <c r="G1465" s="13" t="inlineStr">
        <is>
          <t>Corporate</t>
        </is>
      </c>
      <c r="H1465" s="13" t="n">
        <v>4</v>
      </c>
      <c r="I1465" s="14" t="n">
        <v>1204.2</v>
      </c>
      <c r="J1465" s="15" t="n">
        <v>0.11</v>
      </c>
      <c r="K1465" s="14" t="n">
        <v>794.77</v>
      </c>
      <c r="L1465" s="13" t="n">
        <v>10</v>
      </c>
      <c r="M1465" s="13" t="inlineStr">
        <is>
          <t>Completed</t>
        </is>
      </c>
      <c r="N1465" s="13" t="inlineStr">
        <is>
          <t>J. Patel</t>
        </is>
      </c>
      <c r="O1465" s="13" t="inlineStr">
        <is>
          <t>No</t>
        </is>
      </c>
      <c r="P1465" s="14">
        <f>H1465*I1465</f>
        <v/>
      </c>
      <c r="Q1465" s="14">
        <f>P1465*(1-J1465)</f>
        <v/>
      </c>
      <c r="R1465" s="14">
        <f>H1465*K1465</f>
        <v/>
      </c>
      <c r="S1465" s="15">
        <f>IF(Q1465=0,"",(Q1465-R1465)/Q1465)</f>
        <v/>
      </c>
      <c r="T1465" s="13">
        <f>YEAR(B1465)</f>
        <v/>
      </c>
      <c r="U1465" s="13">
        <f>YEAR(B1465)&amp;"-Q"&amp;ROUNDUP(MONTH(B1465)/3,0)</f>
        <v/>
      </c>
      <c r="V1465" s="13">
        <f>TEXT(B1465,"YYYY-MM")</f>
        <v/>
      </c>
      <c r="W1465" s="13">
        <f>IF(L1465="","",IF(L1465&gt;pLateDays,1,0))</f>
        <v/>
      </c>
      <c r="X1465" s="13">
        <f>IF(Q1465&gt;=pHighCutoff,1,0)</f>
        <v/>
      </c>
      <c r="Y1465" s="13">
        <f>IF(M1465="Returned",1,0)</f>
        <v/>
      </c>
    </row>
    <row r="1466">
      <c r="A1466" s="13" t="inlineStr">
        <is>
          <t>HC-101464</t>
        </is>
      </c>
      <c r="B1466" s="18" t="n">
        <v>45385</v>
      </c>
      <c r="C1466" s="13" t="inlineStr">
        <is>
          <t>South</t>
        </is>
      </c>
      <c r="D1466" s="13" t="inlineStr">
        <is>
          <t>Store</t>
        </is>
      </c>
      <c r="E1466" s="13" t="inlineStr">
        <is>
          <t>Lighting</t>
        </is>
      </c>
      <c r="F1466" s="13" t="inlineStr">
        <is>
          <t>Pendant Light</t>
        </is>
      </c>
      <c r="G1466" s="13" t="inlineStr">
        <is>
          <t>Corporate</t>
        </is>
      </c>
      <c r="H1466" s="13" t="n">
        <v>3</v>
      </c>
      <c r="I1466" s="14" t="n">
        <v>176.71</v>
      </c>
      <c r="J1466" s="15" t="n">
        <v>0.07000000000000001</v>
      </c>
      <c r="K1466" s="14" t="n">
        <v>88.36</v>
      </c>
      <c r="L1466" s="13" t="n">
        <v>8</v>
      </c>
      <c r="M1466" s="13" t="inlineStr">
        <is>
          <t>Completed</t>
        </is>
      </c>
      <c r="N1466" s="13" t="inlineStr">
        <is>
          <t>S. Nguyen</t>
        </is>
      </c>
      <c r="O1466" s="13" t="inlineStr">
        <is>
          <t>No</t>
        </is>
      </c>
      <c r="P1466" s="14">
        <f>H1466*I1466</f>
        <v/>
      </c>
      <c r="Q1466" s="14">
        <f>P1466*(1-J1466)</f>
        <v/>
      </c>
      <c r="R1466" s="14">
        <f>H1466*K1466</f>
        <v/>
      </c>
      <c r="S1466" s="15">
        <f>IF(Q1466=0,"",(Q1466-R1466)/Q1466)</f>
        <v/>
      </c>
      <c r="T1466" s="13">
        <f>YEAR(B1466)</f>
        <v/>
      </c>
      <c r="U1466" s="13">
        <f>YEAR(B1466)&amp;"-Q"&amp;ROUNDUP(MONTH(B1466)/3,0)</f>
        <v/>
      </c>
      <c r="V1466" s="13">
        <f>TEXT(B1466,"YYYY-MM")</f>
        <v/>
      </c>
      <c r="W1466" s="13">
        <f>IF(L1466="","",IF(L1466&gt;pLateDays,1,0))</f>
        <v/>
      </c>
      <c r="X1466" s="13">
        <f>IF(Q1466&gt;=pHighCutoff,1,0)</f>
        <v/>
      </c>
      <c r="Y1466" s="13">
        <f>IF(M1466="Returned",1,0)</f>
        <v/>
      </c>
    </row>
    <row r="1467">
      <c r="A1467" s="13" t="inlineStr">
        <is>
          <t>HC-101465</t>
        </is>
      </c>
      <c r="B1467" s="18" t="n">
        <v>45920</v>
      </c>
      <c r="C1467" s="13" t="inlineStr">
        <is>
          <t>West</t>
        </is>
      </c>
      <c r="D1467" s="13" t="inlineStr">
        <is>
          <t>Store</t>
        </is>
      </c>
      <c r="E1467" s="13" t="inlineStr">
        <is>
          <t>Furniture</t>
        </is>
      </c>
      <c r="F1467" s="13" t="inlineStr">
        <is>
          <t>Linen Sofa</t>
        </is>
      </c>
      <c r="G1467" s="13" t="inlineStr">
        <is>
          <t>Home Office</t>
        </is>
      </c>
      <c r="H1467" s="13" t="n">
        <v>2</v>
      </c>
      <c r="I1467" s="14" t="n">
        <v>1171.31</v>
      </c>
      <c r="J1467" s="15" t="n">
        <v>0.1</v>
      </c>
      <c r="K1467" s="14" t="n">
        <v>773.0700000000001</v>
      </c>
      <c r="L1467" s="13" t="n">
        <v>4</v>
      </c>
      <c r="M1467" s="13" t="inlineStr">
        <is>
          <t>Completed</t>
        </is>
      </c>
      <c r="N1467" s="13" t="inlineStr">
        <is>
          <t>A. Shah</t>
        </is>
      </c>
      <c r="O1467" s="13" t="inlineStr">
        <is>
          <t>No</t>
        </is>
      </c>
      <c r="P1467" s="14">
        <f>H1467*I1467</f>
        <v/>
      </c>
      <c r="Q1467" s="14">
        <f>P1467*(1-J1467)</f>
        <v/>
      </c>
      <c r="R1467" s="14">
        <f>H1467*K1467</f>
        <v/>
      </c>
      <c r="S1467" s="15">
        <f>IF(Q1467=0,"",(Q1467-R1467)/Q1467)</f>
        <v/>
      </c>
      <c r="T1467" s="13">
        <f>YEAR(B1467)</f>
        <v/>
      </c>
      <c r="U1467" s="13">
        <f>YEAR(B1467)&amp;"-Q"&amp;ROUNDUP(MONTH(B1467)/3,0)</f>
        <v/>
      </c>
      <c r="V1467" s="13">
        <f>TEXT(B1467,"YYYY-MM")</f>
        <v/>
      </c>
      <c r="W1467" s="13">
        <f>IF(L1467="","",IF(L1467&gt;pLateDays,1,0))</f>
        <v/>
      </c>
      <c r="X1467" s="13">
        <f>IF(Q1467&gt;=pHighCutoff,1,0)</f>
        <v/>
      </c>
      <c r="Y1467" s="13">
        <f>IF(M1467="Returned",1,0)</f>
        <v/>
      </c>
    </row>
    <row r="1468">
      <c r="A1468" s="13" t="inlineStr">
        <is>
          <t>HC-101466</t>
        </is>
      </c>
      <c r="B1468" s="18" t="n">
        <v>45457</v>
      </c>
      <c r="C1468" s="13" t="inlineStr">
        <is>
          <t>West</t>
        </is>
      </c>
      <c r="D1468" s="13" t="inlineStr">
        <is>
          <t>Store</t>
        </is>
      </c>
      <c r="E1468" s="13" t="inlineStr">
        <is>
          <t>Textiles</t>
        </is>
      </c>
      <c r="F1468" s="13" t="inlineStr">
        <is>
          <t>Wool Throw</t>
        </is>
      </c>
      <c r="G1468" s="13" t="inlineStr">
        <is>
          <t>Unknown</t>
        </is>
      </c>
      <c r="H1468" s="13" t="n">
        <v>1</v>
      </c>
      <c r="I1468" s="14" t="n">
        <v>74.84999999999999</v>
      </c>
      <c r="J1468" s="15" t="n">
        <v>0.01</v>
      </c>
      <c r="K1468" s="14" t="n">
        <v>31.44</v>
      </c>
      <c r="L1468" s="13" t="n">
        <v>6</v>
      </c>
      <c r="M1468" s="13" t="inlineStr">
        <is>
          <t>Completed</t>
        </is>
      </c>
      <c r="N1468" s="13" t="inlineStr">
        <is>
          <t>S. Nguyen</t>
        </is>
      </c>
      <c r="O1468" s="13" t="inlineStr">
        <is>
          <t>No</t>
        </is>
      </c>
      <c r="P1468" s="14">
        <f>H1468*I1468</f>
        <v/>
      </c>
      <c r="Q1468" s="14">
        <f>P1468*(1-J1468)</f>
        <v/>
      </c>
      <c r="R1468" s="14">
        <f>H1468*K1468</f>
        <v/>
      </c>
      <c r="S1468" s="15">
        <f>IF(Q1468=0,"",(Q1468-R1468)/Q1468)</f>
        <v/>
      </c>
      <c r="T1468" s="13">
        <f>YEAR(B1468)</f>
        <v/>
      </c>
      <c r="U1468" s="13">
        <f>YEAR(B1468)&amp;"-Q"&amp;ROUNDUP(MONTH(B1468)/3,0)</f>
        <v/>
      </c>
      <c r="V1468" s="13">
        <f>TEXT(B1468,"YYYY-MM")</f>
        <v/>
      </c>
      <c r="W1468" s="13">
        <f>IF(L1468="","",IF(L1468&gt;pLateDays,1,0))</f>
        <v/>
      </c>
      <c r="X1468" s="13">
        <f>IF(Q1468&gt;=pHighCutoff,1,0)</f>
        <v/>
      </c>
      <c r="Y1468" s="13">
        <f>IF(M1468="Returned",1,0)</f>
        <v/>
      </c>
    </row>
    <row r="1469">
      <c r="A1469" s="13" t="inlineStr">
        <is>
          <t>HC-101467</t>
        </is>
      </c>
      <c r="B1469" s="18" t="n">
        <v>45784</v>
      </c>
      <c r="C1469" s="13" t="inlineStr">
        <is>
          <t>South</t>
        </is>
      </c>
      <c r="D1469" s="13" t="inlineStr">
        <is>
          <t>Store</t>
        </is>
      </c>
      <c r="E1469" s="13" t="inlineStr">
        <is>
          <t>Furniture</t>
        </is>
      </c>
      <c r="F1469" s="13" t="inlineStr">
        <is>
          <t>Oak Desk</t>
        </is>
      </c>
      <c r="G1469" s="13" t="inlineStr">
        <is>
          <t>Consumer</t>
        </is>
      </c>
      <c r="H1469" s="13" t="n">
        <v>1</v>
      </c>
      <c r="I1469" s="14" t="n">
        <v>775.33</v>
      </c>
      <c r="J1469" s="15" t="n">
        <v>0</v>
      </c>
      <c r="K1469" s="14" t="n">
        <v>480.7</v>
      </c>
      <c r="L1469" s="13" t="n">
        <v>4</v>
      </c>
      <c r="M1469" s="13" t="inlineStr">
        <is>
          <t>Completed</t>
        </is>
      </c>
      <c r="N1469" s="13" t="inlineStr">
        <is>
          <t>A. Shah</t>
        </is>
      </c>
      <c r="O1469" s="13" t="inlineStr">
        <is>
          <t>No</t>
        </is>
      </c>
      <c r="P1469" s="14">
        <f>H1469*I1469</f>
        <v/>
      </c>
      <c r="Q1469" s="14">
        <f>P1469*(1-J1469)</f>
        <v/>
      </c>
      <c r="R1469" s="14">
        <f>H1469*K1469</f>
        <v/>
      </c>
      <c r="S1469" s="15">
        <f>IF(Q1469=0,"",(Q1469-R1469)/Q1469)</f>
        <v/>
      </c>
      <c r="T1469" s="13">
        <f>YEAR(B1469)</f>
        <v/>
      </c>
      <c r="U1469" s="13">
        <f>YEAR(B1469)&amp;"-Q"&amp;ROUNDUP(MONTH(B1469)/3,0)</f>
        <v/>
      </c>
      <c r="V1469" s="13">
        <f>TEXT(B1469,"YYYY-MM")</f>
        <v/>
      </c>
      <c r="W1469" s="13">
        <f>IF(L1469="","",IF(L1469&gt;pLateDays,1,0))</f>
        <v/>
      </c>
      <c r="X1469" s="13">
        <f>IF(Q1469&gt;=pHighCutoff,1,0)</f>
        <v/>
      </c>
      <c r="Y1469" s="13">
        <f>IF(M1469="Returned",1,0)</f>
        <v/>
      </c>
    </row>
    <row r="1470">
      <c r="A1470" s="13" t="inlineStr">
        <is>
          <t>HC-101468</t>
        </is>
      </c>
      <c r="B1470" s="18" t="n">
        <v>45854</v>
      </c>
      <c r="C1470" s="13" t="inlineStr">
        <is>
          <t>South</t>
        </is>
      </c>
      <c r="D1470" s="13" t="inlineStr">
        <is>
          <t>Online</t>
        </is>
      </c>
      <c r="E1470" s="13" t="inlineStr">
        <is>
          <t>Furniture</t>
        </is>
      </c>
      <c r="F1470" s="13" t="inlineStr">
        <is>
          <t>Lounge Chair</t>
        </is>
      </c>
      <c r="G1470" s="13" t="inlineStr">
        <is>
          <t>Home Office</t>
        </is>
      </c>
      <c r="H1470" s="13" t="n">
        <v>1</v>
      </c>
      <c r="I1470" s="14" t="n">
        <v>500.04</v>
      </c>
      <c r="J1470" s="15" t="n">
        <v>0.06</v>
      </c>
      <c r="K1470" s="14" t="n">
        <v>300.02</v>
      </c>
      <c r="L1470" s="13" t="n">
        <v>8</v>
      </c>
      <c r="M1470" s="13" t="inlineStr">
        <is>
          <t>Completed</t>
        </is>
      </c>
      <c r="N1470" s="13" t="inlineStr">
        <is>
          <t>K. Mensah</t>
        </is>
      </c>
      <c r="O1470" s="13" t="inlineStr">
        <is>
          <t>No</t>
        </is>
      </c>
      <c r="P1470" s="14">
        <f>H1470*I1470</f>
        <v/>
      </c>
      <c r="Q1470" s="14">
        <f>P1470*(1-J1470)</f>
        <v/>
      </c>
      <c r="R1470" s="14">
        <f>H1470*K1470</f>
        <v/>
      </c>
      <c r="S1470" s="15">
        <f>IF(Q1470=0,"",(Q1470-R1470)/Q1470)</f>
        <v/>
      </c>
      <c r="T1470" s="13">
        <f>YEAR(B1470)</f>
        <v/>
      </c>
      <c r="U1470" s="13">
        <f>YEAR(B1470)&amp;"-Q"&amp;ROUNDUP(MONTH(B1470)/3,0)</f>
        <v/>
      </c>
      <c r="V1470" s="13">
        <f>TEXT(B1470,"YYYY-MM")</f>
        <v/>
      </c>
      <c r="W1470" s="13">
        <f>IF(L1470="","",IF(L1470&gt;pLateDays,1,0))</f>
        <v/>
      </c>
      <c r="X1470" s="13">
        <f>IF(Q1470&gt;=pHighCutoff,1,0)</f>
        <v/>
      </c>
      <c r="Y1470" s="13">
        <f>IF(M1470="Returned",1,0)</f>
        <v/>
      </c>
    </row>
    <row r="1471">
      <c r="A1471" s="13" t="inlineStr">
        <is>
          <t>HC-101469</t>
        </is>
      </c>
      <c r="B1471" s="18" t="n">
        <v>45744</v>
      </c>
      <c r="C1471" s="13" t="inlineStr">
        <is>
          <t>South</t>
        </is>
      </c>
      <c r="D1471" s="13" t="inlineStr">
        <is>
          <t>Online</t>
        </is>
      </c>
      <c r="E1471" s="13" t="inlineStr">
        <is>
          <t>Kitchen</t>
        </is>
      </c>
      <c r="F1471" s="13" t="inlineStr">
        <is>
          <t>Chef Knife</t>
        </is>
      </c>
      <c r="G1471" s="13" t="inlineStr">
        <is>
          <t>Consumer</t>
        </is>
      </c>
      <c r="H1471" s="13" t="n">
        <v>3</v>
      </c>
      <c r="I1471" s="14" t="n">
        <v>65.09999999999999</v>
      </c>
      <c r="J1471" s="15" t="n">
        <v>0.15</v>
      </c>
      <c r="K1471" s="14" t="n">
        <v>23.44</v>
      </c>
      <c r="L1471" s="13" t="n">
        <v>5</v>
      </c>
      <c r="M1471" s="13" t="inlineStr">
        <is>
          <t>Completed</t>
        </is>
      </c>
      <c r="N1471" s="13" t="inlineStr">
        <is>
          <t>L. Berger</t>
        </is>
      </c>
      <c r="O1471" s="13" t="inlineStr">
        <is>
          <t>No</t>
        </is>
      </c>
      <c r="P1471" s="14">
        <f>H1471*I1471</f>
        <v/>
      </c>
      <c r="Q1471" s="14">
        <f>P1471*(1-J1471)</f>
        <v/>
      </c>
      <c r="R1471" s="14">
        <f>H1471*K1471</f>
        <v/>
      </c>
      <c r="S1471" s="15">
        <f>IF(Q1471=0,"",(Q1471-R1471)/Q1471)</f>
        <v/>
      </c>
      <c r="T1471" s="13">
        <f>YEAR(B1471)</f>
        <v/>
      </c>
      <c r="U1471" s="13">
        <f>YEAR(B1471)&amp;"-Q"&amp;ROUNDUP(MONTH(B1471)/3,0)</f>
        <v/>
      </c>
      <c r="V1471" s="13">
        <f>TEXT(B1471,"YYYY-MM")</f>
        <v/>
      </c>
      <c r="W1471" s="13">
        <f>IF(L1471="","",IF(L1471&gt;pLateDays,1,0))</f>
        <v/>
      </c>
      <c r="X1471" s="13">
        <f>IF(Q1471&gt;=pHighCutoff,1,0)</f>
        <v/>
      </c>
      <c r="Y1471" s="13">
        <f>IF(M1471="Returned",1,0)</f>
        <v/>
      </c>
    </row>
    <row r="1472">
      <c r="A1472" s="13" t="inlineStr">
        <is>
          <t>HC-101470</t>
        </is>
      </c>
      <c r="B1472" s="18" t="n">
        <v>45714</v>
      </c>
      <c r="C1472" s="13" t="inlineStr">
        <is>
          <t>West</t>
        </is>
      </c>
      <c r="D1472" s="13" t="inlineStr">
        <is>
          <t>Online</t>
        </is>
      </c>
      <c r="E1472" s="13" t="inlineStr">
        <is>
          <t>Textiles</t>
        </is>
      </c>
      <c r="F1472" s="13" t="inlineStr">
        <is>
          <t>Wool Throw</t>
        </is>
      </c>
      <c r="G1472" s="13" t="inlineStr">
        <is>
          <t>Consumer</t>
        </is>
      </c>
      <c r="H1472" s="13" t="n">
        <v>3</v>
      </c>
      <c r="I1472" s="14" t="n">
        <v>77.33</v>
      </c>
      <c r="J1472" s="15" t="n">
        <v>0.06</v>
      </c>
      <c r="K1472" s="14" t="n">
        <v>32.48</v>
      </c>
      <c r="L1472" s="13" t="n">
        <v>3</v>
      </c>
      <c r="M1472" s="13" t="inlineStr">
        <is>
          <t>Returned</t>
        </is>
      </c>
      <c r="N1472" s="13" t="inlineStr">
        <is>
          <t>M. Okonkwo</t>
        </is>
      </c>
      <c r="O1472" s="13" t="inlineStr">
        <is>
          <t>No</t>
        </is>
      </c>
      <c r="P1472" s="14">
        <f>H1472*I1472</f>
        <v/>
      </c>
      <c r="Q1472" s="14">
        <f>P1472*(1-J1472)</f>
        <v/>
      </c>
      <c r="R1472" s="14">
        <f>H1472*K1472</f>
        <v/>
      </c>
      <c r="S1472" s="15">
        <f>IF(Q1472=0,"",(Q1472-R1472)/Q1472)</f>
        <v/>
      </c>
      <c r="T1472" s="13">
        <f>YEAR(B1472)</f>
        <v/>
      </c>
      <c r="U1472" s="13">
        <f>YEAR(B1472)&amp;"-Q"&amp;ROUNDUP(MONTH(B1472)/3,0)</f>
        <v/>
      </c>
      <c r="V1472" s="13">
        <f>TEXT(B1472,"YYYY-MM")</f>
        <v/>
      </c>
      <c r="W1472" s="13">
        <f>IF(L1472="","",IF(L1472&gt;pLateDays,1,0))</f>
        <v/>
      </c>
      <c r="X1472" s="13">
        <f>IF(Q1472&gt;=pHighCutoff,1,0)</f>
        <v/>
      </c>
      <c r="Y1472" s="13">
        <f>IF(M1472="Returned",1,0)</f>
        <v/>
      </c>
    </row>
    <row r="1473">
      <c r="A1473" s="13" t="inlineStr">
        <is>
          <t>HC-101471</t>
        </is>
      </c>
      <c r="B1473" s="18" t="n">
        <v>45896</v>
      </c>
      <c r="C1473" s="13" t="inlineStr">
        <is>
          <t>South</t>
        </is>
      </c>
      <c r="D1473" s="13" t="inlineStr">
        <is>
          <t>Online</t>
        </is>
      </c>
      <c r="E1473" s="13" t="inlineStr">
        <is>
          <t>Lighting</t>
        </is>
      </c>
      <c r="F1473" s="13" t="inlineStr">
        <is>
          <t>Brass Sconce</t>
        </is>
      </c>
      <c r="G1473" s="13" t="inlineStr">
        <is>
          <t>Consumer</t>
        </is>
      </c>
      <c r="H1473" s="13" t="n">
        <v>1</v>
      </c>
      <c r="I1473" s="14" t="n">
        <v>138.86</v>
      </c>
      <c r="J1473" s="15" t="n">
        <v>0.12</v>
      </c>
      <c r="K1473" s="14" t="n">
        <v>63.87</v>
      </c>
      <c r="L1473" s="13" t="n">
        <v>4</v>
      </c>
      <c r="M1473" s="13" t="inlineStr">
        <is>
          <t>Cancelled</t>
        </is>
      </c>
      <c r="N1473" s="13" t="inlineStr">
        <is>
          <t>K. Mensah</t>
        </is>
      </c>
      <c r="O1473" s="13" t="inlineStr">
        <is>
          <t>No</t>
        </is>
      </c>
      <c r="P1473" s="14">
        <f>H1473*I1473</f>
        <v/>
      </c>
      <c r="Q1473" s="14">
        <f>P1473*(1-J1473)</f>
        <v/>
      </c>
      <c r="R1473" s="14">
        <f>H1473*K1473</f>
        <v/>
      </c>
      <c r="S1473" s="15">
        <f>IF(Q1473=0,"",(Q1473-R1473)/Q1473)</f>
        <v/>
      </c>
      <c r="T1473" s="13">
        <f>YEAR(B1473)</f>
        <v/>
      </c>
      <c r="U1473" s="13">
        <f>YEAR(B1473)&amp;"-Q"&amp;ROUNDUP(MONTH(B1473)/3,0)</f>
        <v/>
      </c>
      <c r="V1473" s="13">
        <f>TEXT(B1473,"YYYY-MM")</f>
        <v/>
      </c>
      <c r="W1473" s="13">
        <f>IF(L1473="","",IF(L1473&gt;pLateDays,1,0))</f>
        <v/>
      </c>
      <c r="X1473" s="13">
        <f>IF(Q1473&gt;=pHighCutoff,1,0)</f>
        <v/>
      </c>
      <c r="Y1473" s="13">
        <f>IF(M1473="Returned",1,0)</f>
        <v/>
      </c>
    </row>
    <row r="1474">
      <c r="A1474" s="13" t="inlineStr">
        <is>
          <t>HC-101472</t>
        </is>
      </c>
      <c r="B1474" s="18" t="n">
        <v>45809</v>
      </c>
      <c r="C1474" s="13" t="inlineStr">
        <is>
          <t>East</t>
        </is>
      </c>
      <c r="D1474" s="13" t="inlineStr">
        <is>
          <t>Online</t>
        </is>
      </c>
      <c r="E1474" s="13" t="inlineStr">
        <is>
          <t>Lighting</t>
        </is>
      </c>
      <c r="F1474" s="13" t="inlineStr">
        <is>
          <t>Arc Lamp</t>
        </is>
      </c>
      <c r="G1474" s="13" t="inlineStr">
        <is>
          <t>Consumer</t>
        </is>
      </c>
      <c r="H1474" s="13" t="n">
        <v>1</v>
      </c>
      <c r="I1474" s="14" t="n">
        <v>273.33</v>
      </c>
      <c r="J1474" s="15" t="n">
        <v>0.08</v>
      </c>
      <c r="K1474" s="14" t="n">
        <v>131.2</v>
      </c>
      <c r="L1474" s="13" t="n">
        <v>6</v>
      </c>
      <c r="M1474" s="13" t="inlineStr">
        <is>
          <t>Completed</t>
        </is>
      </c>
      <c r="N1474" s="13" t="inlineStr">
        <is>
          <t>R. Ibarra</t>
        </is>
      </c>
      <c r="O1474" s="13" t="inlineStr">
        <is>
          <t>No</t>
        </is>
      </c>
      <c r="P1474" s="14">
        <f>H1474*I1474</f>
        <v/>
      </c>
      <c r="Q1474" s="14">
        <f>P1474*(1-J1474)</f>
        <v/>
      </c>
      <c r="R1474" s="14">
        <f>H1474*K1474</f>
        <v/>
      </c>
      <c r="S1474" s="15">
        <f>IF(Q1474=0,"",(Q1474-R1474)/Q1474)</f>
        <v/>
      </c>
      <c r="T1474" s="13">
        <f>YEAR(B1474)</f>
        <v/>
      </c>
      <c r="U1474" s="13">
        <f>YEAR(B1474)&amp;"-Q"&amp;ROUNDUP(MONTH(B1474)/3,0)</f>
        <v/>
      </c>
      <c r="V1474" s="13">
        <f>TEXT(B1474,"YYYY-MM")</f>
        <v/>
      </c>
      <c r="W1474" s="13">
        <f>IF(L1474="","",IF(L1474&gt;pLateDays,1,0))</f>
        <v/>
      </c>
      <c r="X1474" s="13">
        <f>IF(Q1474&gt;=pHighCutoff,1,0)</f>
        <v/>
      </c>
      <c r="Y1474" s="13">
        <f>IF(M1474="Returned",1,0)</f>
        <v/>
      </c>
    </row>
    <row r="1475">
      <c r="A1475" s="13" t="inlineStr">
        <is>
          <t>HC-101473</t>
        </is>
      </c>
      <c r="B1475" s="18" t="n">
        <v>45647</v>
      </c>
      <c r="C1475" s="13" t="inlineStr">
        <is>
          <t>West</t>
        </is>
      </c>
      <c r="D1475" s="13" t="inlineStr">
        <is>
          <t>Online</t>
        </is>
      </c>
      <c r="E1475" s="13" t="inlineStr">
        <is>
          <t>Furniture</t>
        </is>
      </c>
      <c r="F1475" s="13" t="inlineStr">
        <is>
          <t>Walnut Shelf</t>
        </is>
      </c>
      <c r="G1475" s="13" t="inlineStr">
        <is>
          <t>Corporate</t>
        </is>
      </c>
      <c r="H1475" s="13" t="n">
        <v>2</v>
      </c>
      <c r="I1475" s="14" t="n">
        <v>223.02</v>
      </c>
      <c r="J1475" s="15" t="n">
        <v>0.13</v>
      </c>
      <c r="K1475" s="14" t="n">
        <v>122.66</v>
      </c>
      <c r="L1475" s="13" t="n">
        <v>5</v>
      </c>
      <c r="M1475" s="13" t="inlineStr">
        <is>
          <t>Completed</t>
        </is>
      </c>
      <c r="N1475" s="13" t="inlineStr">
        <is>
          <t>K. Mensah</t>
        </is>
      </c>
      <c r="O1475" s="13" t="inlineStr">
        <is>
          <t>No</t>
        </is>
      </c>
      <c r="P1475" s="14">
        <f>H1475*I1475</f>
        <v/>
      </c>
      <c r="Q1475" s="14">
        <f>P1475*(1-J1475)</f>
        <v/>
      </c>
      <c r="R1475" s="14">
        <f>H1475*K1475</f>
        <v/>
      </c>
      <c r="S1475" s="15">
        <f>IF(Q1475=0,"",(Q1475-R1475)/Q1475)</f>
        <v/>
      </c>
      <c r="T1475" s="13">
        <f>YEAR(B1475)</f>
        <v/>
      </c>
      <c r="U1475" s="13">
        <f>YEAR(B1475)&amp;"-Q"&amp;ROUNDUP(MONTH(B1475)/3,0)</f>
        <v/>
      </c>
      <c r="V1475" s="13">
        <f>TEXT(B1475,"YYYY-MM")</f>
        <v/>
      </c>
      <c r="W1475" s="13">
        <f>IF(L1475="","",IF(L1475&gt;pLateDays,1,0))</f>
        <v/>
      </c>
      <c r="X1475" s="13">
        <f>IF(Q1475&gt;=pHighCutoff,1,0)</f>
        <v/>
      </c>
      <c r="Y1475" s="13">
        <f>IF(M1475="Returned",1,0)</f>
        <v/>
      </c>
    </row>
    <row r="1476">
      <c r="A1476" s="13" t="inlineStr">
        <is>
          <t>HC-101474</t>
        </is>
      </c>
      <c r="B1476" s="18" t="n">
        <v>45757</v>
      </c>
      <c r="C1476" s="13" t="inlineStr">
        <is>
          <t>North</t>
        </is>
      </c>
      <c r="D1476" s="13" t="inlineStr">
        <is>
          <t>Store</t>
        </is>
      </c>
      <c r="E1476" s="13" t="inlineStr">
        <is>
          <t>Furniture</t>
        </is>
      </c>
      <c r="F1476" s="13" t="inlineStr">
        <is>
          <t>Oak Desk</t>
        </is>
      </c>
      <c r="G1476" s="13" t="inlineStr">
        <is>
          <t>Corporate</t>
        </is>
      </c>
      <c r="H1476" s="13" t="n">
        <v>1</v>
      </c>
      <c r="I1476" s="14" t="n">
        <v>818.65</v>
      </c>
      <c r="J1476" s="15" t="n">
        <v>0.03</v>
      </c>
      <c r="K1476" s="14" t="n">
        <v>507.56</v>
      </c>
      <c r="L1476" s="13" t="n">
        <v>6</v>
      </c>
      <c r="M1476" s="13" t="inlineStr">
        <is>
          <t>Returned</t>
        </is>
      </c>
      <c r="N1476" s="13" t="inlineStr">
        <is>
          <t>J. Patel</t>
        </is>
      </c>
      <c r="O1476" s="13" t="inlineStr">
        <is>
          <t>No</t>
        </is>
      </c>
      <c r="P1476" s="14">
        <f>H1476*I1476</f>
        <v/>
      </c>
      <c r="Q1476" s="14">
        <f>P1476*(1-J1476)</f>
        <v/>
      </c>
      <c r="R1476" s="14">
        <f>H1476*K1476</f>
        <v/>
      </c>
      <c r="S1476" s="15">
        <f>IF(Q1476=0,"",(Q1476-R1476)/Q1476)</f>
        <v/>
      </c>
      <c r="T1476" s="13">
        <f>YEAR(B1476)</f>
        <v/>
      </c>
      <c r="U1476" s="13">
        <f>YEAR(B1476)&amp;"-Q"&amp;ROUNDUP(MONTH(B1476)/3,0)</f>
        <v/>
      </c>
      <c r="V1476" s="13">
        <f>TEXT(B1476,"YYYY-MM")</f>
        <v/>
      </c>
      <c r="W1476" s="13">
        <f>IF(L1476="","",IF(L1476&gt;pLateDays,1,0))</f>
        <v/>
      </c>
      <c r="X1476" s="13">
        <f>IF(Q1476&gt;=pHighCutoff,1,0)</f>
        <v/>
      </c>
      <c r="Y1476" s="13">
        <f>IF(M1476="Returned",1,0)</f>
        <v/>
      </c>
    </row>
    <row r="1477">
      <c r="A1477" s="13" t="inlineStr">
        <is>
          <t>HC-101475</t>
        </is>
      </c>
      <c r="B1477" s="18" t="n">
        <v>45606</v>
      </c>
      <c r="C1477" s="13" t="inlineStr">
        <is>
          <t>East</t>
        </is>
      </c>
      <c r="D1477" s="13" t="inlineStr">
        <is>
          <t>Online</t>
        </is>
      </c>
      <c r="E1477" s="13" t="inlineStr">
        <is>
          <t>Lighting</t>
        </is>
      </c>
      <c r="F1477" s="13" t="inlineStr">
        <is>
          <t>Arc Lamp</t>
        </is>
      </c>
      <c r="G1477" s="13" t="inlineStr">
        <is>
          <t>Corporate</t>
        </is>
      </c>
      <c r="H1477" s="13" t="n">
        <v>3</v>
      </c>
      <c r="I1477" s="14" t="n">
        <v>295.65</v>
      </c>
      <c r="J1477" s="15" t="n">
        <v>0.06</v>
      </c>
      <c r="K1477" s="14" t="n">
        <v>141.91</v>
      </c>
      <c r="L1477" s="13" t="n">
        <v>9</v>
      </c>
      <c r="M1477" s="13" t="inlineStr">
        <is>
          <t>Completed</t>
        </is>
      </c>
      <c r="N1477" s="13" t="inlineStr">
        <is>
          <t>J. Patel</t>
        </is>
      </c>
      <c r="O1477" s="13" t="inlineStr">
        <is>
          <t>No</t>
        </is>
      </c>
      <c r="P1477" s="14">
        <f>H1477*I1477</f>
        <v/>
      </c>
      <c r="Q1477" s="14">
        <f>P1477*(1-J1477)</f>
        <v/>
      </c>
      <c r="R1477" s="14">
        <f>H1477*K1477</f>
        <v/>
      </c>
      <c r="S1477" s="15">
        <f>IF(Q1477=0,"",(Q1477-R1477)/Q1477)</f>
        <v/>
      </c>
      <c r="T1477" s="13">
        <f>YEAR(B1477)</f>
        <v/>
      </c>
      <c r="U1477" s="13">
        <f>YEAR(B1477)&amp;"-Q"&amp;ROUNDUP(MONTH(B1477)/3,0)</f>
        <v/>
      </c>
      <c r="V1477" s="13">
        <f>TEXT(B1477,"YYYY-MM")</f>
        <v/>
      </c>
      <c r="W1477" s="13">
        <f>IF(L1477="","",IF(L1477&gt;pLateDays,1,0))</f>
        <v/>
      </c>
      <c r="X1477" s="13">
        <f>IF(Q1477&gt;=pHighCutoff,1,0)</f>
        <v/>
      </c>
      <c r="Y1477" s="13">
        <f>IF(M1477="Returned",1,0)</f>
        <v/>
      </c>
    </row>
    <row r="1478">
      <c r="A1478" s="13" t="inlineStr">
        <is>
          <t>HC-101476</t>
        </is>
      </c>
      <c r="B1478" s="18" t="n">
        <v>45710</v>
      </c>
      <c r="C1478" s="13" t="inlineStr">
        <is>
          <t>East</t>
        </is>
      </c>
      <c r="D1478" s="13" t="inlineStr">
        <is>
          <t>Store</t>
        </is>
      </c>
      <c r="E1478" s="13" t="inlineStr">
        <is>
          <t>Furniture</t>
        </is>
      </c>
      <c r="F1478" s="13" t="inlineStr">
        <is>
          <t>Walnut Shelf</t>
        </is>
      </c>
      <c r="G1478" s="13" t="inlineStr">
        <is>
          <t>Consumer</t>
        </is>
      </c>
      <c r="H1478" s="13" t="n">
        <v>1</v>
      </c>
      <c r="I1478" s="14" t="n">
        <v>202.06</v>
      </c>
      <c r="J1478" s="15" t="n">
        <v>0.02</v>
      </c>
      <c r="K1478" s="14" t="n">
        <v>111.14</v>
      </c>
      <c r="L1478" s="13" t="n">
        <v>9</v>
      </c>
      <c r="M1478" s="13" t="inlineStr">
        <is>
          <t>Completed</t>
        </is>
      </c>
      <c r="N1478" s="13" t="inlineStr">
        <is>
          <t>A. Shah</t>
        </is>
      </c>
      <c r="O1478" s="13" t="inlineStr">
        <is>
          <t>No</t>
        </is>
      </c>
      <c r="P1478" s="14">
        <f>H1478*I1478</f>
        <v/>
      </c>
      <c r="Q1478" s="14">
        <f>P1478*(1-J1478)</f>
        <v/>
      </c>
      <c r="R1478" s="14">
        <f>H1478*K1478</f>
        <v/>
      </c>
      <c r="S1478" s="15">
        <f>IF(Q1478=0,"",(Q1478-R1478)/Q1478)</f>
        <v/>
      </c>
      <c r="T1478" s="13">
        <f>YEAR(B1478)</f>
        <v/>
      </c>
      <c r="U1478" s="13">
        <f>YEAR(B1478)&amp;"-Q"&amp;ROUNDUP(MONTH(B1478)/3,0)</f>
        <v/>
      </c>
      <c r="V1478" s="13">
        <f>TEXT(B1478,"YYYY-MM")</f>
        <v/>
      </c>
      <c r="W1478" s="13">
        <f>IF(L1478="","",IF(L1478&gt;pLateDays,1,0))</f>
        <v/>
      </c>
      <c r="X1478" s="13">
        <f>IF(Q1478&gt;=pHighCutoff,1,0)</f>
        <v/>
      </c>
      <c r="Y1478" s="13">
        <f>IF(M1478="Returned",1,0)</f>
        <v/>
      </c>
    </row>
    <row r="1479">
      <c r="A1479" s="13" t="inlineStr">
        <is>
          <t>HC-101477</t>
        </is>
      </c>
      <c r="B1479" s="18" t="n">
        <v>45293</v>
      </c>
      <c r="C1479" s="13" t="inlineStr">
        <is>
          <t>North</t>
        </is>
      </c>
      <c r="D1479" s="13" t="inlineStr">
        <is>
          <t>Online</t>
        </is>
      </c>
      <c r="E1479" s="13" t="inlineStr">
        <is>
          <t>Kitchen</t>
        </is>
      </c>
      <c r="F1479" s="13" t="inlineStr">
        <is>
          <t>Cast Skillet</t>
        </is>
      </c>
      <c r="G1479" s="13" t="inlineStr">
        <is>
          <t>Consumer</t>
        </is>
      </c>
      <c r="H1479" s="13" t="n">
        <v>1</v>
      </c>
      <c r="I1479" s="14" t="n">
        <v>50.75</v>
      </c>
      <c r="J1479" s="15" t="n">
        <v>0.07000000000000001</v>
      </c>
      <c r="K1479" s="14" t="n">
        <v>20.3</v>
      </c>
      <c r="L1479" s="13" t="n">
        <v>7</v>
      </c>
      <c r="M1479" s="13" t="inlineStr">
        <is>
          <t>Completed</t>
        </is>
      </c>
      <c r="N1479" s="13" t="inlineStr">
        <is>
          <t>K. Mensah</t>
        </is>
      </c>
      <c r="O1479" s="13" t="inlineStr">
        <is>
          <t>No</t>
        </is>
      </c>
      <c r="P1479" s="14">
        <f>H1479*I1479</f>
        <v/>
      </c>
      <c r="Q1479" s="14">
        <f>P1479*(1-J1479)</f>
        <v/>
      </c>
      <c r="R1479" s="14">
        <f>H1479*K1479</f>
        <v/>
      </c>
      <c r="S1479" s="15">
        <f>IF(Q1479=0,"",(Q1479-R1479)/Q1479)</f>
        <v/>
      </c>
      <c r="T1479" s="13">
        <f>YEAR(B1479)</f>
        <v/>
      </c>
      <c r="U1479" s="13">
        <f>YEAR(B1479)&amp;"-Q"&amp;ROUNDUP(MONTH(B1479)/3,0)</f>
        <v/>
      </c>
      <c r="V1479" s="13">
        <f>TEXT(B1479,"YYYY-MM")</f>
        <v/>
      </c>
      <c r="W1479" s="13">
        <f>IF(L1479="","",IF(L1479&gt;pLateDays,1,0))</f>
        <v/>
      </c>
      <c r="X1479" s="13">
        <f>IF(Q1479&gt;=pHighCutoff,1,0)</f>
        <v/>
      </c>
      <c r="Y1479" s="13">
        <f>IF(M1479="Returned",1,0)</f>
        <v/>
      </c>
    </row>
    <row r="1480">
      <c r="A1480" s="13" t="inlineStr">
        <is>
          <t>HC-101478</t>
        </is>
      </c>
      <c r="B1480" s="18" t="n">
        <v>45844</v>
      </c>
      <c r="C1480" s="13" t="inlineStr">
        <is>
          <t>East</t>
        </is>
      </c>
      <c r="D1480" s="13" t="inlineStr">
        <is>
          <t>Store</t>
        </is>
      </c>
      <c r="E1480" s="13" t="inlineStr">
        <is>
          <t>Textiles</t>
        </is>
      </c>
      <c r="F1480" s="13" t="inlineStr">
        <is>
          <t>Wool Throw</t>
        </is>
      </c>
      <c r="G1480" s="13" t="inlineStr">
        <is>
          <t>Corporate</t>
        </is>
      </c>
      <c r="H1480" s="13" t="n">
        <v>2</v>
      </c>
      <c r="I1480" s="14" t="n">
        <v>66.73</v>
      </c>
      <c r="J1480" s="15" t="n">
        <v>0.09</v>
      </c>
      <c r="K1480" s="14" t="n">
        <v>28.03</v>
      </c>
      <c r="L1480" s="13" t="n">
        <v>6</v>
      </c>
      <c r="M1480" s="13" t="inlineStr">
        <is>
          <t>Completed</t>
        </is>
      </c>
      <c r="N1480" s="13" t="inlineStr">
        <is>
          <t>K. Mensah</t>
        </is>
      </c>
      <c r="O1480" s="13" t="inlineStr">
        <is>
          <t>No</t>
        </is>
      </c>
      <c r="P1480" s="14">
        <f>H1480*I1480</f>
        <v/>
      </c>
      <c r="Q1480" s="14">
        <f>P1480*(1-J1480)</f>
        <v/>
      </c>
      <c r="R1480" s="14">
        <f>H1480*K1480</f>
        <v/>
      </c>
      <c r="S1480" s="15">
        <f>IF(Q1480=0,"",(Q1480-R1480)/Q1480)</f>
        <v/>
      </c>
      <c r="T1480" s="13">
        <f>YEAR(B1480)</f>
        <v/>
      </c>
      <c r="U1480" s="13">
        <f>YEAR(B1480)&amp;"-Q"&amp;ROUNDUP(MONTH(B1480)/3,0)</f>
        <v/>
      </c>
      <c r="V1480" s="13">
        <f>TEXT(B1480,"YYYY-MM")</f>
        <v/>
      </c>
      <c r="W1480" s="13">
        <f>IF(L1480="","",IF(L1480&gt;pLateDays,1,0))</f>
        <v/>
      </c>
      <c r="X1480" s="13">
        <f>IF(Q1480&gt;=pHighCutoff,1,0)</f>
        <v/>
      </c>
      <c r="Y1480" s="13">
        <f>IF(M1480="Returned",1,0)</f>
        <v/>
      </c>
    </row>
    <row r="1481">
      <c r="A1481" s="13" t="inlineStr">
        <is>
          <t>HC-101479</t>
        </is>
      </c>
      <c r="B1481" s="18" t="n">
        <v>45610</v>
      </c>
      <c r="C1481" s="13" t="inlineStr">
        <is>
          <t>West</t>
        </is>
      </c>
      <c r="D1481" s="13" t="inlineStr">
        <is>
          <t>Store</t>
        </is>
      </c>
      <c r="E1481" s="13" t="inlineStr">
        <is>
          <t>Lighting</t>
        </is>
      </c>
      <c r="F1481" s="13" t="inlineStr">
        <is>
          <t>Arc Lamp</t>
        </is>
      </c>
      <c r="G1481" s="13" t="inlineStr">
        <is>
          <t>Consumer</t>
        </is>
      </c>
      <c r="H1481" s="13" t="n">
        <v>3</v>
      </c>
      <c r="I1481" s="14" t="n">
        <v>299.19</v>
      </c>
      <c r="J1481" s="15" t="n">
        <v>0.1</v>
      </c>
      <c r="K1481" s="14" t="n">
        <v>143.61</v>
      </c>
      <c r="L1481" s="13" t="n">
        <v>7</v>
      </c>
      <c r="M1481" s="13" t="inlineStr">
        <is>
          <t>Completed</t>
        </is>
      </c>
      <c r="N1481" s="13" t="inlineStr">
        <is>
          <t>A. Shah</t>
        </is>
      </c>
      <c r="O1481" s="13" t="inlineStr">
        <is>
          <t>No</t>
        </is>
      </c>
      <c r="P1481" s="14">
        <f>H1481*I1481</f>
        <v/>
      </c>
      <c r="Q1481" s="14">
        <f>P1481*(1-J1481)</f>
        <v/>
      </c>
      <c r="R1481" s="14">
        <f>H1481*K1481</f>
        <v/>
      </c>
      <c r="S1481" s="15">
        <f>IF(Q1481=0,"",(Q1481-R1481)/Q1481)</f>
        <v/>
      </c>
      <c r="T1481" s="13">
        <f>YEAR(B1481)</f>
        <v/>
      </c>
      <c r="U1481" s="13">
        <f>YEAR(B1481)&amp;"-Q"&amp;ROUNDUP(MONTH(B1481)/3,0)</f>
        <v/>
      </c>
      <c r="V1481" s="13">
        <f>TEXT(B1481,"YYYY-MM")</f>
        <v/>
      </c>
      <c r="W1481" s="13">
        <f>IF(L1481="","",IF(L1481&gt;pLateDays,1,0))</f>
        <v/>
      </c>
      <c r="X1481" s="13">
        <f>IF(Q1481&gt;=pHighCutoff,1,0)</f>
        <v/>
      </c>
      <c r="Y1481" s="13">
        <f>IF(M1481="Returned",1,0)</f>
        <v/>
      </c>
    </row>
    <row r="1482">
      <c r="A1482" s="13" t="inlineStr">
        <is>
          <t>HC-101480</t>
        </is>
      </c>
      <c r="B1482" s="18" t="n">
        <v>45765</v>
      </c>
      <c r="C1482" s="13" t="inlineStr">
        <is>
          <t>West</t>
        </is>
      </c>
      <c r="D1482" s="13" t="inlineStr">
        <is>
          <t>Store</t>
        </is>
      </c>
      <c r="E1482" s="13" t="inlineStr">
        <is>
          <t>Kitchen</t>
        </is>
      </c>
      <c r="F1482" s="13" t="inlineStr">
        <is>
          <t>Ceramic Set</t>
        </is>
      </c>
      <c r="G1482" s="13" t="inlineStr">
        <is>
          <t>Consumer</t>
        </is>
      </c>
      <c r="H1482" s="13" t="n">
        <v>4</v>
      </c>
      <c r="I1482" s="14" t="n">
        <v>86.95</v>
      </c>
      <c r="J1482" s="15" t="n">
        <v>0.03</v>
      </c>
      <c r="K1482" s="14" t="n">
        <v>33.04</v>
      </c>
      <c r="L1482" s="13" t="n">
        <v>5</v>
      </c>
      <c r="M1482" s="13" t="inlineStr">
        <is>
          <t>Returned</t>
        </is>
      </c>
      <c r="N1482" s="13" t="inlineStr">
        <is>
          <t>P. Rossi</t>
        </is>
      </c>
      <c r="O1482" s="13" t="inlineStr">
        <is>
          <t>No</t>
        </is>
      </c>
      <c r="P1482" s="14">
        <f>H1482*I1482</f>
        <v/>
      </c>
      <c r="Q1482" s="14">
        <f>P1482*(1-J1482)</f>
        <v/>
      </c>
      <c r="R1482" s="14">
        <f>H1482*K1482</f>
        <v/>
      </c>
      <c r="S1482" s="15">
        <f>IF(Q1482=0,"",(Q1482-R1482)/Q1482)</f>
        <v/>
      </c>
      <c r="T1482" s="13">
        <f>YEAR(B1482)</f>
        <v/>
      </c>
      <c r="U1482" s="13">
        <f>YEAR(B1482)&amp;"-Q"&amp;ROUNDUP(MONTH(B1482)/3,0)</f>
        <v/>
      </c>
      <c r="V1482" s="13">
        <f>TEXT(B1482,"YYYY-MM")</f>
        <v/>
      </c>
      <c r="W1482" s="13">
        <f>IF(L1482="","",IF(L1482&gt;pLateDays,1,0))</f>
        <v/>
      </c>
      <c r="X1482" s="13">
        <f>IF(Q1482&gt;=pHighCutoff,1,0)</f>
        <v/>
      </c>
      <c r="Y1482" s="13">
        <f>IF(M1482="Returned",1,0)</f>
        <v/>
      </c>
    </row>
    <row r="1483">
      <c r="A1483" s="13" t="inlineStr">
        <is>
          <t>HC-101481</t>
        </is>
      </c>
      <c r="B1483" s="18" t="n">
        <v>45577</v>
      </c>
      <c r="C1483" s="13" t="inlineStr">
        <is>
          <t>North</t>
        </is>
      </c>
      <c r="D1483" s="13" t="inlineStr">
        <is>
          <t>Store</t>
        </is>
      </c>
      <c r="E1483" s="13" t="inlineStr">
        <is>
          <t>Textiles</t>
        </is>
      </c>
      <c r="F1483" s="13" t="inlineStr">
        <is>
          <t>Cotton Duvet</t>
        </is>
      </c>
      <c r="G1483" s="13" t="inlineStr">
        <is>
          <t>Home Office</t>
        </is>
      </c>
      <c r="H1483" s="13" t="n">
        <v>2</v>
      </c>
      <c r="I1483" s="14" t="n">
        <v>122.04</v>
      </c>
      <c r="J1483" s="15" t="n">
        <v>0.08</v>
      </c>
      <c r="K1483" s="14" t="n">
        <v>53.7</v>
      </c>
      <c r="L1483" s="13" t="n">
        <v>9</v>
      </c>
      <c r="M1483" s="13" t="inlineStr">
        <is>
          <t>Cancelled</t>
        </is>
      </c>
      <c r="N1483" s="13" t="inlineStr">
        <is>
          <t>P. Rossi</t>
        </is>
      </c>
      <c r="O1483" s="13" t="inlineStr">
        <is>
          <t>No</t>
        </is>
      </c>
      <c r="P1483" s="14">
        <f>H1483*I1483</f>
        <v/>
      </c>
      <c r="Q1483" s="14">
        <f>P1483*(1-J1483)</f>
        <v/>
      </c>
      <c r="R1483" s="14">
        <f>H1483*K1483</f>
        <v/>
      </c>
      <c r="S1483" s="15">
        <f>IF(Q1483=0,"",(Q1483-R1483)/Q1483)</f>
        <v/>
      </c>
      <c r="T1483" s="13">
        <f>YEAR(B1483)</f>
        <v/>
      </c>
      <c r="U1483" s="13">
        <f>YEAR(B1483)&amp;"-Q"&amp;ROUNDUP(MONTH(B1483)/3,0)</f>
        <v/>
      </c>
      <c r="V1483" s="13">
        <f>TEXT(B1483,"YYYY-MM")</f>
        <v/>
      </c>
      <c r="W1483" s="13">
        <f>IF(L1483="","",IF(L1483&gt;pLateDays,1,0))</f>
        <v/>
      </c>
      <c r="X1483" s="13">
        <f>IF(Q1483&gt;=pHighCutoff,1,0)</f>
        <v/>
      </c>
      <c r="Y1483" s="13">
        <f>IF(M1483="Returned",1,0)</f>
        <v/>
      </c>
    </row>
    <row r="1484">
      <c r="A1484" s="13" t="inlineStr">
        <is>
          <t>HC-101482</t>
        </is>
      </c>
      <c r="B1484" s="18" t="n">
        <v>45886</v>
      </c>
      <c r="C1484" s="13" t="inlineStr">
        <is>
          <t>West</t>
        </is>
      </c>
      <c r="D1484" s="13" t="inlineStr">
        <is>
          <t>Online</t>
        </is>
      </c>
      <c r="E1484" s="13" t="inlineStr">
        <is>
          <t>Furniture</t>
        </is>
      </c>
      <c r="F1484" s="13" t="inlineStr">
        <is>
          <t>Oak Desk</t>
        </is>
      </c>
      <c r="G1484" s="13" t="inlineStr">
        <is>
          <t>Consumer</t>
        </is>
      </c>
      <c r="H1484" s="13" t="n">
        <v>3</v>
      </c>
      <c r="I1484" s="14" t="n">
        <v>886.22</v>
      </c>
      <c r="J1484" s="15" t="n">
        <v>0.03</v>
      </c>
      <c r="K1484" s="14" t="n">
        <v>549.46</v>
      </c>
      <c r="L1484" s="13" t="n">
        <v>6</v>
      </c>
      <c r="M1484" s="13" t="inlineStr">
        <is>
          <t>Completed</t>
        </is>
      </c>
      <c r="N1484" s="13" t="inlineStr">
        <is>
          <t>P. Rossi</t>
        </is>
      </c>
      <c r="O1484" s="13" t="inlineStr">
        <is>
          <t>No</t>
        </is>
      </c>
      <c r="P1484" s="14">
        <f>H1484*I1484</f>
        <v/>
      </c>
      <c r="Q1484" s="14">
        <f>P1484*(1-J1484)</f>
        <v/>
      </c>
      <c r="R1484" s="14">
        <f>H1484*K1484</f>
        <v/>
      </c>
      <c r="S1484" s="15">
        <f>IF(Q1484=0,"",(Q1484-R1484)/Q1484)</f>
        <v/>
      </c>
      <c r="T1484" s="13">
        <f>YEAR(B1484)</f>
        <v/>
      </c>
      <c r="U1484" s="13">
        <f>YEAR(B1484)&amp;"-Q"&amp;ROUNDUP(MONTH(B1484)/3,0)</f>
        <v/>
      </c>
      <c r="V1484" s="13">
        <f>TEXT(B1484,"YYYY-MM")</f>
        <v/>
      </c>
      <c r="W1484" s="13">
        <f>IF(L1484="","",IF(L1484&gt;pLateDays,1,0))</f>
        <v/>
      </c>
      <c r="X1484" s="13">
        <f>IF(Q1484&gt;=pHighCutoff,1,0)</f>
        <v/>
      </c>
      <c r="Y1484" s="13">
        <f>IF(M1484="Returned",1,0)</f>
        <v/>
      </c>
    </row>
    <row r="1485">
      <c r="A1485" s="13" t="inlineStr">
        <is>
          <t>HC-101483</t>
        </is>
      </c>
      <c r="B1485" s="18" t="n">
        <v>45739</v>
      </c>
      <c r="C1485" s="13" t="inlineStr">
        <is>
          <t>West</t>
        </is>
      </c>
      <c r="D1485" s="13" t="inlineStr">
        <is>
          <t>Online</t>
        </is>
      </c>
      <c r="E1485" s="13" t="inlineStr">
        <is>
          <t>Kitchen</t>
        </is>
      </c>
      <c r="F1485" s="13" t="inlineStr">
        <is>
          <t>Ceramic Set</t>
        </is>
      </c>
      <c r="G1485" s="13" t="inlineStr">
        <is>
          <t>Corporate</t>
        </is>
      </c>
      <c r="H1485" s="13" t="n">
        <v>3</v>
      </c>
      <c r="I1485" s="14" t="n">
        <v>86.53</v>
      </c>
      <c r="J1485" s="15" t="n">
        <v>0.07000000000000001</v>
      </c>
      <c r="K1485" s="14" t="n">
        <v>32.88</v>
      </c>
      <c r="L1485" s="13" t="n">
        <v>7</v>
      </c>
      <c r="M1485" s="13" t="inlineStr">
        <is>
          <t>Completed</t>
        </is>
      </c>
      <c r="N1485" s="13" t="inlineStr">
        <is>
          <t>A. Shah</t>
        </is>
      </c>
      <c r="O1485" s="13" t="inlineStr">
        <is>
          <t>No</t>
        </is>
      </c>
      <c r="P1485" s="14">
        <f>H1485*I1485</f>
        <v/>
      </c>
      <c r="Q1485" s="14">
        <f>P1485*(1-J1485)</f>
        <v/>
      </c>
      <c r="R1485" s="14">
        <f>H1485*K1485</f>
        <v/>
      </c>
      <c r="S1485" s="15">
        <f>IF(Q1485=0,"",(Q1485-R1485)/Q1485)</f>
        <v/>
      </c>
      <c r="T1485" s="13">
        <f>YEAR(B1485)</f>
        <v/>
      </c>
      <c r="U1485" s="13">
        <f>YEAR(B1485)&amp;"-Q"&amp;ROUNDUP(MONTH(B1485)/3,0)</f>
        <v/>
      </c>
      <c r="V1485" s="13">
        <f>TEXT(B1485,"YYYY-MM")</f>
        <v/>
      </c>
      <c r="W1485" s="13">
        <f>IF(L1485="","",IF(L1485&gt;pLateDays,1,0))</f>
        <v/>
      </c>
      <c r="X1485" s="13">
        <f>IF(Q1485&gt;=pHighCutoff,1,0)</f>
        <v/>
      </c>
      <c r="Y1485" s="13">
        <f>IF(M1485="Returned",1,0)</f>
        <v/>
      </c>
    </row>
    <row r="1486">
      <c r="A1486" s="13" t="inlineStr">
        <is>
          <t>HC-101484</t>
        </is>
      </c>
      <c r="B1486" s="18" t="n">
        <v>45604</v>
      </c>
      <c r="C1486" s="13" t="inlineStr">
        <is>
          <t>North</t>
        </is>
      </c>
      <c r="D1486" s="13" t="inlineStr">
        <is>
          <t>Store</t>
        </is>
      </c>
      <c r="E1486" s="13" t="inlineStr">
        <is>
          <t>Textiles</t>
        </is>
      </c>
      <c r="F1486" s="13" t="inlineStr">
        <is>
          <t>Cotton Duvet</t>
        </is>
      </c>
      <c r="G1486" s="13" t="inlineStr">
        <is>
          <t>Consumer</t>
        </is>
      </c>
      <c r="H1486" s="13" t="n">
        <v>3</v>
      </c>
      <c r="I1486" s="14" t="n">
        <v>114.91</v>
      </c>
      <c r="J1486" s="15" t="n">
        <v>0.04</v>
      </c>
      <c r="K1486" s="14" t="n">
        <v>50.56</v>
      </c>
      <c r="L1486" s="13" t="n">
        <v>9</v>
      </c>
      <c r="M1486" s="13" t="inlineStr">
        <is>
          <t>Completed</t>
        </is>
      </c>
      <c r="N1486" s="13" t="inlineStr">
        <is>
          <t>P. Rossi</t>
        </is>
      </c>
      <c r="O1486" s="13" t="inlineStr">
        <is>
          <t>No</t>
        </is>
      </c>
      <c r="P1486" s="14">
        <f>H1486*I1486</f>
        <v/>
      </c>
      <c r="Q1486" s="14">
        <f>P1486*(1-J1486)</f>
        <v/>
      </c>
      <c r="R1486" s="14">
        <f>H1486*K1486</f>
        <v/>
      </c>
      <c r="S1486" s="15">
        <f>IF(Q1486=0,"",(Q1486-R1486)/Q1486)</f>
        <v/>
      </c>
      <c r="T1486" s="13">
        <f>YEAR(B1486)</f>
        <v/>
      </c>
      <c r="U1486" s="13">
        <f>YEAR(B1486)&amp;"-Q"&amp;ROUNDUP(MONTH(B1486)/3,0)</f>
        <v/>
      </c>
      <c r="V1486" s="13">
        <f>TEXT(B1486,"YYYY-MM")</f>
        <v/>
      </c>
      <c r="W1486" s="13">
        <f>IF(L1486="","",IF(L1486&gt;pLateDays,1,0))</f>
        <v/>
      </c>
      <c r="X1486" s="13">
        <f>IF(Q1486&gt;=pHighCutoff,1,0)</f>
        <v/>
      </c>
      <c r="Y1486" s="13">
        <f>IF(M1486="Returned",1,0)</f>
        <v/>
      </c>
    </row>
    <row r="1487">
      <c r="A1487" s="13" t="inlineStr">
        <is>
          <t>HC-101485</t>
        </is>
      </c>
      <c r="B1487" s="18" t="n">
        <v>45645</v>
      </c>
      <c r="C1487" s="13" t="inlineStr">
        <is>
          <t>North</t>
        </is>
      </c>
      <c r="D1487" s="13" t="inlineStr">
        <is>
          <t>Store</t>
        </is>
      </c>
      <c r="E1487" s="13" t="inlineStr">
        <is>
          <t>Textiles</t>
        </is>
      </c>
      <c r="F1487" s="13" t="inlineStr">
        <is>
          <t>Wool Throw</t>
        </is>
      </c>
      <c r="G1487" s="13" t="inlineStr">
        <is>
          <t>Consumer</t>
        </is>
      </c>
      <c r="H1487" s="13" t="n">
        <v>2</v>
      </c>
      <c r="I1487" s="14" t="n">
        <v>80.09</v>
      </c>
      <c r="J1487" s="15" t="n">
        <v>0.03</v>
      </c>
      <c r="K1487" s="14" t="n">
        <v>33.64</v>
      </c>
      <c r="L1487" s="13" t="n">
        <v>6</v>
      </c>
      <c r="M1487" s="13" t="inlineStr">
        <is>
          <t>Completed</t>
        </is>
      </c>
      <c r="N1487" s="13" t="inlineStr">
        <is>
          <t>R. Ibarra</t>
        </is>
      </c>
      <c r="O1487" s="13" t="inlineStr">
        <is>
          <t>No</t>
        </is>
      </c>
      <c r="P1487" s="14">
        <f>H1487*I1487</f>
        <v/>
      </c>
      <c r="Q1487" s="14">
        <f>P1487*(1-J1487)</f>
        <v/>
      </c>
      <c r="R1487" s="14">
        <f>H1487*K1487</f>
        <v/>
      </c>
      <c r="S1487" s="15">
        <f>IF(Q1487=0,"",(Q1487-R1487)/Q1487)</f>
        <v/>
      </c>
      <c r="T1487" s="13">
        <f>YEAR(B1487)</f>
        <v/>
      </c>
      <c r="U1487" s="13">
        <f>YEAR(B1487)&amp;"-Q"&amp;ROUNDUP(MONTH(B1487)/3,0)</f>
        <v/>
      </c>
      <c r="V1487" s="13">
        <f>TEXT(B1487,"YYYY-MM")</f>
        <v/>
      </c>
      <c r="W1487" s="13">
        <f>IF(L1487="","",IF(L1487&gt;pLateDays,1,0))</f>
        <v/>
      </c>
      <c r="X1487" s="13">
        <f>IF(Q1487&gt;=pHighCutoff,1,0)</f>
        <v/>
      </c>
      <c r="Y1487" s="13">
        <f>IF(M1487="Returned",1,0)</f>
        <v/>
      </c>
    </row>
    <row r="1488">
      <c r="A1488" s="13" t="inlineStr">
        <is>
          <t>HC-101486</t>
        </is>
      </c>
      <c r="B1488" s="18" t="n">
        <v>45432</v>
      </c>
      <c r="C1488" s="13" t="inlineStr">
        <is>
          <t>West</t>
        </is>
      </c>
      <c r="D1488" s="13" t="inlineStr">
        <is>
          <t>Wholesale</t>
        </is>
      </c>
      <c r="E1488" s="13" t="inlineStr">
        <is>
          <t>Lighting</t>
        </is>
      </c>
      <c r="F1488" s="13" t="inlineStr">
        <is>
          <t>Arc Lamp</t>
        </is>
      </c>
      <c r="G1488" s="13" t="inlineStr">
        <is>
          <t>Consumer</t>
        </is>
      </c>
      <c r="H1488" s="13" t="n">
        <v>32</v>
      </c>
      <c r="I1488" s="14" t="n">
        <v>302.89</v>
      </c>
      <c r="J1488" s="15" t="n">
        <v>0.26</v>
      </c>
      <c r="K1488" s="14" t="n">
        <v>145.39</v>
      </c>
      <c r="L1488" s="13" t="n">
        <v>2</v>
      </c>
      <c r="M1488" s="13" t="inlineStr">
        <is>
          <t>Completed</t>
        </is>
      </c>
      <c r="N1488" s="13" t="inlineStr">
        <is>
          <t>J. Patel</t>
        </is>
      </c>
      <c r="O1488" s="13" t="inlineStr">
        <is>
          <t>No</t>
        </is>
      </c>
      <c r="P1488" s="14">
        <f>H1488*I1488</f>
        <v/>
      </c>
      <c r="Q1488" s="14">
        <f>P1488*(1-J1488)</f>
        <v/>
      </c>
      <c r="R1488" s="14">
        <f>H1488*K1488</f>
        <v/>
      </c>
      <c r="S1488" s="15">
        <f>IF(Q1488=0,"",(Q1488-R1488)/Q1488)</f>
        <v/>
      </c>
      <c r="T1488" s="13">
        <f>YEAR(B1488)</f>
        <v/>
      </c>
      <c r="U1488" s="13">
        <f>YEAR(B1488)&amp;"-Q"&amp;ROUNDUP(MONTH(B1488)/3,0)</f>
        <v/>
      </c>
      <c r="V1488" s="13">
        <f>TEXT(B1488,"YYYY-MM")</f>
        <v/>
      </c>
      <c r="W1488" s="13">
        <f>IF(L1488="","",IF(L1488&gt;pLateDays,1,0))</f>
        <v/>
      </c>
      <c r="X1488" s="13">
        <f>IF(Q1488&gt;=pHighCutoff,1,0)</f>
        <v/>
      </c>
      <c r="Y1488" s="13">
        <f>IF(M1488="Returned",1,0)</f>
        <v/>
      </c>
    </row>
    <row r="1489">
      <c r="A1489" s="13" t="inlineStr">
        <is>
          <t>HC-101487</t>
        </is>
      </c>
      <c r="B1489" s="18" t="n">
        <v>45407</v>
      </c>
      <c r="C1489" s="13" t="inlineStr">
        <is>
          <t>East</t>
        </is>
      </c>
      <c r="D1489" s="13" t="inlineStr">
        <is>
          <t>Online</t>
        </is>
      </c>
      <c r="E1489" s="13" t="inlineStr">
        <is>
          <t>Furniture</t>
        </is>
      </c>
      <c r="F1489" s="13" t="inlineStr">
        <is>
          <t>Linen Sofa</t>
        </is>
      </c>
      <c r="G1489" s="13" t="inlineStr">
        <is>
          <t>Consumer</t>
        </is>
      </c>
      <c r="H1489" s="13" t="n">
        <v>3</v>
      </c>
      <c r="I1489" s="14" t="n">
        <v>1035.94</v>
      </c>
      <c r="J1489" s="15" t="n">
        <v>0.13</v>
      </c>
      <c r="K1489" s="14" t="n">
        <v>683.72</v>
      </c>
      <c r="L1489" s="13" t="n">
        <v>10</v>
      </c>
      <c r="M1489" s="13" t="inlineStr">
        <is>
          <t>Returned</t>
        </is>
      </c>
      <c r="N1489" s="13" t="inlineStr">
        <is>
          <t>S. Nguyen</t>
        </is>
      </c>
      <c r="O1489" s="13" t="inlineStr">
        <is>
          <t>No</t>
        </is>
      </c>
      <c r="P1489" s="14">
        <f>H1489*I1489</f>
        <v/>
      </c>
      <c r="Q1489" s="14">
        <f>P1489*(1-J1489)</f>
        <v/>
      </c>
      <c r="R1489" s="14">
        <f>H1489*K1489</f>
        <v/>
      </c>
      <c r="S1489" s="15">
        <f>IF(Q1489=0,"",(Q1489-R1489)/Q1489)</f>
        <v/>
      </c>
      <c r="T1489" s="13">
        <f>YEAR(B1489)</f>
        <v/>
      </c>
      <c r="U1489" s="13">
        <f>YEAR(B1489)&amp;"-Q"&amp;ROUNDUP(MONTH(B1489)/3,0)</f>
        <v/>
      </c>
      <c r="V1489" s="13">
        <f>TEXT(B1489,"YYYY-MM")</f>
        <v/>
      </c>
      <c r="W1489" s="13">
        <f>IF(L1489="","",IF(L1489&gt;pLateDays,1,0))</f>
        <v/>
      </c>
      <c r="X1489" s="13">
        <f>IF(Q1489&gt;=pHighCutoff,1,0)</f>
        <v/>
      </c>
      <c r="Y1489" s="13">
        <f>IF(M1489="Returned",1,0)</f>
        <v/>
      </c>
    </row>
    <row r="1490">
      <c r="A1490" s="13" t="inlineStr">
        <is>
          <t>HC-101488</t>
        </is>
      </c>
      <c r="B1490" s="18" t="n">
        <v>45411</v>
      </c>
      <c r="C1490" s="13" t="inlineStr">
        <is>
          <t>North</t>
        </is>
      </c>
      <c r="D1490" s="13" t="inlineStr">
        <is>
          <t>Wholesale</t>
        </is>
      </c>
      <c r="E1490" s="13" t="inlineStr">
        <is>
          <t>Textiles</t>
        </is>
      </c>
      <c r="F1490" s="13" t="inlineStr">
        <is>
          <t>Linen Curtain</t>
        </is>
      </c>
      <c r="G1490" s="13" t="inlineStr">
        <is>
          <t>Corporate</t>
        </is>
      </c>
      <c r="H1490" s="13" t="n">
        <v>11</v>
      </c>
      <c r="I1490" s="14" t="n">
        <v>102.05</v>
      </c>
      <c r="J1490" s="15" t="n">
        <v>0.13</v>
      </c>
      <c r="K1490" s="14" t="n">
        <v>45.92</v>
      </c>
      <c r="L1490" s="13" t="n">
        <v>2</v>
      </c>
      <c r="M1490" s="13" t="inlineStr">
        <is>
          <t>Completed</t>
        </is>
      </c>
      <c r="N1490" s="13" t="inlineStr">
        <is>
          <t>K. Mensah</t>
        </is>
      </c>
      <c r="O1490" s="13" t="inlineStr">
        <is>
          <t>No</t>
        </is>
      </c>
      <c r="P1490" s="14">
        <f>H1490*I1490</f>
        <v/>
      </c>
      <c r="Q1490" s="14">
        <f>P1490*(1-J1490)</f>
        <v/>
      </c>
      <c r="R1490" s="14">
        <f>H1490*K1490</f>
        <v/>
      </c>
      <c r="S1490" s="15">
        <f>IF(Q1490=0,"",(Q1490-R1490)/Q1490)</f>
        <v/>
      </c>
      <c r="T1490" s="13">
        <f>YEAR(B1490)</f>
        <v/>
      </c>
      <c r="U1490" s="13">
        <f>YEAR(B1490)&amp;"-Q"&amp;ROUNDUP(MONTH(B1490)/3,0)</f>
        <v/>
      </c>
      <c r="V1490" s="13">
        <f>TEXT(B1490,"YYYY-MM")</f>
        <v/>
      </c>
      <c r="W1490" s="13">
        <f>IF(L1490="","",IF(L1490&gt;pLateDays,1,0))</f>
        <v/>
      </c>
      <c r="X1490" s="13">
        <f>IF(Q1490&gt;=pHighCutoff,1,0)</f>
        <v/>
      </c>
      <c r="Y1490" s="13">
        <f>IF(M1490="Returned",1,0)</f>
        <v/>
      </c>
    </row>
    <row r="1491">
      <c r="A1491" s="13" t="inlineStr">
        <is>
          <t>HC-101489</t>
        </is>
      </c>
      <c r="B1491" s="18" t="n">
        <v>45500</v>
      </c>
      <c r="C1491" s="13" t="inlineStr">
        <is>
          <t>North</t>
        </is>
      </c>
      <c r="D1491" s="13" t="inlineStr">
        <is>
          <t>Online</t>
        </is>
      </c>
      <c r="E1491" s="13" t="inlineStr">
        <is>
          <t>Furniture</t>
        </is>
      </c>
      <c r="F1491" s="13" t="inlineStr">
        <is>
          <t>Linen Sofa</t>
        </is>
      </c>
      <c r="G1491" s="13" t="inlineStr">
        <is>
          <t>Corporate</t>
        </is>
      </c>
      <c r="H1491" s="13" t="n">
        <v>2</v>
      </c>
      <c r="I1491" s="14" t="n">
        <v>1161.98</v>
      </c>
      <c r="J1491" s="15" t="n">
        <v>0.03</v>
      </c>
      <c r="K1491" s="14" t="n">
        <v>766.9</v>
      </c>
      <c r="L1491" s="13" t="n">
        <v>6</v>
      </c>
      <c r="M1491" s="13" t="inlineStr">
        <is>
          <t>Completed</t>
        </is>
      </c>
      <c r="N1491" s="13" t="inlineStr">
        <is>
          <t>P. Rossi</t>
        </is>
      </c>
      <c r="O1491" s="13" t="inlineStr">
        <is>
          <t>No</t>
        </is>
      </c>
      <c r="P1491" s="14">
        <f>H1491*I1491</f>
        <v/>
      </c>
      <c r="Q1491" s="14">
        <f>P1491*(1-J1491)</f>
        <v/>
      </c>
      <c r="R1491" s="14">
        <f>H1491*K1491</f>
        <v/>
      </c>
      <c r="S1491" s="15">
        <f>IF(Q1491=0,"",(Q1491-R1491)/Q1491)</f>
        <v/>
      </c>
      <c r="T1491" s="13">
        <f>YEAR(B1491)</f>
        <v/>
      </c>
      <c r="U1491" s="13">
        <f>YEAR(B1491)&amp;"-Q"&amp;ROUNDUP(MONTH(B1491)/3,0)</f>
        <v/>
      </c>
      <c r="V1491" s="13">
        <f>TEXT(B1491,"YYYY-MM")</f>
        <v/>
      </c>
      <c r="W1491" s="13">
        <f>IF(L1491="","",IF(L1491&gt;pLateDays,1,0))</f>
        <v/>
      </c>
      <c r="X1491" s="13">
        <f>IF(Q1491&gt;=pHighCutoff,1,0)</f>
        <v/>
      </c>
      <c r="Y1491" s="13">
        <f>IF(M1491="Returned",1,0)</f>
        <v/>
      </c>
    </row>
    <row r="1492">
      <c r="A1492" s="13" t="inlineStr">
        <is>
          <t>HC-101490</t>
        </is>
      </c>
      <c r="B1492" s="18" t="n">
        <v>45628</v>
      </c>
      <c r="C1492" s="13" t="inlineStr">
        <is>
          <t>West</t>
        </is>
      </c>
      <c r="D1492" s="13" t="inlineStr">
        <is>
          <t>Online</t>
        </is>
      </c>
      <c r="E1492" s="13" t="inlineStr">
        <is>
          <t>Textiles</t>
        </is>
      </c>
      <c r="F1492" s="13" t="inlineStr">
        <is>
          <t>Wool Throw</t>
        </is>
      </c>
      <c r="G1492" s="13" t="inlineStr">
        <is>
          <t>Consumer</t>
        </is>
      </c>
      <c r="H1492" s="13" t="n">
        <v>4</v>
      </c>
      <c r="I1492" s="14" t="n">
        <v>79.38</v>
      </c>
      <c r="J1492" s="15" t="n">
        <v>0.12</v>
      </c>
      <c r="K1492" s="14" t="n">
        <v>33.34</v>
      </c>
      <c r="L1492" s="13" t="n">
        <v>7</v>
      </c>
      <c r="M1492" s="13" t="inlineStr">
        <is>
          <t>Completed</t>
        </is>
      </c>
      <c r="N1492" s="13" t="inlineStr">
        <is>
          <t>M. Okonkwo</t>
        </is>
      </c>
      <c r="O1492" s="13" t="inlineStr">
        <is>
          <t>No</t>
        </is>
      </c>
      <c r="P1492" s="14">
        <f>H1492*I1492</f>
        <v/>
      </c>
      <c r="Q1492" s="14">
        <f>P1492*(1-J1492)</f>
        <v/>
      </c>
      <c r="R1492" s="14">
        <f>H1492*K1492</f>
        <v/>
      </c>
      <c r="S1492" s="15">
        <f>IF(Q1492=0,"",(Q1492-R1492)/Q1492)</f>
        <v/>
      </c>
      <c r="T1492" s="13">
        <f>YEAR(B1492)</f>
        <v/>
      </c>
      <c r="U1492" s="13">
        <f>YEAR(B1492)&amp;"-Q"&amp;ROUNDUP(MONTH(B1492)/3,0)</f>
        <v/>
      </c>
      <c r="V1492" s="13">
        <f>TEXT(B1492,"YYYY-MM")</f>
        <v/>
      </c>
      <c r="W1492" s="13">
        <f>IF(L1492="","",IF(L1492&gt;pLateDays,1,0))</f>
        <v/>
      </c>
      <c r="X1492" s="13">
        <f>IF(Q1492&gt;=pHighCutoff,1,0)</f>
        <v/>
      </c>
      <c r="Y1492" s="13">
        <f>IF(M1492="Returned",1,0)</f>
        <v/>
      </c>
    </row>
    <row r="1493">
      <c r="A1493" s="13" t="inlineStr">
        <is>
          <t>HC-101491</t>
        </is>
      </c>
      <c r="B1493" s="18" t="n">
        <v>45313</v>
      </c>
      <c r="C1493" s="13" t="inlineStr">
        <is>
          <t>North</t>
        </is>
      </c>
      <c r="D1493" s="13" t="inlineStr">
        <is>
          <t>Store</t>
        </is>
      </c>
      <c r="E1493" s="13" t="inlineStr">
        <is>
          <t>Furniture</t>
        </is>
      </c>
      <c r="F1493" s="13" t="inlineStr">
        <is>
          <t>Lounge Chair</t>
        </is>
      </c>
      <c r="G1493" s="13" t="inlineStr">
        <is>
          <t>Consumer</t>
        </is>
      </c>
      <c r="H1493" s="13" t="n">
        <v>2</v>
      </c>
      <c r="I1493" s="14" t="n">
        <v>470.22</v>
      </c>
      <c r="J1493" s="15" t="n">
        <v>0.01</v>
      </c>
      <c r="K1493" s="14" t="n">
        <v>282.13</v>
      </c>
      <c r="L1493" s="13" t="n">
        <v>2</v>
      </c>
      <c r="M1493" s="13" t="inlineStr">
        <is>
          <t>Completed</t>
        </is>
      </c>
      <c r="N1493" s="13" t="inlineStr">
        <is>
          <t>J. Patel</t>
        </is>
      </c>
      <c r="O1493" s="13" t="inlineStr">
        <is>
          <t>No</t>
        </is>
      </c>
      <c r="P1493" s="14">
        <f>H1493*I1493</f>
        <v/>
      </c>
      <c r="Q1493" s="14">
        <f>P1493*(1-J1493)</f>
        <v/>
      </c>
      <c r="R1493" s="14">
        <f>H1493*K1493</f>
        <v/>
      </c>
      <c r="S1493" s="15">
        <f>IF(Q1493=0,"",(Q1493-R1493)/Q1493)</f>
        <v/>
      </c>
      <c r="T1493" s="13">
        <f>YEAR(B1493)</f>
        <v/>
      </c>
      <c r="U1493" s="13">
        <f>YEAR(B1493)&amp;"-Q"&amp;ROUNDUP(MONTH(B1493)/3,0)</f>
        <v/>
      </c>
      <c r="V1493" s="13">
        <f>TEXT(B1493,"YYYY-MM")</f>
        <v/>
      </c>
      <c r="W1493" s="13">
        <f>IF(L1493="","",IF(L1493&gt;pLateDays,1,0))</f>
        <v/>
      </c>
      <c r="X1493" s="13">
        <f>IF(Q1493&gt;=pHighCutoff,1,0)</f>
        <v/>
      </c>
      <c r="Y1493" s="13">
        <f>IF(M1493="Returned",1,0)</f>
        <v/>
      </c>
    </row>
    <row r="1494">
      <c r="A1494" s="13" t="inlineStr">
        <is>
          <t>HC-101492</t>
        </is>
      </c>
      <c r="B1494" s="18" t="n">
        <v>45730</v>
      </c>
      <c r="C1494" s="13" t="inlineStr">
        <is>
          <t>South</t>
        </is>
      </c>
      <c r="D1494" s="13" t="inlineStr">
        <is>
          <t>Wholesale</t>
        </is>
      </c>
      <c r="E1494" s="13" t="inlineStr">
        <is>
          <t>Furniture</t>
        </is>
      </c>
      <c r="F1494" s="13" t="inlineStr">
        <is>
          <t>Linen Sofa</t>
        </is>
      </c>
      <c r="G1494" s="13" t="inlineStr">
        <is>
          <t>Home Office</t>
        </is>
      </c>
      <c r="H1494" s="13" t="n">
        <v>8</v>
      </c>
      <c r="I1494" s="14" t="n">
        <v>1220.3</v>
      </c>
      <c r="J1494" s="15" t="n">
        <v>0.16</v>
      </c>
      <c r="K1494" s="14" t="n">
        <v>805.4</v>
      </c>
      <c r="L1494" s="13" t="n">
        <v>7</v>
      </c>
      <c r="M1494" s="13" t="inlineStr">
        <is>
          <t>Completed</t>
        </is>
      </c>
      <c r="N1494" s="13" t="inlineStr">
        <is>
          <t>A. Shah</t>
        </is>
      </c>
      <c r="O1494" s="13" t="inlineStr">
        <is>
          <t>No</t>
        </is>
      </c>
      <c r="P1494" s="14">
        <f>H1494*I1494</f>
        <v/>
      </c>
      <c r="Q1494" s="14">
        <f>P1494*(1-J1494)</f>
        <v/>
      </c>
      <c r="R1494" s="14">
        <f>H1494*K1494</f>
        <v/>
      </c>
      <c r="S1494" s="15">
        <f>IF(Q1494=0,"",(Q1494-R1494)/Q1494)</f>
        <v/>
      </c>
      <c r="T1494" s="13">
        <f>YEAR(B1494)</f>
        <v/>
      </c>
      <c r="U1494" s="13">
        <f>YEAR(B1494)&amp;"-Q"&amp;ROUNDUP(MONTH(B1494)/3,0)</f>
        <v/>
      </c>
      <c r="V1494" s="13">
        <f>TEXT(B1494,"YYYY-MM")</f>
        <v/>
      </c>
      <c r="W1494" s="13">
        <f>IF(L1494="","",IF(L1494&gt;pLateDays,1,0))</f>
        <v/>
      </c>
      <c r="X1494" s="13">
        <f>IF(Q1494&gt;=pHighCutoff,1,0)</f>
        <v/>
      </c>
      <c r="Y1494" s="13">
        <f>IF(M1494="Returned",1,0)</f>
        <v/>
      </c>
    </row>
    <row r="1495">
      <c r="A1495" s="13" t="inlineStr">
        <is>
          <t>HC-101493</t>
        </is>
      </c>
      <c r="B1495" s="18" t="n">
        <v>45444</v>
      </c>
      <c r="C1495" s="13" t="inlineStr">
        <is>
          <t>North</t>
        </is>
      </c>
      <c r="D1495" s="13" t="inlineStr">
        <is>
          <t>Online</t>
        </is>
      </c>
      <c r="E1495" s="13" t="inlineStr">
        <is>
          <t>Furniture</t>
        </is>
      </c>
      <c r="F1495" s="13" t="inlineStr">
        <is>
          <t>Oak Desk</t>
        </is>
      </c>
      <c r="G1495" s="13" t="inlineStr">
        <is>
          <t>Consumer</t>
        </is>
      </c>
      <c r="H1495" s="13" t="n">
        <v>1</v>
      </c>
      <c r="I1495" s="14" t="n">
        <v>804.3</v>
      </c>
      <c r="J1495" s="15" t="n">
        <v>0.08</v>
      </c>
      <c r="K1495" s="14" t="n">
        <v>498.67</v>
      </c>
      <c r="L1495" s="13" t="n">
        <v>8</v>
      </c>
      <c r="M1495" s="13" t="inlineStr">
        <is>
          <t>Completed</t>
        </is>
      </c>
      <c r="N1495" s="13" t="inlineStr">
        <is>
          <t>A. Shah</t>
        </is>
      </c>
      <c r="O1495" s="13" t="inlineStr">
        <is>
          <t>No</t>
        </is>
      </c>
      <c r="P1495" s="14">
        <f>H1495*I1495</f>
        <v/>
      </c>
      <c r="Q1495" s="14">
        <f>P1495*(1-J1495)</f>
        <v/>
      </c>
      <c r="R1495" s="14">
        <f>H1495*K1495</f>
        <v/>
      </c>
      <c r="S1495" s="15">
        <f>IF(Q1495=0,"",(Q1495-R1495)/Q1495)</f>
        <v/>
      </c>
      <c r="T1495" s="13">
        <f>YEAR(B1495)</f>
        <v/>
      </c>
      <c r="U1495" s="13">
        <f>YEAR(B1495)&amp;"-Q"&amp;ROUNDUP(MONTH(B1495)/3,0)</f>
        <v/>
      </c>
      <c r="V1495" s="13">
        <f>TEXT(B1495,"YYYY-MM")</f>
        <v/>
      </c>
      <c r="W1495" s="13">
        <f>IF(L1495="","",IF(L1495&gt;pLateDays,1,0))</f>
        <v/>
      </c>
      <c r="X1495" s="13">
        <f>IF(Q1495&gt;=pHighCutoff,1,0)</f>
        <v/>
      </c>
      <c r="Y1495" s="13">
        <f>IF(M1495="Returned",1,0)</f>
        <v/>
      </c>
    </row>
    <row r="1496">
      <c r="A1496" s="13" t="inlineStr">
        <is>
          <t>HC-101494</t>
        </is>
      </c>
      <c r="B1496" s="18" t="n">
        <v>45574</v>
      </c>
      <c r="C1496" s="13" t="inlineStr">
        <is>
          <t>West</t>
        </is>
      </c>
      <c r="D1496" s="13" t="inlineStr">
        <is>
          <t>Store</t>
        </is>
      </c>
      <c r="E1496" s="13" t="inlineStr">
        <is>
          <t>Textiles</t>
        </is>
      </c>
      <c r="F1496" s="13" t="inlineStr">
        <is>
          <t>Wool Throw</t>
        </is>
      </c>
      <c r="G1496" s="13" t="inlineStr">
        <is>
          <t>Consumer</t>
        </is>
      </c>
      <c r="H1496" s="13" t="n">
        <v>3</v>
      </c>
      <c r="I1496" s="14" t="n">
        <v>78.34999999999999</v>
      </c>
      <c r="J1496" s="15" t="n">
        <v>0.03</v>
      </c>
      <c r="K1496" s="14" t="n">
        <v>32.91</v>
      </c>
      <c r="L1496" s="13" t="n">
        <v>8</v>
      </c>
      <c r="M1496" s="13" t="inlineStr">
        <is>
          <t>Completed</t>
        </is>
      </c>
      <c r="N1496" s="13" t="inlineStr">
        <is>
          <t>L. Berger</t>
        </is>
      </c>
      <c r="O1496" s="13" t="inlineStr">
        <is>
          <t>No</t>
        </is>
      </c>
      <c r="P1496" s="14">
        <f>H1496*I1496</f>
        <v/>
      </c>
      <c r="Q1496" s="14">
        <f>P1496*(1-J1496)</f>
        <v/>
      </c>
      <c r="R1496" s="14">
        <f>H1496*K1496</f>
        <v/>
      </c>
      <c r="S1496" s="15">
        <f>IF(Q1496=0,"",(Q1496-R1496)/Q1496)</f>
        <v/>
      </c>
      <c r="T1496" s="13">
        <f>YEAR(B1496)</f>
        <v/>
      </c>
      <c r="U1496" s="13">
        <f>YEAR(B1496)&amp;"-Q"&amp;ROUNDUP(MONTH(B1496)/3,0)</f>
        <v/>
      </c>
      <c r="V1496" s="13">
        <f>TEXT(B1496,"YYYY-MM")</f>
        <v/>
      </c>
      <c r="W1496" s="13">
        <f>IF(L1496="","",IF(L1496&gt;pLateDays,1,0))</f>
        <v/>
      </c>
      <c r="X1496" s="13">
        <f>IF(Q1496&gt;=pHighCutoff,1,0)</f>
        <v/>
      </c>
      <c r="Y1496" s="13">
        <f>IF(M1496="Returned",1,0)</f>
        <v/>
      </c>
    </row>
    <row r="1497">
      <c r="A1497" s="13" t="inlineStr">
        <is>
          <t>HC-101495</t>
        </is>
      </c>
      <c r="B1497" s="18" t="n">
        <v>45736</v>
      </c>
      <c r="C1497" s="13" t="inlineStr">
        <is>
          <t>East</t>
        </is>
      </c>
      <c r="D1497" s="13" t="inlineStr">
        <is>
          <t>Online</t>
        </is>
      </c>
      <c r="E1497" s="13" t="inlineStr">
        <is>
          <t>Lighting</t>
        </is>
      </c>
      <c r="F1497" s="13" t="inlineStr">
        <is>
          <t>Arc Lamp</t>
        </is>
      </c>
      <c r="G1497" s="13" t="inlineStr">
        <is>
          <t>Consumer</t>
        </is>
      </c>
      <c r="H1497" s="13" t="n">
        <v>3</v>
      </c>
      <c r="I1497" s="14" t="n">
        <v>276.16</v>
      </c>
      <c r="J1497" s="15" t="n">
        <v>0.12</v>
      </c>
      <c r="K1497" s="14" t="n">
        <v>132.56</v>
      </c>
      <c r="L1497" s="13" t="n">
        <v>8</v>
      </c>
      <c r="M1497" s="13" t="inlineStr">
        <is>
          <t>Completed</t>
        </is>
      </c>
      <c r="N1497" s="13" t="inlineStr">
        <is>
          <t>J. Patel</t>
        </is>
      </c>
      <c r="O1497" s="13" t="inlineStr">
        <is>
          <t>No</t>
        </is>
      </c>
      <c r="P1497" s="14">
        <f>H1497*I1497</f>
        <v/>
      </c>
      <c r="Q1497" s="14">
        <f>P1497*(1-J1497)</f>
        <v/>
      </c>
      <c r="R1497" s="14">
        <f>H1497*K1497</f>
        <v/>
      </c>
      <c r="S1497" s="15">
        <f>IF(Q1497=0,"",(Q1497-R1497)/Q1497)</f>
        <v/>
      </c>
      <c r="T1497" s="13">
        <f>YEAR(B1497)</f>
        <v/>
      </c>
      <c r="U1497" s="13">
        <f>YEAR(B1497)&amp;"-Q"&amp;ROUNDUP(MONTH(B1497)/3,0)</f>
        <v/>
      </c>
      <c r="V1497" s="13">
        <f>TEXT(B1497,"YYYY-MM")</f>
        <v/>
      </c>
      <c r="W1497" s="13">
        <f>IF(L1497="","",IF(L1497&gt;pLateDays,1,0))</f>
        <v/>
      </c>
      <c r="X1497" s="13">
        <f>IF(Q1497&gt;=pHighCutoff,1,0)</f>
        <v/>
      </c>
      <c r="Y1497" s="13">
        <f>IF(M1497="Returned",1,0)</f>
        <v/>
      </c>
    </row>
    <row r="1498">
      <c r="A1498" s="13" t="inlineStr">
        <is>
          <t>HC-101496</t>
        </is>
      </c>
      <c r="B1498" s="18" t="n">
        <v>45846</v>
      </c>
      <c r="C1498" s="13" t="inlineStr">
        <is>
          <t>East</t>
        </is>
      </c>
      <c r="D1498" s="13" t="inlineStr">
        <is>
          <t>Store</t>
        </is>
      </c>
      <c r="E1498" s="13" t="inlineStr">
        <is>
          <t>Lighting</t>
        </is>
      </c>
      <c r="F1498" s="13" t="inlineStr">
        <is>
          <t>Pendant Light</t>
        </is>
      </c>
      <c r="G1498" s="13" t="inlineStr">
        <is>
          <t>Consumer</t>
        </is>
      </c>
      <c r="H1498" s="13" t="n">
        <v>3</v>
      </c>
      <c r="I1498" s="14" t="n">
        <v>149.61</v>
      </c>
      <c r="J1498" s="15" t="n">
        <v>0.01</v>
      </c>
      <c r="K1498" s="14" t="n">
        <v>74.8</v>
      </c>
      <c r="L1498" s="13" t="n">
        <v>8</v>
      </c>
      <c r="M1498" s="13" t="inlineStr">
        <is>
          <t>Completed</t>
        </is>
      </c>
      <c r="N1498" s="13" t="inlineStr">
        <is>
          <t>R. Ibarra</t>
        </is>
      </c>
      <c r="O1498" s="13" t="inlineStr">
        <is>
          <t>No</t>
        </is>
      </c>
      <c r="P1498" s="14">
        <f>H1498*I1498</f>
        <v/>
      </c>
      <c r="Q1498" s="14">
        <f>P1498*(1-J1498)</f>
        <v/>
      </c>
      <c r="R1498" s="14">
        <f>H1498*K1498</f>
        <v/>
      </c>
      <c r="S1498" s="15">
        <f>IF(Q1498=0,"",(Q1498-R1498)/Q1498)</f>
        <v/>
      </c>
      <c r="T1498" s="13">
        <f>YEAR(B1498)</f>
        <v/>
      </c>
      <c r="U1498" s="13">
        <f>YEAR(B1498)&amp;"-Q"&amp;ROUNDUP(MONTH(B1498)/3,0)</f>
        <v/>
      </c>
      <c r="V1498" s="13">
        <f>TEXT(B1498,"YYYY-MM")</f>
        <v/>
      </c>
      <c r="W1498" s="13">
        <f>IF(L1498="","",IF(L1498&gt;pLateDays,1,0))</f>
        <v/>
      </c>
      <c r="X1498" s="13">
        <f>IF(Q1498&gt;=pHighCutoff,1,0)</f>
        <v/>
      </c>
      <c r="Y1498" s="13">
        <f>IF(M1498="Returned",1,0)</f>
        <v/>
      </c>
    </row>
    <row r="1499">
      <c r="A1499" s="13" t="inlineStr">
        <is>
          <t>HC-101497</t>
        </is>
      </c>
      <c r="B1499" s="18" t="n">
        <v>45738</v>
      </c>
      <c r="C1499" s="13" t="inlineStr">
        <is>
          <t>North</t>
        </is>
      </c>
      <c r="D1499" s="13" t="inlineStr">
        <is>
          <t>Online</t>
        </is>
      </c>
      <c r="E1499" s="13" t="inlineStr">
        <is>
          <t>Furniture</t>
        </is>
      </c>
      <c r="F1499" s="13" t="inlineStr">
        <is>
          <t>Oak Desk</t>
        </is>
      </c>
      <c r="G1499" s="13" t="inlineStr">
        <is>
          <t>Home Office</t>
        </is>
      </c>
      <c r="H1499" s="13" t="n">
        <v>2</v>
      </c>
      <c r="I1499" s="14" t="n">
        <v>803.42</v>
      </c>
      <c r="J1499" s="15" t="n">
        <v>0.08</v>
      </c>
      <c r="K1499" s="14" t="n">
        <v>498.12</v>
      </c>
      <c r="L1499" s="13" t="n"/>
      <c r="M1499" s="13" t="inlineStr">
        <is>
          <t>Completed</t>
        </is>
      </c>
      <c r="N1499" s="13" t="inlineStr">
        <is>
          <t>P. Rossi</t>
        </is>
      </c>
      <c r="O1499" s="13" t="inlineStr">
        <is>
          <t>No</t>
        </is>
      </c>
      <c r="P1499" s="14">
        <f>H1499*I1499</f>
        <v/>
      </c>
      <c r="Q1499" s="14">
        <f>P1499*(1-J1499)</f>
        <v/>
      </c>
      <c r="R1499" s="14">
        <f>H1499*K1499</f>
        <v/>
      </c>
      <c r="S1499" s="15">
        <f>IF(Q1499=0,"",(Q1499-R1499)/Q1499)</f>
        <v/>
      </c>
      <c r="T1499" s="13">
        <f>YEAR(B1499)</f>
        <v/>
      </c>
      <c r="U1499" s="13">
        <f>YEAR(B1499)&amp;"-Q"&amp;ROUNDUP(MONTH(B1499)/3,0)</f>
        <v/>
      </c>
      <c r="V1499" s="13">
        <f>TEXT(B1499,"YYYY-MM")</f>
        <v/>
      </c>
      <c r="W1499" s="13">
        <f>IF(L1499="","",IF(L1499&gt;pLateDays,1,0))</f>
        <v/>
      </c>
      <c r="X1499" s="13">
        <f>IF(Q1499&gt;=pHighCutoff,1,0)</f>
        <v/>
      </c>
      <c r="Y1499" s="13">
        <f>IF(M1499="Returned",1,0)</f>
        <v/>
      </c>
    </row>
    <row r="1500">
      <c r="A1500" s="13" t="inlineStr">
        <is>
          <t>HC-101498</t>
        </is>
      </c>
      <c r="B1500" s="18" t="n">
        <v>45785</v>
      </c>
      <c r="C1500" s="13" t="inlineStr">
        <is>
          <t>West</t>
        </is>
      </c>
      <c r="D1500" s="13" t="inlineStr">
        <is>
          <t>Store</t>
        </is>
      </c>
      <c r="E1500" s="13" t="inlineStr">
        <is>
          <t>Textiles</t>
        </is>
      </c>
      <c r="F1500" s="13" t="inlineStr">
        <is>
          <t>Cotton Duvet</t>
        </is>
      </c>
      <c r="G1500" s="13" t="inlineStr">
        <is>
          <t>Unknown</t>
        </is>
      </c>
      <c r="H1500" s="13" t="n">
        <v>3</v>
      </c>
      <c r="I1500" s="14" t="n">
        <v>123.55</v>
      </c>
      <c r="J1500" s="15" t="n">
        <v>0.1</v>
      </c>
      <c r="K1500" s="14" t="n">
        <v>54.36</v>
      </c>
      <c r="L1500" s="13" t="n">
        <v>4</v>
      </c>
      <c r="M1500" s="13" t="inlineStr">
        <is>
          <t>Completed</t>
        </is>
      </c>
      <c r="N1500" s="13" t="inlineStr">
        <is>
          <t>K. Mensah</t>
        </is>
      </c>
      <c r="O1500" s="13" t="inlineStr">
        <is>
          <t>No</t>
        </is>
      </c>
      <c r="P1500" s="14">
        <f>H1500*I1500</f>
        <v/>
      </c>
      <c r="Q1500" s="14">
        <f>P1500*(1-J1500)</f>
        <v/>
      </c>
      <c r="R1500" s="14">
        <f>H1500*K1500</f>
        <v/>
      </c>
      <c r="S1500" s="15">
        <f>IF(Q1500=0,"",(Q1500-R1500)/Q1500)</f>
        <v/>
      </c>
      <c r="T1500" s="13">
        <f>YEAR(B1500)</f>
        <v/>
      </c>
      <c r="U1500" s="13">
        <f>YEAR(B1500)&amp;"-Q"&amp;ROUNDUP(MONTH(B1500)/3,0)</f>
        <v/>
      </c>
      <c r="V1500" s="13">
        <f>TEXT(B1500,"YYYY-MM")</f>
        <v/>
      </c>
      <c r="W1500" s="13">
        <f>IF(L1500="","",IF(L1500&gt;pLateDays,1,0))</f>
        <v/>
      </c>
      <c r="X1500" s="13">
        <f>IF(Q1500&gt;=pHighCutoff,1,0)</f>
        <v/>
      </c>
      <c r="Y1500" s="13">
        <f>IF(M1500="Returned",1,0)</f>
        <v/>
      </c>
    </row>
    <row r="1501">
      <c r="A1501" s="13" t="inlineStr">
        <is>
          <t>HC-101499</t>
        </is>
      </c>
      <c r="B1501" s="18" t="n">
        <v>45328</v>
      </c>
      <c r="C1501" s="13" t="inlineStr">
        <is>
          <t>East</t>
        </is>
      </c>
      <c r="D1501" s="13" t="inlineStr">
        <is>
          <t>Online</t>
        </is>
      </c>
      <c r="E1501" s="13" t="inlineStr">
        <is>
          <t>Kitchen</t>
        </is>
      </c>
      <c r="F1501" s="13" t="inlineStr">
        <is>
          <t>Cast Skillet</t>
        </is>
      </c>
      <c r="G1501" s="13" t="inlineStr">
        <is>
          <t>Home Office</t>
        </is>
      </c>
      <c r="H1501" s="13" t="n">
        <v>3</v>
      </c>
      <c r="I1501" s="14" t="n">
        <v>48.78</v>
      </c>
      <c r="J1501" s="15" t="n">
        <v>0.12</v>
      </c>
      <c r="K1501" s="14" t="n">
        <v>19.51</v>
      </c>
      <c r="L1501" s="13" t="n">
        <v>10</v>
      </c>
      <c r="M1501" s="13" t="inlineStr">
        <is>
          <t>Completed</t>
        </is>
      </c>
      <c r="N1501" s="13" t="inlineStr">
        <is>
          <t>S. Nguyen</t>
        </is>
      </c>
      <c r="O1501" s="13" t="inlineStr">
        <is>
          <t>No</t>
        </is>
      </c>
      <c r="P1501" s="14">
        <f>H1501*I1501</f>
        <v/>
      </c>
      <c r="Q1501" s="14">
        <f>P1501*(1-J1501)</f>
        <v/>
      </c>
      <c r="R1501" s="14">
        <f>H1501*K1501</f>
        <v/>
      </c>
      <c r="S1501" s="15">
        <f>IF(Q1501=0,"",(Q1501-R1501)/Q1501)</f>
        <v/>
      </c>
      <c r="T1501" s="13">
        <f>YEAR(B1501)</f>
        <v/>
      </c>
      <c r="U1501" s="13">
        <f>YEAR(B1501)&amp;"-Q"&amp;ROUNDUP(MONTH(B1501)/3,0)</f>
        <v/>
      </c>
      <c r="V1501" s="13">
        <f>TEXT(B1501,"YYYY-MM")</f>
        <v/>
      </c>
      <c r="W1501" s="13">
        <f>IF(L1501="","",IF(L1501&gt;pLateDays,1,0))</f>
        <v/>
      </c>
      <c r="X1501" s="13">
        <f>IF(Q1501&gt;=pHighCutoff,1,0)</f>
        <v/>
      </c>
      <c r="Y1501" s="13">
        <f>IF(M1501="Returned",1,0)</f>
        <v/>
      </c>
    </row>
    <row r="1502">
      <c r="A1502" s="13" t="inlineStr">
        <is>
          <t>HC-101500</t>
        </is>
      </c>
      <c r="B1502" s="18" t="n">
        <v>45826</v>
      </c>
      <c r="C1502" s="13" t="inlineStr">
        <is>
          <t>North</t>
        </is>
      </c>
      <c r="D1502" s="13" t="inlineStr">
        <is>
          <t>Online</t>
        </is>
      </c>
      <c r="E1502" s="13" t="inlineStr">
        <is>
          <t>Textiles</t>
        </is>
      </c>
      <c r="F1502" s="13" t="inlineStr">
        <is>
          <t>Wool Throw</t>
        </is>
      </c>
      <c r="G1502" s="13" t="inlineStr">
        <is>
          <t>Home Office</t>
        </is>
      </c>
      <c r="H1502" s="13" t="n">
        <v>3</v>
      </c>
      <c r="I1502" s="14" t="n">
        <v>70.13</v>
      </c>
      <c r="J1502" s="15" t="n">
        <v>0.04</v>
      </c>
      <c r="K1502" s="14" t="n">
        <v>29.45</v>
      </c>
      <c r="L1502" s="13" t="n">
        <v>5</v>
      </c>
      <c r="M1502" s="13" t="inlineStr">
        <is>
          <t>Completed</t>
        </is>
      </c>
      <c r="N1502" s="13" t="inlineStr">
        <is>
          <t>A. Shah</t>
        </is>
      </c>
      <c r="O1502" s="13" t="inlineStr">
        <is>
          <t>No</t>
        </is>
      </c>
      <c r="P1502" s="14">
        <f>H1502*I1502</f>
        <v/>
      </c>
      <c r="Q1502" s="14">
        <f>P1502*(1-J1502)</f>
        <v/>
      </c>
      <c r="R1502" s="14">
        <f>H1502*K1502</f>
        <v/>
      </c>
      <c r="S1502" s="15">
        <f>IF(Q1502=0,"",(Q1502-R1502)/Q1502)</f>
        <v/>
      </c>
      <c r="T1502" s="13">
        <f>YEAR(B1502)</f>
        <v/>
      </c>
      <c r="U1502" s="13">
        <f>YEAR(B1502)&amp;"-Q"&amp;ROUNDUP(MONTH(B1502)/3,0)</f>
        <v/>
      </c>
      <c r="V1502" s="13">
        <f>TEXT(B1502,"YYYY-MM")</f>
        <v/>
      </c>
      <c r="W1502" s="13">
        <f>IF(L1502="","",IF(L1502&gt;pLateDays,1,0))</f>
        <v/>
      </c>
      <c r="X1502" s="13">
        <f>IF(Q1502&gt;=pHighCutoff,1,0)</f>
        <v/>
      </c>
      <c r="Y1502" s="13">
        <f>IF(M1502="Returned",1,0)</f>
        <v/>
      </c>
    </row>
    <row r="1503">
      <c r="A1503" s="13" t="inlineStr">
        <is>
          <t>HC-101501</t>
        </is>
      </c>
      <c r="B1503" s="18" t="n">
        <v>45520</v>
      </c>
      <c r="C1503" s="13" t="inlineStr">
        <is>
          <t>North</t>
        </is>
      </c>
      <c r="D1503" s="13" t="inlineStr">
        <is>
          <t>Store</t>
        </is>
      </c>
      <c r="E1503" s="13" t="inlineStr">
        <is>
          <t>Furniture</t>
        </is>
      </c>
      <c r="F1503" s="13" t="inlineStr">
        <is>
          <t>Linen Sofa</t>
        </is>
      </c>
      <c r="G1503" s="13" t="inlineStr">
        <is>
          <t>Corporate</t>
        </is>
      </c>
      <c r="H1503" s="13" t="n">
        <v>1</v>
      </c>
      <c r="I1503" s="14" t="n">
        <v>1344.09</v>
      </c>
      <c r="J1503" s="15" t="n">
        <v>0.12</v>
      </c>
      <c r="K1503" s="14" t="n">
        <v>887.1</v>
      </c>
      <c r="L1503" s="13" t="n">
        <v>8</v>
      </c>
      <c r="M1503" s="13" t="inlineStr">
        <is>
          <t>Completed</t>
        </is>
      </c>
      <c r="N1503" s="13" t="inlineStr">
        <is>
          <t>J. Patel</t>
        </is>
      </c>
      <c r="O1503" s="13" t="inlineStr">
        <is>
          <t>No</t>
        </is>
      </c>
      <c r="P1503" s="14">
        <f>H1503*I1503</f>
        <v/>
      </c>
      <c r="Q1503" s="14">
        <f>P1503*(1-J1503)</f>
        <v/>
      </c>
      <c r="R1503" s="14">
        <f>H1503*K1503</f>
        <v/>
      </c>
      <c r="S1503" s="15">
        <f>IF(Q1503=0,"",(Q1503-R1503)/Q1503)</f>
        <v/>
      </c>
      <c r="T1503" s="13">
        <f>YEAR(B1503)</f>
        <v/>
      </c>
      <c r="U1503" s="13">
        <f>YEAR(B1503)&amp;"-Q"&amp;ROUNDUP(MONTH(B1503)/3,0)</f>
        <v/>
      </c>
      <c r="V1503" s="13">
        <f>TEXT(B1503,"YYYY-MM")</f>
        <v/>
      </c>
      <c r="W1503" s="13">
        <f>IF(L1503="","",IF(L1503&gt;pLateDays,1,0))</f>
        <v/>
      </c>
      <c r="X1503" s="13">
        <f>IF(Q1503&gt;=pHighCutoff,1,0)</f>
        <v/>
      </c>
      <c r="Y1503" s="13">
        <f>IF(M1503="Returned",1,0)</f>
        <v/>
      </c>
    </row>
    <row r="1504">
      <c r="A1504" s="13" t="inlineStr">
        <is>
          <t>HC-101502</t>
        </is>
      </c>
      <c r="B1504" s="18" t="n">
        <v>45514</v>
      </c>
      <c r="C1504" s="13" t="inlineStr">
        <is>
          <t>North</t>
        </is>
      </c>
      <c r="D1504" s="13" t="inlineStr">
        <is>
          <t>Store</t>
        </is>
      </c>
      <c r="E1504" s="13" t="inlineStr">
        <is>
          <t>Lighting</t>
        </is>
      </c>
      <c r="F1504" s="13" t="inlineStr">
        <is>
          <t>Pendant Light</t>
        </is>
      </c>
      <c r="G1504" s="13" t="inlineStr">
        <is>
          <t>Corporate</t>
        </is>
      </c>
      <c r="H1504" s="13" t="n">
        <v>1</v>
      </c>
      <c r="I1504" s="14" t="n">
        <v>180.65</v>
      </c>
      <c r="J1504" s="15" t="n">
        <v>0.09</v>
      </c>
      <c r="K1504" s="14" t="n">
        <v>90.33</v>
      </c>
      <c r="L1504" s="13" t="n">
        <v>4</v>
      </c>
      <c r="M1504" s="13" t="inlineStr">
        <is>
          <t>Completed</t>
        </is>
      </c>
      <c r="N1504" s="13" t="inlineStr">
        <is>
          <t>R. Ibarra</t>
        </is>
      </c>
      <c r="O1504" s="13" t="inlineStr">
        <is>
          <t>No</t>
        </is>
      </c>
      <c r="P1504" s="14">
        <f>H1504*I1504</f>
        <v/>
      </c>
      <c r="Q1504" s="14">
        <f>P1504*(1-J1504)</f>
        <v/>
      </c>
      <c r="R1504" s="14">
        <f>H1504*K1504</f>
        <v/>
      </c>
      <c r="S1504" s="15">
        <f>IF(Q1504=0,"",(Q1504-R1504)/Q1504)</f>
        <v/>
      </c>
      <c r="T1504" s="13">
        <f>YEAR(B1504)</f>
        <v/>
      </c>
      <c r="U1504" s="13">
        <f>YEAR(B1504)&amp;"-Q"&amp;ROUNDUP(MONTH(B1504)/3,0)</f>
        <v/>
      </c>
      <c r="V1504" s="13">
        <f>TEXT(B1504,"YYYY-MM")</f>
        <v/>
      </c>
      <c r="W1504" s="13">
        <f>IF(L1504="","",IF(L1504&gt;pLateDays,1,0))</f>
        <v/>
      </c>
      <c r="X1504" s="13">
        <f>IF(Q1504&gt;=pHighCutoff,1,0)</f>
        <v/>
      </c>
      <c r="Y1504" s="13">
        <f>IF(M1504="Returned",1,0)</f>
        <v/>
      </c>
    </row>
    <row r="1505">
      <c r="A1505" s="13" t="inlineStr">
        <is>
          <t>HC-101503</t>
        </is>
      </c>
      <c r="B1505" s="18" t="n">
        <v>45809</v>
      </c>
      <c r="C1505" s="13" t="inlineStr">
        <is>
          <t>South</t>
        </is>
      </c>
      <c r="D1505" s="13" t="inlineStr">
        <is>
          <t>Store</t>
        </is>
      </c>
      <c r="E1505" s="13" t="inlineStr">
        <is>
          <t>Kitchen</t>
        </is>
      </c>
      <c r="F1505" s="13" t="inlineStr">
        <is>
          <t>Chef Knife</t>
        </is>
      </c>
      <c r="G1505" s="13" t="inlineStr">
        <is>
          <t>Consumer</t>
        </is>
      </c>
      <c r="H1505" s="13" t="n">
        <v>2</v>
      </c>
      <c r="I1505" s="14" t="n">
        <v>65.14</v>
      </c>
      <c r="J1505" s="15" t="n">
        <v>0.1</v>
      </c>
      <c r="K1505" s="14" t="n">
        <v>23.45</v>
      </c>
      <c r="L1505" s="13" t="n">
        <v>2</v>
      </c>
      <c r="M1505" s="13" t="inlineStr">
        <is>
          <t>Completed</t>
        </is>
      </c>
      <c r="N1505" s="13" t="inlineStr">
        <is>
          <t>M. Okonkwo</t>
        </is>
      </c>
      <c r="O1505" s="13" t="inlineStr">
        <is>
          <t>No</t>
        </is>
      </c>
      <c r="P1505" s="14">
        <f>H1505*I1505</f>
        <v/>
      </c>
      <c r="Q1505" s="14">
        <f>P1505*(1-J1505)</f>
        <v/>
      </c>
      <c r="R1505" s="14">
        <f>H1505*K1505</f>
        <v/>
      </c>
      <c r="S1505" s="15">
        <f>IF(Q1505=0,"",(Q1505-R1505)/Q1505)</f>
        <v/>
      </c>
      <c r="T1505" s="13">
        <f>YEAR(B1505)</f>
        <v/>
      </c>
      <c r="U1505" s="13">
        <f>YEAR(B1505)&amp;"-Q"&amp;ROUNDUP(MONTH(B1505)/3,0)</f>
        <v/>
      </c>
      <c r="V1505" s="13">
        <f>TEXT(B1505,"YYYY-MM")</f>
        <v/>
      </c>
      <c r="W1505" s="13">
        <f>IF(L1505="","",IF(L1505&gt;pLateDays,1,0))</f>
        <v/>
      </c>
      <c r="X1505" s="13">
        <f>IF(Q1505&gt;=pHighCutoff,1,0)</f>
        <v/>
      </c>
      <c r="Y1505" s="13">
        <f>IF(M1505="Returned",1,0)</f>
        <v/>
      </c>
    </row>
    <row r="1506">
      <c r="A1506" s="13" t="inlineStr">
        <is>
          <t>HC-101504</t>
        </is>
      </c>
      <c r="B1506" s="18" t="n">
        <v>45646</v>
      </c>
      <c r="C1506" s="13" t="inlineStr">
        <is>
          <t>West</t>
        </is>
      </c>
      <c r="D1506" s="13" t="inlineStr">
        <is>
          <t>Wholesale</t>
        </is>
      </c>
      <c r="E1506" s="13" t="inlineStr">
        <is>
          <t>Kitchen</t>
        </is>
      </c>
      <c r="F1506" s="13" t="inlineStr">
        <is>
          <t>Cast Skillet</t>
        </is>
      </c>
      <c r="G1506" s="13" t="inlineStr">
        <is>
          <t>Consumer</t>
        </is>
      </c>
      <c r="H1506" s="13" t="n">
        <v>25</v>
      </c>
      <c r="I1506" s="14" t="n">
        <v>50.34</v>
      </c>
      <c r="J1506" s="15" t="n">
        <v>0.27</v>
      </c>
      <c r="K1506" s="14" t="n">
        <v>20.13</v>
      </c>
      <c r="L1506" s="13" t="n">
        <v>2</v>
      </c>
      <c r="M1506" s="13" t="inlineStr">
        <is>
          <t>Completed</t>
        </is>
      </c>
      <c r="N1506" s="13" t="inlineStr">
        <is>
          <t>L. Berger</t>
        </is>
      </c>
      <c r="O1506" s="13" t="inlineStr">
        <is>
          <t>No</t>
        </is>
      </c>
      <c r="P1506" s="14">
        <f>H1506*I1506</f>
        <v/>
      </c>
      <c r="Q1506" s="14">
        <f>P1506*(1-J1506)</f>
        <v/>
      </c>
      <c r="R1506" s="14">
        <f>H1506*K1506</f>
        <v/>
      </c>
      <c r="S1506" s="15">
        <f>IF(Q1506=0,"",(Q1506-R1506)/Q1506)</f>
        <v/>
      </c>
      <c r="T1506" s="13">
        <f>YEAR(B1506)</f>
        <v/>
      </c>
      <c r="U1506" s="13">
        <f>YEAR(B1506)&amp;"-Q"&amp;ROUNDUP(MONTH(B1506)/3,0)</f>
        <v/>
      </c>
      <c r="V1506" s="13">
        <f>TEXT(B1506,"YYYY-MM")</f>
        <v/>
      </c>
      <c r="W1506" s="13">
        <f>IF(L1506="","",IF(L1506&gt;pLateDays,1,0))</f>
        <v/>
      </c>
      <c r="X1506" s="13">
        <f>IF(Q1506&gt;=pHighCutoff,1,0)</f>
        <v/>
      </c>
      <c r="Y1506" s="13">
        <f>IF(M1506="Returned",1,0)</f>
        <v/>
      </c>
    </row>
    <row r="1507">
      <c r="A1507" s="13" t="inlineStr">
        <is>
          <t>HC-101505</t>
        </is>
      </c>
      <c r="B1507" s="18" t="n">
        <v>45330</v>
      </c>
      <c r="C1507" s="13" t="inlineStr">
        <is>
          <t>South</t>
        </is>
      </c>
      <c r="D1507" s="13" t="inlineStr">
        <is>
          <t>Store</t>
        </is>
      </c>
      <c r="E1507" s="13" t="inlineStr">
        <is>
          <t>Textiles</t>
        </is>
      </c>
      <c r="F1507" s="13" t="inlineStr">
        <is>
          <t>Wool Throw</t>
        </is>
      </c>
      <c r="G1507" s="13" t="inlineStr">
        <is>
          <t>Corporate</t>
        </is>
      </c>
      <c r="H1507" s="13" t="n">
        <v>2</v>
      </c>
      <c r="I1507" s="14" t="n">
        <v>73.87</v>
      </c>
      <c r="J1507" s="15" t="n">
        <v>0.08</v>
      </c>
      <c r="K1507" s="14" t="n">
        <v>31.03</v>
      </c>
      <c r="L1507" s="13" t="n">
        <v>6</v>
      </c>
      <c r="M1507" s="13" t="inlineStr">
        <is>
          <t>Completed</t>
        </is>
      </c>
      <c r="N1507" s="13" t="inlineStr">
        <is>
          <t>J. Patel</t>
        </is>
      </c>
      <c r="O1507" s="13" t="inlineStr">
        <is>
          <t>No</t>
        </is>
      </c>
      <c r="P1507" s="14">
        <f>H1507*I1507</f>
        <v/>
      </c>
      <c r="Q1507" s="14">
        <f>P1507*(1-J1507)</f>
        <v/>
      </c>
      <c r="R1507" s="14">
        <f>H1507*K1507</f>
        <v/>
      </c>
      <c r="S1507" s="15">
        <f>IF(Q1507=0,"",(Q1507-R1507)/Q1507)</f>
        <v/>
      </c>
      <c r="T1507" s="13">
        <f>YEAR(B1507)</f>
        <v/>
      </c>
      <c r="U1507" s="13">
        <f>YEAR(B1507)&amp;"-Q"&amp;ROUNDUP(MONTH(B1507)/3,0)</f>
        <v/>
      </c>
      <c r="V1507" s="13">
        <f>TEXT(B1507,"YYYY-MM")</f>
        <v/>
      </c>
      <c r="W1507" s="13">
        <f>IF(L1507="","",IF(L1507&gt;pLateDays,1,0))</f>
        <v/>
      </c>
      <c r="X1507" s="13">
        <f>IF(Q1507&gt;=pHighCutoff,1,0)</f>
        <v/>
      </c>
      <c r="Y1507" s="13">
        <f>IF(M1507="Returned",1,0)</f>
        <v/>
      </c>
    </row>
    <row r="1508">
      <c r="A1508" s="13" t="inlineStr">
        <is>
          <t>HC-101506</t>
        </is>
      </c>
      <c r="B1508" s="18" t="n">
        <v>45618</v>
      </c>
      <c r="C1508" s="13" t="inlineStr">
        <is>
          <t>North</t>
        </is>
      </c>
      <c r="D1508" s="13" t="inlineStr">
        <is>
          <t>Online</t>
        </is>
      </c>
      <c r="E1508" s="13" t="inlineStr">
        <is>
          <t>Textiles</t>
        </is>
      </c>
      <c r="F1508" s="13" t="inlineStr">
        <is>
          <t>Linen Curtain</t>
        </is>
      </c>
      <c r="G1508" s="13" t="inlineStr">
        <is>
          <t>Consumer</t>
        </is>
      </c>
      <c r="H1508" s="13" t="n">
        <v>3</v>
      </c>
      <c r="I1508" s="14" t="n">
        <v>92.12</v>
      </c>
      <c r="J1508" s="15" t="n">
        <v>0.14</v>
      </c>
      <c r="K1508" s="14" t="n">
        <v>41.45</v>
      </c>
      <c r="L1508" s="13" t="n">
        <v>6</v>
      </c>
      <c r="M1508" s="13" t="inlineStr">
        <is>
          <t>Completed</t>
        </is>
      </c>
      <c r="N1508" s="13" t="inlineStr">
        <is>
          <t>P. Rossi</t>
        </is>
      </c>
      <c r="O1508" s="13" t="inlineStr">
        <is>
          <t>No</t>
        </is>
      </c>
      <c r="P1508" s="14">
        <f>H1508*I1508</f>
        <v/>
      </c>
      <c r="Q1508" s="14">
        <f>P1508*(1-J1508)</f>
        <v/>
      </c>
      <c r="R1508" s="14">
        <f>H1508*K1508</f>
        <v/>
      </c>
      <c r="S1508" s="15">
        <f>IF(Q1508=0,"",(Q1508-R1508)/Q1508)</f>
        <v/>
      </c>
      <c r="T1508" s="13">
        <f>YEAR(B1508)</f>
        <v/>
      </c>
      <c r="U1508" s="13">
        <f>YEAR(B1508)&amp;"-Q"&amp;ROUNDUP(MONTH(B1508)/3,0)</f>
        <v/>
      </c>
      <c r="V1508" s="13">
        <f>TEXT(B1508,"YYYY-MM")</f>
        <v/>
      </c>
      <c r="W1508" s="13">
        <f>IF(L1508="","",IF(L1508&gt;pLateDays,1,0))</f>
        <v/>
      </c>
      <c r="X1508" s="13">
        <f>IF(Q1508&gt;=pHighCutoff,1,0)</f>
        <v/>
      </c>
      <c r="Y1508" s="13">
        <f>IF(M1508="Returned",1,0)</f>
        <v/>
      </c>
    </row>
    <row r="1509">
      <c r="A1509" s="13" t="inlineStr">
        <is>
          <t>HC-101507</t>
        </is>
      </c>
      <c r="B1509" s="18" t="n">
        <v>45642</v>
      </c>
      <c r="C1509" s="13" t="inlineStr">
        <is>
          <t>South</t>
        </is>
      </c>
      <c r="D1509" s="13" t="inlineStr">
        <is>
          <t>Store</t>
        </is>
      </c>
      <c r="E1509" s="13" t="inlineStr">
        <is>
          <t>Kitchen</t>
        </is>
      </c>
      <c r="F1509" s="13" t="inlineStr">
        <is>
          <t>Ceramic Set</t>
        </is>
      </c>
      <c r="G1509" s="13" t="inlineStr">
        <is>
          <t>Consumer</t>
        </is>
      </c>
      <c r="H1509" s="13" t="n">
        <v>3</v>
      </c>
      <c r="I1509" s="14" t="n">
        <v>92.77</v>
      </c>
      <c r="J1509" s="15" t="n">
        <v>0.02</v>
      </c>
      <c r="K1509" s="14" t="n">
        <v>35.25</v>
      </c>
      <c r="L1509" s="13" t="n">
        <v>5</v>
      </c>
      <c r="M1509" s="13" t="inlineStr">
        <is>
          <t>Completed</t>
        </is>
      </c>
      <c r="N1509" s="13" t="inlineStr">
        <is>
          <t>P. Rossi</t>
        </is>
      </c>
      <c r="O1509" s="13" t="inlineStr">
        <is>
          <t>No</t>
        </is>
      </c>
      <c r="P1509" s="14">
        <f>H1509*I1509</f>
        <v/>
      </c>
      <c r="Q1509" s="14">
        <f>P1509*(1-J1509)</f>
        <v/>
      </c>
      <c r="R1509" s="14">
        <f>H1509*K1509</f>
        <v/>
      </c>
      <c r="S1509" s="15">
        <f>IF(Q1509=0,"",(Q1509-R1509)/Q1509)</f>
        <v/>
      </c>
      <c r="T1509" s="13">
        <f>YEAR(B1509)</f>
        <v/>
      </c>
      <c r="U1509" s="13">
        <f>YEAR(B1509)&amp;"-Q"&amp;ROUNDUP(MONTH(B1509)/3,0)</f>
        <v/>
      </c>
      <c r="V1509" s="13">
        <f>TEXT(B1509,"YYYY-MM")</f>
        <v/>
      </c>
      <c r="W1509" s="13">
        <f>IF(L1509="","",IF(L1509&gt;pLateDays,1,0))</f>
        <v/>
      </c>
      <c r="X1509" s="13">
        <f>IF(Q1509&gt;=pHighCutoff,1,0)</f>
        <v/>
      </c>
      <c r="Y1509" s="13">
        <f>IF(M1509="Returned",1,0)</f>
        <v/>
      </c>
    </row>
    <row r="1510">
      <c r="A1510" s="13" t="inlineStr">
        <is>
          <t>HC-101508</t>
        </is>
      </c>
      <c r="B1510" s="18" t="n">
        <v>45899</v>
      </c>
      <c r="C1510" s="13" t="inlineStr">
        <is>
          <t>South</t>
        </is>
      </c>
      <c r="D1510" s="13" t="inlineStr">
        <is>
          <t>Store</t>
        </is>
      </c>
      <c r="E1510" s="13" t="inlineStr">
        <is>
          <t>Furniture</t>
        </is>
      </c>
      <c r="F1510" s="13" t="inlineStr">
        <is>
          <t>Lounge Chair</t>
        </is>
      </c>
      <c r="G1510" s="13" t="inlineStr">
        <is>
          <t>Consumer</t>
        </is>
      </c>
      <c r="H1510" s="13" t="n">
        <v>2</v>
      </c>
      <c r="I1510" s="14" t="n">
        <v>466.88</v>
      </c>
      <c r="J1510" s="15" t="n">
        <v>0.03</v>
      </c>
      <c r="K1510" s="14" t="n">
        <v>280.13</v>
      </c>
      <c r="L1510" s="13" t="n">
        <v>4</v>
      </c>
      <c r="M1510" s="13" t="inlineStr">
        <is>
          <t>Completed</t>
        </is>
      </c>
      <c r="N1510" s="13" t="inlineStr">
        <is>
          <t>R. Ibarra</t>
        </is>
      </c>
      <c r="O1510" s="13" t="inlineStr">
        <is>
          <t>No</t>
        </is>
      </c>
      <c r="P1510" s="14">
        <f>H1510*I1510</f>
        <v/>
      </c>
      <c r="Q1510" s="14">
        <f>P1510*(1-J1510)</f>
        <v/>
      </c>
      <c r="R1510" s="14">
        <f>H1510*K1510</f>
        <v/>
      </c>
      <c r="S1510" s="15">
        <f>IF(Q1510=0,"",(Q1510-R1510)/Q1510)</f>
        <v/>
      </c>
      <c r="T1510" s="13">
        <f>YEAR(B1510)</f>
        <v/>
      </c>
      <c r="U1510" s="13">
        <f>YEAR(B1510)&amp;"-Q"&amp;ROUNDUP(MONTH(B1510)/3,0)</f>
        <v/>
      </c>
      <c r="V1510" s="13">
        <f>TEXT(B1510,"YYYY-MM")</f>
        <v/>
      </c>
      <c r="W1510" s="13">
        <f>IF(L1510="","",IF(L1510&gt;pLateDays,1,0))</f>
        <v/>
      </c>
      <c r="X1510" s="13">
        <f>IF(Q1510&gt;=pHighCutoff,1,0)</f>
        <v/>
      </c>
      <c r="Y1510" s="13">
        <f>IF(M1510="Returned",1,0)</f>
        <v/>
      </c>
    </row>
    <row r="1511">
      <c r="A1511" s="13" t="inlineStr">
        <is>
          <t>HC-101509</t>
        </is>
      </c>
      <c r="B1511" s="18" t="n">
        <v>45827</v>
      </c>
      <c r="C1511" s="13" t="inlineStr">
        <is>
          <t>East</t>
        </is>
      </c>
      <c r="D1511" s="13" t="inlineStr">
        <is>
          <t>Store</t>
        </is>
      </c>
      <c r="E1511" s="13" t="inlineStr">
        <is>
          <t>Furniture</t>
        </is>
      </c>
      <c r="F1511" s="13" t="inlineStr">
        <is>
          <t>Linen Sofa</t>
        </is>
      </c>
      <c r="G1511" s="13" t="inlineStr">
        <is>
          <t>Home Office</t>
        </is>
      </c>
      <c r="H1511" s="13" t="n">
        <v>1</v>
      </c>
      <c r="I1511" s="14" t="n">
        <v>1206.98</v>
      </c>
      <c r="J1511" s="15" t="n">
        <v>0.05</v>
      </c>
      <c r="K1511" s="14" t="n">
        <v>796.61</v>
      </c>
      <c r="L1511" s="13" t="n">
        <v>9</v>
      </c>
      <c r="M1511" s="13" t="inlineStr">
        <is>
          <t>Completed</t>
        </is>
      </c>
      <c r="N1511" s="13" t="inlineStr">
        <is>
          <t>K. Mensah</t>
        </is>
      </c>
      <c r="O1511" s="13" t="inlineStr">
        <is>
          <t>No</t>
        </is>
      </c>
      <c r="P1511" s="14">
        <f>H1511*I1511</f>
        <v/>
      </c>
      <c r="Q1511" s="14">
        <f>P1511*(1-J1511)</f>
        <v/>
      </c>
      <c r="R1511" s="14">
        <f>H1511*K1511</f>
        <v/>
      </c>
      <c r="S1511" s="15">
        <f>IF(Q1511=0,"",(Q1511-R1511)/Q1511)</f>
        <v/>
      </c>
      <c r="T1511" s="13">
        <f>YEAR(B1511)</f>
        <v/>
      </c>
      <c r="U1511" s="13">
        <f>YEAR(B1511)&amp;"-Q"&amp;ROUNDUP(MONTH(B1511)/3,0)</f>
        <v/>
      </c>
      <c r="V1511" s="13">
        <f>TEXT(B1511,"YYYY-MM")</f>
        <v/>
      </c>
      <c r="W1511" s="13">
        <f>IF(L1511="","",IF(L1511&gt;pLateDays,1,0))</f>
        <v/>
      </c>
      <c r="X1511" s="13">
        <f>IF(Q1511&gt;=pHighCutoff,1,0)</f>
        <v/>
      </c>
      <c r="Y1511" s="13">
        <f>IF(M1511="Returned",1,0)</f>
        <v/>
      </c>
    </row>
    <row r="1512">
      <c r="A1512" s="13" t="inlineStr">
        <is>
          <t>HC-101510</t>
        </is>
      </c>
      <c r="B1512" s="18" t="n">
        <v>45328</v>
      </c>
      <c r="C1512" s="13" t="inlineStr">
        <is>
          <t>East</t>
        </is>
      </c>
      <c r="D1512" s="13" t="inlineStr">
        <is>
          <t>Store</t>
        </is>
      </c>
      <c r="E1512" s="13" t="inlineStr">
        <is>
          <t>Textiles</t>
        </is>
      </c>
      <c r="F1512" s="13" t="inlineStr">
        <is>
          <t>Linen Curtain</t>
        </is>
      </c>
      <c r="G1512" s="13" t="inlineStr">
        <is>
          <t>Consumer</t>
        </is>
      </c>
      <c r="H1512" s="13" t="n">
        <v>2</v>
      </c>
      <c r="I1512" s="14" t="n">
        <v>92.12</v>
      </c>
      <c r="J1512" s="15" t="n">
        <v>0.1</v>
      </c>
      <c r="K1512" s="14" t="n">
        <v>41.45</v>
      </c>
      <c r="L1512" s="13" t="n">
        <v>10</v>
      </c>
      <c r="M1512" s="13" t="inlineStr">
        <is>
          <t>Completed</t>
        </is>
      </c>
      <c r="N1512" s="13" t="inlineStr">
        <is>
          <t>R. Ibarra</t>
        </is>
      </c>
      <c r="O1512" s="13" t="inlineStr">
        <is>
          <t>No</t>
        </is>
      </c>
      <c r="P1512" s="14">
        <f>H1512*I1512</f>
        <v/>
      </c>
      <c r="Q1512" s="14">
        <f>P1512*(1-J1512)</f>
        <v/>
      </c>
      <c r="R1512" s="14">
        <f>H1512*K1512</f>
        <v/>
      </c>
      <c r="S1512" s="15">
        <f>IF(Q1512=0,"",(Q1512-R1512)/Q1512)</f>
        <v/>
      </c>
      <c r="T1512" s="13">
        <f>YEAR(B1512)</f>
        <v/>
      </c>
      <c r="U1512" s="13">
        <f>YEAR(B1512)&amp;"-Q"&amp;ROUNDUP(MONTH(B1512)/3,0)</f>
        <v/>
      </c>
      <c r="V1512" s="13">
        <f>TEXT(B1512,"YYYY-MM")</f>
        <v/>
      </c>
      <c r="W1512" s="13">
        <f>IF(L1512="","",IF(L1512&gt;pLateDays,1,0))</f>
        <v/>
      </c>
      <c r="X1512" s="13">
        <f>IF(Q1512&gt;=pHighCutoff,1,0)</f>
        <v/>
      </c>
      <c r="Y1512" s="13">
        <f>IF(M1512="Returned",1,0)</f>
        <v/>
      </c>
    </row>
    <row r="1513">
      <c r="A1513" s="13" t="inlineStr">
        <is>
          <t>HC-101511</t>
        </is>
      </c>
      <c r="B1513" s="18" t="n">
        <v>45613</v>
      </c>
      <c r="C1513" s="13" t="inlineStr">
        <is>
          <t>East</t>
        </is>
      </c>
      <c r="D1513" s="13" t="inlineStr">
        <is>
          <t>Store</t>
        </is>
      </c>
      <c r="E1513" s="13" t="inlineStr">
        <is>
          <t>Kitchen</t>
        </is>
      </c>
      <c r="F1513" s="13" t="inlineStr">
        <is>
          <t>Cast Skillet</t>
        </is>
      </c>
      <c r="G1513" s="13" t="inlineStr">
        <is>
          <t>Consumer</t>
        </is>
      </c>
      <c r="H1513" s="13" t="n">
        <v>5</v>
      </c>
      <c r="I1513" s="14" t="n">
        <v>47.04</v>
      </c>
      <c r="J1513" s="15" t="n">
        <v>0.11</v>
      </c>
      <c r="K1513" s="14" t="n">
        <v>18.82</v>
      </c>
      <c r="L1513" s="13" t="n">
        <v>13</v>
      </c>
      <c r="M1513" s="13" t="inlineStr">
        <is>
          <t>Completed</t>
        </is>
      </c>
      <c r="N1513" s="13" t="inlineStr">
        <is>
          <t>J. Patel</t>
        </is>
      </c>
      <c r="O1513" s="13" t="inlineStr">
        <is>
          <t>No</t>
        </is>
      </c>
      <c r="P1513" s="14">
        <f>H1513*I1513</f>
        <v/>
      </c>
      <c r="Q1513" s="14">
        <f>P1513*(1-J1513)</f>
        <v/>
      </c>
      <c r="R1513" s="14">
        <f>H1513*K1513</f>
        <v/>
      </c>
      <c r="S1513" s="15">
        <f>IF(Q1513=0,"",(Q1513-R1513)/Q1513)</f>
        <v/>
      </c>
      <c r="T1513" s="13">
        <f>YEAR(B1513)</f>
        <v/>
      </c>
      <c r="U1513" s="13">
        <f>YEAR(B1513)&amp;"-Q"&amp;ROUNDUP(MONTH(B1513)/3,0)</f>
        <v/>
      </c>
      <c r="V1513" s="13">
        <f>TEXT(B1513,"YYYY-MM")</f>
        <v/>
      </c>
      <c r="W1513" s="13">
        <f>IF(L1513="","",IF(L1513&gt;pLateDays,1,0))</f>
        <v/>
      </c>
      <c r="X1513" s="13">
        <f>IF(Q1513&gt;=pHighCutoff,1,0)</f>
        <v/>
      </c>
      <c r="Y1513" s="13">
        <f>IF(M1513="Returned",1,0)</f>
        <v/>
      </c>
    </row>
    <row r="1514">
      <c r="A1514" s="13" t="inlineStr">
        <is>
          <t>HC-101512</t>
        </is>
      </c>
      <c r="B1514" s="18" t="n">
        <v>45478</v>
      </c>
      <c r="C1514" s="13" t="inlineStr">
        <is>
          <t>North</t>
        </is>
      </c>
      <c r="D1514" s="13" t="inlineStr">
        <is>
          <t>Wholesale</t>
        </is>
      </c>
      <c r="E1514" s="13" t="inlineStr">
        <is>
          <t>Furniture</t>
        </is>
      </c>
      <c r="F1514" s="13" t="inlineStr">
        <is>
          <t>Linen Sofa</t>
        </is>
      </c>
      <c r="G1514" s="13" t="inlineStr">
        <is>
          <t>Corporate</t>
        </is>
      </c>
      <c r="H1514" s="13" t="n">
        <v>15</v>
      </c>
      <c r="I1514" s="14" t="n">
        <v>1328.4</v>
      </c>
      <c r="J1514" s="15" t="n">
        <v>0.17</v>
      </c>
      <c r="K1514" s="14" t="n">
        <v>876.74</v>
      </c>
      <c r="L1514" s="13" t="n">
        <v>4</v>
      </c>
      <c r="M1514" s="13" t="inlineStr">
        <is>
          <t>Completed</t>
        </is>
      </c>
      <c r="N1514" s="13" t="inlineStr">
        <is>
          <t>A. Shah</t>
        </is>
      </c>
      <c r="O1514" s="13" t="inlineStr">
        <is>
          <t>No</t>
        </is>
      </c>
      <c r="P1514" s="14">
        <f>H1514*I1514</f>
        <v/>
      </c>
      <c r="Q1514" s="14">
        <f>P1514*(1-J1514)</f>
        <v/>
      </c>
      <c r="R1514" s="14">
        <f>H1514*K1514</f>
        <v/>
      </c>
      <c r="S1514" s="15">
        <f>IF(Q1514=0,"",(Q1514-R1514)/Q1514)</f>
        <v/>
      </c>
      <c r="T1514" s="13">
        <f>YEAR(B1514)</f>
        <v/>
      </c>
      <c r="U1514" s="13">
        <f>YEAR(B1514)&amp;"-Q"&amp;ROUNDUP(MONTH(B1514)/3,0)</f>
        <v/>
      </c>
      <c r="V1514" s="13">
        <f>TEXT(B1514,"YYYY-MM")</f>
        <v/>
      </c>
      <c r="W1514" s="13">
        <f>IF(L1514="","",IF(L1514&gt;pLateDays,1,0))</f>
        <v/>
      </c>
      <c r="X1514" s="13">
        <f>IF(Q1514&gt;=pHighCutoff,1,0)</f>
        <v/>
      </c>
      <c r="Y1514" s="13">
        <f>IF(M1514="Returned",1,0)</f>
        <v/>
      </c>
    </row>
    <row r="1515">
      <c r="A1515" s="13" t="inlineStr">
        <is>
          <t>HC-101513</t>
        </is>
      </c>
      <c r="B1515" s="18" t="n">
        <v>45597</v>
      </c>
      <c r="C1515" s="13" t="inlineStr">
        <is>
          <t>South</t>
        </is>
      </c>
      <c r="D1515" s="13" t="inlineStr">
        <is>
          <t>Store</t>
        </is>
      </c>
      <c r="E1515" s="13" t="inlineStr">
        <is>
          <t>Furniture</t>
        </is>
      </c>
      <c r="F1515" s="13" t="inlineStr">
        <is>
          <t>Oak Desk</t>
        </is>
      </c>
      <c r="G1515" s="13" t="inlineStr">
        <is>
          <t>Consumer</t>
        </is>
      </c>
      <c r="H1515" s="13" t="n">
        <v>4</v>
      </c>
      <c r="I1515" s="14" t="n">
        <v>855.28</v>
      </c>
      <c r="J1515" s="15" t="n">
        <v>0.08</v>
      </c>
      <c r="K1515" s="14" t="n">
        <v>530.28</v>
      </c>
      <c r="L1515" s="13" t="n">
        <v>3</v>
      </c>
      <c r="M1515" s="13" t="inlineStr">
        <is>
          <t>Completed</t>
        </is>
      </c>
      <c r="N1515" s="13" t="inlineStr">
        <is>
          <t>L. Berger</t>
        </is>
      </c>
      <c r="O1515" s="13" t="inlineStr">
        <is>
          <t>No</t>
        </is>
      </c>
      <c r="P1515" s="14">
        <f>H1515*I1515</f>
        <v/>
      </c>
      <c r="Q1515" s="14">
        <f>P1515*(1-J1515)</f>
        <v/>
      </c>
      <c r="R1515" s="14">
        <f>H1515*K1515</f>
        <v/>
      </c>
      <c r="S1515" s="15">
        <f>IF(Q1515=0,"",(Q1515-R1515)/Q1515)</f>
        <v/>
      </c>
      <c r="T1515" s="13">
        <f>YEAR(B1515)</f>
        <v/>
      </c>
      <c r="U1515" s="13">
        <f>YEAR(B1515)&amp;"-Q"&amp;ROUNDUP(MONTH(B1515)/3,0)</f>
        <v/>
      </c>
      <c r="V1515" s="13">
        <f>TEXT(B1515,"YYYY-MM")</f>
        <v/>
      </c>
      <c r="W1515" s="13">
        <f>IF(L1515="","",IF(L1515&gt;pLateDays,1,0))</f>
        <v/>
      </c>
      <c r="X1515" s="13">
        <f>IF(Q1515&gt;=pHighCutoff,1,0)</f>
        <v/>
      </c>
      <c r="Y1515" s="13">
        <f>IF(M1515="Returned",1,0)</f>
        <v/>
      </c>
    </row>
    <row r="1516">
      <c r="A1516" s="13" t="inlineStr">
        <is>
          <t>HC-101514</t>
        </is>
      </c>
      <c r="B1516" s="18" t="n">
        <v>45645</v>
      </c>
      <c r="C1516" s="13" t="inlineStr">
        <is>
          <t>East</t>
        </is>
      </c>
      <c r="D1516" s="13" t="inlineStr">
        <is>
          <t>Store</t>
        </is>
      </c>
      <c r="E1516" s="13" t="inlineStr">
        <is>
          <t>Textiles</t>
        </is>
      </c>
      <c r="F1516" s="13" t="inlineStr">
        <is>
          <t>Linen Curtain</t>
        </is>
      </c>
      <c r="G1516" s="13" t="inlineStr">
        <is>
          <t>Home Office</t>
        </is>
      </c>
      <c r="H1516" s="13" t="n">
        <v>4</v>
      </c>
      <c r="I1516" s="14" t="n">
        <v>80.36</v>
      </c>
      <c r="J1516" s="15" t="n">
        <v>0.01</v>
      </c>
      <c r="K1516" s="14" t="n">
        <v>36.16</v>
      </c>
      <c r="L1516" s="13" t="n">
        <v>6</v>
      </c>
      <c r="M1516" s="13" t="inlineStr">
        <is>
          <t>Cancelled</t>
        </is>
      </c>
      <c r="N1516" s="13" t="inlineStr">
        <is>
          <t>R. Ibarra</t>
        </is>
      </c>
      <c r="O1516" s="13" t="inlineStr">
        <is>
          <t>No</t>
        </is>
      </c>
      <c r="P1516" s="14">
        <f>H1516*I1516</f>
        <v/>
      </c>
      <c r="Q1516" s="14">
        <f>P1516*(1-J1516)</f>
        <v/>
      </c>
      <c r="R1516" s="14">
        <f>H1516*K1516</f>
        <v/>
      </c>
      <c r="S1516" s="15">
        <f>IF(Q1516=0,"",(Q1516-R1516)/Q1516)</f>
        <v/>
      </c>
      <c r="T1516" s="13">
        <f>YEAR(B1516)</f>
        <v/>
      </c>
      <c r="U1516" s="13">
        <f>YEAR(B1516)&amp;"-Q"&amp;ROUNDUP(MONTH(B1516)/3,0)</f>
        <v/>
      </c>
      <c r="V1516" s="13">
        <f>TEXT(B1516,"YYYY-MM")</f>
        <v/>
      </c>
      <c r="W1516" s="13">
        <f>IF(L1516="","",IF(L1516&gt;pLateDays,1,0))</f>
        <v/>
      </c>
      <c r="X1516" s="13">
        <f>IF(Q1516&gt;=pHighCutoff,1,0)</f>
        <v/>
      </c>
      <c r="Y1516" s="13">
        <f>IF(M1516="Returned",1,0)</f>
        <v/>
      </c>
    </row>
    <row r="1517">
      <c r="A1517" s="13" t="inlineStr">
        <is>
          <t>HC-101515</t>
        </is>
      </c>
      <c r="B1517" s="18" t="n">
        <v>45513</v>
      </c>
      <c r="C1517" s="13" t="inlineStr">
        <is>
          <t>South</t>
        </is>
      </c>
      <c r="D1517" s="13" t="inlineStr">
        <is>
          <t>Store</t>
        </is>
      </c>
      <c r="E1517" s="13" t="inlineStr">
        <is>
          <t>Textiles</t>
        </is>
      </c>
      <c r="F1517" s="13" t="inlineStr">
        <is>
          <t>Cotton Duvet</t>
        </is>
      </c>
      <c r="G1517" s="13" t="inlineStr">
        <is>
          <t>Consumer</t>
        </is>
      </c>
      <c r="H1517" s="13" t="n">
        <v>4</v>
      </c>
      <c r="I1517" s="14" t="n">
        <v>114.16</v>
      </c>
      <c r="J1517" s="15" t="n">
        <v>0</v>
      </c>
      <c r="K1517" s="14" t="n">
        <v>50.23</v>
      </c>
      <c r="L1517" s="13" t="n">
        <v>5</v>
      </c>
      <c r="M1517" s="13" t="inlineStr">
        <is>
          <t>Returned</t>
        </is>
      </c>
      <c r="N1517" s="13" t="inlineStr">
        <is>
          <t>P. Rossi</t>
        </is>
      </c>
      <c r="O1517" s="13" t="inlineStr">
        <is>
          <t>No</t>
        </is>
      </c>
      <c r="P1517" s="14">
        <f>H1517*I1517</f>
        <v/>
      </c>
      <c r="Q1517" s="14">
        <f>P1517*(1-J1517)</f>
        <v/>
      </c>
      <c r="R1517" s="14">
        <f>H1517*K1517</f>
        <v/>
      </c>
      <c r="S1517" s="15">
        <f>IF(Q1517=0,"",(Q1517-R1517)/Q1517)</f>
        <v/>
      </c>
      <c r="T1517" s="13">
        <f>YEAR(B1517)</f>
        <v/>
      </c>
      <c r="U1517" s="13">
        <f>YEAR(B1517)&amp;"-Q"&amp;ROUNDUP(MONTH(B1517)/3,0)</f>
        <v/>
      </c>
      <c r="V1517" s="13">
        <f>TEXT(B1517,"YYYY-MM")</f>
        <v/>
      </c>
      <c r="W1517" s="13">
        <f>IF(L1517="","",IF(L1517&gt;pLateDays,1,0))</f>
        <v/>
      </c>
      <c r="X1517" s="13">
        <f>IF(Q1517&gt;=pHighCutoff,1,0)</f>
        <v/>
      </c>
      <c r="Y1517" s="13">
        <f>IF(M1517="Returned",1,0)</f>
        <v/>
      </c>
    </row>
    <row r="1518">
      <c r="A1518" s="13" t="inlineStr">
        <is>
          <t>HC-101516</t>
        </is>
      </c>
      <c r="B1518" s="18" t="n">
        <v>45402</v>
      </c>
      <c r="C1518" s="13" t="inlineStr">
        <is>
          <t>West</t>
        </is>
      </c>
      <c r="D1518" s="13" t="inlineStr">
        <is>
          <t>Store</t>
        </is>
      </c>
      <c r="E1518" s="13" t="inlineStr">
        <is>
          <t>Textiles</t>
        </is>
      </c>
      <c r="F1518" s="13" t="inlineStr">
        <is>
          <t>Cotton Duvet</t>
        </is>
      </c>
      <c r="G1518" s="13" t="inlineStr">
        <is>
          <t>Consumer</t>
        </is>
      </c>
      <c r="H1518" s="13" t="n">
        <v>3</v>
      </c>
      <c r="I1518" s="14" t="n">
        <v>119.6</v>
      </c>
      <c r="J1518" s="15" t="n">
        <v>0.05</v>
      </c>
      <c r="K1518" s="14" t="n">
        <v>52.62</v>
      </c>
      <c r="L1518" s="13" t="n">
        <v>6</v>
      </c>
      <c r="M1518" s="13" t="inlineStr">
        <is>
          <t>Completed</t>
        </is>
      </c>
      <c r="N1518" s="13" t="inlineStr">
        <is>
          <t>K. Mensah</t>
        </is>
      </c>
      <c r="O1518" s="13" t="inlineStr">
        <is>
          <t>No</t>
        </is>
      </c>
      <c r="P1518" s="14">
        <f>H1518*I1518</f>
        <v/>
      </c>
      <c r="Q1518" s="14">
        <f>P1518*(1-J1518)</f>
        <v/>
      </c>
      <c r="R1518" s="14">
        <f>H1518*K1518</f>
        <v/>
      </c>
      <c r="S1518" s="15">
        <f>IF(Q1518=0,"",(Q1518-R1518)/Q1518)</f>
        <v/>
      </c>
      <c r="T1518" s="13">
        <f>YEAR(B1518)</f>
        <v/>
      </c>
      <c r="U1518" s="13">
        <f>YEAR(B1518)&amp;"-Q"&amp;ROUNDUP(MONTH(B1518)/3,0)</f>
        <v/>
      </c>
      <c r="V1518" s="13">
        <f>TEXT(B1518,"YYYY-MM")</f>
        <v/>
      </c>
      <c r="W1518" s="13">
        <f>IF(L1518="","",IF(L1518&gt;pLateDays,1,0))</f>
        <v/>
      </c>
      <c r="X1518" s="13">
        <f>IF(Q1518&gt;=pHighCutoff,1,0)</f>
        <v/>
      </c>
      <c r="Y1518" s="13">
        <f>IF(M1518="Returned",1,0)</f>
        <v/>
      </c>
    </row>
    <row r="1519">
      <c r="A1519" s="13" t="inlineStr">
        <is>
          <t>HC-101517</t>
        </is>
      </c>
      <c r="B1519" s="18" t="n">
        <v>45734</v>
      </c>
      <c r="C1519" s="13" t="inlineStr">
        <is>
          <t>West</t>
        </is>
      </c>
      <c r="D1519" s="13" t="inlineStr">
        <is>
          <t>Online</t>
        </is>
      </c>
      <c r="E1519" s="13" t="inlineStr">
        <is>
          <t>Textiles</t>
        </is>
      </c>
      <c r="F1519" s="13" t="inlineStr">
        <is>
          <t>Cotton Duvet</t>
        </is>
      </c>
      <c r="G1519" s="13" t="inlineStr">
        <is>
          <t>Consumer</t>
        </is>
      </c>
      <c r="H1519" s="13" t="n">
        <v>3</v>
      </c>
      <c r="I1519" s="14" t="n">
        <v>125.36</v>
      </c>
      <c r="J1519" s="15" t="n">
        <v>0.15</v>
      </c>
      <c r="K1519" s="14" t="n">
        <v>55.16</v>
      </c>
      <c r="L1519" s="13" t="n">
        <v>3</v>
      </c>
      <c r="M1519" s="13" t="inlineStr">
        <is>
          <t>Completed</t>
        </is>
      </c>
      <c r="N1519" s="13" t="inlineStr">
        <is>
          <t>M. Okonkwo</t>
        </is>
      </c>
      <c r="O1519" s="13" t="inlineStr">
        <is>
          <t>No</t>
        </is>
      </c>
      <c r="P1519" s="14">
        <f>H1519*I1519</f>
        <v/>
      </c>
      <c r="Q1519" s="14">
        <f>P1519*(1-J1519)</f>
        <v/>
      </c>
      <c r="R1519" s="14">
        <f>H1519*K1519</f>
        <v/>
      </c>
      <c r="S1519" s="15">
        <f>IF(Q1519=0,"",(Q1519-R1519)/Q1519)</f>
        <v/>
      </c>
      <c r="T1519" s="13">
        <f>YEAR(B1519)</f>
        <v/>
      </c>
      <c r="U1519" s="13">
        <f>YEAR(B1519)&amp;"-Q"&amp;ROUNDUP(MONTH(B1519)/3,0)</f>
        <v/>
      </c>
      <c r="V1519" s="13">
        <f>TEXT(B1519,"YYYY-MM")</f>
        <v/>
      </c>
      <c r="W1519" s="13">
        <f>IF(L1519="","",IF(L1519&gt;pLateDays,1,0))</f>
        <v/>
      </c>
      <c r="X1519" s="13">
        <f>IF(Q1519&gt;=pHighCutoff,1,0)</f>
        <v/>
      </c>
      <c r="Y1519" s="13">
        <f>IF(M1519="Returned",1,0)</f>
        <v/>
      </c>
    </row>
    <row r="1520">
      <c r="A1520" s="13" t="inlineStr">
        <is>
          <t>HC-101518</t>
        </is>
      </c>
      <c r="B1520" s="18" t="n">
        <v>45770</v>
      </c>
      <c r="C1520" s="13" t="inlineStr">
        <is>
          <t>North</t>
        </is>
      </c>
      <c r="D1520" s="13" t="inlineStr">
        <is>
          <t>Store</t>
        </is>
      </c>
      <c r="E1520" s="13" t="inlineStr">
        <is>
          <t>Furniture</t>
        </is>
      </c>
      <c r="F1520" s="13" t="inlineStr">
        <is>
          <t>Lounge Chair</t>
        </is>
      </c>
      <c r="G1520" s="13" t="inlineStr">
        <is>
          <t>Consumer</t>
        </is>
      </c>
      <c r="H1520" s="13" t="n">
        <v>4</v>
      </c>
      <c r="I1520" s="14" t="n">
        <v>441.93</v>
      </c>
      <c r="J1520" s="15" t="n">
        <v>0.06</v>
      </c>
      <c r="K1520" s="14" t="n">
        <v>265.16</v>
      </c>
      <c r="L1520" s="13" t="n">
        <v>7</v>
      </c>
      <c r="M1520" s="13" t="inlineStr">
        <is>
          <t>Completed</t>
        </is>
      </c>
      <c r="N1520" s="13" t="inlineStr">
        <is>
          <t>L. Berger</t>
        </is>
      </c>
      <c r="O1520" s="13" t="inlineStr">
        <is>
          <t>No</t>
        </is>
      </c>
      <c r="P1520" s="14">
        <f>H1520*I1520</f>
        <v/>
      </c>
      <c r="Q1520" s="14">
        <f>P1520*(1-J1520)</f>
        <v/>
      </c>
      <c r="R1520" s="14">
        <f>H1520*K1520</f>
        <v/>
      </c>
      <c r="S1520" s="15">
        <f>IF(Q1520=0,"",(Q1520-R1520)/Q1520)</f>
        <v/>
      </c>
      <c r="T1520" s="13">
        <f>YEAR(B1520)</f>
        <v/>
      </c>
      <c r="U1520" s="13">
        <f>YEAR(B1520)&amp;"-Q"&amp;ROUNDUP(MONTH(B1520)/3,0)</f>
        <v/>
      </c>
      <c r="V1520" s="13">
        <f>TEXT(B1520,"YYYY-MM")</f>
        <v/>
      </c>
      <c r="W1520" s="13">
        <f>IF(L1520="","",IF(L1520&gt;pLateDays,1,0))</f>
        <v/>
      </c>
      <c r="X1520" s="13">
        <f>IF(Q1520&gt;=pHighCutoff,1,0)</f>
        <v/>
      </c>
      <c r="Y1520" s="13">
        <f>IF(M1520="Returned",1,0)</f>
        <v/>
      </c>
    </row>
    <row r="1521">
      <c r="A1521" s="13" t="inlineStr">
        <is>
          <t>HC-101519</t>
        </is>
      </c>
      <c r="B1521" s="18" t="n">
        <v>45637</v>
      </c>
      <c r="C1521" s="13" t="inlineStr">
        <is>
          <t>South</t>
        </is>
      </c>
      <c r="D1521" s="13" t="inlineStr">
        <is>
          <t>Online</t>
        </is>
      </c>
      <c r="E1521" s="13" t="inlineStr">
        <is>
          <t>Textiles</t>
        </is>
      </c>
      <c r="F1521" s="13" t="inlineStr">
        <is>
          <t>Linen Curtain</t>
        </is>
      </c>
      <c r="G1521" s="13" t="inlineStr">
        <is>
          <t>Consumer</t>
        </is>
      </c>
      <c r="H1521" s="13" t="n">
        <v>4</v>
      </c>
      <c r="I1521" s="14" t="n">
        <v>91.59999999999999</v>
      </c>
      <c r="J1521" s="15" t="n">
        <v>0.05</v>
      </c>
      <c r="K1521" s="14" t="n">
        <v>41.22</v>
      </c>
      <c r="L1521" s="13" t="n">
        <v>5</v>
      </c>
      <c r="M1521" s="13" t="inlineStr">
        <is>
          <t>Completed</t>
        </is>
      </c>
      <c r="N1521" s="13" t="inlineStr">
        <is>
          <t>P. Rossi</t>
        </is>
      </c>
      <c r="O1521" s="13" t="inlineStr">
        <is>
          <t>No</t>
        </is>
      </c>
      <c r="P1521" s="14">
        <f>H1521*I1521</f>
        <v/>
      </c>
      <c r="Q1521" s="14">
        <f>P1521*(1-J1521)</f>
        <v/>
      </c>
      <c r="R1521" s="14">
        <f>H1521*K1521</f>
        <v/>
      </c>
      <c r="S1521" s="15">
        <f>IF(Q1521=0,"",(Q1521-R1521)/Q1521)</f>
        <v/>
      </c>
      <c r="T1521" s="13">
        <f>YEAR(B1521)</f>
        <v/>
      </c>
      <c r="U1521" s="13">
        <f>YEAR(B1521)&amp;"-Q"&amp;ROUNDUP(MONTH(B1521)/3,0)</f>
        <v/>
      </c>
      <c r="V1521" s="13">
        <f>TEXT(B1521,"YYYY-MM")</f>
        <v/>
      </c>
      <c r="W1521" s="13">
        <f>IF(L1521="","",IF(L1521&gt;pLateDays,1,0))</f>
        <v/>
      </c>
      <c r="X1521" s="13">
        <f>IF(Q1521&gt;=pHighCutoff,1,0)</f>
        <v/>
      </c>
      <c r="Y1521" s="13">
        <f>IF(M1521="Returned",1,0)</f>
        <v/>
      </c>
    </row>
    <row r="1522">
      <c r="A1522" s="13" t="inlineStr">
        <is>
          <t>HC-101520</t>
        </is>
      </c>
      <c r="B1522" s="18" t="n">
        <v>45625</v>
      </c>
      <c r="C1522" s="13" t="inlineStr">
        <is>
          <t>South</t>
        </is>
      </c>
      <c r="D1522" s="13" t="inlineStr">
        <is>
          <t>Store</t>
        </is>
      </c>
      <c r="E1522" s="13" t="inlineStr">
        <is>
          <t>Furniture</t>
        </is>
      </c>
      <c r="F1522" s="13" t="inlineStr">
        <is>
          <t>Lounge Chair</t>
        </is>
      </c>
      <c r="G1522" s="13" t="inlineStr">
        <is>
          <t>Consumer</t>
        </is>
      </c>
      <c r="H1522" s="13" t="n">
        <v>3</v>
      </c>
      <c r="I1522" s="14" t="n">
        <v>497.66</v>
      </c>
      <c r="J1522" s="15" t="n">
        <v>0.02</v>
      </c>
      <c r="K1522" s="14" t="n">
        <v>298.6</v>
      </c>
      <c r="L1522" s="13" t="n"/>
      <c r="M1522" s="13" t="inlineStr">
        <is>
          <t>Completed</t>
        </is>
      </c>
      <c r="N1522" s="13" t="inlineStr">
        <is>
          <t>A. Shah</t>
        </is>
      </c>
      <c r="O1522" s="13" t="inlineStr">
        <is>
          <t>No</t>
        </is>
      </c>
      <c r="P1522" s="14">
        <f>H1522*I1522</f>
        <v/>
      </c>
      <c r="Q1522" s="14">
        <f>P1522*(1-J1522)</f>
        <v/>
      </c>
      <c r="R1522" s="14">
        <f>H1522*K1522</f>
        <v/>
      </c>
      <c r="S1522" s="15">
        <f>IF(Q1522=0,"",(Q1522-R1522)/Q1522)</f>
        <v/>
      </c>
      <c r="T1522" s="13">
        <f>YEAR(B1522)</f>
        <v/>
      </c>
      <c r="U1522" s="13">
        <f>YEAR(B1522)&amp;"-Q"&amp;ROUNDUP(MONTH(B1522)/3,0)</f>
        <v/>
      </c>
      <c r="V1522" s="13">
        <f>TEXT(B1522,"YYYY-MM")</f>
        <v/>
      </c>
      <c r="W1522" s="13">
        <f>IF(L1522="","",IF(L1522&gt;pLateDays,1,0))</f>
        <v/>
      </c>
      <c r="X1522" s="13">
        <f>IF(Q1522&gt;=pHighCutoff,1,0)</f>
        <v/>
      </c>
      <c r="Y1522" s="13">
        <f>IF(M1522="Returned",1,0)</f>
        <v/>
      </c>
    </row>
    <row r="1523">
      <c r="A1523" s="13" t="inlineStr">
        <is>
          <t>HC-101521</t>
        </is>
      </c>
      <c r="B1523" s="18" t="n">
        <v>45388</v>
      </c>
      <c r="C1523" s="13" t="inlineStr">
        <is>
          <t>South</t>
        </is>
      </c>
      <c r="D1523" s="13" t="inlineStr">
        <is>
          <t>Online</t>
        </is>
      </c>
      <c r="E1523" s="13" t="inlineStr">
        <is>
          <t>Kitchen</t>
        </is>
      </c>
      <c r="F1523" s="13" t="inlineStr">
        <is>
          <t>Cast Skillet</t>
        </is>
      </c>
      <c r="G1523" s="13" t="inlineStr">
        <is>
          <t>Consumer</t>
        </is>
      </c>
      <c r="H1523" s="13" t="n">
        <v>1</v>
      </c>
      <c r="I1523" s="14" t="n">
        <v>56.12</v>
      </c>
      <c r="J1523" s="15" t="n">
        <v>0.16</v>
      </c>
      <c r="K1523" s="14" t="n">
        <v>22.45</v>
      </c>
      <c r="L1523" s="13" t="n">
        <v>7</v>
      </c>
      <c r="M1523" s="13" t="inlineStr">
        <is>
          <t>Completed</t>
        </is>
      </c>
      <c r="N1523" s="13" t="inlineStr">
        <is>
          <t>M. Okonkwo</t>
        </is>
      </c>
      <c r="O1523" s="13" t="inlineStr">
        <is>
          <t>No</t>
        </is>
      </c>
      <c r="P1523" s="14">
        <f>H1523*I1523</f>
        <v/>
      </c>
      <c r="Q1523" s="14">
        <f>P1523*(1-J1523)</f>
        <v/>
      </c>
      <c r="R1523" s="14">
        <f>H1523*K1523</f>
        <v/>
      </c>
      <c r="S1523" s="15">
        <f>IF(Q1523=0,"",(Q1523-R1523)/Q1523)</f>
        <v/>
      </c>
      <c r="T1523" s="13">
        <f>YEAR(B1523)</f>
        <v/>
      </c>
      <c r="U1523" s="13">
        <f>YEAR(B1523)&amp;"-Q"&amp;ROUNDUP(MONTH(B1523)/3,0)</f>
        <v/>
      </c>
      <c r="V1523" s="13">
        <f>TEXT(B1523,"YYYY-MM")</f>
        <v/>
      </c>
      <c r="W1523" s="13">
        <f>IF(L1523="","",IF(L1523&gt;pLateDays,1,0))</f>
        <v/>
      </c>
      <c r="X1523" s="13">
        <f>IF(Q1523&gt;=pHighCutoff,1,0)</f>
        <v/>
      </c>
      <c r="Y1523" s="13">
        <f>IF(M1523="Returned",1,0)</f>
        <v/>
      </c>
    </row>
    <row r="1524">
      <c r="A1524" s="13" t="inlineStr">
        <is>
          <t>HC-101522</t>
        </is>
      </c>
      <c r="B1524" s="18" t="n">
        <v>45399</v>
      </c>
      <c r="C1524" s="13" t="inlineStr">
        <is>
          <t>West</t>
        </is>
      </c>
      <c r="D1524" s="13" t="inlineStr">
        <is>
          <t>Store</t>
        </is>
      </c>
      <c r="E1524" s="13" t="inlineStr">
        <is>
          <t>Furniture</t>
        </is>
      </c>
      <c r="F1524" s="13" t="inlineStr">
        <is>
          <t>Oak Desk</t>
        </is>
      </c>
      <c r="G1524" s="13" t="inlineStr">
        <is>
          <t>Consumer</t>
        </is>
      </c>
      <c r="H1524" s="13" t="n">
        <v>1</v>
      </c>
      <c r="I1524" s="14" t="n">
        <v>797.25</v>
      </c>
      <c r="J1524" s="15" t="n">
        <v>0.03</v>
      </c>
      <c r="K1524" s="14" t="n">
        <v>494.3</v>
      </c>
      <c r="L1524" s="13" t="n">
        <v>7</v>
      </c>
      <c r="M1524" s="13" t="inlineStr">
        <is>
          <t>Completed</t>
        </is>
      </c>
      <c r="N1524" s="13" t="inlineStr">
        <is>
          <t>P. Rossi</t>
        </is>
      </c>
      <c r="O1524" s="13" t="inlineStr">
        <is>
          <t>No</t>
        </is>
      </c>
      <c r="P1524" s="14">
        <f>H1524*I1524</f>
        <v/>
      </c>
      <c r="Q1524" s="14">
        <f>P1524*(1-J1524)</f>
        <v/>
      </c>
      <c r="R1524" s="14">
        <f>H1524*K1524</f>
        <v/>
      </c>
      <c r="S1524" s="15">
        <f>IF(Q1524=0,"",(Q1524-R1524)/Q1524)</f>
        <v/>
      </c>
      <c r="T1524" s="13">
        <f>YEAR(B1524)</f>
        <v/>
      </c>
      <c r="U1524" s="13">
        <f>YEAR(B1524)&amp;"-Q"&amp;ROUNDUP(MONTH(B1524)/3,0)</f>
        <v/>
      </c>
      <c r="V1524" s="13">
        <f>TEXT(B1524,"YYYY-MM")</f>
        <v/>
      </c>
      <c r="W1524" s="13">
        <f>IF(L1524="","",IF(L1524&gt;pLateDays,1,0))</f>
        <v/>
      </c>
      <c r="X1524" s="13">
        <f>IF(Q1524&gt;=pHighCutoff,1,0)</f>
        <v/>
      </c>
      <c r="Y1524" s="13">
        <f>IF(M1524="Returned",1,0)</f>
        <v/>
      </c>
    </row>
    <row r="1525">
      <c r="A1525" s="13" t="inlineStr">
        <is>
          <t>HC-101523</t>
        </is>
      </c>
      <c r="B1525" s="18" t="n">
        <v>45518</v>
      </c>
      <c r="C1525" s="13" t="inlineStr">
        <is>
          <t>East</t>
        </is>
      </c>
      <c r="D1525" s="13" t="inlineStr">
        <is>
          <t>Online</t>
        </is>
      </c>
      <c r="E1525" s="13" t="inlineStr">
        <is>
          <t>Lighting</t>
        </is>
      </c>
      <c r="F1525" s="13" t="inlineStr">
        <is>
          <t>Arc Lamp</t>
        </is>
      </c>
      <c r="G1525" s="13" t="inlineStr">
        <is>
          <t>Home Office</t>
        </is>
      </c>
      <c r="H1525" s="13" t="n">
        <v>3</v>
      </c>
      <c r="I1525" s="14" t="n">
        <v>297.26</v>
      </c>
      <c r="J1525" s="15" t="n">
        <v>0.09</v>
      </c>
      <c r="K1525" s="14" t="n">
        <v>142.68</v>
      </c>
      <c r="L1525" s="13" t="n">
        <v>7</v>
      </c>
      <c r="M1525" s="13" t="inlineStr">
        <is>
          <t>Completed</t>
        </is>
      </c>
      <c r="N1525" s="13" t="inlineStr">
        <is>
          <t>K. Mensah</t>
        </is>
      </c>
      <c r="O1525" s="13" t="inlineStr">
        <is>
          <t>No</t>
        </is>
      </c>
      <c r="P1525" s="14">
        <f>H1525*I1525</f>
        <v/>
      </c>
      <c r="Q1525" s="14">
        <f>P1525*(1-J1525)</f>
        <v/>
      </c>
      <c r="R1525" s="14">
        <f>H1525*K1525</f>
        <v/>
      </c>
      <c r="S1525" s="15">
        <f>IF(Q1525=0,"",(Q1525-R1525)/Q1525)</f>
        <v/>
      </c>
      <c r="T1525" s="13">
        <f>YEAR(B1525)</f>
        <v/>
      </c>
      <c r="U1525" s="13">
        <f>YEAR(B1525)&amp;"-Q"&amp;ROUNDUP(MONTH(B1525)/3,0)</f>
        <v/>
      </c>
      <c r="V1525" s="13">
        <f>TEXT(B1525,"YYYY-MM")</f>
        <v/>
      </c>
      <c r="W1525" s="13">
        <f>IF(L1525="","",IF(L1525&gt;pLateDays,1,0))</f>
        <v/>
      </c>
      <c r="X1525" s="13">
        <f>IF(Q1525&gt;=pHighCutoff,1,0)</f>
        <v/>
      </c>
      <c r="Y1525" s="13">
        <f>IF(M1525="Returned",1,0)</f>
        <v/>
      </c>
    </row>
    <row r="1526">
      <c r="A1526" s="13" t="inlineStr">
        <is>
          <t>HC-101524</t>
        </is>
      </c>
      <c r="B1526" s="18" t="n">
        <v>45307</v>
      </c>
      <c r="C1526" s="13" t="inlineStr">
        <is>
          <t>North</t>
        </is>
      </c>
      <c r="D1526" s="13" t="inlineStr">
        <is>
          <t>Store</t>
        </is>
      </c>
      <c r="E1526" s="13" t="inlineStr">
        <is>
          <t>Lighting</t>
        </is>
      </c>
      <c r="F1526" s="13" t="inlineStr">
        <is>
          <t>Brass Sconce</t>
        </is>
      </c>
      <c r="G1526" s="13" t="inlineStr">
        <is>
          <t>Consumer</t>
        </is>
      </c>
      <c r="H1526" s="13" t="n">
        <v>4</v>
      </c>
      <c r="I1526" s="14" t="n">
        <v>131.22</v>
      </c>
      <c r="J1526" s="15" t="n">
        <v>0.03</v>
      </c>
      <c r="K1526" s="14" t="n">
        <v>60.36</v>
      </c>
      <c r="L1526" s="13" t="n">
        <v>6</v>
      </c>
      <c r="M1526" s="13" t="inlineStr">
        <is>
          <t>Completed</t>
        </is>
      </c>
      <c r="N1526" s="13" t="inlineStr">
        <is>
          <t>L. Berger</t>
        </is>
      </c>
      <c r="O1526" s="13" t="inlineStr">
        <is>
          <t>No</t>
        </is>
      </c>
      <c r="P1526" s="14">
        <f>H1526*I1526</f>
        <v/>
      </c>
      <c r="Q1526" s="14">
        <f>P1526*(1-J1526)</f>
        <v/>
      </c>
      <c r="R1526" s="14">
        <f>H1526*K1526</f>
        <v/>
      </c>
      <c r="S1526" s="15">
        <f>IF(Q1526=0,"",(Q1526-R1526)/Q1526)</f>
        <v/>
      </c>
      <c r="T1526" s="13">
        <f>YEAR(B1526)</f>
        <v/>
      </c>
      <c r="U1526" s="13">
        <f>YEAR(B1526)&amp;"-Q"&amp;ROUNDUP(MONTH(B1526)/3,0)</f>
        <v/>
      </c>
      <c r="V1526" s="13">
        <f>TEXT(B1526,"YYYY-MM")</f>
        <v/>
      </c>
      <c r="W1526" s="13">
        <f>IF(L1526="","",IF(L1526&gt;pLateDays,1,0))</f>
        <v/>
      </c>
      <c r="X1526" s="13">
        <f>IF(Q1526&gt;=pHighCutoff,1,0)</f>
        <v/>
      </c>
      <c r="Y1526" s="13">
        <f>IF(M1526="Returned",1,0)</f>
        <v/>
      </c>
    </row>
    <row r="1527">
      <c r="A1527" s="13" t="inlineStr">
        <is>
          <t>HC-101525</t>
        </is>
      </c>
      <c r="B1527" s="18" t="n">
        <v>45354</v>
      </c>
      <c r="C1527" s="13" t="inlineStr">
        <is>
          <t>South</t>
        </is>
      </c>
      <c r="D1527" s="13" t="inlineStr">
        <is>
          <t>Online</t>
        </is>
      </c>
      <c r="E1527" s="13" t="inlineStr">
        <is>
          <t>Kitchen</t>
        </is>
      </c>
      <c r="F1527" s="13" t="inlineStr">
        <is>
          <t>Ceramic Set</t>
        </is>
      </c>
      <c r="G1527" s="13" t="inlineStr">
        <is>
          <t>Home Office</t>
        </is>
      </c>
      <c r="H1527" s="13" t="n">
        <v>2</v>
      </c>
      <c r="I1527" s="14" t="n">
        <v>86.63</v>
      </c>
      <c r="J1527" s="15" t="n">
        <v>0.16</v>
      </c>
      <c r="K1527" s="14" t="n">
        <v>32.92</v>
      </c>
      <c r="L1527" s="13" t="n">
        <v>7</v>
      </c>
      <c r="M1527" s="13" t="inlineStr">
        <is>
          <t>Completed</t>
        </is>
      </c>
      <c r="N1527" s="13" t="inlineStr">
        <is>
          <t>K. Mensah</t>
        </is>
      </c>
      <c r="O1527" s="13" t="inlineStr">
        <is>
          <t>No</t>
        </is>
      </c>
      <c r="P1527" s="14">
        <f>H1527*I1527</f>
        <v/>
      </c>
      <c r="Q1527" s="14">
        <f>P1527*(1-J1527)</f>
        <v/>
      </c>
      <c r="R1527" s="14">
        <f>H1527*K1527</f>
        <v/>
      </c>
      <c r="S1527" s="15">
        <f>IF(Q1527=0,"",(Q1527-R1527)/Q1527)</f>
        <v/>
      </c>
      <c r="T1527" s="13">
        <f>YEAR(B1527)</f>
        <v/>
      </c>
      <c r="U1527" s="13">
        <f>YEAR(B1527)&amp;"-Q"&amp;ROUNDUP(MONTH(B1527)/3,0)</f>
        <v/>
      </c>
      <c r="V1527" s="13">
        <f>TEXT(B1527,"YYYY-MM")</f>
        <v/>
      </c>
      <c r="W1527" s="13">
        <f>IF(L1527="","",IF(L1527&gt;pLateDays,1,0))</f>
        <v/>
      </c>
      <c r="X1527" s="13">
        <f>IF(Q1527&gt;=pHighCutoff,1,0)</f>
        <v/>
      </c>
      <c r="Y1527" s="13">
        <f>IF(M1527="Returned",1,0)</f>
        <v/>
      </c>
    </row>
    <row r="1528">
      <c r="A1528" s="13" t="inlineStr">
        <is>
          <t>HC-101526</t>
        </is>
      </c>
      <c r="B1528" s="18" t="n">
        <v>45876</v>
      </c>
      <c r="C1528" s="13" t="inlineStr">
        <is>
          <t>North</t>
        </is>
      </c>
      <c r="D1528" s="13" t="inlineStr">
        <is>
          <t>Online</t>
        </is>
      </c>
      <c r="E1528" s="13" t="inlineStr">
        <is>
          <t>Textiles</t>
        </is>
      </c>
      <c r="F1528" s="13" t="inlineStr">
        <is>
          <t>Cotton Duvet</t>
        </is>
      </c>
      <c r="G1528" s="13" t="inlineStr">
        <is>
          <t>Unknown</t>
        </is>
      </c>
      <c r="H1528" s="13" t="n">
        <v>3</v>
      </c>
      <c r="I1528" s="14" t="n">
        <v>115.79</v>
      </c>
      <c r="J1528" s="15" t="n">
        <v>0.11</v>
      </c>
      <c r="K1528" s="14" t="n">
        <v>50.95</v>
      </c>
      <c r="L1528" s="13" t="n">
        <v>8</v>
      </c>
      <c r="M1528" s="13" t="inlineStr">
        <is>
          <t>Completed</t>
        </is>
      </c>
      <c r="N1528" s="13" t="inlineStr">
        <is>
          <t>A. Shah</t>
        </is>
      </c>
      <c r="O1528" s="13" t="inlineStr">
        <is>
          <t>No</t>
        </is>
      </c>
      <c r="P1528" s="14">
        <f>H1528*I1528</f>
        <v/>
      </c>
      <c r="Q1528" s="14">
        <f>P1528*(1-J1528)</f>
        <v/>
      </c>
      <c r="R1528" s="14">
        <f>H1528*K1528</f>
        <v/>
      </c>
      <c r="S1528" s="15">
        <f>IF(Q1528=0,"",(Q1528-R1528)/Q1528)</f>
        <v/>
      </c>
      <c r="T1528" s="13">
        <f>YEAR(B1528)</f>
        <v/>
      </c>
      <c r="U1528" s="13">
        <f>YEAR(B1528)&amp;"-Q"&amp;ROUNDUP(MONTH(B1528)/3,0)</f>
        <v/>
      </c>
      <c r="V1528" s="13">
        <f>TEXT(B1528,"YYYY-MM")</f>
        <v/>
      </c>
      <c r="W1528" s="13">
        <f>IF(L1528="","",IF(L1528&gt;pLateDays,1,0))</f>
        <v/>
      </c>
      <c r="X1528" s="13">
        <f>IF(Q1528&gt;=pHighCutoff,1,0)</f>
        <v/>
      </c>
      <c r="Y1528" s="13">
        <f>IF(M1528="Returned",1,0)</f>
        <v/>
      </c>
    </row>
    <row r="1529">
      <c r="A1529" s="13" t="inlineStr">
        <is>
          <t>HC-101527</t>
        </is>
      </c>
      <c r="B1529" s="18" t="n">
        <v>45726</v>
      </c>
      <c r="C1529" s="13" t="inlineStr">
        <is>
          <t>North</t>
        </is>
      </c>
      <c r="D1529" s="13" t="inlineStr">
        <is>
          <t>Online</t>
        </is>
      </c>
      <c r="E1529" s="13" t="inlineStr">
        <is>
          <t>Lighting</t>
        </is>
      </c>
      <c r="F1529" s="13" t="inlineStr">
        <is>
          <t>Arc Lamp</t>
        </is>
      </c>
      <c r="G1529" s="13" t="inlineStr">
        <is>
          <t>Corporate</t>
        </is>
      </c>
      <c r="H1529" s="13" t="n">
        <v>3</v>
      </c>
      <c r="I1529" s="14" t="n">
        <v>288.43</v>
      </c>
      <c r="J1529" s="15" t="n">
        <v>0.16</v>
      </c>
      <c r="K1529" s="14" t="n">
        <v>138.45</v>
      </c>
      <c r="L1529" s="13" t="n">
        <v>5</v>
      </c>
      <c r="M1529" s="13" t="inlineStr">
        <is>
          <t>Cancelled</t>
        </is>
      </c>
      <c r="N1529" s="13" t="inlineStr">
        <is>
          <t>A. Shah</t>
        </is>
      </c>
      <c r="O1529" s="13" t="inlineStr">
        <is>
          <t>No</t>
        </is>
      </c>
      <c r="P1529" s="14">
        <f>H1529*I1529</f>
        <v/>
      </c>
      <c r="Q1529" s="14">
        <f>P1529*(1-J1529)</f>
        <v/>
      </c>
      <c r="R1529" s="14">
        <f>H1529*K1529</f>
        <v/>
      </c>
      <c r="S1529" s="15">
        <f>IF(Q1529=0,"",(Q1529-R1529)/Q1529)</f>
        <v/>
      </c>
      <c r="T1529" s="13">
        <f>YEAR(B1529)</f>
        <v/>
      </c>
      <c r="U1529" s="13">
        <f>YEAR(B1529)&amp;"-Q"&amp;ROUNDUP(MONTH(B1529)/3,0)</f>
        <v/>
      </c>
      <c r="V1529" s="13">
        <f>TEXT(B1529,"YYYY-MM")</f>
        <v/>
      </c>
      <c r="W1529" s="13">
        <f>IF(L1529="","",IF(L1529&gt;pLateDays,1,0))</f>
        <v/>
      </c>
      <c r="X1529" s="13">
        <f>IF(Q1529&gt;=pHighCutoff,1,0)</f>
        <v/>
      </c>
      <c r="Y1529" s="13">
        <f>IF(M1529="Returned",1,0)</f>
        <v/>
      </c>
    </row>
    <row r="1530">
      <c r="A1530" s="13" t="inlineStr">
        <is>
          <t>HC-101528</t>
        </is>
      </c>
      <c r="B1530" s="18" t="n">
        <v>45746</v>
      </c>
      <c r="C1530" s="13" t="inlineStr">
        <is>
          <t>East</t>
        </is>
      </c>
      <c r="D1530" s="13" t="inlineStr">
        <is>
          <t>Online</t>
        </is>
      </c>
      <c r="E1530" s="13" t="inlineStr">
        <is>
          <t>Textiles</t>
        </is>
      </c>
      <c r="F1530" s="13" t="inlineStr">
        <is>
          <t>Wool Throw</t>
        </is>
      </c>
      <c r="G1530" s="13" t="inlineStr">
        <is>
          <t>Corporate</t>
        </is>
      </c>
      <c r="H1530" s="13" t="n">
        <v>1</v>
      </c>
      <c r="I1530" s="14" t="n">
        <v>67.81999999999999</v>
      </c>
      <c r="J1530" s="15" t="n">
        <v>0.14</v>
      </c>
      <c r="K1530" s="14" t="n">
        <v>28.48</v>
      </c>
      <c r="L1530" s="13" t="n">
        <v>11</v>
      </c>
      <c r="M1530" s="13" t="inlineStr">
        <is>
          <t>Completed</t>
        </is>
      </c>
      <c r="N1530" s="13" t="inlineStr">
        <is>
          <t>R. Ibarra</t>
        </is>
      </c>
      <c r="O1530" s="13" t="inlineStr">
        <is>
          <t>No</t>
        </is>
      </c>
      <c r="P1530" s="14">
        <f>H1530*I1530</f>
        <v/>
      </c>
      <c r="Q1530" s="14">
        <f>P1530*(1-J1530)</f>
        <v/>
      </c>
      <c r="R1530" s="14">
        <f>H1530*K1530</f>
        <v/>
      </c>
      <c r="S1530" s="15">
        <f>IF(Q1530=0,"",(Q1530-R1530)/Q1530)</f>
        <v/>
      </c>
      <c r="T1530" s="13">
        <f>YEAR(B1530)</f>
        <v/>
      </c>
      <c r="U1530" s="13">
        <f>YEAR(B1530)&amp;"-Q"&amp;ROUNDUP(MONTH(B1530)/3,0)</f>
        <v/>
      </c>
      <c r="V1530" s="13">
        <f>TEXT(B1530,"YYYY-MM")</f>
        <v/>
      </c>
      <c r="W1530" s="13">
        <f>IF(L1530="","",IF(L1530&gt;pLateDays,1,0))</f>
        <v/>
      </c>
      <c r="X1530" s="13">
        <f>IF(Q1530&gt;=pHighCutoff,1,0)</f>
        <v/>
      </c>
      <c r="Y1530" s="13">
        <f>IF(M1530="Returned",1,0)</f>
        <v/>
      </c>
    </row>
    <row r="1531">
      <c r="A1531" s="13" t="inlineStr">
        <is>
          <t>HC-101529</t>
        </is>
      </c>
      <c r="B1531" s="18" t="n">
        <v>45902</v>
      </c>
      <c r="C1531" s="13" t="inlineStr">
        <is>
          <t>West</t>
        </is>
      </c>
      <c r="D1531" s="13" t="inlineStr">
        <is>
          <t>Online</t>
        </is>
      </c>
      <c r="E1531" s="13" t="inlineStr">
        <is>
          <t>Furniture</t>
        </is>
      </c>
      <c r="F1531" s="13" t="inlineStr">
        <is>
          <t>Lounge Chair</t>
        </is>
      </c>
      <c r="G1531" s="13" t="inlineStr">
        <is>
          <t>Corporate</t>
        </is>
      </c>
      <c r="H1531" s="13" t="n">
        <v>3</v>
      </c>
      <c r="I1531" s="14" t="n">
        <v>470.81</v>
      </c>
      <c r="J1531" s="15" t="n">
        <v>0.04</v>
      </c>
      <c r="K1531" s="14" t="n">
        <v>282.49</v>
      </c>
      <c r="L1531" s="13" t="n">
        <v>5</v>
      </c>
      <c r="M1531" s="13" t="inlineStr">
        <is>
          <t>Completed</t>
        </is>
      </c>
      <c r="N1531" s="13" t="inlineStr">
        <is>
          <t>L. Berger</t>
        </is>
      </c>
      <c r="O1531" s="13" t="inlineStr">
        <is>
          <t>No</t>
        </is>
      </c>
      <c r="P1531" s="14">
        <f>H1531*I1531</f>
        <v/>
      </c>
      <c r="Q1531" s="14">
        <f>P1531*(1-J1531)</f>
        <v/>
      </c>
      <c r="R1531" s="14">
        <f>H1531*K1531</f>
        <v/>
      </c>
      <c r="S1531" s="15">
        <f>IF(Q1531=0,"",(Q1531-R1531)/Q1531)</f>
        <v/>
      </c>
      <c r="T1531" s="13">
        <f>YEAR(B1531)</f>
        <v/>
      </c>
      <c r="U1531" s="13">
        <f>YEAR(B1531)&amp;"-Q"&amp;ROUNDUP(MONTH(B1531)/3,0)</f>
        <v/>
      </c>
      <c r="V1531" s="13">
        <f>TEXT(B1531,"YYYY-MM")</f>
        <v/>
      </c>
      <c r="W1531" s="13">
        <f>IF(L1531="","",IF(L1531&gt;pLateDays,1,0))</f>
        <v/>
      </c>
      <c r="X1531" s="13">
        <f>IF(Q1531&gt;=pHighCutoff,1,0)</f>
        <v/>
      </c>
      <c r="Y1531" s="13">
        <f>IF(M1531="Returned",1,0)</f>
        <v/>
      </c>
    </row>
    <row r="1532">
      <c r="A1532" s="13" t="inlineStr">
        <is>
          <t>HC-101530</t>
        </is>
      </c>
      <c r="B1532" s="18" t="n">
        <v>45611</v>
      </c>
      <c r="C1532" s="13" t="inlineStr">
        <is>
          <t>East</t>
        </is>
      </c>
      <c r="D1532" s="13" t="inlineStr">
        <is>
          <t>Online</t>
        </is>
      </c>
      <c r="E1532" s="13" t="inlineStr">
        <is>
          <t>Furniture</t>
        </is>
      </c>
      <c r="F1532" s="13" t="inlineStr">
        <is>
          <t>Linen Sofa</t>
        </is>
      </c>
      <c r="G1532" s="13" t="inlineStr">
        <is>
          <t>Corporate</t>
        </is>
      </c>
      <c r="H1532" s="13" t="n">
        <v>4</v>
      </c>
      <c r="I1532" s="14" t="n">
        <v>1177.83</v>
      </c>
      <c r="J1532" s="15" t="n">
        <v>0.16</v>
      </c>
      <c r="K1532" s="14" t="n">
        <v>777.37</v>
      </c>
      <c r="L1532" s="13" t="n">
        <v>11</v>
      </c>
      <c r="M1532" s="13" t="inlineStr">
        <is>
          <t>Returned</t>
        </is>
      </c>
      <c r="N1532" s="13" t="inlineStr">
        <is>
          <t>K. Mensah</t>
        </is>
      </c>
      <c r="O1532" s="13" t="inlineStr">
        <is>
          <t>No</t>
        </is>
      </c>
      <c r="P1532" s="14">
        <f>H1532*I1532</f>
        <v/>
      </c>
      <c r="Q1532" s="14">
        <f>P1532*(1-J1532)</f>
        <v/>
      </c>
      <c r="R1532" s="14">
        <f>H1532*K1532</f>
        <v/>
      </c>
      <c r="S1532" s="15">
        <f>IF(Q1532=0,"",(Q1532-R1532)/Q1532)</f>
        <v/>
      </c>
      <c r="T1532" s="13">
        <f>YEAR(B1532)</f>
        <v/>
      </c>
      <c r="U1532" s="13">
        <f>YEAR(B1532)&amp;"-Q"&amp;ROUNDUP(MONTH(B1532)/3,0)</f>
        <v/>
      </c>
      <c r="V1532" s="13">
        <f>TEXT(B1532,"YYYY-MM")</f>
        <v/>
      </c>
      <c r="W1532" s="13">
        <f>IF(L1532="","",IF(L1532&gt;pLateDays,1,0))</f>
        <v/>
      </c>
      <c r="X1532" s="13">
        <f>IF(Q1532&gt;=pHighCutoff,1,0)</f>
        <v/>
      </c>
      <c r="Y1532" s="13">
        <f>IF(M1532="Returned",1,0)</f>
        <v/>
      </c>
    </row>
    <row r="1533">
      <c r="A1533" s="13" t="inlineStr">
        <is>
          <t>HC-101531</t>
        </is>
      </c>
      <c r="B1533" s="18" t="n">
        <v>45583</v>
      </c>
      <c r="C1533" s="13" t="inlineStr">
        <is>
          <t>West</t>
        </is>
      </c>
      <c r="D1533" s="13" t="inlineStr">
        <is>
          <t>Wholesale</t>
        </is>
      </c>
      <c r="E1533" s="13" t="inlineStr">
        <is>
          <t>Textiles</t>
        </is>
      </c>
      <c r="F1533" s="13" t="inlineStr">
        <is>
          <t>Cotton Duvet</t>
        </is>
      </c>
      <c r="G1533" s="13" t="inlineStr">
        <is>
          <t>Consumer</t>
        </is>
      </c>
      <c r="H1533" s="13" t="n">
        <v>34</v>
      </c>
      <c r="I1533" s="14" t="n">
        <v>127.03</v>
      </c>
      <c r="J1533" s="15" t="n">
        <v>0.29</v>
      </c>
      <c r="K1533" s="14" t="n">
        <v>55.9</v>
      </c>
      <c r="L1533" s="13" t="n">
        <v>6</v>
      </c>
      <c r="M1533" s="13" t="inlineStr">
        <is>
          <t>Returned</t>
        </is>
      </c>
      <c r="N1533" s="13" t="inlineStr">
        <is>
          <t>A. Shah</t>
        </is>
      </c>
      <c r="O1533" s="13" t="inlineStr">
        <is>
          <t>No</t>
        </is>
      </c>
      <c r="P1533" s="14">
        <f>H1533*I1533</f>
        <v/>
      </c>
      <c r="Q1533" s="14">
        <f>P1533*(1-J1533)</f>
        <v/>
      </c>
      <c r="R1533" s="14">
        <f>H1533*K1533</f>
        <v/>
      </c>
      <c r="S1533" s="15">
        <f>IF(Q1533=0,"",(Q1533-R1533)/Q1533)</f>
        <v/>
      </c>
      <c r="T1533" s="13">
        <f>YEAR(B1533)</f>
        <v/>
      </c>
      <c r="U1533" s="13">
        <f>YEAR(B1533)&amp;"-Q"&amp;ROUNDUP(MONTH(B1533)/3,0)</f>
        <v/>
      </c>
      <c r="V1533" s="13">
        <f>TEXT(B1533,"YYYY-MM")</f>
        <v/>
      </c>
      <c r="W1533" s="13">
        <f>IF(L1533="","",IF(L1533&gt;pLateDays,1,0))</f>
        <v/>
      </c>
      <c r="X1533" s="13">
        <f>IF(Q1533&gt;=pHighCutoff,1,0)</f>
        <v/>
      </c>
      <c r="Y1533" s="13">
        <f>IF(M1533="Returned",1,0)</f>
        <v/>
      </c>
    </row>
    <row r="1534">
      <c r="A1534" s="13" t="inlineStr">
        <is>
          <t>HC-101532</t>
        </is>
      </c>
      <c r="B1534" s="18" t="n">
        <v>45847</v>
      </c>
      <c r="C1534" s="13" t="inlineStr">
        <is>
          <t>West</t>
        </is>
      </c>
      <c r="D1534" s="13" t="inlineStr">
        <is>
          <t>Online</t>
        </is>
      </c>
      <c r="E1534" s="13" t="inlineStr">
        <is>
          <t>Kitchen</t>
        </is>
      </c>
      <c r="F1534" s="13" t="inlineStr">
        <is>
          <t>Ceramic Set</t>
        </is>
      </c>
      <c r="G1534" s="13" t="inlineStr">
        <is>
          <t>Corporate</t>
        </is>
      </c>
      <c r="H1534" s="13" t="n">
        <v>3</v>
      </c>
      <c r="I1534" s="14" t="n">
        <v>82.12</v>
      </c>
      <c r="J1534" s="15" t="n">
        <v>0.03</v>
      </c>
      <c r="K1534" s="14" t="n">
        <v>31.21</v>
      </c>
      <c r="L1534" s="13" t="n">
        <v>6</v>
      </c>
      <c r="M1534" s="13" t="inlineStr">
        <is>
          <t>Completed</t>
        </is>
      </c>
      <c r="N1534" s="13" t="inlineStr">
        <is>
          <t>A. Shah</t>
        </is>
      </c>
      <c r="O1534" s="13" t="inlineStr">
        <is>
          <t>No</t>
        </is>
      </c>
      <c r="P1534" s="14">
        <f>H1534*I1534</f>
        <v/>
      </c>
      <c r="Q1534" s="14">
        <f>P1534*(1-J1534)</f>
        <v/>
      </c>
      <c r="R1534" s="14">
        <f>H1534*K1534</f>
        <v/>
      </c>
      <c r="S1534" s="15">
        <f>IF(Q1534=0,"",(Q1534-R1534)/Q1534)</f>
        <v/>
      </c>
      <c r="T1534" s="13">
        <f>YEAR(B1534)</f>
        <v/>
      </c>
      <c r="U1534" s="13">
        <f>YEAR(B1534)&amp;"-Q"&amp;ROUNDUP(MONTH(B1534)/3,0)</f>
        <v/>
      </c>
      <c r="V1534" s="13">
        <f>TEXT(B1534,"YYYY-MM")</f>
        <v/>
      </c>
      <c r="W1534" s="13">
        <f>IF(L1534="","",IF(L1534&gt;pLateDays,1,0))</f>
        <v/>
      </c>
      <c r="X1534" s="13">
        <f>IF(Q1534&gt;=pHighCutoff,1,0)</f>
        <v/>
      </c>
      <c r="Y1534" s="13">
        <f>IF(M1534="Returned",1,0)</f>
        <v/>
      </c>
    </row>
    <row r="1535">
      <c r="A1535" s="13" t="inlineStr">
        <is>
          <t>HC-101533</t>
        </is>
      </c>
      <c r="B1535" s="18" t="n">
        <v>45417</v>
      </c>
      <c r="C1535" s="13" t="inlineStr">
        <is>
          <t>South</t>
        </is>
      </c>
      <c r="D1535" s="13" t="inlineStr">
        <is>
          <t>Online</t>
        </is>
      </c>
      <c r="E1535" s="13" t="inlineStr">
        <is>
          <t>Furniture</t>
        </is>
      </c>
      <c r="F1535" s="13" t="inlineStr">
        <is>
          <t>Oak Desk</t>
        </is>
      </c>
      <c r="G1535" s="13" t="inlineStr">
        <is>
          <t>Corporate</t>
        </is>
      </c>
      <c r="H1535" s="13" t="n">
        <v>1</v>
      </c>
      <c r="I1535" s="14" t="n">
        <v>804.95</v>
      </c>
      <c r="J1535" s="15" t="n">
        <v>0.16</v>
      </c>
      <c r="K1535" s="14" t="n">
        <v>499.07</v>
      </c>
      <c r="L1535" s="13" t="n">
        <v>7</v>
      </c>
      <c r="M1535" s="13" t="inlineStr">
        <is>
          <t>Returned</t>
        </is>
      </c>
      <c r="N1535" s="13" t="inlineStr">
        <is>
          <t>J. Patel</t>
        </is>
      </c>
      <c r="O1535" s="13" t="inlineStr">
        <is>
          <t>No</t>
        </is>
      </c>
      <c r="P1535" s="14">
        <f>H1535*I1535</f>
        <v/>
      </c>
      <c r="Q1535" s="14">
        <f>P1535*(1-J1535)</f>
        <v/>
      </c>
      <c r="R1535" s="14">
        <f>H1535*K1535</f>
        <v/>
      </c>
      <c r="S1535" s="15">
        <f>IF(Q1535=0,"",(Q1535-R1535)/Q1535)</f>
        <v/>
      </c>
      <c r="T1535" s="13">
        <f>YEAR(B1535)</f>
        <v/>
      </c>
      <c r="U1535" s="13">
        <f>YEAR(B1535)&amp;"-Q"&amp;ROUNDUP(MONTH(B1535)/3,0)</f>
        <v/>
      </c>
      <c r="V1535" s="13">
        <f>TEXT(B1535,"YYYY-MM")</f>
        <v/>
      </c>
      <c r="W1535" s="13">
        <f>IF(L1535="","",IF(L1535&gt;pLateDays,1,0))</f>
        <v/>
      </c>
      <c r="X1535" s="13">
        <f>IF(Q1535&gt;=pHighCutoff,1,0)</f>
        <v/>
      </c>
      <c r="Y1535" s="13">
        <f>IF(M1535="Returned",1,0)</f>
        <v/>
      </c>
    </row>
    <row r="1536">
      <c r="A1536" s="13" t="inlineStr">
        <is>
          <t>HC-101534</t>
        </is>
      </c>
      <c r="B1536" s="18" t="n">
        <v>45383</v>
      </c>
      <c r="C1536" s="13" t="inlineStr">
        <is>
          <t>West</t>
        </is>
      </c>
      <c r="D1536" s="13" t="inlineStr">
        <is>
          <t>Online</t>
        </is>
      </c>
      <c r="E1536" s="13" t="inlineStr">
        <is>
          <t>Kitchen</t>
        </is>
      </c>
      <c r="F1536" s="13" t="inlineStr">
        <is>
          <t>Chef Knife</t>
        </is>
      </c>
      <c r="G1536" s="13" t="inlineStr">
        <is>
          <t>Consumer</t>
        </is>
      </c>
      <c r="H1536" s="13" t="n">
        <v>2</v>
      </c>
      <c r="I1536" s="14" t="n">
        <v>61.01</v>
      </c>
      <c r="J1536" s="15" t="n">
        <v>0.05</v>
      </c>
      <c r="K1536" s="14" t="n">
        <v>21.96</v>
      </c>
      <c r="L1536" s="13" t="n">
        <v>3</v>
      </c>
      <c r="M1536" s="13" t="inlineStr">
        <is>
          <t>Completed</t>
        </is>
      </c>
      <c r="N1536" s="13" t="inlineStr">
        <is>
          <t>K. Mensah</t>
        </is>
      </c>
      <c r="O1536" s="13" t="inlineStr">
        <is>
          <t>No</t>
        </is>
      </c>
      <c r="P1536" s="14">
        <f>H1536*I1536</f>
        <v/>
      </c>
      <c r="Q1536" s="14">
        <f>P1536*(1-J1536)</f>
        <v/>
      </c>
      <c r="R1536" s="14">
        <f>H1536*K1536</f>
        <v/>
      </c>
      <c r="S1536" s="15">
        <f>IF(Q1536=0,"",(Q1536-R1536)/Q1536)</f>
        <v/>
      </c>
      <c r="T1536" s="13">
        <f>YEAR(B1536)</f>
        <v/>
      </c>
      <c r="U1536" s="13">
        <f>YEAR(B1536)&amp;"-Q"&amp;ROUNDUP(MONTH(B1536)/3,0)</f>
        <v/>
      </c>
      <c r="V1536" s="13">
        <f>TEXT(B1536,"YYYY-MM")</f>
        <v/>
      </c>
      <c r="W1536" s="13">
        <f>IF(L1536="","",IF(L1536&gt;pLateDays,1,0))</f>
        <v/>
      </c>
      <c r="X1536" s="13">
        <f>IF(Q1536&gt;=pHighCutoff,1,0)</f>
        <v/>
      </c>
      <c r="Y1536" s="13">
        <f>IF(M1536="Returned",1,0)</f>
        <v/>
      </c>
    </row>
    <row r="1537">
      <c r="A1537" s="13" t="inlineStr">
        <is>
          <t>HC-101535</t>
        </is>
      </c>
      <c r="B1537" s="18" t="n">
        <v>45639</v>
      </c>
      <c r="C1537" s="13" t="inlineStr">
        <is>
          <t>North</t>
        </is>
      </c>
      <c r="D1537" s="13" t="inlineStr">
        <is>
          <t>Online</t>
        </is>
      </c>
      <c r="E1537" s="13" t="inlineStr">
        <is>
          <t>Lighting</t>
        </is>
      </c>
      <c r="F1537" s="13" t="inlineStr">
        <is>
          <t>Pendant Light</t>
        </is>
      </c>
      <c r="G1537" s="13" t="inlineStr">
        <is>
          <t>Consumer</t>
        </is>
      </c>
      <c r="H1537" s="13" t="n">
        <v>4</v>
      </c>
      <c r="I1537" s="14" t="n">
        <v>175.26</v>
      </c>
      <c r="J1537" s="15" t="n">
        <v>0.03</v>
      </c>
      <c r="K1537" s="14" t="n">
        <v>87.63</v>
      </c>
      <c r="L1537" s="13" t="n">
        <v>4</v>
      </c>
      <c r="M1537" s="13" t="inlineStr">
        <is>
          <t>Returned</t>
        </is>
      </c>
      <c r="N1537" s="13" t="inlineStr">
        <is>
          <t>L. Berger</t>
        </is>
      </c>
      <c r="O1537" s="13" t="inlineStr">
        <is>
          <t>No</t>
        </is>
      </c>
      <c r="P1537" s="14">
        <f>H1537*I1537</f>
        <v/>
      </c>
      <c r="Q1537" s="14">
        <f>P1537*(1-J1537)</f>
        <v/>
      </c>
      <c r="R1537" s="14">
        <f>H1537*K1537</f>
        <v/>
      </c>
      <c r="S1537" s="15">
        <f>IF(Q1537=0,"",(Q1537-R1537)/Q1537)</f>
        <v/>
      </c>
      <c r="T1537" s="13">
        <f>YEAR(B1537)</f>
        <v/>
      </c>
      <c r="U1537" s="13">
        <f>YEAR(B1537)&amp;"-Q"&amp;ROUNDUP(MONTH(B1537)/3,0)</f>
        <v/>
      </c>
      <c r="V1537" s="13">
        <f>TEXT(B1537,"YYYY-MM")</f>
        <v/>
      </c>
      <c r="W1537" s="13">
        <f>IF(L1537="","",IF(L1537&gt;pLateDays,1,0))</f>
        <v/>
      </c>
      <c r="X1537" s="13">
        <f>IF(Q1537&gt;=pHighCutoff,1,0)</f>
        <v/>
      </c>
      <c r="Y1537" s="13">
        <f>IF(M1537="Returned",1,0)</f>
        <v/>
      </c>
    </row>
    <row r="1538">
      <c r="A1538" s="13" t="inlineStr">
        <is>
          <t>HC-101536</t>
        </is>
      </c>
      <c r="B1538" s="18" t="n">
        <v>45473</v>
      </c>
      <c r="C1538" s="13" t="inlineStr">
        <is>
          <t>North</t>
        </is>
      </c>
      <c r="D1538" s="13" t="inlineStr">
        <is>
          <t>Wholesale</t>
        </is>
      </c>
      <c r="E1538" s="13" t="inlineStr">
        <is>
          <t>Furniture</t>
        </is>
      </c>
      <c r="F1538" s="13" t="inlineStr">
        <is>
          <t>Linen Sofa</t>
        </is>
      </c>
      <c r="G1538" s="13" t="inlineStr">
        <is>
          <t>Consumer</t>
        </is>
      </c>
      <c r="H1538" s="13" t="n">
        <v>18</v>
      </c>
      <c r="I1538" s="14" t="n">
        <v>1312.16</v>
      </c>
      <c r="J1538" s="15" t="n">
        <v>0.24</v>
      </c>
      <c r="K1538" s="14" t="n">
        <v>866.03</v>
      </c>
      <c r="L1538" s="13" t="n"/>
      <c r="M1538" s="13" t="inlineStr">
        <is>
          <t>Completed</t>
        </is>
      </c>
      <c r="N1538" s="13" t="inlineStr">
        <is>
          <t>K. Mensah</t>
        </is>
      </c>
      <c r="O1538" s="13" t="inlineStr">
        <is>
          <t>No</t>
        </is>
      </c>
      <c r="P1538" s="14">
        <f>H1538*I1538</f>
        <v/>
      </c>
      <c r="Q1538" s="14">
        <f>P1538*(1-J1538)</f>
        <v/>
      </c>
      <c r="R1538" s="14">
        <f>H1538*K1538</f>
        <v/>
      </c>
      <c r="S1538" s="15">
        <f>IF(Q1538=0,"",(Q1538-R1538)/Q1538)</f>
        <v/>
      </c>
      <c r="T1538" s="13">
        <f>YEAR(B1538)</f>
        <v/>
      </c>
      <c r="U1538" s="13">
        <f>YEAR(B1538)&amp;"-Q"&amp;ROUNDUP(MONTH(B1538)/3,0)</f>
        <v/>
      </c>
      <c r="V1538" s="13">
        <f>TEXT(B1538,"YYYY-MM")</f>
        <v/>
      </c>
      <c r="W1538" s="13">
        <f>IF(L1538="","",IF(L1538&gt;pLateDays,1,0))</f>
        <v/>
      </c>
      <c r="X1538" s="13">
        <f>IF(Q1538&gt;=pHighCutoff,1,0)</f>
        <v/>
      </c>
      <c r="Y1538" s="13">
        <f>IF(M1538="Returned",1,0)</f>
        <v/>
      </c>
    </row>
    <row r="1539">
      <c r="A1539" s="13" t="inlineStr">
        <is>
          <t>HC-101537</t>
        </is>
      </c>
      <c r="B1539" s="18" t="n">
        <v>45769</v>
      </c>
      <c r="C1539" s="13" t="inlineStr">
        <is>
          <t>North</t>
        </is>
      </c>
      <c r="D1539" s="13" t="inlineStr">
        <is>
          <t>Wholesale</t>
        </is>
      </c>
      <c r="E1539" s="13" t="inlineStr">
        <is>
          <t>Furniture</t>
        </is>
      </c>
      <c r="F1539" s="13" t="inlineStr">
        <is>
          <t>Oak Desk</t>
        </is>
      </c>
      <c r="G1539" s="13" t="inlineStr">
        <is>
          <t>Consumer</t>
        </is>
      </c>
      <c r="H1539" s="13" t="n">
        <v>32</v>
      </c>
      <c r="I1539" s="14" t="n">
        <v>820.3099999999999</v>
      </c>
      <c r="J1539" s="15" t="n">
        <v>0.2</v>
      </c>
      <c r="K1539" s="14" t="n">
        <v>508.59</v>
      </c>
      <c r="L1539" s="13" t="n">
        <v>7</v>
      </c>
      <c r="M1539" s="13" t="inlineStr">
        <is>
          <t>Completed</t>
        </is>
      </c>
      <c r="N1539" s="13" t="inlineStr">
        <is>
          <t>J. Patel</t>
        </is>
      </c>
      <c r="O1539" s="13" t="inlineStr">
        <is>
          <t>No</t>
        </is>
      </c>
      <c r="P1539" s="14">
        <f>H1539*I1539</f>
        <v/>
      </c>
      <c r="Q1539" s="14">
        <f>P1539*(1-J1539)</f>
        <v/>
      </c>
      <c r="R1539" s="14">
        <f>H1539*K1539</f>
        <v/>
      </c>
      <c r="S1539" s="15">
        <f>IF(Q1539=0,"",(Q1539-R1539)/Q1539)</f>
        <v/>
      </c>
      <c r="T1539" s="13">
        <f>YEAR(B1539)</f>
        <v/>
      </c>
      <c r="U1539" s="13">
        <f>YEAR(B1539)&amp;"-Q"&amp;ROUNDUP(MONTH(B1539)/3,0)</f>
        <v/>
      </c>
      <c r="V1539" s="13">
        <f>TEXT(B1539,"YYYY-MM")</f>
        <v/>
      </c>
      <c r="W1539" s="13">
        <f>IF(L1539="","",IF(L1539&gt;pLateDays,1,0))</f>
        <v/>
      </c>
      <c r="X1539" s="13">
        <f>IF(Q1539&gt;=pHighCutoff,1,0)</f>
        <v/>
      </c>
      <c r="Y1539" s="13">
        <f>IF(M1539="Returned",1,0)</f>
        <v/>
      </c>
    </row>
    <row r="1540">
      <c r="A1540" s="13" t="inlineStr">
        <is>
          <t>HC-101538</t>
        </is>
      </c>
      <c r="B1540" s="18" t="n">
        <v>45621</v>
      </c>
      <c r="C1540" s="13" t="inlineStr">
        <is>
          <t>West</t>
        </is>
      </c>
      <c r="D1540" s="13" t="inlineStr">
        <is>
          <t>Online</t>
        </is>
      </c>
      <c r="E1540" s="13" t="inlineStr">
        <is>
          <t>Textiles</t>
        </is>
      </c>
      <c r="F1540" s="13" t="inlineStr">
        <is>
          <t>Cotton Duvet</t>
        </is>
      </c>
      <c r="G1540" s="13" t="inlineStr">
        <is>
          <t>Consumer</t>
        </is>
      </c>
      <c r="H1540" s="13" t="n">
        <v>3</v>
      </c>
      <c r="I1540" s="14" t="n">
        <v>116.45</v>
      </c>
      <c r="J1540" s="15" t="n">
        <v>0.02</v>
      </c>
      <c r="K1540" s="14" t="n">
        <v>51.24</v>
      </c>
      <c r="L1540" s="13" t="n">
        <v>3</v>
      </c>
      <c r="M1540" s="13" t="inlineStr">
        <is>
          <t>Completed</t>
        </is>
      </c>
      <c r="N1540" s="13" t="inlineStr">
        <is>
          <t>J. Patel</t>
        </is>
      </c>
      <c r="O1540" s="13" t="inlineStr">
        <is>
          <t>No</t>
        </is>
      </c>
      <c r="P1540" s="14">
        <f>H1540*I1540</f>
        <v/>
      </c>
      <c r="Q1540" s="14">
        <f>P1540*(1-J1540)</f>
        <v/>
      </c>
      <c r="R1540" s="14">
        <f>H1540*K1540</f>
        <v/>
      </c>
      <c r="S1540" s="15">
        <f>IF(Q1540=0,"",(Q1540-R1540)/Q1540)</f>
        <v/>
      </c>
      <c r="T1540" s="13">
        <f>YEAR(B1540)</f>
        <v/>
      </c>
      <c r="U1540" s="13">
        <f>YEAR(B1540)&amp;"-Q"&amp;ROUNDUP(MONTH(B1540)/3,0)</f>
        <v/>
      </c>
      <c r="V1540" s="13">
        <f>TEXT(B1540,"YYYY-MM")</f>
        <v/>
      </c>
      <c r="W1540" s="13">
        <f>IF(L1540="","",IF(L1540&gt;pLateDays,1,0))</f>
        <v/>
      </c>
      <c r="X1540" s="13">
        <f>IF(Q1540&gt;=pHighCutoff,1,0)</f>
        <v/>
      </c>
      <c r="Y1540" s="13">
        <f>IF(M1540="Returned",1,0)</f>
        <v/>
      </c>
    </row>
    <row r="1541">
      <c r="A1541" s="13" t="inlineStr">
        <is>
          <t>HC-101539</t>
        </is>
      </c>
      <c r="B1541" s="18" t="n">
        <v>45441</v>
      </c>
      <c r="C1541" s="13" t="inlineStr">
        <is>
          <t>North</t>
        </is>
      </c>
      <c r="D1541" s="13" t="inlineStr">
        <is>
          <t>Online</t>
        </is>
      </c>
      <c r="E1541" s="13" t="inlineStr">
        <is>
          <t>Textiles</t>
        </is>
      </c>
      <c r="F1541" s="13" t="inlineStr">
        <is>
          <t>Cotton Duvet</t>
        </is>
      </c>
      <c r="G1541" s="13" t="inlineStr">
        <is>
          <t>Corporate</t>
        </is>
      </c>
      <c r="H1541" s="13" t="n">
        <v>1</v>
      </c>
      <c r="I1541" s="14" t="n">
        <v>126.46</v>
      </c>
      <c r="J1541" s="15" t="n">
        <v>0.02</v>
      </c>
      <c r="K1541" s="14" t="n">
        <v>55.64</v>
      </c>
      <c r="L1541" s="13" t="n">
        <v>5</v>
      </c>
      <c r="M1541" s="13" t="inlineStr">
        <is>
          <t>Completed</t>
        </is>
      </c>
      <c r="N1541" s="13" t="inlineStr">
        <is>
          <t>P. Rossi</t>
        </is>
      </c>
      <c r="O1541" s="13" t="inlineStr">
        <is>
          <t>No</t>
        </is>
      </c>
      <c r="P1541" s="14">
        <f>H1541*I1541</f>
        <v/>
      </c>
      <c r="Q1541" s="14">
        <f>P1541*(1-J1541)</f>
        <v/>
      </c>
      <c r="R1541" s="14">
        <f>H1541*K1541</f>
        <v/>
      </c>
      <c r="S1541" s="15">
        <f>IF(Q1541=0,"",(Q1541-R1541)/Q1541)</f>
        <v/>
      </c>
      <c r="T1541" s="13">
        <f>YEAR(B1541)</f>
        <v/>
      </c>
      <c r="U1541" s="13">
        <f>YEAR(B1541)&amp;"-Q"&amp;ROUNDUP(MONTH(B1541)/3,0)</f>
        <v/>
      </c>
      <c r="V1541" s="13">
        <f>TEXT(B1541,"YYYY-MM")</f>
        <v/>
      </c>
      <c r="W1541" s="13">
        <f>IF(L1541="","",IF(L1541&gt;pLateDays,1,0))</f>
        <v/>
      </c>
      <c r="X1541" s="13">
        <f>IF(Q1541&gt;=pHighCutoff,1,0)</f>
        <v/>
      </c>
      <c r="Y1541" s="13">
        <f>IF(M1541="Returned",1,0)</f>
        <v/>
      </c>
    </row>
    <row r="1542">
      <c r="A1542" s="13" t="inlineStr">
        <is>
          <t>HC-101540</t>
        </is>
      </c>
      <c r="B1542" s="18" t="n">
        <v>45719</v>
      </c>
      <c r="C1542" s="13" t="inlineStr">
        <is>
          <t>South</t>
        </is>
      </c>
      <c r="D1542" s="13" t="inlineStr">
        <is>
          <t>Wholesale</t>
        </is>
      </c>
      <c r="E1542" s="13" t="inlineStr">
        <is>
          <t>Furniture</t>
        </is>
      </c>
      <c r="F1542" s="13" t="inlineStr">
        <is>
          <t>Oak Desk</t>
        </is>
      </c>
      <c r="G1542" s="13" t="inlineStr">
        <is>
          <t>Consumer</t>
        </is>
      </c>
      <c r="H1542" s="13" t="n">
        <v>16</v>
      </c>
      <c r="I1542" s="14" t="n">
        <v>798.9299999999999</v>
      </c>
      <c r="J1542" s="15" t="n">
        <v>0.27</v>
      </c>
      <c r="K1542" s="14" t="n">
        <v>495.34</v>
      </c>
      <c r="L1542" s="13" t="n">
        <v>7</v>
      </c>
      <c r="M1542" s="13" t="inlineStr">
        <is>
          <t>Completed</t>
        </is>
      </c>
      <c r="N1542" s="13" t="inlineStr">
        <is>
          <t>M. Okonkwo</t>
        </is>
      </c>
      <c r="O1542" s="13" t="inlineStr">
        <is>
          <t>No</t>
        </is>
      </c>
      <c r="P1542" s="14">
        <f>H1542*I1542</f>
        <v/>
      </c>
      <c r="Q1542" s="14">
        <f>P1542*(1-J1542)</f>
        <v/>
      </c>
      <c r="R1542" s="14">
        <f>H1542*K1542</f>
        <v/>
      </c>
      <c r="S1542" s="15">
        <f>IF(Q1542=0,"",(Q1542-R1542)/Q1542)</f>
        <v/>
      </c>
      <c r="T1542" s="13">
        <f>YEAR(B1542)</f>
        <v/>
      </c>
      <c r="U1542" s="13">
        <f>YEAR(B1542)&amp;"-Q"&amp;ROUNDUP(MONTH(B1542)/3,0)</f>
        <v/>
      </c>
      <c r="V1542" s="13">
        <f>TEXT(B1542,"YYYY-MM")</f>
        <v/>
      </c>
      <c r="W1542" s="13">
        <f>IF(L1542="","",IF(L1542&gt;pLateDays,1,0))</f>
        <v/>
      </c>
      <c r="X1542" s="13">
        <f>IF(Q1542&gt;=pHighCutoff,1,0)</f>
        <v/>
      </c>
      <c r="Y1542" s="13">
        <f>IF(M1542="Returned",1,0)</f>
        <v/>
      </c>
    </row>
    <row r="1543">
      <c r="A1543" s="13" t="inlineStr">
        <is>
          <t>HC-101541</t>
        </is>
      </c>
      <c r="B1543" s="18" t="n">
        <v>45542</v>
      </c>
      <c r="C1543" s="13" t="inlineStr">
        <is>
          <t>North</t>
        </is>
      </c>
      <c r="D1543" s="13" t="inlineStr">
        <is>
          <t>Store</t>
        </is>
      </c>
      <c r="E1543" s="13" t="inlineStr">
        <is>
          <t>Kitchen</t>
        </is>
      </c>
      <c r="F1543" s="13" t="inlineStr">
        <is>
          <t>Ceramic Set</t>
        </is>
      </c>
      <c r="G1543" s="13" t="inlineStr">
        <is>
          <t>Corporate</t>
        </is>
      </c>
      <c r="H1543" s="13" t="n">
        <v>1</v>
      </c>
      <c r="I1543" s="14" t="n">
        <v>85.69</v>
      </c>
      <c r="J1543" s="15" t="n">
        <v>0.06</v>
      </c>
      <c r="K1543" s="14" t="n">
        <v>32.56</v>
      </c>
      <c r="L1543" s="13" t="n">
        <v>3</v>
      </c>
      <c r="M1543" s="13" t="inlineStr">
        <is>
          <t>Completed</t>
        </is>
      </c>
      <c r="N1543" s="13" t="inlineStr">
        <is>
          <t>K. Mensah</t>
        </is>
      </c>
      <c r="O1543" s="13" t="inlineStr">
        <is>
          <t>No</t>
        </is>
      </c>
      <c r="P1543" s="14">
        <f>H1543*I1543</f>
        <v/>
      </c>
      <c r="Q1543" s="14">
        <f>P1543*(1-J1543)</f>
        <v/>
      </c>
      <c r="R1543" s="14">
        <f>H1543*K1543</f>
        <v/>
      </c>
      <c r="S1543" s="15">
        <f>IF(Q1543=0,"",(Q1543-R1543)/Q1543)</f>
        <v/>
      </c>
      <c r="T1543" s="13">
        <f>YEAR(B1543)</f>
        <v/>
      </c>
      <c r="U1543" s="13">
        <f>YEAR(B1543)&amp;"-Q"&amp;ROUNDUP(MONTH(B1543)/3,0)</f>
        <v/>
      </c>
      <c r="V1543" s="13">
        <f>TEXT(B1543,"YYYY-MM")</f>
        <v/>
      </c>
      <c r="W1543" s="13">
        <f>IF(L1543="","",IF(L1543&gt;pLateDays,1,0))</f>
        <v/>
      </c>
      <c r="X1543" s="13">
        <f>IF(Q1543&gt;=pHighCutoff,1,0)</f>
        <v/>
      </c>
      <c r="Y1543" s="13">
        <f>IF(M1543="Returned",1,0)</f>
        <v/>
      </c>
    </row>
    <row r="1544">
      <c r="A1544" s="13" t="inlineStr">
        <is>
          <t>HC-101542</t>
        </is>
      </c>
      <c r="B1544" s="18" t="n">
        <v>45566</v>
      </c>
      <c r="C1544" s="13" t="inlineStr">
        <is>
          <t>West</t>
        </is>
      </c>
      <c r="D1544" s="13" t="inlineStr">
        <is>
          <t>Online</t>
        </is>
      </c>
      <c r="E1544" s="13" t="inlineStr">
        <is>
          <t>Lighting</t>
        </is>
      </c>
      <c r="F1544" s="13" t="inlineStr">
        <is>
          <t>Pendant Light</t>
        </is>
      </c>
      <c r="G1544" s="13" t="inlineStr">
        <is>
          <t>Corporate</t>
        </is>
      </c>
      <c r="H1544" s="13" t="n">
        <v>2</v>
      </c>
      <c r="I1544" s="14" t="n">
        <v>177.63</v>
      </c>
      <c r="J1544" s="15" t="n">
        <v>0.1</v>
      </c>
      <c r="K1544" s="14" t="n">
        <v>88.81</v>
      </c>
      <c r="L1544" s="13" t="n">
        <v>4</v>
      </c>
      <c r="M1544" s="13" t="inlineStr">
        <is>
          <t>Completed</t>
        </is>
      </c>
      <c r="N1544" s="13" t="inlineStr">
        <is>
          <t>K. Mensah</t>
        </is>
      </c>
      <c r="O1544" s="13" t="inlineStr">
        <is>
          <t>No</t>
        </is>
      </c>
      <c r="P1544" s="14">
        <f>H1544*I1544</f>
        <v/>
      </c>
      <c r="Q1544" s="14">
        <f>P1544*(1-J1544)</f>
        <v/>
      </c>
      <c r="R1544" s="14">
        <f>H1544*K1544</f>
        <v/>
      </c>
      <c r="S1544" s="15">
        <f>IF(Q1544=0,"",(Q1544-R1544)/Q1544)</f>
        <v/>
      </c>
      <c r="T1544" s="13">
        <f>YEAR(B1544)</f>
        <v/>
      </c>
      <c r="U1544" s="13">
        <f>YEAR(B1544)&amp;"-Q"&amp;ROUNDUP(MONTH(B1544)/3,0)</f>
        <v/>
      </c>
      <c r="V1544" s="13">
        <f>TEXT(B1544,"YYYY-MM")</f>
        <v/>
      </c>
      <c r="W1544" s="13">
        <f>IF(L1544="","",IF(L1544&gt;pLateDays,1,0))</f>
        <v/>
      </c>
      <c r="X1544" s="13">
        <f>IF(Q1544&gt;=pHighCutoff,1,0)</f>
        <v/>
      </c>
      <c r="Y1544" s="13">
        <f>IF(M1544="Returned",1,0)</f>
        <v/>
      </c>
    </row>
    <row r="1545">
      <c r="A1545" s="13" t="inlineStr">
        <is>
          <t>HC-101543</t>
        </is>
      </c>
      <c r="B1545" s="18" t="n">
        <v>45824</v>
      </c>
      <c r="C1545" s="13" t="inlineStr">
        <is>
          <t>North</t>
        </is>
      </c>
      <c r="D1545" s="13" t="inlineStr">
        <is>
          <t>Store</t>
        </is>
      </c>
      <c r="E1545" s="13" t="inlineStr">
        <is>
          <t>Furniture</t>
        </is>
      </c>
      <c r="F1545" s="13" t="inlineStr">
        <is>
          <t>Lounge Chair</t>
        </is>
      </c>
      <c r="G1545" s="13" t="inlineStr">
        <is>
          <t>Unknown</t>
        </is>
      </c>
      <c r="H1545" s="13" t="n">
        <v>4</v>
      </c>
      <c r="I1545" s="14" t="n">
        <v>486.81</v>
      </c>
      <c r="J1545" s="15" t="n">
        <v>0.06</v>
      </c>
      <c r="K1545" s="14" t="n">
        <v>292.09</v>
      </c>
      <c r="L1545" s="13" t="n">
        <v>6</v>
      </c>
      <c r="M1545" s="13" t="inlineStr">
        <is>
          <t>Completed</t>
        </is>
      </c>
      <c r="N1545" s="13" t="inlineStr">
        <is>
          <t>P. Rossi</t>
        </is>
      </c>
      <c r="O1545" s="13" t="inlineStr">
        <is>
          <t>No</t>
        </is>
      </c>
      <c r="P1545" s="14">
        <f>H1545*I1545</f>
        <v/>
      </c>
      <c r="Q1545" s="14">
        <f>P1545*(1-J1545)</f>
        <v/>
      </c>
      <c r="R1545" s="14">
        <f>H1545*K1545</f>
        <v/>
      </c>
      <c r="S1545" s="15">
        <f>IF(Q1545=0,"",(Q1545-R1545)/Q1545)</f>
        <v/>
      </c>
      <c r="T1545" s="13">
        <f>YEAR(B1545)</f>
        <v/>
      </c>
      <c r="U1545" s="13">
        <f>YEAR(B1545)&amp;"-Q"&amp;ROUNDUP(MONTH(B1545)/3,0)</f>
        <v/>
      </c>
      <c r="V1545" s="13">
        <f>TEXT(B1545,"YYYY-MM")</f>
        <v/>
      </c>
      <c r="W1545" s="13">
        <f>IF(L1545="","",IF(L1545&gt;pLateDays,1,0))</f>
        <v/>
      </c>
      <c r="X1545" s="13">
        <f>IF(Q1545&gt;=pHighCutoff,1,0)</f>
        <v/>
      </c>
      <c r="Y1545" s="13">
        <f>IF(M1545="Returned",1,0)</f>
        <v/>
      </c>
    </row>
    <row r="1546">
      <c r="A1546" s="13" t="inlineStr">
        <is>
          <t>HC-101544</t>
        </is>
      </c>
      <c r="B1546" s="18" t="n">
        <v>45612</v>
      </c>
      <c r="C1546" s="13" t="inlineStr">
        <is>
          <t>West</t>
        </is>
      </c>
      <c r="D1546" s="13" t="inlineStr">
        <is>
          <t>Store</t>
        </is>
      </c>
      <c r="E1546" s="13" t="inlineStr">
        <is>
          <t>Furniture</t>
        </is>
      </c>
      <c r="F1546" s="13" t="inlineStr">
        <is>
          <t>Lounge Chair</t>
        </is>
      </c>
      <c r="G1546" s="13" t="inlineStr">
        <is>
          <t>Consumer</t>
        </is>
      </c>
      <c r="H1546" s="13" t="n">
        <v>3</v>
      </c>
      <c r="I1546" s="14" t="n">
        <v>500.99</v>
      </c>
      <c r="J1546" s="15" t="n">
        <v>0.05</v>
      </c>
      <c r="K1546" s="14" t="n">
        <v>300.6</v>
      </c>
      <c r="L1546" s="13" t="n">
        <v>6</v>
      </c>
      <c r="M1546" s="13" t="inlineStr">
        <is>
          <t>Completed</t>
        </is>
      </c>
      <c r="N1546" s="13" t="inlineStr">
        <is>
          <t>L. Berger</t>
        </is>
      </c>
      <c r="O1546" s="13" t="inlineStr">
        <is>
          <t>No</t>
        </is>
      </c>
      <c r="P1546" s="14">
        <f>H1546*I1546</f>
        <v/>
      </c>
      <c r="Q1546" s="14">
        <f>P1546*(1-J1546)</f>
        <v/>
      </c>
      <c r="R1546" s="14">
        <f>H1546*K1546</f>
        <v/>
      </c>
      <c r="S1546" s="15">
        <f>IF(Q1546=0,"",(Q1546-R1546)/Q1546)</f>
        <v/>
      </c>
      <c r="T1546" s="13">
        <f>YEAR(B1546)</f>
        <v/>
      </c>
      <c r="U1546" s="13">
        <f>YEAR(B1546)&amp;"-Q"&amp;ROUNDUP(MONTH(B1546)/3,0)</f>
        <v/>
      </c>
      <c r="V1546" s="13">
        <f>TEXT(B1546,"YYYY-MM")</f>
        <v/>
      </c>
      <c r="W1546" s="13">
        <f>IF(L1546="","",IF(L1546&gt;pLateDays,1,0))</f>
        <v/>
      </c>
      <c r="X1546" s="13">
        <f>IF(Q1546&gt;=pHighCutoff,1,0)</f>
        <v/>
      </c>
      <c r="Y1546" s="13">
        <f>IF(M1546="Returned",1,0)</f>
        <v/>
      </c>
    </row>
    <row r="1547">
      <c r="A1547" s="13" t="inlineStr">
        <is>
          <t>HC-101545</t>
        </is>
      </c>
      <c r="B1547" s="18" t="n">
        <v>45442</v>
      </c>
      <c r="C1547" s="13" t="inlineStr">
        <is>
          <t>North</t>
        </is>
      </c>
      <c r="D1547" s="13" t="inlineStr">
        <is>
          <t>Store</t>
        </is>
      </c>
      <c r="E1547" s="13" t="inlineStr">
        <is>
          <t>Furniture</t>
        </is>
      </c>
      <c r="F1547" s="13" t="inlineStr">
        <is>
          <t>Walnut Shelf</t>
        </is>
      </c>
      <c r="G1547" s="13" t="inlineStr">
        <is>
          <t>Consumer</t>
        </is>
      </c>
      <c r="H1547" s="13" t="n">
        <v>3</v>
      </c>
      <c r="I1547" s="14" t="n">
        <v>221.94</v>
      </c>
      <c r="J1547" s="15" t="n">
        <v>0.05</v>
      </c>
      <c r="K1547" s="14" t="n">
        <v>122.07</v>
      </c>
      <c r="L1547" s="13" t="n">
        <v>8</v>
      </c>
      <c r="M1547" s="13" t="inlineStr">
        <is>
          <t>Completed</t>
        </is>
      </c>
      <c r="N1547" s="13" t="inlineStr">
        <is>
          <t>A. Shah</t>
        </is>
      </c>
      <c r="O1547" s="13" t="inlineStr">
        <is>
          <t>No</t>
        </is>
      </c>
      <c r="P1547" s="14">
        <f>H1547*I1547</f>
        <v/>
      </c>
      <c r="Q1547" s="14">
        <f>P1547*(1-J1547)</f>
        <v/>
      </c>
      <c r="R1547" s="14">
        <f>H1547*K1547</f>
        <v/>
      </c>
      <c r="S1547" s="15">
        <f>IF(Q1547=0,"",(Q1547-R1547)/Q1547)</f>
        <v/>
      </c>
      <c r="T1547" s="13">
        <f>YEAR(B1547)</f>
        <v/>
      </c>
      <c r="U1547" s="13">
        <f>YEAR(B1547)&amp;"-Q"&amp;ROUNDUP(MONTH(B1547)/3,0)</f>
        <v/>
      </c>
      <c r="V1547" s="13">
        <f>TEXT(B1547,"YYYY-MM")</f>
        <v/>
      </c>
      <c r="W1547" s="13">
        <f>IF(L1547="","",IF(L1547&gt;pLateDays,1,0))</f>
        <v/>
      </c>
      <c r="X1547" s="13">
        <f>IF(Q1547&gt;=pHighCutoff,1,0)</f>
        <v/>
      </c>
      <c r="Y1547" s="13">
        <f>IF(M1547="Returned",1,0)</f>
        <v/>
      </c>
    </row>
    <row r="1548">
      <c r="A1548" s="13" t="inlineStr">
        <is>
          <t>HC-101546</t>
        </is>
      </c>
      <c r="B1548" s="18" t="n">
        <v>45645</v>
      </c>
      <c r="C1548" s="13" t="inlineStr">
        <is>
          <t>West</t>
        </is>
      </c>
      <c r="D1548" s="13" t="inlineStr">
        <is>
          <t>Store</t>
        </is>
      </c>
      <c r="E1548" s="13" t="inlineStr">
        <is>
          <t>Textiles</t>
        </is>
      </c>
      <c r="F1548" s="13" t="inlineStr">
        <is>
          <t>Wool Throw</t>
        </is>
      </c>
      <c r="G1548" s="13" t="inlineStr">
        <is>
          <t>Corporate</t>
        </is>
      </c>
      <c r="H1548" s="13" t="n">
        <v>3</v>
      </c>
      <c r="I1548" s="14" t="n">
        <v>72.18000000000001</v>
      </c>
      <c r="J1548" s="15" t="n">
        <v>0.11</v>
      </c>
      <c r="K1548" s="14" t="n">
        <v>30.31</v>
      </c>
      <c r="L1548" s="13" t="n">
        <v>2</v>
      </c>
      <c r="M1548" s="13" t="inlineStr">
        <is>
          <t>Completed</t>
        </is>
      </c>
      <c r="N1548" s="13" t="inlineStr">
        <is>
          <t>K. Mensah</t>
        </is>
      </c>
      <c r="O1548" s="13" t="inlineStr">
        <is>
          <t>No</t>
        </is>
      </c>
      <c r="P1548" s="14">
        <f>H1548*I1548</f>
        <v/>
      </c>
      <c r="Q1548" s="14">
        <f>P1548*(1-J1548)</f>
        <v/>
      </c>
      <c r="R1548" s="14">
        <f>H1548*K1548</f>
        <v/>
      </c>
      <c r="S1548" s="15">
        <f>IF(Q1548=0,"",(Q1548-R1548)/Q1548)</f>
        <v/>
      </c>
      <c r="T1548" s="13">
        <f>YEAR(B1548)</f>
        <v/>
      </c>
      <c r="U1548" s="13">
        <f>YEAR(B1548)&amp;"-Q"&amp;ROUNDUP(MONTH(B1548)/3,0)</f>
        <v/>
      </c>
      <c r="V1548" s="13">
        <f>TEXT(B1548,"YYYY-MM")</f>
        <v/>
      </c>
      <c r="W1548" s="13">
        <f>IF(L1548="","",IF(L1548&gt;pLateDays,1,0))</f>
        <v/>
      </c>
      <c r="X1548" s="13">
        <f>IF(Q1548&gt;=pHighCutoff,1,0)</f>
        <v/>
      </c>
      <c r="Y1548" s="13">
        <f>IF(M1548="Returned",1,0)</f>
        <v/>
      </c>
    </row>
    <row r="1549">
      <c r="A1549" s="13" t="inlineStr">
        <is>
          <t>HC-101547</t>
        </is>
      </c>
      <c r="B1549" s="18" t="n">
        <v>45709</v>
      </c>
      <c r="C1549" s="13" t="inlineStr">
        <is>
          <t>East</t>
        </is>
      </c>
      <c r="D1549" s="13" t="inlineStr">
        <is>
          <t>Store</t>
        </is>
      </c>
      <c r="E1549" s="13" t="inlineStr">
        <is>
          <t>Furniture</t>
        </is>
      </c>
      <c r="F1549" s="13" t="inlineStr">
        <is>
          <t>Oak Desk</t>
        </is>
      </c>
      <c r="G1549" s="13" t="inlineStr">
        <is>
          <t>Home Office</t>
        </is>
      </c>
      <c r="H1549" s="13" t="n">
        <v>4</v>
      </c>
      <c r="I1549" s="14" t="n">
        <v>800.8200000000001</v>
      </c>
      <c r="J1549" s="15" t="n">
        <v>0.09</v>
      </c>
      <c r="K1549" s="14" t="n">
        <v>496.51</v>
      </c>
      <c r="L1549" s="13" t="n">
        <v>8</v>
      </c>
      <c r="M1549" s="13" t="inlineStr">
        <is>
          <t>Completed</t>
        </is>
      </c>
      <c r="N1549" s="13" t="inlineStr">
        <is>
          <t>S. Nguyen</t>
        </is>
      </c>
      <c r="O1549" s="13" t="inlineStr">
        <is>
          <t>No</t>
        </is>
      </c>
      <c r="P1549" s="14">
        <f>H1549*I1549</f>
        <v/>
      </c>
      <c r="Q1549" s="14">
        <f>P1549*(1-J1549)</f>
        <v/>
      </c>
      <c r="R1549" s="14">
        <f>H1549*K1549</f>
        <v/>
      </c>
      <c r="S1549" s="15">
        <f>IF(Q1549=0,"",(Q1549-R1549)/Q1549)</f>
        <v/>
      </c>
      <c r="T1549" s="13">
        <f>YEAR(B1549)</f>
        <v/>
      </c>
      <c r="U1549" s="13">
        <f>YEAR(B1549)&amp;"-Q"&amp;ROUNDUP(MONTH(B1549)/3,0)</f>
        <v/>
      </c>
      <c r="V1549" s="13">
        <f>TEXT(B1549,"YYYY-MM")</f>
        <v/>
      </c>
      <c r="W1549" s="13">
        <f>IF(L1549="","",IF(L1549&gt;pLateDays,1,0))</f>
        <v/>
      </c>
      <c r="X1549" s="13">
        <f>IF(Q1549&gt;=pHighCutoff,1,0)</f>
        <v/>
      </c>
      <c r="Y1549" s="13">
        <f>IF(M1549="Returned",1,0)</f>
        <v/>
      </c>
    </row>
    <row r="1550">
      <c r="A1550" s="13" t="inlineStr">
        <is>
          <t>HC-101548</t>
        </is>
      </c>
      <c r="B1550" s="18" t="n">
        <v>45396</v>
      </c>
      <c r="C1550" s="13" t="inlineStr">
        <is>
          <t>North</t>
        </is>
      </c>
      <c r="D1550" s="13" t="inlineStr">
        <is>
          <t>Store</t>
        </is>
      </c>
      <c r="E1550" s="13" t="inlineStr">
        <is>
          <t>Kitchen</t>
        </is>
      </c>
      <c r="F1550" s="13" t="inlineStr">
        <is>
          <t>Cast Skillet</t>
        </is>
      </c>
      <c r="G1550" s="13" t="inlineStr">
        <is>
          <t>Consumer</t>
        </is>
      </c>
      <c r="H1550" s="13" t="n">
        <v>4</v>
      </c>
      <c r="I1550" s="14" t="n">
        <v>57.28</v>
      </c>
      <c r="J1550" s="15" t="n">
        <v>0.09</v>
      </c>
      <c r="K1550" s="14" t="n">
        <v>22.91</v>
      </c>
      <c r="L1550" s="13" t="n">
        <v>4</v>
      </c>
      <c r="M1550" s="13" t="inlineStr">
        <is>
          <t>Completed</t>
        </is>
      </c>
      <c r="N1550" s="13" t="inlineStr">
        <is>
          <t>R. Ibarra</t>
        </is>
      </c>
      <c r="O1550" s="13" t="inlineStr">
        <is>
          <t>No</t>
        </is>
      </c>
      <c r="P1550" s="14">
        <f>H1550*I1550</f>
        <v/>
      </c>
      <c r="Q1550" s="14">
        <f>P1550*(1-J1550)</f>
        <v/>
      </c>
      <c r="R1550" s="14">
        <f>H1550*K1550</f>
        <v/>
      </c>
      <c r="S1550" s="15">
        <f>IF(Q1550=0,"",(Q1550-R1550)/Q1550)</f>
        <v/>
      </c>
      <c r="T1550" s="13">
        <f>YEAR(B1550)</f>
        <v/>
      </c>
      <c r="U1550" s="13">
        <f>YEAR(B1550)&amp;"-Q"&amp;ROUNDUP(MONTH(B1550)/3,0)</f>
        <v/>
      </c>
      <c r="V1550" s="13">
        <f>TEXT(B1550,"YYYY-MM")</f>
        <v/>
      </c>
      <c r="W1550" s="13">
        <f>IF(L1550="","",IF(L1550&gt;pLateDays,1,0))</f>
        <v/>
      </c>
      <c r="X1550" s="13">
        <f>IF(Q1550&gt;=pHighCutoff,1,0)</f>
        <v/>
      </c>
      <c r="Y1550" s="13">
        <f>IF(M1550="Returned",1,0)</f>
        <v/>
      </c>
    </row>
    <row r="1551">
      <c r="A1551" s="13" t="inlineStr">
        <is>
          <t>HC-101549</t>
        </is>
      </c>
      <c r="B1551" s="18" t="n">
        <v>45637</v>
      </c>
      <c r="C1551" s="13" t="inlineStr">
        <is>
          <t>North</t>
        </is>
      </c>
      <c r="D1551" s="13" t="inlineStr">
        <is>
          <t>Store</t>
        </is>
      </c>
      <c r="E1551" s="13" t="inlineStr">
        <is>
          <t>Kitchen</t>
        </is>
      </c>
      <c r="F1551" s="13" t="inlineStr">
        <is>
          <t>Ceramic Set</t>
        </is>
      </c>
      <c r="G1551" s="13" t="inlineStr">
        <is>
          <t>Consumer</t>
        </is>
      </c>
      <c r="H1551" s="13" t="n">
        <v>4</v>
      </c>
      <c r="I1551" s="14" t="n">
        <v>88.65000000000001</v>
      </c>
      <c r="J1551" s="15" t="n">
        <v>0.03</v>
      </c>
      <c r="K1551" s="14" t="n">
        <v>33.69</v>
      </c>
      <c r="L1551" s="13" t="n">
        <v>6</v>
      </c>
      <c r="M1551" s="13" t="inlineStr">
        <is>
          <t>Completed</t>
        </is>
      </c>
      <c r="N1551" s="13" t="inlineStr">
        <is>
          <t>M. Okonkwo</t>
        </is>
      </c>
      <c r="O1551" s="13" t="inlineStr">
        <is>
          <t>No</t>
        </is>
      </c>
      <c r="P1551" s="14">
        <f>H1551*I1551</f>
        <v/>
      </c>
      <c r="Q1551" s="14">
        <f>P1551*(1-J1551)</f>
        <v/>
      </c>
      <c r="R1551" s="14">
        <f>H1551*K1551</f>
        <v/>
      </c>
      <c r="S1551" s="15">
        <f>IF(Q1551=0,"",(Q1551-R1551)/Q1551)</f>
        <v/>
      </c>
      <c r="T1551" s="13">
        <f>YEAR(B1551)</f>
        <v/>
      </c>
      <c r="U1551" s="13">
        <f>YEAR(B1551)&amp;"-Q"&amp;ROUNDUP(MONTH(B1551)/3,0)</f>
        <v/>
      </c>
      <c r="V1551" s="13">
        <f>TEXT(B1551,"YYYY-MM")</f>
        <v/>
      </c>
      <c r="W1551" s="13">
        <f>IF(L1551="","",IF(L1551&gt;pLateDays,1,0))</f>
        <v/>
      </c>
      <c r="X1551" s="13">
        <f>IF(Q1551&gt;=pHighCutoff,1,0)</f>
        <v/>
      </c>
      <c r="Y1551" s="13">
        <f>IF(M1551="Returned",1,0)</f>
        <v/>
      </c>
    </row>
    <row r="1552">
      <c r="A1552" s="13" t="inlineStr">
        <is>
          <t>HC-101550</t>
        </is>
      </c>
      <c r="B1552" s="18" t="n">
        <v>45655</v>
      </c>
      <c r="C1552" s="13" t="inlineStr">
        <is>
          <t>North</t>
        </is>
      </c>
      <c r="D1552" s="13" t="inlineStr">
        <is>
          <t>Online</t>
        </is>
      </c>
      <c r="E1552" s="13" t="inlineStr">
        <is>
          <t>Textiles</t>
        </is>
      </c>
      <c r="F1552" s="13" t="inlineStr">
        <is>
          <t>Linen Curtain</t>
        </is>
      </c>
      <c r="G1552" s="13" t="inlineStr">
        <is>
          <t>Corporate</t>
        </is>
      </c>
      <c r="H1552" s="13" t="n">
        <v>3</v>
      </c>
      <c r="I1552" s="14" t="n">
        <v>98.19</v>
      </c>
      <c r="J1552" s="15" t="n">
        <v>0.16</v>
      </c>
      <c r="K1552" s="14" t="n">
        <v>44.18</v>
      </c>
      <c r="L1552" s="13" t="n">
        <v>5</v>
      </c>
      <c r="M1552" s="13" t="inlineStr">
        <is>
          <t>Completed</t>
        </is>
      </c>
      <c r="N1552" s="13" t="inlineStr">
        <is>
          <t>S. Nguyen</t>
        </is>
      </c>
      <c r="O1552" s="13" t="inlineStr">
        <is>
          <t>No</t>
        </is>
      </c>
      <c r="P1552" s="14">
        <f>H1552*I1552</f>
        <v/>
      </c>
      <c r="Q1552" s="14">
        <f>P1552*(1-J1552)</f>
        <v/>
      </c>
      <c r="R1552" s="14">
        <f>H1552*K1552</f>
        <v/>
      </c>
      <c r="S1552" s="15">
        <f>IF(Q1552=0,"",(Q1552-R1552)/Q1552)</f>
        <v/>
      </c>
      <c r="T1552" s="13">
        <f>YEAR(B1552)</f>
        <v/>
      </c>
      <c r="U1552" s="13">
        <f>YEAR(B1552)&amp;"-Q"&amp;ROUNDUP(MONTH(B1552)/3,0)</f>
        <v/>
      </c>
      <c r="V1552" s="13">
        <f>TEXT(B1552,"YYYY-MM")</f>
        <v/>
      </c>
      <c r="W1552" s="13">
        <f>IF(L1552="","",IF(L1552&gt;pLateDays,1,0))</f>
        <v/>
      </c>
      <c r="X1552" s="13">
        <f>IF(Q1552&gt;=pHighCutoff,1,0)</f>
        <v/>
      </c>
      <c r="Y1552" s="13">
        <f>IF(M1552="Returned",1,0)</f>
        <v/>
      </c>
    </row>
    <row r="1553">
      <c r="A1553" s="13" t="inlineStr">
        <is>
          <t>HC-101551</t>
        </is>
      </c>
      <c r="B1553" s="18" t="n">
        <v>45602</v>
      </c>
      <c r="C1553" s="13" t="inlineStr">
        <is>
          <t>East</t>
        </is>
      </c>
      <c r="D1553" s="13" t="inlineStr">
        <is>
          <t>Online</t>
        </is>
      </c>
      <c r="E1553" s="13" t="inlineStr">
        <is>
          <t>Kitchen</t>
        </is>
      </c>
      <c r="F1553" s="13" t="inlineStr">
        <is>
          <t>Ceramic Set</t>
        </is>
      </c>
      <c r="G1553" s="13" t="inlineStr">
        <is>
          <t>Home Office</t>
        </is>
      </c>
      <c r="H1553" s="13" t="n">
        <v>4</v>
      </c>
      <c r="I1553" s="14" t="n">
        <v>76.44</v>
      </c>
      <c r="J1553" s="15" t="n">
        <v>0.06</v>
      </c>
      <c r="K1553" s="14" t="n">
        <v>29.05</v>
      </c>
      <c r="L1553" s="13" t="n">
        <v>9</v>
      </c>
      <c r="M1553" s="13" t="inlineStr">
        <is>
          <t>Completed</t>
        </is>
      </c>
      <c r="N1553" s="13" t="inlineStr">
        <is>
          <t>A. Shah</t>
        </is>
      </c>
      <c r="O1553" s="13" t="inlineStr">
        <is>
          <t>No</t>
        </is>
      </c>
      <c r="P1553" s="14">
        <f>H1553*I1553</f>
        <v/>
      </c>
      <c r="Q1553" s="14">
        <f>P1553*(1-J1553)</f>
        <v/>
      </c>
      <c r="R1553" s="14">
        <f>H1553*K1553</f>
        <v/>
      </c>
      <c r="S1553" s="15">
        <f>IF(Q1553=0,"",(Q1553-R1553)/Q1553)</f>
        <v/>
      </c>
      <c r="T1553" s="13">
        <f>YEAR(B1553)</f>
        <v/>
      </c>
      <c r="U1553" s="13">
        <f>YEAR(B1553)&amp;"-Q"&amp;ROUNDUP(MONTH(B1553)/3,0)</f>
        <v/>
      </c>
      <c r="V1553" s="13">
        <f>TEXT(B1553,"YYYY-MM")</f>
        <v/>
      </c>
      <c r="W1553" s="13">
        <f>IF(L1553="","",IF(L1553&gt;pLateDays,1,0))</f>
        <v/>
      </c>
      <c r="X1553" s="13">
        <f>IF(Q1553&gt;=pHighCutoff,1,0)</f>
        <v/>
      </c>
      <c r="Y1553" s="13">
        <f>IF(M1553="Returned",1,0)</f>
        <v/>
      </c>
    </row>
    <row r="1554">
      <c r="A1554" s="13" t="inlineStr">
        <is>
          <t>HC-101552</t>
        </is>
      </c>
      <c r="B1554" s="18" t="n">
        <v>45577</v>
      </c>
      <c r="C1554" s="13" t="inlineStr">
        <is>
          <t>North</t>
        </is>
      </c>
      <c r="D1554" s="13" t="inlineStr">
        <is>
          <t>Store</t>
        </is>
      </c>
      <c r="E1554" s="13" t="inlineStr">
        <is>
          <t>Lighting</t>
        </is>
      </c>
      <c r="F1554" s="13" t="inlineStr">
        <is>
          <t>Brass Sconce</t>
        </is>
      </c>
      <c r="G1554" s="13" t="inlineStr">
        <is>
          <t>Unknown</t>
        </is>
      </c>
      <c r="H1554" s="13" t="n">
        <v>3</v>
      </c>
      <c r="I1554" s="14" t="n">
        <v>130.59</v>
      </c>
      <c r="J1554" s="15" t="n">
        <v>0.02</v>
      </c>
      <c r="K1554" s="14" t="n">
        <v>60.07</v>
      </c>
      <c r="L1554" s="13" t="n">
        <v>5</v>
      </c>
      <c r="M1554" s="13" t="inlineStr">
        <is>
          <t>Completed</t>
        </is>
      </c>
      <c r="N1554" s="13" t="inlineStr">
        <is>
          <t>K. Mensah</t>
        </is>
      </c>
      <c r="O1554" s="13" t="inlineStr">
        <is>
          <t>No</t>
        </is>
      </c>
      <c r="P1554" s="14">
        <f>H1554*I1554</f>
        <v/>
      </c>
      <c r="Q1554" s="14">
        <f>P1554*(1-J1554)</f>
        <v/>
      </c>
      <c r="R1554" s="14">
        <f>H1554*K1554</f>
        <v/>
      </c>
      <c r="S1554" s="15">
        <f>IF(Q1554=0,"",(Q1554-R1554)/Q1554)</f>
        <v/>
      </c>
      <c r="T1554" s="13">
        <f>YEAR(B1554)</f>
        <v/>
      </c>
      <c r="U1554" s="13">
        <f>YEAR(B1554)&amp;"-Q"&amp;ROUNDUP(MONTH(B1554)/3,0)</f>
        <v/>
      </c>
      <c r="V1554" s="13">
        <f>TEXT(B1554,"YYYY-MM")</f>
        <v/>
      </c>
      <c r="W1554" s="13">
        <f>IF(L1554="","",IF(L1554&gt;pLateDays,1,0))</f>
        <v/>
      </c>
      <c r="X1554" s="13">
        <f>IF(Q1554&gt;=pHighCutoff,1,0)</f>
        <v/>
      </c>
      <c r="Y1554" s="13">
        <f>IF(M1554="Returned",1,0)</f>
        <v/>
      </c>
    </row>
    <row r="1555">
      <c r="A1555" s="13" t="inlineStr">
        <is>
          <t>HC-101553</t>
        </is>
      </c>
      <c r="B1555" s="18" t="n">
        <v>45303</v>
      </c>
      <c r="C1555" s="13" t="inlineStr">
        <is>
          <t>North</t>
        </is>
      </c>
      <c r="D1555" s="13" t="inlineStr">
        <is>
          <t>Store</t>
        </is>
      </c>
      <c r="E1555" s="13" t="inlineStr">
        <is>
          <t>Lighting</t>
        </is>
      </c>
      <c r="F1555" s="13" t="inlineStr">
        <is>
          <t>Arc Lamp</t>
        </is>
      </c>
      <c r="G1555" s="13" t="inlineStr">
        <is>
          <t>Corporate</t>
        </is>
      </c>
      <c r="H1555" s="13" t="n">
        <v>4</v>
      </c>
      <c r="I1555" s="14" t="n">
        <v>302.61</v>
      </c>
      <c r="J1555" s="15" t="n">
        <v>0</v>
      </c>
      <c r="K1555" s="14" t="n">
        <v>145.25</v>
      </c>
      <c r="L1555" s="13" t="n">
        <v>7</v>
      </c>
      <c r="M1555" s="13" t="inlineStr">
        <is>
          <t>Completed</t>
        </is>
      </c>
      <c r="N1555" s="13" t="inlineStr">
        <is>
          <t>K. Mensah</t>
        </is>
      </c>
      <c r="O1555" s="13" t="inlineStr">
        <is>
          <t>No</t>
        </is>
      </c>
      <c r="P1555" s="14">
        <f>H1555*I1555</f>
        <v/>
      </c>
      <c r="Q1555" s="14">
        <f>P1555*(1-J1555)</f>
        <v/>
      </c>
      <c r="R1555" s="14">
        <f>H1555*K1555</f>
        <v/>
      </c>
      <c r="S1555" s="15">
        <f>IF(Q1555=0,"",(Q1555-R1555)/Q1555)</f>
        <v/>
      </c>
      <c r="T1555" s="13">
        <f>YEAR(B1555)</f>
        <v/>
      </c>
      <c r="U1555" s="13">
        <f>YEAR(B1555)&amp;"-Q"&amp;ROUNDUP(MONTH(B1555)/3,0)</f>
        <v/>
      </c>
      <c r="V1555" s="13">
        <f>TEXT(B1555,"YYYY-MM")</f>
        <v/>
      </c>
      <c r="W1555" s="13">
        <f>IF(L1555="","",IF(L1555&gt;pLateDays,1,0))</f>
        <v/>
      </c>
      <c r="X1555" s="13">
        <f>IF(Q1555&gt;=pHighCutoff,1,0)</f>
        <v/>
      </c>
      <c r="Y1555" s="13">
        <f>IF(M1555="Returned",1,0)</f>
        <v/>
      </c>
    </row>
    <row r="1556">
      <c r="A1556" s="13" t="inlineStr">
        <is>
          <t>HC-101554</t>
        </is>
      </c>
      <c r="B1556" s="18" t="n">
        <v>45328</v>
      </c>
      <c r="C1556" s="13" t="inlineStr">
        <is>
          <t>South</t>
        </is>
      </c>
      <c r="D1556" s="13" t="inlineStr">
        <is>
          <t>Online</t>
        </is>
      </c>
      <c r="E1556" s="13" t="inlineStr">
        <is>
          <t>Lighting</t>
        </is>
      </c>
      <c r="F1556" s="13" t="inlineStr">
        <is>
          <t>Arc Lamp</t>
        </is>
      </c>
      <c r="G1556" s="13" t="inlineStr">
        <is>
          <t>Consumer</t>
        </is>
      </c>
      <c r="H1556" s="13" t="n">
        <v>3</v>
      </c>
      <c r="I1556" s="14" t="n">
        <v>328.58</v>
      </c>
      <c r="J1556" s="15" t="n">
        <v>0.03</v>
      </c>
      <c r="K1556" s="14" t="n">
        <v>157.72</v>
      </c>
      <c r="L1556" s="13" t="n">
        <v>8</v>
      </c>
      <c r="M1556" s="13" t="inlineStr">
        <is>
          <t>Completed</t>
        </is>
      </c>
      <c r="N1556" s="13" t="inlineStr">
        <is>
          <t>K. Mensah</t>
        </is>
      </c>
      <c r="O1556" s="13" t="inlineStr">
        <is>
          <t>No</t>
        </is>
      </c>
      <c r="P1556" s="14">
        <f>H1556*I1556</f>
        <v/>
      </c>
      <c r="Q1556" s="14">
        <f>P1556*(1-J1556)</f>
        <v/>
      </c>
      <c r="R1556" s="14">
        <f>H1556*K1556</f>
        <v/>
      </c>
      <c r="S1556" s="15">
        <f>IF(Q1556=0,"",(Q1556-R1556)/Q1556)</f>
        <v/>
      </c>
      <c r="T1556" s="13">
        <f>YEAR(B1556)</f>
        <v/>
      </c>
      <c r="U1556" s="13">
        <f>YEAR(B1556)&amp;"-Q"&amp;ROUNDUP(MONTH(B1556)/3,0)</f>
        <v/>
      </c>
      <c r="V1556" s="13">
        <f>TEXT(B1556,"YYYY-MM")</f>
        <v/>
      </c>
      <c r="W1556" s="13">
        <f>IF(L1556="","",IF(L1556&gt;pLateDays,1,0))</f>
        <v/>
      </c>
      <c r="X1556" s="13">
        <f>IF(Q1556&gt;=pHighCutoff,1,0)</f>
        <v/>
      </c>
      <c r="Y1556" s="13">
        <f>IF(M1556="Returned",1,0)</f>
        <v/>
      </c>
    </row>
    <row r="1557">
      <c r="A1557" s="13" t="inlineStr">
        <is>
          <t>HC-101555</t>
        </is>
      </c>
      <c r="B1557" s="18" t="n">
        <v>45348</v>
      </c>
      <c r="C1557" s="13" t="inlineStr">
        <is>
          <t>South</t>
        </is>
      </c>
      <c r="D1557" s="13" t="inlineStr">
        <is>
          <t>Online</t>
        </is>
      </c>
      <c r="E1557" s="13" t="inlineStr">
        <is>
          <t>Kitchen</t>
        </is>
      </c>
      <c r="F1557" s="13" t="inlineStr">
        <is>
          <t>Ceramic Set</t>
        </is>
      </c>
      <c r="G1557" s="13" t="inlineStr">
        <is>
          <t>Consumer</t>
        </is>
      </c>
      <c r="H1557" s="13" t="n">
        <v>2</v>
      </c>
      <c r="I1557" s="14" t="n">
        <v>89.54000000000001</v>
      </c>
      <c r="J1557" s="15" t="n">
        <v>0.15</v>
      </c>
      <c r="K1557" s="14" t="n">
        <v>34.02</v>
      </c>
      <c r="L1557" s="13" t="n">
        <v>8</v>
      </c>
      <c r="M1557" s="13" t="inlineStr">
        <is>
          <t>Completed</t>
        </is>
      </c>
      <c r="N1557" s="13" t="inlineStr">
        <is>
          <t>L. Berger</t>
        </is>
      </c>
      <c r="O1557" s="13" t="inlineStr">
        <is>
          <t>No</t>
        </is>
      </c>
      <c r="P1557" s="14">
        <f>H1557*I1557</f>
        <v/>
      </c>
      <c r="Q1557" s="14">
        <f>P1557*(1-J1557)</f>
        <v/>
      </c>
      <c r="R1557" s="14">
        <f>H1557*K1557</f>
        <v/>
      </c>
      <c r="S1557" s="15">
        <f>IF(Q1557=0,"",(Q1557-R1557)/Q1557)</f>
        <v/>
      </c>
      <c r="T1557" s="13">
        <f>YEAR(B1557)</f>
        <v/>
      </c>
      <c r="U1557" s="13">
        <f>YEAR(B1557)&amp;"-Q"&amp;ROUNDUP(MONTH(B1557)/3,0)</f>
        <v/>
      </c>
      <c r="V1557" s="13">
        <f>TEXT(B1557,"YYYY-MM")</f>
        <v/>
      </c>
      <c r="W1557" s="13">
        <f>IF(L1557="","",IF(L1557&gt;pLateDays,1,0))</f>
        <v/>
      </c>
      <c r="X1557" s="13">
        <f>IF(Q1557&gt;=pHighCutoff,1,0)</f>
        <v/>
      </c>
      <c r="Y1557" s="13">
        <f>IF(M1557="Returned",1,0)</f>
        <v/>
      </c>
    </row>
    <row r="1558">
      <c r="A1558" s="13" t="inlineStr">
        <is>
          <t>HC-101556</t>
        </is>
      </c>
      <c r="B1558" s="18" t="n">
        <v>45329</v>
      </c>
      <c r="C1558" s="13" t="inlineStr">
        <is>
          <t>North</t>
        </is>
      </c>
      <c r="D1558" s="13" t="inlineStr">
        <is>
          <t>Online</t>
        </is>
      </c>
      <c r="E1558" s="13" t="inlineStr">
        <is>
          <t>Furniture</t>
        </is>
      </c>
      <c r="F1558" s="13" t="inlineStr">
        <is>
          <t>Lounge Chair</t>
        </is>
      </c>
      <c r="G1558" s="13" t="inlineStr">
        <is>
          <t>Consumer</t>
        </is>
      </c>
      <c r="H1558" s="13" t="n">
        <v>3</v>
      </c>
      <c r="I1558" s="14" t="n">
        <v>491.97</v>
      </c>
      <c r="J1558" s="15" t="n">
        <v>0.08</v>
      </c>
      <c r="K1558" s="14" t="n">
        <v>295.18</v>
      </c>
      <c r="L1558" s="13" t="n">
        <v>4</v>
      </c>
      <c r="M1558" s="13" t="inlineStr">
        <is>
          <t>Completed</t>
        </is>
      </c>
      <c r="N1558" s="13" t="inlineStr">
        <is>
          <t>K. Mensah</t>
        </is>
      </c>
      <c r="O1558" s="13" t="inlineStr">
        <is>
          <t>No</t>
        </is>
      </c>
      <c r="P1558" s="14">
        <f>H1558*I1558</f>
        <v/>
      </c>
      <c r="Q1558" s="14">
        <f>P1558*(1-J1558)</f>
        <v/>
      </c>
      <c r="R1558" s="14">
        <f>H1558*K1558</f>
        <v/>
      </c>
      <c r="S1558" s="15">
        <f>IF(Q1558=0,"",(Q1558-R1558)/Q1558)</f>
        <v/>
      </c>
      <c r="T1558" s="13">
        <f>YEAR(B1558)</f>
        <v/>
      </c>
      <c r="U1558" s="13">
        <f>YEAR(B1558)&amp;"-Q"&amp;ROUNDUP(MONTH(B1558)/3,0)</f>
        <v/>
      </c>
      <c r="V1558" s="13">
        <f>TEXT(B1558,"YYYY-MM")</f>
        <v/>
      </c>
      <c r="W1558" s="13">
        <f>IF(L1558="","",IF(L1558&gt;pLateDays,1,0))</f>
        <v/>
      </c>
      <c r="X1558" s="13">
        <f>IF(Q1558&gt;=pHighCutoff,1,0)</f>
        <v/>
      </c>
      <c r="Y1558" s="13">
        <f>IF(M1558="Returned",1,0)</f>
        <v/>
      </c>
    </row>
    <row r="1559">
      <c r="A1559" s="13" t="inlineStr">
        <is>
          <t>HC-101557</t>
        </is>
      </c>
      <c r="B1559" s="18" t="n">
        <v>45830</v>
      </c>
      <c r="C1559" s="13" t="inlineStr">
        <is>
          <t>East</t>
        </is>
      </c>
      <c r="D1559" s="13" t="inlineStr">
        <is>
          <t>Store</t>
        </is>
      </c>
      <c r="E1559" s="13" t="inlineStr">
        <is>
          <t>Textiles</t>
        </is>
      </c>
      <c r="F1559" s="13" t="inlineStr">
        <is>
          <t>Wool Throw</t>
        </is>
      </c>
      <c r="G1559" s="13" t="inlineStr">
        <is>
          <t>Home Office</t>
        </is>
      </c>
      <c r="H1559" s="13" t="n">
        <v>4</v>
      </c>
      <c r="I1559" s="14" t="n">
        <v>63.78</v>
      </c>
      <c r="J1559" s="15" t="n">
        <v>0</v>
      </c>
      <c r="K1559" s="14" t="n">
        <v>26.79</v>
      </c>
      <c r="L1559" s="13" t="n">
        <v>6</v>
      </c>
      <c r="M1559" s="13" t="inlineStr">
        <is>
          <t>Completed</t>
        </is>
      </c>
      <c r="N1559" s="13" t="inlineStr">
        <is>
          <t>M. Okonkwo</t>
        </is>
      </c>
      <c r="O1559" s="13" t="inlineStr">
        <is>
          <t>No</t>
        </is>
      </c>
      <c r="P1559" s="14">
        <f>H1559*I1559</f>
        <v/>
      </c>
      <c r="Q1559" s="14">
        <f>P1559*(1-J1559)</f>
        <v/>
      </c>
      <c r="R1559" s="14">
        <f>H1559*K1559</f>
        <v/>
      </c>
      <c r="S1559" s="15">
        <f>IF(Q1559=0,"",(Q1559-R1559)/Q1559)</f>
        <v/>
      </c>
      <c r="T1559" s="13">
        <f>YEAR(B1559)</f>
        <v/>
      </c>
      <c r="U1559" s="13">
        <f>YEAR(B1559)&amp;"-Q"&amp;ROUNDUP(MONTH(B1559)/3,0)</f>
        <v/>
      </c>
      <c r="V1559" s="13">
        <f>TEXT(B1559,"YYYY-MM")</f>
        <v/>
      </c>
      <c r="W1559" s="13">
        <f>IF(L1559="","",IF(L1559&gt;pLateDays,1,0))</f>
        <v/>
      </c>
      <c r="X1559" s="13">
        <f>IF(Q1559&gt;=pHighCutoff,1,0)</f>
        <v/>
      </c>
      <c r="Y1559" s="13">
        <f>IF(M1559="Returned",1,0)</f>
        <v/>
      </c>
    </row>
    <row r="1560">
      <c r="A1560" s="13" t="inlineStr">
        <is>
          <t>HC-101558</t>
        </is>
      </c>
      <c r="B1560" s="18" t="n">
        <v>45824</v>
      </c>
      <c r="C1560" s="13" t="inlineStr">
        <is>
          <t>West</t>
        </is>
      </c>
      <c r="D1560" s="13" t="inlineStr">
        <is>
          <t>Wholesale</t>
        </is>
      </c>
      <c r="E1560" s="13" t="inlineStr">
        <is>
          <t>Textiles</t>
        </is>
      </c>
      <c r="F1560" s="13" t="inlineStr">
        <is>
          <t>Wool Throw</t>
        </is>
      </c>
      <c r="G1560" s="13" t="inlineStr">
        <is>
          <t>Consumer</t>
        </is>
      </c>
      <c r="H1560" s="13" t="n">
        <v>11</v>
      </c>
      <c r="I1560" s="14" t="n">
        <v>74.23999999999999</v>
      </c>
      <c r="J1560" s="15" t="n">
        <v>0.13</v>
      </c>
      <c r="K1560" s="14" t="n">
        <v>31.18</v>
      </c>
      <c r="L1560" s="13" t="n">
        <v>5</v>
      </c>
      <c r="M1560" s="13" t="inlineStr">
        <is>
          <t>Returned</t>
        </is>
      </c>
      <c r="N1560" s="13" t="inlineStr">
        <is>
          <t>P. Rossi</t>
        </is>
      </c>
      <c r="O1560" s="13" t="inlineStr">
        <is>
          <t>No</t>
        </is>
      </c>
      <c r="P1560" s="14">
        <f>H1560*I1560</f>
        <v/>
      </c>
      <c r="Q1560" s="14">
        <f>P1560*(1-J1560)</f>
        <v/>
      </c>
      <c r="R1560" s="14">
        <f>H1560*K1560</f>
        <v/>
      </c>
      <c r="S1560" s="15">
        <f>IF(Q1560=0,"",(Q1560-R1560)/Q1560)</f>
        <v/>
      </c>
      <c r="T1560" s="13">
        <f>YEAR(B1560)</f>
        <v/>
      </c>
      <c r="U1560" s="13">
        <f>YEAR(B1560)&amp;"-Q"&amp;ROUNDUP(MONTH(B1560)/3,0)</f>
        <v/>
      </c>
      <c r="V1560" s="13">
        <f>TEXT(B1560,"YYYY-MM")</f>
        <v/>
      </c>
      <c r="W1560" s="13">
        <f>IF(L1560="","",IF(L1560&gt;pLateDays,1,0))</f>
        <v/>
      </c>
      <c r="X1560" s="13">
        <f>IF(Q1560&gt;=pHighCutoff,1,0)</f>
        <v/>
      </c>
      <c r="Y1560" s="13">
        <f>IF(M1560="Returned",1,0)</f>
        <v/>
      </c>
    </row>
    <row r="1561">
      <c r="A1561" s="13" t="inlineStr">
        <is>
          <t>HC-101559</t>
        </is>
      </c>
      <c r="B1561" s="18" t="n">
        <v>45322</v>
      </c>
      <c r="C1561" s="13" t="inlineStr">
        <is>
          <t>South</t>
        </is>
      </c>
      <c r="D1561" s="13" t="inlineStr">
        <is>
          <t>Store</t>
        </is>
      </c>
      <c r="E1561" s="13" t="inlineStr">
        <is>
          <t>Kitchen</t>
        </is>
      </c>
      <c r="F1561" s="13" t="inlineStr">
        <is>
          <t>Ceramic Set</t>
        </is>
      </c>
      <c r="G1561" s="13" t="inlineStr">
        <is>
          <t>Consumer</t>
        </is>
      </c>
      <c r="H1561" s="13" t="n">
        <v>1</v>
      </c>
      <c r="I1561" s="14" t="n">
        <v>85.16</v>
      </c>
      <c r="J1561" s="15" t="n">
        <v>0.08</v>
      </c>
      <c r="K1561" s="14" t="n">
        <v>32.36</v>
      </c>
      <c r="L1561" s="13" t="n">
        <v>7</v>
      </c>
      <c r="M1561" s="13" t="inlineStr">
        <is>
          <t>Completed</t>
        </is>
      </c>
      <c r="N1561" s="13" t="inlineStr">
        <is>
          <t>K. Mensah</t>
        </is>
      </c>
      <c r="O1561" s="13" t="inlineStr">
        <is>
          <t>No</t>
        </is>
      </c>
      <c r="P1561" s="14">
        <f>H1561*I1561</f>
        <v/>
      </c>
      <c r="Q1561" s="14">
        <f>P1561*(1-J1561)</f>
        <v/>
      </c>
      <c r="R1561" s="14">
        <f>H1561*K1561</f>
        <v/>
      </c>
      <c r="S1561" s="15">
        <f>IF(Q1561=0,"",(Q1561-R1561)/Q1561)</f>
        <v/>
      </c>
      <c r="T1561" s="13">
        <f>YEAR(B1561)</f>
        <v/>
      </c>
      <c r="U1561" s="13">
        <f>YEAR(B1561)&amp;"-Q"&amp;ROUNDUP(MONTH(B1561)/3,0)</f>
        <v/>
      </c>
      <c r="V1561" s="13">
        <f>TEXT(B1561,"YYYY-MM")</f>
        <v/>
      </c>
      <c r="W1561" s="13">
        <f>IF(L1561="","",IF(L1561&gt;pLateDays,1,0))</f>
        <v/>
      </c>
      <c r="X1561" s="13">
        <f>IF(Q1561&gt;=pHighCutoff,1,0)</f>
        <v/>
      </c>
      <c r="Y1561" s="13">
        <f>IF(M1561="Returned",1,0)</f>
        <v/>
      </c>
    </row>
    <row r="1562">
      <c r="A1562" s="13" t="inlineStr">
        <is>
          <t>HC-101560</t>
        </is>
      </c>
      <c r="B1562" s="18" t="n">
        <v>45374</v>
      </c>
      <c r="C1562" s="13" t="inlineStr">
        <is>
          <t>South</t>
        </is>
      </c>
      <c r="D1562" s="13" t="inlineStr">
        <is>
          <t>Store</t>
        </is>
      </c>
      <c r="E1562" s="13" t="inlineStr">
        <is>
          <t>Kitchen</t>
        </is>
      </c>
      <c r="F1562" s="13" t="inlineStr">
        <is>
          <t>Chef Knife</t>
        </is>
      </c>
      <c r="G1562" s="13" t="inlineStr">
        <is>
          <t>Consumer</t>
        </is>
      </c>
      <c r="H1562" s="13" t="n">
        <v>1</v>
      </c>
      <c r="I1562" s="14" t="n">
        <v>65.68000000000001</v>
      </c>
      <c r="J1562" s="15" t="n">
        <v>0.1</v>
      </c>
      <c r="K1562" s="14" t="n">
        <v>23.64</v>
      </c>
      <c r="L1562" s="13" t="n">
        <v>5</v>
      </c>
      <c r="M1562" s="13" t="inlineStr">
        <is>
          <t>Completed</t>
        </is>
      </c>
      <c r="N1562" s="13" t="inlineStr">
        <is>
          <t>A. Shah</t>
        </is>
      </c>
      <c r="O1562" s="13" t="inlineStr">
        <is>
          <t>No</t>
        </is>
      </c>
      <c r="P1562" s="14">
        <f>H1562*I1562</f>
        <v/>
      </c>
      <c r="Q1562" s="14">
        <f>P1562*(1-J1562)</f>
        <v/>
      </c>
      <c r="R1562" s="14">
        <f>H1562*K1562</f>
        <v/>
      </c>
      <c r="S1562" s="15">
        <f>IF(Q1562=0,"",(Q1562-R1562)/Q1562)</f>
        <v/>
      </c>
      <c r="T1562" s="13">
        <f>YEAR(B1562)</f>
        <v/>
      </c>
      <c r="U1562" s="13">
        <f>YEAR(B1562)&amp;"-Q"&amp;ROUNDUP(MONTH(B1562)/3,0)</f>
        <v/>
      </c>
      <c r="V1562" s="13">
        <f>TEXT(B1562,"YYYY-MM")</f>
        <v/>
      </c>
      <c r="W1562" s="13">
        <f>IF(L1562="","",IF(L1562&gt;pLateDays,1,0))</f>
        <v/>
      </c>
      <c r="X1562" s="13">
        <f>IF(Q1562&gt;=pHighCutoff,1,0)</f>
        <v/>
      </c>
      <c r="Y1562" s="13">
        <f>IF(M1562="Returned",1,0)</f>
        <v/>
      </c>
    </row>
    <row r="1563">
      <c r="A1563" s="13" t="inlineStr">
        <is>
          <t>HC-101561</t>
        </is>
      </c>
      <c r="B1563" s="18" t="n">
        <v>45490</v>
      </c>
      <c r="C1563" s="13" t="inlineStr">
        <is>
          <t>South</t>
        </is>
      </c>
      <c r="D1563" s="13" t="inlineStr">
        <is>
          <t>Online</t>
        </is>
      </c>
      <c r="E1563" s="13" t="inlineStr">
        <is>
          <t>Furniture</t>
        </is>
      </c>
      <c r="F1563" s="13" t="inlineStr">
        <is>
          <t>Lounge Chair</t>
        </is>
      </c>
      <c r="G1563" s="13" t="inlineStr">
        <is>
          <t>Consumer</t>
        </is>
      </c>
      <c r="H1563" s="13" t="n">
        <v>3</v>
      </c>
      <c r="I1563" s="14" t="n">
        <v>453.76</v>
      </c>
      <c r="J1563" s="15" t="n">
        <v>0.03</v>
      </c>
      <c r="K1563" s="14" t="n">
        <v>272.26</v>
      </c>
      <c r="L1563" s="13" t="n">
        <v>5</v>
      </c>
      <c r="M1563" s="13" t="inlineStr">
        <is>
          <t>Completed</t>
        </is>
      </c>
      <c r="N1563" s="13" t="inlineStr">
        <is>
          <t>K. Mensah</t>
        </is>
      </c>
      <c r="O1563" s="13" t="inlineStr">
        <is>
          <t>No</t>
        </is>
      </c>
      <c r="P1563" s="14">
        <f>H1563*I1563</f>
        <v/>
      </c>
      <c r="Q1563" s="14">
        <f>P1563*(1-J1563)</f>
        <v/>
      </c>
      <c r="R1563" s="14">
        <f>H1563*K1563</f>
        <v/>
      </c>
      <c r="S1563" s="15">
        <f>IF(Q1563=0,"",(Q1563-R1563)/Q1563)</f>
        <v/>
      </c>
      <c r="T1563" s="13">
        <f>YEAR(B1563)</f>
        <v/>
      </c>
      <c r="U1563" s="13">
        <f>YEAR(B1563)&amp;"-Q"&amp;ROUNDUP(MONTH(B1563)/3,0)</f>
        <v/>
      </c>
      <c r="V1563" s="13">
        <f>TEXT(B1563,"YYYY-MM")</f>
        <v/>
      </c>
      <c r="W1563" s="13">
        <f>IF(L1563="","",IF(L1563&gt;pLateDays,1,0))</f>
        <v/>
      </c>
      <c r="X1563" s="13">
        <f>IF(Q1563&gt;=pHighCutoff,1,0)</f>
        <v/>
      </c>
      <c r="Y1563" s="13">
        <f>IF(M1563="Returned",1,0)</f>
        <v/>
      </c>
    </row>
    <row r="1564">
      <c r="A1564" s="13" t="inlineStr">
        <is>
          <t>HC-101562</t>
        </is>
      </c>
      <c r="B1564" s="18" t="n">
        <v>45812</v>
      </c>
      <c r="C1564" s="13" t="inlineStr">
        <is>
          <t>North</t>
        </is>
      </c>
      <c r="D1564" s="13" t="inlineStr">
        <is>
          <t>Store</t>
        </is>
      </c>
      <c r="E1564" s="13" t="inlineStr">
        <is>
          <t>Kitchen</t>
        </is>
      </c>
      <c r="F1564" s="13" t="inlineStr">
        <is>
          <t>Chef Knife</t>
        </is>
      </c>
      <c r="G1564" s="13" t="inlineStr">
        <is>
          <t>Consumer</t>
        </is>
      </c>
      <c r="H1564" s="13" t="n">
        <v>2</v>
      </c>
      <c r="I1564" s="14" t="n">
        <v>65.79000000000001</v>
      </c>
      <c r="J1564" s="15" t="n">
        <v>0.06</v>
      </c>
      <c r="K1564" s="14" t="n">
        <v>23.69</v>
      </c>
      <c r="L1564" s="13" t="n">
        <v>5</v>
      </c>
      <c r="M1564" s="13" t="inlineStr">
        <is>
          <t>Completed</t>
        </is>
      </c>
      <c r="N1564" s="13" t="inlineStr">
        <is>
          <t>S. Nguyen</t>
        </is>
      </c>
      <c r="O1564" s="13" t="inlineStr">
        <is>
          <t>No</t>
        </is>
      </c>
      <c r="P1564" s="14">
        <f>H1564*I1564</f>
        <v/>
      </c>
      <c r="Q1564" s="14">
        <f>P1564*(1-J1564)</f>
        <v/>
      </c>
      <c r="R1564" s="14">
        <f>H1564*K1564</f>
        <v/>
      </c>
      <c r="S1564" s="15">
        <f>IF(Q1564=0,"",(Q1564-R1564)/Q1564)</f>
        <v/>
      </c>
      <c r="T1564" s="13">
        <f>YEAR(B1564)</f>
        <v/>
      </c>
      <c r="U1564" s="13">
        <f>YEAR(B1564)&amp;"-Q"&amp;ROUNDUP(MONTH(B1564)/3,0)</f>
        <v/>
      </c>
      <c r="V1564" s="13">
        <f>TEXT(B1564,"YYYY-MM")</f>
        <v/>
      </c>
      <c r="W1564" s="13">
        <f>IF(L1564="","",IF(L1564&gt;pLateDays,1,0))</f>
        <v/>
      </c>
      <c r="X1564" s="13">
        <f>IF(Q1564&gt;=pHighCutoff,1,0)</f>
        <v/>
      </c>
      <c r="Y1564" s="13">
        <f>IF(M1564="Returned",1,0)</f>
        <v/>
      </c>
    </row>
    <row r="1565">
      <c r="A1565" s="13" t="inlineStr">
        <is>
          <t>HC-101563</t>
        </is>
      </c>
      <c r="B1565" s="18" t="n">
        <v>45432</v>
      </c>
      <c r="C1565" s="13" t="inlineStr">
        <is>
          <t>North</t>
        </is>
      </c>
      <c r="D1565" s="13" t="inlineStr">
        <is>
          <t>Wholesale</t>
        </is>
      </c>
      <c r="E1565" s="13" t="inlineStr">
        <is>
          <t>Textiles</t>
        </is>
      </c>
      <c r="F1565" s="13" t="inlineStr">
        <is>
          <t>Cotton Duvet</t>
        </is>
      </c>
      <c r="G1565" s="13" t="inlineStr">
        <is>
          <t>Consumer</t>
        </is>
      </c>
      <c r="H1565" s="13" t="n">
        <v>22</v>
      </c>
      <c r="I1565" s="14" t="n">
        <v>121.81</v>
      </c>
      <c r="J1565" s="15" t="n">
        <v>0.3</v>
      </c>
      <c r="K1565" s="14" t="n">
        <v>53.6</v>
      </c>
      <c r="L1565" s="13" t="n">
        <v>7</v>
      </c>
      <c r="M1565" s="13" t="inlineStr">
        <is>
          <t>Completed</t>
        </is>
      </c>
      <c r="N1565" s="13" t="inlineStr">
        <is>
          <t>M. Okonkwo</t>
        </is>
      </c>
      <c r="O1565" s="13" t="inlineStr">
        <is>
          <t>No</t>
        </is>
      </c>
      <c r="P1565" s="14">
        <f>H1565*I1565</f>
        <v/>
      </c>
      <c r="Q1565" s="14">
        <f>P1565*(1-J1565)</f>
        <v/>
      </c>
      <c r="R1565" s="14">
        <f>H1565*K1565</f>
        <v/>
      </c>
      <c r="S1565" s="15">
        <f>IF(Q1565=0,"",(Q1565-R1565)/Q1565)</f>
        <v/>
      </c>
      <c r="T1565" s="13">
        <f>YEAR(B1565)</f>
        <v/>
      </c>
      <c r="U1565" s="13">
        <f>YEAR(B1565)&amp;"-Q"&amp;ROUNDUP(MONTH(B1565)/3,0)</f>
        <v/>
      </c>
      <c r="V1565" s="13">
        <f>TEXT(B1565,"YYYY-MM")</f>
        <v/>
      </c>
      <c r="W1565" s="13">
        <f>IF(L1565="","",IF(L1565&gt;pLateDays,1,0))</f>
        <v/>
      </c>
      <c r="X1565" s="13">
        <f>IF(Q1565&gt;=pHighCutoff,1,0)</f>
        <v/>
      </c>
      <c r="Y1565" s="13">
        <f>IF(M1565="Returned",1,0)</f>
        <v/>
      </c>
    </row>
    <row r="1566">
      <c r="A1566" s="13" t="inlineStr">
        <is>
          <t>HC-101564</t>
        </is>
      </c>
      <c r="B1566" s="18" t="n">
        <v>45577</v>
      </c>
      <c r="C1566" s="13" t="inlineStr">
        <is>
          <t>South</t>
        </is>
      </c>
      <c r="D1566" s="13" t="inlineStr">
        <is>
          <t>Online</t>
        </is>
      </c>
      <c r="E1566" s="13" t="inlineStr">
        <is>
          <t>Furniture</t>
        </is>
      </c>
      <c r="F1566" s="13" t="inlineStr">
        <is>
          <t>Walnut Shelf</t>
        </is>
      </c>
      <c r="G1566" s="13" t="inlineStr">
        <is>
          <t>Consumer</t>
        </is>
      </c>
      <c r="H1566" s="13" t="n">
        <v>2</v>
      </c>
      <c r="I1566" s="14" t="n">
        <v>230.72</v>
      </c>
      <c r="J1566" s="15" t="n">
        <v>0.12</v>
      </c>
      <c r="K1566" s="14" t="n">
        <v>126.9</v>
      </c>
      <c r="L1566" s="13" t="n">
        <v>8</v>
      </c>
      <c r="M1566" s="13" t="inlineStr">
        <is>
          <t>Completed</t>
        </is>
      </c>
      <c r="N1566" s="13" t="inlineStr">
        <is>
          <t>M. Okonkwo</t>
        </is>
      </c>
      <c r="O1566" s="13" t="inlineStr">
        <is>
          <t>No</t>
        </is>
      </c>
      <c r="P1566" s="14">
        <f>H1566*I1566</f>
        <v/>
      </c>
      <c r="Q1566" s="14">
        <f>P1566*(1-J1566)</f>
        <v/>
      </c>
      <c r="R1566" s="14">
        <f>H1566*K1566</f>
        <v/>
      </c>
      <c r="S1566" s="15">
        <f>IF(Q1566=0,"",(Q1566-R1566)/Q1566)</f>
        <v/>
      </c>
      <c r="T1566" s="13">
        <f>YEAR(B1566)</f>
        <v/>
      </c>
      <c r="U1566" s="13">
        <f>YEAR(B1566)&amp;"-Q"&amp;ROUNDUP(MONTH(B1566)/3,0)</f>
        <v/>
      </c>
      <c r="V1566" s="13">
        <f>TEXT(B1566,"YYYY-MM")</f>
        <v/>
      </c>
      <c r="W1566" s="13">
        <f>IF(L1566="","",IF(L1566&gt;pLateDays,1,0))</f>
        <v/>
      </c>
      <c r="X1566" s="13">
        <f>IF(Q1566&gt;=pHighCutoff,1,0)</f>
        <v/>
      </c>
      <c r="Y1566" s="13">
        <f>IF(M1566="Returned",1,0)</f>
        <v/>
      </c>
    </row>
    <row r="1567">
      <c r="A1567" s="13" t="inlineStr">
        <is>
          <t>HC-101565</t>
        </is>
      </c>
      <c r="B1567" s="18" t="n">
        <v>45499</v>
      </c>
      <c r="C1567" s="13" t="inlineStr">
        <is>
          <t>East</t>
        </is>
      </c>
      <c r="D1567" s="13" t="inlineStr">
        <is>
          <t>Store</t>
        </is>
      </c>
      <c r="E1567" s="13" t="inlineStr">
        <is>
          <t>Textiles</t>
        </is>
      </c>
      <c r="F1567" s="13" t="inlineStr">
        <is>
          <t>Cotton Duvet</t>
        </is>
      </c>
      <c r="G1567" s="13" t="inlineStr">
        <is>
          <t>Consumer</t>
        </is>
      </c>
      <c r="H1567" s="13" t="n">
        <v>4</v>
      </c>
      <c r="I1567" s="14" t="n">
        <v>112.19</v>
      </c>
      <c r="J1567" s="15" t="n">
        <v>0.04</v>
      </c>
      <c r="K1567" s="14" t="n">
        <v>49.37</v>
      </c>
      <c r="L1567" s="13" t="n">
        <v>7</v>
      </c>
      <c r="M1567" s="13" t="inlineStr">
        <is>
          <t>Completed</t>
        </is>
      </c>
      <c r="N1567" s="13" t="inlineStr">
        <is>
          <t>M. Okonkwo</t>
        </is>
      </c>
      <c r="O1567" s="13" t="inlineStr">
        <is>
          <t>No</t>
        </is>
      </c>
      <c r="P1567" s="14">
        <f>H1567*I1567</f>
        <v/>
      </c>
      <c r="Q1567" s="14">
        <f>P1567*(1-J1567)</f>
        <v/>
      </c>
      <c r="R1567" s="14">
        <f>H1567*K1567</f>
        <v/>
      </c>
      <c r="S1567" s="15">
        <f>IF(Q1567=0,"",(Q1567-R1567)/Q1567)</f>
        <v/>
      </c>
      <c r="T1567" s="13">
        <f>YEAR(B1567)</f>
        <v/>
      </c>
      <c r="U1567" s="13">
        <f>YEAR(B1567)&amp;"-Q"&amp;ROUNDUP(MONTH(B1567)/3,0)</f>
        <v/>
      </c>
      <c r="V1567" s="13">
        <f>TEXT(B1567,"YYYY-MM")</f>
        <v/>
      </c>
      <c r="W1567" s="13">
        <f>IF(L1567="","",IF(L1567&gt;pLateDays,1,0))</f>
        <v/>
      </c>
      <c r="X1567" s="13">
        <f>IF(Q1567&gt;=pHighCutoff,1,0)</f>
        <v/>
      </c>
      <c r="Y1567" s="13">
        <f>IF(M1567="Returned",1,0)</f>
        <v/>
      </c>
    </row>
    <row r="1568">
      <c r="A1568" s="13" t="inlineStr">
        <is>
          <t>HC-101566</t>
        </is>
      </c>
      <c r="B1568" s="18" t="n">
        <v>45887</v>
      </c>
      <c r="C1568" s="13" t="inlineStr">
        <is>
          <t>West</t>
        </is>
      </c>
      <c r="D1568" s="13" t="inlineStr">
        <is>
          <t>Store</t>
        </is>
      </c>
      <c r="E1568" s="13" t="inlineStr">
        <is>
          <t>Furniture</t>
        </is>
      </c>
      <c r="F1568" s="13" t="inlineStr">
        <is>
          <t>Lounge Chair</t>
        </is>
      </c>
      <c r="G1568" s="13" t="inlineStr">
        <is>
          <t>Consumer</t>
        </is>
      </c>
      <c r="H1568" s="13" t="n">
        <v>2</v>
      </c>
      <c r="I1568" s="14" t="n">
        <v>501.23</v>
      </c>
      <c r="J1568" s="15" t="n">
        <v>0.1</v>
      </c>
      <c r="K1568" s="14" t="n">
        <v>300.74</v>
      </c>
      <c r="L1568" s="13" t="n">
        <v>5</v>
      </c>
      <c r="M1568" s="13" t="inlineStr">
        <is>
          <t>Completed</t>
        </is>
      </c>
      <c r="N1568" s="13" t="inlineStr">
        <is>
          <t>R. Ibarra</t>
        </is>
      </c>
      <c r="O1568" s="13" t="inlineStr">
        <is>
          <t>No</t>
        </is>
      </c>
      <c r="P1568" s="14">
        <f>H1568*I1568</f>
        <v/>
      </c>
      <c r="Q1568" s="14">
        <f>P1568*(1-J1568)</f>
        <v/>
      </c>
      <c r="R1568" s="14">
        <f>H1568*K1568</f>
        <v/>
      </c>
      <c r="S1568" s="15">
        <f>IF(Q1568=0,"",(Q1568-R1568)/Q1568)</f>
        <v/>
      </c>
      <c r="T1568" s="13">
        <f>YEAR(B1568)</f>
        <v/>
      </c>
      <c r="U1568" s="13">
        <f>YEAR(B1568)&amp;"-Q"&amp;ROUNDUP(MONTH(B1568)/3,0)</f>
        <v/>
      </c>
      <c r="V1568" s="13">
        <f>TEXT(B1568,"YYYY-MM")</f>
        <v/>
      </c>
      <c r="W1568" s="13">
        <f>IF(L1568="","",IF(L1568&gt;pLateDays,1,0))</f>
        <v/>
      </c>
      <c r="X1568" s="13">
        <f>IF(Q1568&gt;=pHighCutoff,1,0)</f>
        <v/>
      </c>
      <c r="Y1568" s="13">
        <f>IF(M1568="Returned",1,0)</f>
        <v/>
      </c>
    </row>
    <row r="1569">
      <c r="A1569" s="13" t="inlineStr">
        <is>
          <t>HC-101567</t>
        </is>
      </c>
      <c r="B1569" s="18" t="n">
        <v>45610</v>
      </c>
      <c r="C1569" s="13" t="inlineStr">
        <is>
          <t>West</t>
        </is>
      </c>
      <c r="D1569" s="13" t="inlineStr">
        <is>
          <t>Online</t>
        </is>
      </c>
      <c r="E1569" s="13" t="inlineStr">
        <is>
          <t>Furniture</t>
        </is>
      </c>
      <c r="F1569" s="13" t="inlineStr">
        <is>
          <t>Lounge Chair</t>
        </is>
      </c>
      <c r="G1569" s="13" t="inlineStr">
        <is>
          <t>Consumer</t>
        </is>
      </c>
      <c r="H1569" s="13" t="n">
        <v>3</v>
      </c>
      <c r="I1569" s="14" t="n">
        <v>460.82</v>
      </c>
      <c r="J1569" s="15" t="n">
        <v>0.1</v>
      </c>
      <c r="K1569" s="14" t="n">
        <v>276.49</v>
      </c>
      <c r="L1569" s="13" t="n"/>
      <c r="M1569" s="13" t="inlineStr">
        <is>
          <t>Completed</t>
        </is>
      </c>
      <c r="N1569" s="13" t="inlineStr">
        <is>
          <t>L. Berger</t>
        </is>
      </c>
      <c r="O1569" s="13" t="inlineStr">
        <is>
          <t>No</t>
        </is>
      </c>
      <c r="P1569" s="14">
        <f>H1569*I1569</f>
        <v/>
      </c>
      <c r="Q1569" s="14">
        <f>P1569*(1-J1569)</f>
        <v/>
      </c>
      <c r="R1569" s="14">
        <f>H1569*K1569</f>
        <v/>
      </c>
      <c r="S1569" s="15">
        <f>IF(Q1569=0,"",(Q1569-R1569)/Q1569)</f>
        <v/>
      </c>
      <c r="T1569" s="13">
        <f>YEAR(B1569)</f>
        <v/>
      </c>
      <c r="U1569" s="13">
        <f>YEAR(B1569)&amp;"-Q"&amp;ROUNDUP(MONTH(B1569)/3,0)</f>
        <v/>
      </c>
      <c r="V1569" s="13">
        <f>TEXT(B1569,"YYYY-MM")</f>
        <v/>
      </c>
      <c r="W1569" s="13">
        <f>IF(L1569="","",IF(L1569&gt;pLateDays,1,0))</f>
        <v/>
      </c>
      <c r="X1569" s="13">
        <f>IF(Q1569&gt;=pHighCutoff,1,0)</f>
        <v/>
      </c>
      <c r="Y1569" s="13">
        <f>IF(M1569="Returned",1,0)</f>
        <v/>
      </c>
    </row>
    <row r="1570">
      <c r="A1570" s="13" t="inlineStr">
        <is>
          <t>HC-101568</t>
        </is>
      </c>
      <c r="B1570" s="18" t="n">
        <v>45703</v>
      </c>
      <c r="C1570" s="13" t="inlineStr">
        <is>
          <t>North</t>
        </is>
      </c>
      <c r="D1570" s="13" t="inlineStr">
        <is>
          <t>Wholesale</t>
        </is>
      </c>
      <c r="E1570" s="13" t="inlineStr">
        <is>
          <t>Furniture</t>
        </is>
      </c>
      <c r="F1570" s="13" t="inlineStr">
        <is>
          <t>Linen Sofa</t>
        </is>
      </c>
      <c r="G1570" s="13" t="inlineStr">
        <is>
          <t>Corporate</t>
        </is>
      </c>
      <c r="H1570" s="13" t="n">
        <v>28</v>
      </c>
      <c r="I1570" s="14" t="n">
        <v>1219.32</v>
      </c>
      <c r="J1570" s="15" t="n">
        <v>0.32</v>
      </c>
      <c r="K1570" s="14" t="n">
        <v>804.75</v>
      </c>
      <c r="L1570" s="13" t="n">
        <v>10</v>
      </c>
      <c r="M1570" s="13" t="inlineStr">
        <is>
          <t>Completed</t>
        </is>
      </c>
      <c r="N1570" s="13" t="inlineStr">
        <is>
          <t>K. Mensah</t>
        </is>
      </c>
      <c r="O1570" s="13" t="inlineStr">
        <is>
          <t>No</t>
        </is>
      </c>
      <c r="P1570" s="14">
        <f>H1570*I1570</f>
        <v/>
      </c>
      <c r="Q1570" s="14">
        <f>P1570*(1-J1570)</f>
        <v/>
      </c>
      <c r="R1570" s="14">
        <f>H1570*K1570</f>
        <v/>
      </c>
      <c r="S1570" s="15">
        <f>IF(Q1570=0,"",(Q1570-R1570)/Q1570)</f>
        <v/>
      </c>
      <c r="T1570" s="13">
        <f>YEAR(B1570)</f>
        <v/>
      </c>
      <c r="U1570" s="13">
        <f>YEAR(B1570)&amp;"-Q"&amp;ROUNDUP(MONTH(B1570)/3,0)</f>
        <v/>
      </c>
      <c r="V1570" s="13">
        <f>TEXT(B1570,"YYYY-MM")</f>
        <v/>
      </c>
      <c r="W1570" s="13">
        <f>IF(L1570="","",IF(L1570&gt;pLateDays,1,0))</f>
        <v/>
      </c>
      <c r="X1570" s="13">
        <f>IF(Q1570&gt;=pHighCutoff,1,0)</f>
        <v/>
      </c>
      <c r="Y1570" s="13">
        <f>IF(M1570="Returned",1,0)</f>
        <v/>
      </c>
    </row>
    <row r="1571">
      <c r="A1571" s="13" t="inlineStr">
        <is>
          <t>HC-101569</t>
        </is>
      </c>
      <c r="B1571" s="18" t="n">
        <v>45626</v>
      </c>
      <c r="C1571" s="13" t="inlineStr">
        <is>
          <t>South</t>
        </is>
      </c>
      <c r="D1571" s="13" t="inlineStr">
        <is>
          <t>Wholesale</t>
        </is>
      </c>
      <c r="E1571" s="13" t="inlineStr">
        <is>
          <t>Furniture</t>
        </is>
      </c>
      <c r="F1571" s="13" t="inlineStr">
        <is>
          <t>Lounge Chair</t>
        </is>
      </c>
      <c r="G1571" s="13" t="inlineStr">
        <is>
          <t>Home Office</t>
        </is>
      </c>
      <c r="H1571" s="13" t="n">
        <v>25</v>
      </c>
      <c r="I1571" s="14" t="n">
        <v>470.89</v>
      </c>
      <c r="J1571" s="15" t="n">
        <v>0.22</v>
      </c>
      <c r="K1571" s="14" t="n">
        <v>282.53</v>
      </c>
      <c r="L1571" s="13" t="n">
        <v>6</v>
      </c>
      <c r="M1571" s="13" t="inlineStr">
        <is>
          <t>Completed</t>
        </is>
      </c>
      <c r="N1571" s="13" t="inlineStr">
        <is>
          <t>R. Ibarra</t>
        </is>
      </c>
      <c r="O1571" s="13" t="inlineStr">
        <is>
          <t>No</t>
        </is>
      </c>
      <c r="P1571" s="14">
        <f>H1571*I1571</f>
        <v/>
      </c>
      <c r="Q1571" s="14">
        <f>P1571*(1-J1571)</f>
        <v/>
      </c>
      <c r="R1571" s="14">
        <f>H1571*K1571</f>
        <v/>
      </c>
      <c r="S1571" s="15">
        <f>IF(Q1571=0,"",(Q1571-R1571)/Q1571)</f>
        <v/>
      </c>
      <c r="T1571" s="13">
        <f>YEAR(B1571)</f>
        <v/>
      </c>
      <c r="U1571" s="13">
        <f>YEAR(B1571)&amp;"-Q"&amp;ROUNDUP(MONTH(B1571)/3,0)</f>
        <v/>
      </c>
      <c r="V1571" s="13">
        <f>TEXT(B1571,"YYYY-MM")</f>
        <v/>
      </c>
      <c r="W1571" s="13">
        <f>IF(L1571="","",IF(L1571&gt;pLateDays,1,0))</f>
        <v/>
      </c>
      <c r="X1571" s="13">
        <f>IF(Q1571&gt;=pHighCutoff,1,0)</f>
        <v/>
      </c>
      <c r="Y1571" s="13">
        <f>IF(M1571="Returned",1,0)</f>
        <v/>
      </c>
    </row>
    <row r="1572">
      <c r="A1572" s="13" t="inlineStr">
        <is>
          <t>HC-101570</t>
        </is>
      </c>
      <c r="B1572" s="18" t="n">
        <v>45591</v>
      </c>
      <c r="C1572" s="13" t="inlineStr">
        <is>
          <t>West</t>
        </is>
      </c>
      <c r="D1572" s="13" t="inlineStr">
        <is>
          <t>Wholesale</t>
        </is>
      </c>
      <c r="E1572" s="13" t="inlineStr">
        <is>
          <t>Furniture</t>
        </is>
      </c>
      <c r="F1572" s="13" t="inlineStr">
        <is>
          <t>Walnut Shelf</t>
        </is>
      </c>
      <c r="G1572" s="13" t="inlineStr">
        <is>
          <t>Consumer</t>
        </is>
      </c>
      <c r="H1572" s="13" t="n">
        <v>9</v>
      </c>
      <c r="I1572" s="14" t="n">
        <v>229.99</v>
      </c>
      <c r="J1572" s="15" t="n">
        <v>0.26</v>
      </c>
      <c r="K1572" s="14" t="n">
        <v>126.49</v>
      </c>
      <c r="L1572" s="13" t="n">
        <v>8</v>
      </c>
      <c r="M1572" s="13" t="inlineStr">
        <is>
          <t>Completed</t>
        </is>
      </c>
      <c r="N1572" s="13" t="inlineStr">
        <is>
          <t>M. Okonkwo</t>
        </is>
      </c>
      <c r="O1572" s="13" t="inlineStr">
        <is>
          <t>No</t>
        </is>
      </c>
      <c r="P1572" s="14">
        <f>H1572*I1572</f>
        <v/>
      </c>
      <c r="Q1572" s="14">
        <f>P1572*(1-J1572)</f>
        <v/>
      </c>
      <c r="R1572" s="14">
        <f>H1572*K1572</f>
        <v/>
      </c>
      <c r="S1572" s="15">
        <f>IF(Q1572=0,"",(Q1572-R1572)/Q1572)</f>
        <v/>
      </c>
      <c r="T1572" s="13">
        <f>YEAR(B1572)</f>
        <v/>
      </c>
      <c r="U1572" s="13">
        <f>YEAR(B1572)&amp;"-Q"&amp;ROUNDUP(MONTH(B1572)/3,0)</f>
        <v/>
      </c>
      <c r="V1572" s="13">
        <f>TEXT(B1572,"YYYY-MM")</f>
        <v/>
      </c>
      <c r="W1572" s="13">
        <f>IF(L1572="","",IF(L1572&gt;pLateDays,1,0))</f>
        <v/>
      </c>
      <c r="X1572" s="13">
        <f>IF(Q1572&gt;=pHighCutoff,1,0)</f>
        <v/>
      </c>
      <c r="Y1572" s="13">
        <f>IF(M1572="Returned",1,0)</f>
        <v/>
      </c>
    </row>
    <row r="1573">
      <c r="A1573" s="13" t="inlineStr">
        <is>
          <t>HC-101571</t>
        </is>
      </c>
      <c r="B1573" s="18" t="n">
        <v>45499</v>
      </c>
      <c r="C1573" s="13" t="inlineStr">
        <is>
          <t>North</t>
        </is>
      </c>
      <c r="D1573" s="13" t="inlineStr">
        <is>
          <t>Store</t>
        </is>
      </c>
      <c r="E1573" s="13" t="inlineStr">
        <is>
          <t>Furniture</t>
        </is>
      </c>
      <c r="F1573" s="13" t="inlineStr">
        <is>
          <t>Linen Sofa</t>
        </is>
      </c>
      <c r="G1573" s="13" t="inlineStr">
        <is>
          <t>Consumer</t>
        </is>
      </c>
      <c r="H1573" s="13" t="n">
        <v>1</v>
      </c>
      <c r="I1573" s="14" t="n">
        <v>1336.57</v>
      </c>
      <c r="J1573" s="15" t="n">
        <v>0.07000000000000001</v>
      </c>
      <c r="K1573" s="14" t="n">
        <v>882.14</v>
      </c>
      <c r="L1573" s="13" t="n">
        <v>7</v>
      </c>
      <c r="M1573" s="13" t="inlineStr">
        <is>
          <t>Completed</t>
        </is>
      </c>
      <c r="N1573" s="13" t="inlineStr">
        <is>
          <t>R. Ibarra</t>
        </is>
      </c>
      <c r="O1573" s="13" t="inlineStr">
        <is>
          <t>No</t>
        </is>
      </c>
      <c r="P1573" s="14">
        <f>H1573*I1573</f>
        <v/>
      </c>
      <c r="Q1573" s="14">
        <f>P1573*(1-J1573)</f>
        <v/>
      </c>
      <c r="R1573" s="14">
        <f>H1573*K1573</f>
        <v/>
      </c>
      <c r="S1573" s="15">
        <f>IF(Q1573=0,"",(Q1573-R1573)/Q1573)</f>
        <v/>
      </c>
      <c r="T1573" s="13">
        <f>YEAR(B1573)</f>
        <v/>
      </c>
      <c r="U1573" s="13">
        <f>YEAR(B1573)&amp;"-Q"&amp;ROUNDUP(MONTH(B1573)/3,0)</f>
        <v/>
      </c>
      <c r="V1573" s="13">
        <f>TEXT(B1573,"YYYY-MM")</f>
        <v/>
      </c>
      <c r="W1573" s="13">
        <f>IF(L1573="","",IF(L1573&gt;pLateDays,1,0))</f>
        <v/>
      </c>
      <c r="X1573" s="13">
        <f>IF(Q1573&gt;=pHighCutoff,1,0)</f>
        <v/>
      </c>
      <c r="Y1573" s="13">
        <f>IF(M1573="Returned",1,0)</f>
        <v/>
      </c>
    </row>
    <row r="1574">
      <c r="A1574" s="13" t="inlineStr">
        <is>
          <t>HC-101572</t>
        </is>
      </c>
      <c r="B1574" s="18" t="n">
        <v>45754</v>
      </c>
      <c r="C1574" s="13" t="inlineStr">
        <is>
          <t>North</t>
        </is>
      </c>
      <c r="D1574" s="13" t="inlineStr">
        <is>
          <t>Online</t>
        </is>
      </c>
      <c r="E1574" s="13" t="inlineStr">
        <is>
          <t>Textiles</t>
        </is>
      </c>
      <c r="F1574" s="13" t="inlineStr">
        <is>
          <t>Wool Throw</t>
        </is>
      </c>
      <c r="G1574" s="13" t="inlineStr">
        <is>
          <t>Consumer</t>
        </is>
      </c>
      <c r="H1574" s="13" t="n">
        <v>1</v>
      </c>
      <c r="I1574" s="14" t="n">
        <v>76.63</v>
      </c>
      <c r="J1574" s="15" t="n">
        <v>0.17</v>
      </c>
      <c r="K1574" s="14" t="n">
        <v>32.18</v>
      </c>
      <c r="L1574" s="13" t="n">
        <v>3</v>
      </c>
      <c r="M1574" s="13" t="inlineStr">
        <is>
          <t>Returned</t>
        </is>
      </c>
      <c r="N1574" s="13" t="inlineStr">
        <is>
          <t>L. Berger</t>
        </is>
      </c>
      <c r="O1574" s="13" t="inlineStr">
        <is>
          <t>No</t>
        </is>
      </c>
      <c r="P1574" s="14">
        <f>H1574*I1574</f>
        <v/>
      </c>
      <c r="Q1574" s="14">
        <f>P1574*(1-J1574)</f>
        <v/>
      </c>
      <c r="R1574" s="14">
        <f>H1574*K1574</f>
        <v/>
      </c>
      <c r="S1574" s="15">
        <f>IF(Q1574=0,"",(Q1574-R1574)/Q1574)</f>
        <v/>
      </c>
      <c r="T1574" s="13">
        <f>YEAR(B1574)</f>
        <v/>
      </c>
      <c r="U1574" s="13">
        <f>YEAR(B1574)&amp;"-Q"&amp;ROUNDUP(MONTH(B1574)/3,0)</f>
        <v/>
      </c>
      <c r="V1574" s="13">
        <f>TEXT(B1574,"YYYY-MM")</f>
        <v/>
      </c>
      <c r="W1574" s="13">
        <f>IF(L1574="","",IF(L1574&gt;pLateDays,1,0))</f>
        <v/>
      </c>
      <c r="X1574" s="13">
        <f>IF(Q1574&gt;=pHighCutoff,1,0)</f>
        <v/>
      </c>
      <c r="Y1574" s="13">
        <f>IF(M1574="Returned",1,0)</f>
        <v/>
      </c>
    </row>
    <row r="1575">
      <c r="A1575" s="13" t="inlineStr">
        <is>
          <t>HC-101573</t>
        </is>
      </c>
      <c r="B1575" s="18" t="n">
        <v>45784</v>
      </c>
      <c r="C1575" s="13" t="inlineStr">
        <is>
          <t>North</t>
        </is>
      </c>
      <c r="D1575" s="13" t="inlineStr">
        <is>
          <t>Online</t>
        </is>
      </c>
      <c r="E1575" s="13" t="inlineStr">
        <is>
          <t>Kitchen</t>
        </is>
      </c>
      <c r="F1575" s="13" t="inlineStr">
        <is>
          <t>Chef Knife</t>
        </is>
      </c>
      <c r="G1575" s="13" t="inlineStr">
        <is>
          <t>Consumer</t>
        </is>
      </c>
      <c r="H1575" s="13" t="n">
        <v>1</v>
      </c>
      <c r="I1575" s="14" t="n">
        <v>68.28</v>
      </c>
      <c r="J1575" s="15" t="n">
        <v>0.16</v>
      </c>
      <c r="K1575" s="14" t="n">
        <v>24.58</v>
      </c>
      <c r="L1575" s="13" t="n">
        <v>5</v>
      </c>
      <c r="M1575" s="13" t="inlineStr">
        <is>
          <t>Completed</t>
        </is>
      </c>
      <c r="N1575" s="13" t="inlineStr">
        <is>
          <t>J. Patel</t>
        </is>
      </c>
      <c r="O1575" s="13" t="inlineStr">
        <is>
          <t>No</t>
        </is>
      </c>
      <c r="P1575" s="14">
        <f>H1575*I1575</f>
        <v/>
      </c>
      <c r="Q1575" s="14">
        <f>P1575*(1-J1575)</f>
        <v/>
      </c>
      <c r="R1575" s="14">
        <f>H1575*K1575</f>
        <v/>
      </c>
      <c r="S1575" s="15">
        <f>IF(Q1575=0,"",(Q1575-R1575)/Q1575)</f>
        <v/>
      </c>
      <c r="T1575" s="13">
        <f>YEAR(B1575)</f>
        <v/>
      </c>
      <c r="U1575" s="13">
        <f>YEAR(B1575)&amp;"-Q"&amp;ROUNDUP(MONTH(B1575)/3,0)</f>
        <v/>
      </c>
      <c r="V1575" s="13">
        <f>TEXT(B1575,"YYYY-MM")</f>
        <v/>
      </c>
      <c r="W1575" s="13">
        <f>IF(L1575="","",IF(L1575&gt;pLateDays,1,0))</f>
        <v/>
      </c>
      <c r="X1575" s="13">
        <f>IF(Q1575&gt;=pHighCutoff,1,0)</f>
        <v/>
      </c>
      <c r="Y1575" s="13">
        <f>IF(M1575="Returned",1,0)</f>
        <v/>
      </c>
    </row>
    <row r="1576">
      <c r="A1576" s="13" t="inlineStr">
        <is>
          <t>HC-101574</t>
        </is>
      </c>
      <c r="B1576" s="18" t="n">
        <v>45514</v>
      </c>
      <c r="C1576" s="13" t="inlineStr">
        <is>
          <t>West</t>
        </is>
      </c>
      <c r="D1576" s="13" t="inlineStr">
        <is>
          <t>Store</t>
        </is>
      </c>
      <c r="E1576" s="13" t="inlineStr">
        <is>
          <t>Kitchen</t>
        </is>
      </c>
      <c r="F1576" s="13" t="inlineStr">
        <is>
          <t>Chef Knife</t>
        </is>
      </c>
      <c r="G1576" s="13" t="inlineStr">
        <is>
          <t>Consumer</t>
        </is>
      </c>
      <c r="H1576" s="13" t="n">
        <v>3</v>
      </c>
      <c r="I1576" s="14" t="n">
        <v>59.53</v>
      </c>
      <c r="J1576" s="15" t="n">
        <v>0.01</v>
      </c>
      <c r="K1576" s="14" t="n">
        <v>21.43</v>
      </c>
      <c r="L1576" s="13" t="n">
        <v>6</v>
      </c>
      <c r="M1576" s="13" t="inlineStr">
        <is>
          <t>Completed</t>
        </is>
      </c>
      <c r="N1576" s="13" t="inlineStr">
        <is>
          <t>J. Patel</t>
        </is>
      </c>
      <c r="O1576" s="13" t="inlineStr">
        <is>
          <t>No</t>
        </is>
      </c>
      <c r="P1576" s="14">
        <f>H1576*I1576</f>
        <v/>
      </c>
      <c r="Q1576" s="14">
        <f>P1576*(1-J1576)</f>
        <v/>
      </c>
      <c r="R1576" s="14">
        <f>H1576*K1576</f>
        <v/>
      </c>
      <c r="S1576" s="15">
        <f>IF(Q1576=0,"",(Q1576-R1576)/Q1576)</f>
        <v/>
      </c>
      <c r="T1576" s="13">
        <f>YEAR(B1576)</f>
        <v/>
      </c>
      <c r="U1576" s="13">
        <f>YEAR(B1576)&amp;"-Q"&amp;ROUNDUP(MONTH(B1576)/3,0)</f>
        <v/>
      </c>
      <c r="V1576" s="13">
        <f>TEXT(B1576,"YYYY-MM")</f>
        <v/>
      </c>
      <c r="W1576" s="13">
        <f>IF(L1576="","",IF(L1576&gt;pLateDays,1,0))</f>
        <v/>
      </c>
      <c r="X1576" s="13">
        <f>IF(Q1576&gt;=pHighCutoff,1,0)</f>
        <v/>
      </c>
      <c r="Y1576" s="13">
        <f>IF(M1576="Returned",1,0)</f>
        <v/>
      </c>
    </row>
    <row r="1577">
      <c r="A1577" s="13" t="inlineStr">
        <is>
          <t>HC-101575</t>
        </is>
      </c>
      <c r="B1577" s="18" t="n">
        <v>45457</v>
      </c>
      <c r="C1577" s="13" t="inlineStr">
        <is>
          <t>East</t>
        </is>
      </c>
      <c r="D1577" s="13" t="inlineStr">
        <is>
          <t>Store</t>
        </is>
      </c>
      <c r="E1577" s="13" t="inlineStr">
        <is>
          <t>Lighting</t>
        </is>
      </c>
      <c r="F1577" s="13" t="inlineStr">
        <is>
          <t>Pendant Light</t>
        </is>
      </c>
      <c r="G1577" s="13" t="inlineStr">
        <is>
          <t>Consumer</t>
        </is>
      </c>
      <c r="H1577" s="13" t="n">
        <v>1</v>
      </c>
      <c r="I1577" s="14" t="n">
        <v>159.76</v>
      </c>
      <c r="J1577" s="15" t="n">
        <v>0</v>
      </c>
      <c r="K1577" s="14" t="n">
        <v>79.88</v>
      </c>
      <c r="L1577" s="13" t="n">
        <v>9</v>
      </c>
      <c r="M1577" s="13" t="inlineStr">
        <is>
          <t>Completed</t>
        </is>
      </c>
      <c r="N1577" s="13" t="inlineStr">
        <is>
          <t>K. Mensah</t>
        </is>
      </c>
      <c r="O1577" s="13" t="inlineStr">
        <is>
          <t>No</t>
        </is>
      </c>
      <c r="P1577" s="14">
        <f>H1577*I1577</f>
        <v/>
      </c>
      <c r="Q1577" s="14">
        <f>P1577*(1-J1577)</f>
        <v/>
      </c>
      <c r="R1577" s="14">
        <f>H1577*K1577</f>
        <v/>
      </c>
      <c r="S1577" s="15">
        <f>IF(Q1577=0,"",(Q1577-R1577)/Q1577)</f>
        <v/>
      </c>
      <c r="T1577" s="13">
        <f>YEAR(B1577)</f>
        <v/>
      </c>
      <c r="U1577" s="13">
        <f>YEAR(B1577)&amp;"-Q"&amp;ROUNDUP(MONTH(B1577)/3,0)</f>
        <v/>
      </c>
      <c r="V1577" s="13">
        <f>TEXT(B1577,"YYYY-MM")</f>
        <v/>
      </c>
      <c r="W1577" s="13">
        <f>IF(L1577="","",IF(L1577&gt;pLateDays,1,0))</f>
        <v/>
      </c>
      <c r="X1577" s="13">
        <f>IF(Q1577&gt;=pHighCutoff,1,0)</f>
        <v/>
      </c>
      <c r="Y1577" s="13">
        <f>IF(M1577="Returned",1,0)</f>
        <v/>
      </c>
    </row>
    <row r="1578">
      <c r="A1578" s="13" t="inlineStr">
        <is>
          <t>HC-101576</t>
        </is>
      </c>
      <c r="B1578" s="18" t="n">
        <v>45646</v>
      </c>
      <c r="C1578" s="13" t="inlineStr">
        <is>
          <t>West</t>
        </is>
      </c>
      <c r="D1578" s="13" t="inlineStr">
        <is>
          <t>Store</t>
        </is>
      </c>
      <c r="E1578" s="13" t="inlineStr">
        <is>
          <t>Textiles</t>
        </is>
      </c>
      <c r="F1578" s="13" t="inlineStr">
        <is>
          <t>Linen Curtain</t>
        </is>
      </c>
      <c r="G1578" s="13" t="inlineStr">
        <is>
          <t>Consumer</t>
        </is>
      </c>
      <c r="H1578" s="13" t="n">
        <v>3</v>
      </c>
      <c r="I1578" s="14" t="n">
        <v>89.7</v>
      </c>
      <c r="J1578" s="15" t="n">
        <v>0.07000000000000001</v>
      </c>
      <c r="K1578" s="14" t="n">
        <v>40.37</v>
      </c>
      <c r="L1578" s="13" t="n">
        <v>6</v>
      </c>
      <c r="M1578" s="13" t="inlineStr">
        <is>
          <t>Completed</t>
        </is>
      </c>
      <c r="N1578" s="13" t="inlineStr">
        <is>
          <t>R. Ibarra</t>
        </is>
      </c>
      <c r="O1578" s="13" t="inlineStr">
        <is>
          <t>No</t>
        </is>
      </c>
      <c r="P1578" s="14">
        <f>H1578*I1578</f>
        <v/>
      </c>
      <c r="Q1578" s="14">
        <f>P1578*(1-J1578)</f>
        <v/>
      </c>
      <c r="R1578" s="14">
        <f>H1578*K1578</f>
        <v/>
      </c>
      <c r="S1578" s="15">
        <f>IF(Q1578=0,"",(Q1578-R1578)/Q1578)</f>
        <v/>
      </c>
      <c r="T1578" s="13">
        <f>YEAR(B1578)</f>
        <v/>
      </c>
      <c r="U1578" s="13">
        <f>YEAR(B1578)&amp;"-Q"&amp;ROUNDUP(MONTH(B1578)/3,0)</f>
        <v/>
      </c>
      <c r="V1578" s="13">
        <f>TEXT(B1578,"YYYY-MM")</f>
        <v/>
      </c>
      <c r="W1578" s="13">
        <f>IF(L1578="","",IF(L1578&gt;pLateDays,1,0))</f>
        <v/>
      </c>
      <c r="X1578" s="13">
        <f>IF(Q1578&gt;=pHighCutoff,1,0)</f>
        <v/>
      </c>
      <c r="Y1578" s="13">
        <f>IF(M1578="Returned",1,0)</f>
        <v/>
      </c>
    </row>
    <row r="1579">
      <c r="A1579" s="13" t="inlineStr">
        <is>
          <t>HC-101577</t>
        </is>
      </c>
      <c r="B1579" s="18" t="n">
        <v>45418</v>
      </c>
      <c r="C1579" s="13" t="inlineStr">
        <is>
          <t>North</t>
        </is>
      </c>
      <c r="D1579" s="13" t="inlineStr">
        <is>
          <t>Store</t>
        </is>
      </c>
      <c r="E1579" s="13" t="inlineStr">
        <is>
          <t>Furniture</t>
        </is>
      </c>
      <c r="F1579" s="13" t="inlineStr">
        <is>
          <t>Walnut Shelf</t>
        </is>
      </c>
      <c r="G1579" s="13" t="inlineStr">
        <is>
          <t>Corporate</t>
        </is>
      </c>
      <c r="H1579" s="13" t="n">
        <v>3</v>
      </c>
      <c r="I1579" s="14" t="n">
        <v>207.9</v>
      </c>
      <c r="J1579" s="15" t="n">
        <v>0.05</v>
      </c>
      <c r="K1579" s="14" t="n">
        <v>114.34</v>
      </c>
      <c r="L1579" s="13" t="n">
        <v>3</v>
      </c>
      <c r="M1579" s="13" t="inlineStr">
        <is>
          <t>Completed</t>
        </is>
      </c>
      <c r="N1579" s="13" t="inlineStr">
        <is>
          <t>P. Rossi</t>
        </is>
      </c>
      <c r="O1579" s="13" t="inlineStr">
        <is>
          <t>No</t>
        </is>
      </c>
      <c r="P1579" s="14">
        <f>H1579*I1579</f>
        <v/>
      </c>
      <c r="Q1579" s="14">
        <f>P1579*(1-J1579)</f>
        <v/>
      </c>
      <c r="R1579" s="14">
        <f>H1579*K1579</f>
        <v/>
      </c>
      <c r="S1579" s="15">
        <f>IF(Q1579=0,"",(Q1579-R1579)/Q1579)</f>
        <v/>
      </c>
      <c r="T1579" s="13">
        <f>YEAR(B1579)</f>
        <v/>
      </c>
      <c r="U1579" s="13">
        <f>YEAR(B1579)&amp;"-Q"&amp;ROUNDUP(MONTH(B1579)/3,0)</f>
        <v/>
      </c>
      <c r="V1579" s="13">
        <f>TEXT(B1579,"YYYY-MM")</f>
        <v/>
      </c>
      <c r="W1579" s="13">
        <f>IF(L1579="","",IF(L1579&gt;pLateDays,1,0))</f>
        <v/>
      </c>
      <c r="X1579" s="13">
        <f>IF(Q1579&gt;=pHighCutoff,1,0)</f>
        <v/>
      </c>
      <c r="Y1579" s="13">
        <f>IF(M1579="Returned",1,0)</f>
        <v/>
      </c>
    </row>
    <row r="1580">
      <c r="A1580" s="13" t="inlineStr">
        <is>
          <t>HC-101578</t>
        </is>
      </c>
      <c r="B1580" s="18" t="n">
        <v>45719</v>
      </c>
      <c r="C1580" s="13" t="inlineStr">
        <is>
          <t>North</t>
        </is>
      </c>
      <c r="D1580" s="13" t="inlineStr">
        <is>
          <t>Store</t>
        </is>
      </c>
      <c r="E1580" s="13" t="inlineStr">
        <is>
          <t>Furniture</t>
        </is>
      </c>
      <c r="F1580" s="13" t="inlineStr">
        <is>
          <t>Lounge Chair</t>
        </is>
      </c>
      <c r="G1580" s="13" t="inlineStr">
        <is>
          <t>Corporate</t>
        </is>
      </c>
      <c r="H1580" s="13" t="n">
        <v>2</v>
      </c>
      <c r="I1580" s="14" t="n">
        <v>492.85</v>
      </c>
      <c r="J1580" s="15" t="n">
        <v>0.06</v>
      </c>
      <c r="K1580" s="14" t="n">
        <v>295.71</v>
      </c>
      <c r="L1580" s="13" t="n">
        <v>7</v>
      </c>
      <c r="M1580" s="13" t="inlineStr">
        <is>
          <t>Completed</t>
        </is>
      </c>
      <c r="N1580" s="13" t="inlineStr">
        <is>
          <t>R. Ibarra</t>
        </is>
      </c>
      <c r="O1580" s="13" t="inlineStr">
        <is>
          <t>No</t>
        </is>
      </c>
      <c r="P1580" s="14">
        <f>H1580*I1580</f>
        <v/>
      </c>
      <c r="Q1580" s="14">
        <f>P1580*(1-J1580)</f>
        <v/>
      </c>
      <c r="R1580" s="14">
        <f>H1580*K1580</f>
        <v/>
      </c>
      <c r="S1580" s="15">
        <f>IF(Q1580=0,"",(Q1580-R1580)/Q1580)</f>
        <v/>
      </c>
      <c r="T1580" s="13">
        <f>YEAR(B1580)</f>
        <v/>
      </c>
      <c r="U1580" s="13">
        <f>YEAR(B1580)&amp;"-Q"&amp;ROUNDUP(MONTH(B1580)/3,0)</f>
        <v/>
      </c>
      <c r="V1580" s="13">
        <f>TEXT(B1580,"YYYY-MM")</f>
        <v/>
      </c>
      <c r="W1580" s="13">
        <f>IF(L1580="","",IF(L1580&gt;pLateDays,1,0))</f>
        <v/>
      </c>
      <c r="X1580" s="13">
        <f>IF(Q1580&gt;=pHighCutoff,1,0)</f>
        <v/>
      </c>
      <c r="Y1580" s="13">
        <f>IF(M1580="Returned",1,0)</f>
        <v/>
      </c>
    </row>
    <row r="1581">
      <c r="A1581" s="13" t="inlineStr">
        <is>
          <t>HC-101579</t>
        </is>
      </c>
      <c r="B1581" s="18" t="n">
        <v>45647</v>
      </c>
      <c r="C1581" s="13" t="inlineStr">
        <is>
          <t>West</t>
        </is>
      </c>
      <c r="D1581" s="13" t="inlineStr">
        <is>
          <t>Store</t>
        </is>
      </c>
      <c r="E1581" s="13" t="inlineStr">
        <is>
          <t>Furniture</t>
        </is>
      </c>
      <c r="F1581" s="13" t="inlineStr">
        <is>
          <t>Oak Desk</t>
        </is>
      </c>
      <c r="G1581" s="13" t="inlineStr">
        <is>
          <t>Consumer</t>
        </is>
      </c>
      <c r="H1581" s="13" t="n">
        <v>3</v>
      </c>
      <c r="I1581" s="14" t="n">
        <v>899.5599999999999</v>
      </c>
      <c r="J1581" s="15" t="n">
        <v>0.05</v>
      </c>
      <c r="K1581" s="14" t="n">
        <v>557.72</v>
      </c>
      <c r="L1581" s="13" t="n">
        <v>7</v>
      </c>
      <c r="M1581" s="13" t="inlineStr">
        <is>
          <t>Completed</t>
        </is>
      </c>
      <c r="N1581" s="13" t="inlineStr">
        <is>
          <t>R. Ibarra</t>
        </is>
      </c>
      <c r="O1581" s="13" t="inlineStr">
        <is>
          <t>No</t>
        </is>
      </c>
      <c r="P1581" s="14">
        <f>H1581*I1581</f>
        <v/>
      </c>
      <c r="Q1581" s="14">
        <f>P1581*(1-J1581)</f>
        <v/>
      </c>
      <c r="R1581" s="14">
        <f>H1581*K1581</f>
        <v/>
      </c>
      <c r="S1581" s="15">
        <f>IF(Q1581=0,"",(Q1581-R1581)/Q1581)</f>
        <v/>
      </c>
      <c r="T1581" s="13">
        <f>YEAR(B1581)</f>
        <v/>
      </c>
      <c r="U1581" s="13">
        <f>YEAR(B1581)&amp;"-Q"&amp;ROUNDUP(MONTH(B1581)/3,0)</f>
        <v/>
      </c>
      <c r="V1581" s="13">
        <f>TEXT(B1581,"YYYY-MM")</f>
        <v/>
      </c>
      <c r="W1581" s="13">
        <f>IF(L1581="","",IF(L1581&gt;pLateDays,1,0))</f>
        <v/>
      </c>
      <c r="X1581" s="13">
        <f>IF(Q1581&gt;=pHighCutoff,1,0)</f>
        <v/>
      </c>
      <c r="Y1581" s="13">
        <f>IF(M1581="Returned",1,0)</f>
        <v/>
      </c>
    </row>
    <row r="1582">
      <c r="A1582" s="13" t="inlineStr">
        <is>
          <t>HC-101580</t>
        </is>
      </c>
      <c r="B1582" s="18" t="n">
        <v>45374</v>
      </c>
      <c r="C1582" s="13" t="inlineStr">
        <is>
          <t>West</t>
        </is>
      </c>
      <c r="D1582" s="13" t="inlineStr">
        <is>
          <t>Online</t>
        </is>
      </c>
      <c r="E1582" s="13" t="inlineStr">
        <is>
          <t>Kitchen</t>
        </is>
      </c>
      <c r="F1582" s="13" t="inlineStr">
        <is>
          <t>Chef Knife</t>
        </is>
      </c>
      <c r="G1582" s="13" t="inlineStr">
        <is>
          <t>Unknown</t>
        </is>
      </c>
      <c r="H1582" s="13" t="n">
        <v>3</v>
      </c>
      <c r="I1582" s="14" t="n">
        <v>66.76000000000001</v>
      </c>
      <c r="J1582" s="15" t="n">
        <v>0.09</v>
      </c>
      <c r="K1582" s="14" t="n">
        <v>24.03</v>
      </c>
      <c r="L1582" s="13" t="n">
        <v>6</v>
      </c>
      <c r="M1582" s="13" t="inlineStr">
        <is>
          <t>Completed</t>
        </is>
      </c>
      <c r="N1582" s="13" t="inlineStr">
        <is>
          <t>J. Patel</t>
        </is>
      </c>
      <c r="O1582" s="13" t="inlineStr">
        <is>
          <t>No</t>
        </is>
      </c>
      <c r="P1582" s="14">
        <f>H1582*I1582</f>
        <v/>
      </c>
      <c r="Q1582" s="14">
        <f>P1582*(1-J1582)</f>
        <v/>
      </c>
      <c r="R1582" s="14">
        <f>H1582*K1582</f>
        <v/>
      </c>
      <c r="S1582" s="15">
        <f>IF(Q1582=0,"",(Q1582-R1582)/Q1582)</f>
        <v/>
      </c>
      <c r="T1582" s="13">
        <f>YEAR(B1582)</f>
        <v/>
      </c>
      <c r="U1582" s="13">
        <f>YEAR(B1582)&amp;"-Q"&amp;ROUNDUP(MONTH(B1582)/3,0)</f>
        <v/>
      </c>
      <c r="V1582" s="13">
        <f>TEXT(B1582,"YYYY-MM")</f>
        <v/>
      </c>
      <c r="W1582" s="13">
        <f>IF(L1582="","",IF(L1582&gt;pLateDays,1,0))</f>
        <v/>
      </c>
      <c r="X1582" s="13">
        <f>IF(Q1582&gt;=pHighCutoff,1,0)</f>
        <v/>
      </c>
      <c r="Y1582" s="13">
        <f>IF(M1582="Returned",1,0)</f>
        <v/>
      </c>
    </row>
    <row r="1583">
      <c r="A1583" s="13" t="inlineStr">
        <is>
          <t>HC-101581</t>
        </is>
      </c>
      <c r="B1583" s="18" t="n">
        <v>45637</v>
      </c>
      <c r="C1583" s="13" t="inlineStr">
        <is>
          <t>West</t>
        </is>
      </c>
      <c r="D1583" s="13" t="inlineStr">
        <is>
          <t>Store</t>
        </is>
      </c>
      <c r="E1583" s="13" t="inlineStr">
        <is>
          <t>Lighting</t>
        </is>
      </c>
      <c r="F1583" s="13" t="inlineStr">
        <is>
          <t>Pendant Light</t>
        </is>
      </c>
      <c r="G1583" s="13" t="inlineStr">
        <is>
          <t>Consumer</t>
        </is>
      </c>
      <c r="H1583" s="13" t="n">
        <v>5</v>
      </c>
      <c r="I1583" s="14" t="n">
        <v>183.04</v>
      </c>
      <c r="J1583" s="15" t="n">
        <v>0.01</v>
      </c>
      <c r="K1583" s="14" t="n">
        <v>91.52</v>
      </c>
      <c r="L1583" s="13" t="n">
        <v>3</v>
      </c>
      <c r="M1583" s="13" t="inlineStr">
        <is>
          <t>Completed</t>
        </is>
      </c>
      <c r="N1583" s="13" t="inlineStr">
        <is>
          <t>L. Berger</t>
        </is>
      </c>
      <c r="O1583" s="13" t="inlineStr">
        <is>
          <t>No</t>
        </is>
      </c>
      <c r="P1583" s="14">
        <f>H1583*I1583</f>
        <v/>
      </c>
      <c r="Q1583" s="14">
        <f>P1583*(1-J1583)</f>
        <v/>
      </c>
      <c r="R1583" s="14">
        <f>H1583*K1583</f>
        <v/>
      </c>
      <c r="S1583" s="15">
        <f>IF(Q1583=0,"",(Q1583-R1583)/Q1583)</f>
        <v/>
      </c>
      <c r="T1583" s="13">
        <f>YEAR(B1583)</f>
        <v/>
      </c>
      <c r="U1583" s="13">
        <f>YEAR(B1583)&amp;"-Q"&amp;ROUNDUP(MONTH(B1583)/3,0)</f>
        <v/>
      </c>
      <c r="V1583" s="13">
        <f>TEXT(B1583,"YYYY-MM")</f>
        <v/>
      </c>
      <c r="W1583" s="13">
        <f>IF(L1583="","",IF(L1583&gt;pLateDays,1,0))</f>
        <v/>
      </c>
      <c r="X1583" s="13">
        <f>IF(Q1583&gt;=pHighCutoff,1,0)</f>
        <v/>
      </c>
      <c r="Y1583" s="13">
        <f>IF(M1583="Returned",1,0)</f>
        <v/>
      </c>
    </row>
    <row r="1584">
      <c r="A1584" s="13" t="inlineStr">
        <is>
          <t>HC-101582</t>
        </is>
      </c>
      <c r="B1584" s="18" t="n">
        <v>45805</v>
      </c>
      <c r="C1584" s="13" t="inlineStr">
        <is>
          <t>West</t>
        </is>
      </c>
      <c r="D1584" s="13" t="inlineStr">
        <is>
          <t>Store</t>
        </is>
      </c>
      <c r="E1584" s="13" t="inlineStr">
        <is>
          <t>Textiles</t>
        </is>
      </c>
      <c r="F1584" s="13" t="inlineStr">
        <is>
          <t>Wool Throw</t>
        </is>
      </c>
      <c r="G1584" s="13" t="inlineStr">
        <is>
          <t>Unknown</t>
        </is>
      </c>
      <c r="H1584" s="13" t="n">
        <v>2</v>
      </c>
      <c r="I1584" s="14" t="n">
        <v>80.28</v>
      </c>
      <c r="J1584" s="15" t="n">
        <v>0.09</v>
      </c>
      <c r="K1584" s="14" t="n">
        <v>33.72</v>
      </c>
      <c r="L1584" s="13" t="n">
        <v>4</v>
      </c>
      <c r="M1584" s="13" t="inlineStr">
        <is>
          <t>Completed</t>
        </is>
      </c>
      <c r="N1584" s="13" t="inlineStr">
        <is>
          <t>R. Ibarra</t>
        </is>
      </c>
      <c r="O1584" s="13" t="inlineStr">
        <is>
          <t>No</t>
        </is>
      </c>
      <c r="P1584" s="14">
        <f>H1584*I1584</f>
        <v/>
      </c>
      <c r="Q1584" s="14">
        <f>P1584*(1-J1584)</f>
        <v/>
      </c>
      <c r="R1584" s="14">
        <f>H1584*K1584</f>
        <v/>
      </c>
      <c r="S1584" s="15">
        <f>IF(Q1584=0,"",(Q1584-R1584)/Q1584)</f>
        <v/>
      </c>
      <c r="T1584" s="13">
        <f>YEAR(B1584)</f>
        <v/>
      </c>
      <c r="U1584" s="13">
        <f>YEAR(B1584)&amp;"-Q"&amp;ROUNDUP(MONTH(B1584)/3,0)</f>
        <v/>
      </c>
      <c r="V1584" s="13">
        <f>TEXT(B1584,"YYYY-MM")</f>
        <v/>
      </c>
      <c r="W1584" s="13">
        <f>IF(L1584="","",IF(L1584&gt;pLateDays,1,0))</f>
        <v/>
      </c>
      <c r="X1584" s="13">
        <f>IF(Q1584&gt;=pHighCutoff,1,0)</f>
        <v/>
      </c>
      <c r="Y1584" s="13">
        <f>IF(M1584="Returned",1,0)</f>
        <v/>
      </c>
    </row>
    <row r="1585">
      <c r="A1585" s="13" t="inlineStr">
        <is>
          <t>HC-101583</t>
        </is>
      </c>
      <c r="B1585" s="18" t="n">
        <v>45763</v>
      </c>
      <c r="C1585" s="13" t="inlineStr">
        <is>
          <t>North</t>
        </is>
      </c>
      <c r="D1585" s="13" t="inlineStr">
        <is>
          <t>Store</t>
        </is>
      </c>
      <c r="E1585" s="13" t="inlineStr">
        <is>
          <t>Textiles</t>
        </is>
      </c>
      <c r="F1585" s="13" t="inlineStr">
        <is>
          <t>Wool Throw</t>
        </is>
      </c>
      <c r="G1585" s="13" t="inlineStr">
        <is>
          <t>Consumer</t>
        </is>
      </c>
      <c r="H1585" s="13" t="n">
        <v>2</v>
      </c>
      <c r="I1585" s="14" t="n">
        <v>77.73999999999999</v>
      </c>
      <c r="J1585" s="15" t="n">
        <v>0.01</v>
      </c>
      <c r="K1585" s="14" t="n">
        <v>32.65</v>
      </c>
      <c r="L1585" s="13" t="n">
        <v>2</v>
      </c>
      <c r="M1585" s="13" t="inlineStr">
        <is>
          <t>Completed</t>
        </is>
      </c>
      <c r="N1585" s="13" t="inlineStr">
        <is>
          <t>R. Ibarra</t>
        </is>
      </c>
      <c r="O1585" s="13" t="inlineStr">
        <is>
          <t>No</t>
        </is>
      </c>
      <c r="P1585" s="14">
        <f>H1585*I1585</f>
        <v/>
      </c>
      <c r="Q1585" s="14">
        <f>P1585*(1-J1585)</f>
        <v/>
      </c>
      <c r="R1585" s="14">
        <f>H1585*K1585</f>
        <v/>
      </c>
      <c r="S1585" s="15">
        <f>IF(Q1585=0,"",(Q1585-R1585)/Q1585)</f>
        <v/>
      </c>
      <c r="T1585" s="13">
        <f>YEAR(B1585)</f>
        <v/>
      </c>
      <c r="U1585" s="13">
        <f>YEAR(B1585)&amp;"-Q"&amp;ROUNDUP(MONTH(B1585)/3,0)</f>
        <v/>
      </c>
      <c r="V1585" s="13">
        <f>TEXT(B1585,"YYYY-MM")</f>
        <v/>
      </c>
      <c r="W1585" s="13">
        <f>IF(L1585="","",IF(L1585&gt;pLateDays,1,0))</f>
        <v/>
      </c>
      <c r="X1585" s="13">
        <f>IF(Q1585&gt;=pHighCutoff,1,0)</f>
        <v/>
      </c>
      <c r="Y1585" s="13">
        <f>IF(M1585="Returned",1,0)</f>
        <v/>
      </c>
    </row>
    <row r="1586">
      <c r="A1586" s="13" t="inlineStr">
        <is>
          <t>HC-101584</t>
        </is>
      </c>
      <c r="B1586" s="18" t="n">
        <v>45303</v>
      </c>
      <c r="C1586" s="13" t="inlineStr">
        <is>
          <t>South</t>
        </is>
      </c>
      <c r="D1586" s="13" t="inlineStr">
        <is>
          <t>Store</t>
        </is>
      </c>
      <c r="E1586" s="13" t="inlineStr">
        <is>
          <t>Furniture</t>
        </is>
      </c>
      <c r="F1586" s="13" t="inlineStr">
        <is>
          <t>Oak Desk</t>
        </is>
      </c>
      <c r="G1586" s="13" t="inlineStr">
        <is>
          <t>Corporate</t>
        </is>
      </c>
      <c r="H1586" s="13" t="n">
        <v>2</v>
      </c>
      <c r="I1586" s="14" t="n">
        <v>880.1</v>
      </c>
      <c r="J1586" s="15" t="n">
        <v>0.06</v>
      </c>
      <c r="K1586" s="14" t="n">
        <v>545.66</v>
      </c>
      <c r="L1586" s="13" t="n">
        <v>7</v>
      </c>
      <c r="M1586" s="13" t="inlineStr">
        <is>
          <t>Completed</t>
        </is>
      </c>
      <c r="N1586" s="13" t="inlineStr">
        <is>
          <t>K. Mensah</t>
        </is>
      </c>
      <c r="O1586" s="13" t="inlineStr">
        <is>
          <t>No</t>
        </is>
      </c>
      <c r="P1586" s="14">
        <f>H1586*I1586</f>
        <v/>
      </c>
      <c r="Q1586" s="14">
        <f>P1586*(1-J1586)</f>
        <v/>
      </c>
      <c r="R1586" s="14">
        <f>H1586*K1586</f>
        <v/>
      </c>
      <c r="S1586" s="15">
        <f>IF(Q1586=0,"",(Q1586-R1586)/Q1586)</f>
        <v/>
      </c>
      <c r="T1586" s="13">
        <f>YEAR(B1586)</f>
        <v/>
      </c>
      <c r="U1586" s="13">
        <f>YEAR(B1586)&amp;"-Q"&amp;ROUNDUP(MONTH(B1586)/3,0)</f>
        <v/>
      </c>
      <c r="V1586" s="13">
        <f>TEXT(B1586,"YYYY-MM")</f>
        <v/>
      </c>
      <c r="W1586" s="13">
        <f>IF(L1586="","",IF(L1586&gt;pLateDays,1,0))</f>
        <v/>
      </c>
      <c r="X1586" s="13">
        <f>IF(Q1586&gt;=pHighCutoff,1,0)</f>
        <v/>
      </c>
      <c r="Y1586" s="13">
        <f>IF(M1586="Returned",1,0)</f>
        <v/>
      </c>
    </row>
    <row r="1587">
      <c r="A1587" s="13" t="inlineStr">
        <is>
          <t>HC-101585</t>
        </is>
      </c>
      <c r="B1587" s="18" t="n">
        <v>45395</v>
      </c>
      <c r="C1587" s="13" t="inlineStr">
        <is>
          <t>East</t>
        </is>
      </c>
      <c r="D1587" s="13" t="inlineStr">
        <is>
          <t>Store</t>
        </is>
      </c>
      <c r="E1587" s="13" t="inlineStr">
        <is>
          <t>Kitchen</t>
        </is>
      </c>
      <c r="F1587" s="13" t="inlineStr">
        <is>
          <t>Cast Skillet</t>
        </is>
      </c>
      <c r="G1587" s="13" t="inlineStr">
        <is>
          <t>Consumer</t>
        </is>
      </c>
      <c r="H1587" s="13" t="n">
        <v>2</v>
      </c>
      <c r="I1587" s="14" t="n">
        <v>46.37</v>
      </c>
      <c r="J1587" s="15" t="n">
        <v>0.07000000000000001</v>
      </c>
      <c r="K1587" s="14" t="n">
        <v>18.55</v>
      </c>
      <c r="L1587" s="13" t="n">
        <v>9</v>
      </c>
      <c r="M1587" s="13" t="inlineStr">
        <is>
          <t>Completed</t>
        </is>
      </c>
      <c r="N1587" s="13" t="inlineStr">
        <is>
          <t>M. Okonkwo</t>
        </is>
      </c>
      <c r="O1587" s="13" t="inlineStr">
        <is>
          <t>No</t>
        </is>
      </c>
      <c r="P1587" s="14">
        <f>H1587*I1587</f>
        <v/>
      </c>
      <c r="Q1587" s="14">
        <f>P1587*(1-J1587)</f>
        <v/>
      </c>
      <c r="R1587" s="14">
        <f>H1587*K1587</f>
        <v/>
      </c>
      <c r="S1587" s="15">
        <f>IF(Q1587=0,"",(Q1587-R1587)/Q1587)</f>
        <v/>
      </c>
      <c r="T1587" s="13">
        <f>YEAR(B1587)</f>
        <v/>
      </c>
      <c r="U1587" s="13">
        <f>YEAR(B1587)&amp;"-Q"&amp;ROUNDUP(MONTH(B1587)/3,0)</f>
        <v/>
      </c>
      <c r="V1587" s="13">
        <f>TEXT(B1587,"YYYY-MM")</f>
        <v/>
      </c>
      <c r="W1587" s="13">
        <f>IF(L1587="","",IF(L1587&gt;pLateDays,1,0))</f>
        <v/>
      </c>
      <c r="X1587" s="13">
        <f>IF(Q1587&gt;=pHighCutoff,1,0)</f>
        <v/>
      </c>
      <c r="Y1587" s="13">
        <f>IF(M1587="Returned",1,0)</f>
        <v/>
      </c>
    </row>
    <row r="1588">
      <c r="A1588" s="13" t="inlineStr">
        <is>
          <t>HC-101586</t>
        </is>
      </c>
      <c r="B1588" s="18" t="n">
        <v>45829</v>
      </c>
      <c r="C1588" s="13" t="inlineStr">
        <is>
          <t>East</t>
        </is>
      </c>
      <c r="D1588" s="13" t="inlineStr">
        <is>
          <t>Wholesale</t>
        </is>
      </c>
      <c r="E1588" s="13" t="inlineStr">
        <is>
          <t>Furniture</t>
        </is>
      </c>
      <c r="F1588" s="13" t="inlineStr">
        <is>
          <t>Lounge Chair</t>
        </is>
      </c>
      <c r="G1588" s="13" t="inlineStr">
        <is>
          <t>Corporate</t>
        </is>
      </c>
      <c r="H1588" s="13" t="n">
        <v>23</v>
      </c>
      <c r="I1588" s="14" t="n">
        <v>398.69</v>
      </c>
      <c r="J1588" s="15" t="n">
        <v>0.16</v>
      </c>
      <c r="K1588" s="14" t="n">
        <v>239.21</v>
      </c>
      <c r="L1588" s="13" t="n">
        <v>11</v>
      </c>
      <c r="M1588" s="13" t="inlineStr">
        <is>
          <t>Completed</t>
        </is>
      </c>
      <c r="N1588" s="13" t="inlineStr">
        <is>
          <t>L. Berger</t>
        </is>
      </c>
      <c r="O1588" s="13" t="inlineStr">
        <is>
          <t>No</t>
        </is>
      </c>
      <c r="P1588" s="14">
        <f>H1588*I1588</f>
        <v/>
      </c>
      <c r="Q1588" s="14">
        <f>P1588*(1-J1588)</f>
        <v/>
      </c>
      <c r="R1588" s="14">
        <f>H1588*K1588</f>
        <v/>
      </c>
      <c r="S1588" s="15">
        <f>IF(Q1588=0,"",(Q1588-R1588)/Q1588)</f>
        <v/>
      </c>
      <c r="T1588" s="13">
        <f>YEAR(B1588)</f>
        <v/>
      </c>
      <c r="U1588" s="13">
        <f>YEAR(B1588)&amp;"-Q"&amp;ROUNDUP(MONTH(B1588)/3,0)</f>
        <v/>
      </c>
      <c r="V1588" s="13">
        <f>TEXT(B1588,"YYYY-MM")</f>
        <v/>
      </c>
      <c r="W1588" s="13">
        <f>IF(L1588="","",IF(L1588&gt;pLateDays,1,0))</f>
        <v/>
      </c>
      <c r="X1588" s="13">
        <f>IF(Q1588&gt;=pHighCutoff,1,0)</f>
        <v/>
      </c>
      <c r="Y1588" s="13">
        <f>IF(M1588="Returned",1,0)</f>
        <v/>
      </c>
    </row>
    <row r="1589">
      <c r="A1589" s="13" t="inlineStr">
        <is>
          <t>HC-101587</t>
        </is>
      </c>
      <c r="B1589" s="18" t="n">
        <v>45762</v>
      </c>
      <c r="C1589" s="13" t="inlineStr">
        <is>
          <t>West</t>
        </is>
      </c>
      <c r="D1589" s="13" t="inlineStr">
        <is>
          <t>Store</t>
        </is>
      </c>
      <c r="E1589" s="13" t="inlineStr">
        <is>
          <t>Kitchen</t>
        </is>
      </c>
      <c r="F1589" s="13" t="inlineStr">
        <is>
          <t>Ceramic Set</t>
        </is>
      </c>
      <c r="G1589" s="13" t="inlineStr">
        <is>
          <t>Consumer</t>
        </is>
      </c>
      <c r="H1589" s="13" t="n">
        <v>3</v>
      </c>
      <c r="I1589" s="14" t="n">
        <v>84.5</v>
      </c>
      <c r="J1589" s="15" t="n">
        <v>0</v>
      </c>
      <c r="K1589" s="14" t="n">
        <v>32.11</v>
      </c>
      <c r="L1589" s="13" t="n">
        <v>2</v>
      </c>
      <c r="M1589" s="13" t="inlineStr">
        <is>
          <t>Completed</t>
        </is>
      </c>
      <c r="N1589" s="13" t="inlineStr">
        <is>
          <t>L. Berger</t>
        </is>
      </c>
      <c r="O1589" s="13" t="inlineStr">
        <is>
          <t>No</t>
        </is>
      </c>
      <c r="P1589" s="14">
        <f>H1589*I1589</f>
        <v/>
      </c>
      <c r="Q1589" s="14">
        <f>P1589*(1-J1589)</f>
        <v/>
      </c>
      <c r="R1589" s="14">
        <f>H1589*K1589</f>
        <v/>
      </c>
      <c r="S1589" s="15">
        <f>IF(Q1589=0,"",(Q1589-R1589)/Q1589)</f>
        <v/>
      </c>
      <c r="T1589" s="13">
        <f>YEAR(B1589)</f>
        <v/>
      </c>
      <c r="U1589" s="13">
        <f>YEAR(B1589)&amp;"-Q"&amp;ROUNDUP(MONTH(B1589)/3,0)</f>
        <v/>
      </c>
      <c r="V1589" s="13">
        <f>TEXT(B1589,"YYYY-MM")</f>
        <v/>
      </c>
      <c r="W1589" s="13">
        <f>IF(L1589="","",IF(L1589&gt;pLateDays,1,0))</f>
        <v/>
      </c>
      <c r="X1589" s="13">
        <f>IF(Q1589&gt;=pHighCutoff,1,0)</f>
        <v/>
      </c>
      <c r="Y1589" s="13">
        <f>IF(M1589="Returned",1,0)</f>
        <v/>
      </c>
    </row>
    <row r="1590">
      <c r="A1590" s="13" t="inlineStr">
        <is>
          <t>HC-101588</t>
        </is>
      </c>
      <c r="B1590" s="18" t="n">
        <v>45545</v>
      </c>
      <c r="C1590" s="13" t="inlineStr">
        <is>
          <t>North</t>
        </is>
      </c>
      <c r="D1590" s="13" t="inlineStr">
        <is>
          <t>Online</t>
        </is>
      </c>
      <c r="E1590" s="13" t="inlineStr">
        <is>
          <t>Furniture</t>
        </is>
      </c>
      <c r="F1590" s="13" t="inlineStr">
        <is>
          <t>Lounge Chair</t>
        </is>
      </c>
      <c r="G1590" s="13" t="inlineStr">
        <is>
          <t>Corporate</t>
        </is>
      </c>
      <c r="H1590" s="13" t="n">
        <v>2</v>
      </c>
      <c r="I1590" s="14" t="n">
        <v>507.93</v>
      </c>
      <c r="J1590" s="15" t="n">
        <v>0.07000000000000001</v>
      </c>
      <c r="K1590" s="14" t="n">
        <v>304.76</v>
      </c>
      <c r="L1590" s="13" t="n"/>
      <c r="M1590" s="13" t="inlineStr">
        <is>
          <t>Completed</t>
        </is>
      </c>
      <c r="N1590" s="13" t="inlineStr">
        <is>
          <t>K. Mensah</t>
        </is>
      </c>
      <c r="O1590" s="13" t="inlineStr">
        <is>
          <t>No</t>
        </is>
      </c>
      <c r="P1590" s="14">
        <f>H1590*I1590</f>
        <v/>
      </c>
      <c r="Q1590" s="14">
        <f>P1590*(1-J1590)</f>
        <v/>
      </c>
      <c r="R1590" s="14">
        <f>H1590*K1590</f>
        <v/>
      </c>
      <c r="S1590" s="15">
        <f>IF(Q1590=0,"",(Q1590-R1590)/Q1590)</f>
        <v/>
      </c>
      <c r="T1590" s="13">
        <f>YEAR(B1590)</f>
        <v/>
      </c>
      <c r="U1590" s="13">
        <f>YEAR(B1590)&amp;"-Q"&amp;ROUNDUP(MONTH(B1590)/3,0)</f>
        <v/>
      </c>
      <c r="V1590" s="13">
        <f>TEXT(B1590,"YYYY-MM")</f>
        <v/>
      </c>
      <c r="W1590" s="13">
        <f>IF(L1590="","",IF(L1590&gt;pLateDays,1,0))</f>
        <v/>
      </c>
      <c r="X1590" s="13">
        <f>IF(Q1590&gt;=pHighCutoff,1,0)</f>
        <v/>
      </c>
      <c r="Y1590" s="13">
        <f>IF(M1590="Returned",1,0)</f>
        <v/>
      </c>
    </row>
    <row r="1591">
      <c r="A1591" s="13" t="inlineStr">
        <is>
          <t>HC-101589</t>
        </is>
      </c>
      <c r="B1591" s="18" t="n">
        <v>45490</v>
      </c>
      <c r="C1591" s="13" t="inlineStr">
        <is>
          <t>South</t>
        </is>
      </c>
      <c r="D1591" s="13" t="inlineStr">
        <is>
          <t>Online</t>
        </is>
      </c>
      <c r="E1591" s="13" t="inlineStr">
        <is>
          <t>Kitchen</t>
        </is>
      </c>
      <c r="F1591" s="13" t="inlineStr">
        <is>
          <t>Cast Skillet</t>
        </is>
      </c>
      <c r="G1591" s="13" t="inlineStr">
        <is>
          <t>Corporate</t>
        </is>
      </c>
      <c r="H1591" s="13" t="n">
        <v>1</v>
      </c>
      <c r="I1591" s="14" t="n">
        <v>57.04</v>
      </c>
      <c r="J1591" s="15" t="n">
        <v>0.11</v>
      </c>
      <c r="K1591" s="14" t="n">
        <v>22.82</v>
      </c>
      <c r="L1591" s="13" t="n">
        <v>4</v>
      </c>
      <c r="M1591" s="13" t="inlineStr">
        <is>
          <t>Completed</t>
        </is>
      </c>
      <c r="N1591" s="13" t="inlineStr">
        <is>
          <t>L. Berger</t>
        </is>
      </c>
      <c r="O1591" s="13" t="inlineStr">
        <is>
          <t>No</t>
        </is>
      </c>
      <c r="P1591" s="14">
        <f>H1591*I1591</f>
        <v/>
      </c>
      <c r="Q1591" s="14">
        <f>P1591*(1-J1591)</f>
        <v/>
      </c>
      <c r="R1591" s="14">
        <f>H1591*K1591</f>
        <v/>
      </c>
      <c r="S1591" s="15">
        <f>IF(Q1591=0,"",(Q1591-R1591)/Q1591)</f>
        <v/>
      </c>
      <c r="T1591" s="13">
        <f>YEAR(B1591)</f>
        <v/>
      </c>
      <c r="U1591" s="13">
        <f>YEAR(B1591)&amp;"-Q"&amp;ROUNDUP(MONTH(B1591)/3,0)</f>
        <v/>
      </c>
      <c r="V1591" s="13">
        <f>TEXT(B1591,"YYYY-MM")</f>
        <v/>
      </c>
      <c r="W1591" s="13">
        <f>IF(L1591="","",IF(L1591&gt;pLateDays,1,0))</f>
        <v/>
      </c>
      <c r="X1591" s="13">
        <f>IF(Q1591&gt;=pHighCutoff,1,0)</f>
        <v/>
      </c>
      <c r="Y1591" s="13">
        <f>IF(M1591="Returned",1,0)</f>
        <v/>
      </c>
    </row>
    <row r="1592">
      <c r="A1592" s="13" t="inlineStr">
        <is>
          <t>HC-101590</t>
        </is>
      </c>
      <c r="B1592" s="18" t="n">
        <v>45733</v>
      </c>
      <c r="C1592" s="13" t="inlineStr">
        <is>
          <t>West</t>
        </is>
      </c>
      <c r="D1592" s="13" t="inlineStr">
        <is>
          <t>Store</t>
        </is>
      </c>
      <c r="E1592" s="13" t="inlineStr">
        <is>
          <t>Textiles</t>
        </is>
      </c>
      <c r="F1592" s="13" t="inlineStr">
        <is>
          <t>Linen Curtain</t>
        </is>
      </c>
      <c r="G1592" s="13" t="inlineStr">
        <is>
          <t>Consumer</t>
        </is>
      </c>
      <c r="H1592" s="13" t="n">
        <v>2</v>
      </c>
      <c r="I1592" s="14" t="n">
        <v>95.20999999999999</v>
      </c>
      <c r="J1592" s="15" t="n">
        <v>0.01</v>
      </c>
      <c r="K1592" s="14" t="n">
        <v>42.84</v>
      </c>
      <c r="L1592" s="13" t="n">
        <v>8</v>
      </c>
      <c r="M1592" s="13" t="inlineStr">
        <is>
          <t>Cancelled</t>
        </is>
      </c>
      <c r="N1592" s="13" t="inlineStr">
        <is>
          <t>M. Okonkwo</t>
        </is>
      </c>
      <c r="O1592" s="13" t="inlineStr">
        <is>
          <t>No</t>
        </is>
      </c>
      <c r="P1592" s="14">
        <f>H1592*I1592</f>
        <v/>
      </c>
      <c r="Q1592" s="14">
        <f>P1592*(1-J1592)</f>
        <v/>
      </c>
      <c r="R1592" s="14">
        <f>H1592*K1592</f>
        <v/>
      </c>
      <c r="S1592" s="15">
        <f>IF(Q1592=0,"",(Q1592-R1592)/Q1592)</f>
        <v/>
      </c>
      <c r="T1592" s="13">
        <f>YEAR(B1592)</f>
        <v/>
      </c>
      <c r="U1592" s="13">
        <f>YEAR(B1592)&amp;"-Q"&amp;ROUNDUP(MONTH(B1592)/3,0)</f>
        <v/>
      </c>
      <c r="V1592" s="13">
        <f>TEXT(B1592,"YYYY-MM")</f>
        <v/>
      </c>
      <c r="W1592" s="13">
        <f>IF(L1592="","",IF(L1592&gt;pLateDays,1,0))</f>
        <v/>
      </c>
      <c r="X1592" s="13">
        <f>IF(Q1592&gt;=pHighCutoff,1,0)</f>
        <v/>
      </c>
      <c r="Y1592" s="13">
        <f>IF(M1592="Returned",1,0)</f>
        <v/>
      </c>
    </row>
    <row r="1593">
      <c r="A1593" s="13" t="inlineStr">
        <is>
          <t>HC-101591</t>
        </is>
      </c>
      <c r="B1593" s="18" t="n">
        <v>45511</v>
      </c>
      <c r="C1593" s="13" t="inlineStr">
        <is>
          <t>East</t>
        </is>
      </c>
      <c r="D1593" s="13" t="inlineStr">
        <is>
          <t>Store</t>
        </is>
      </c>
      <c r="E1593" s="13" t="inlineStr">
        <is>
          <t>Lighting</t>
        </is>
      </c>
      <c r="F1593" s="13" t="inlineStr">
        <is>
          <t>Pendant Light</t>
        </is>
      </c>
      <c r="G1593" s="13" t="inlineStr">
        <is>
          <t>Unknown</t>
        </is>
      </c>
      <c r="H1593" s="13" t="n">
        <v>2</v>
      </c>
      <c r="I1593" s="14" t="n">
        <v>163.83</v>
      </c>
      <c r="J1593" s="15" t="n">
        <v>0.03</v>
      </c>
      <c r="K1593" s="14" t="n">
        <v>81.91</v>
      </c>
      <c r="L1593" s="13" t="n">
        <v>6</v>
      </c>
      <c r="M1593" s="13" t="inlineStr">
        <is>
          <t>Cancelled</t>
        </is>
      </c>
      <c r="N1593" s="13" t="inlineStr">
        <is>
          <t>P. Rossi</t>
        </is>
      </c>
      <c r="O1593" s="13" t="inlineStr">
        <is>
          <t>No</t>
        </is>
      </c>
      <c r="P1593" s="14">
        <f>H1593*I1593</f>
        <v/>
      </c>
      <c r="Q1593" s="14">
        <f>P1593*(1-J1593)</f>
        <v/>
      </c>
      <c r="R1593" s="14">
        <f>H1593*K1593</f>
        <v/>
      </c>
      <c r="S1593" s="15">
        <f>IF(Q1593=0,"",(Q1593-R1593)/Q1593)</f>
        <v/>
      </c>
      <c r="T1593" s="13">
        <f>YEAR(B1593)</f>
        <v/>
      </c>
      <c r="U1593" s="13">
        <f>YEAR(B1593)&amp;"-Q"&amp;ROUNDUP(MONTH(B1593)/3,0)</f>
        <v/>
      </c>
      <c r="V1593" s="13">
        <f>TEXT(B1593,"YYYY-MM")</f>
        <v/>
      </c>
      <c r="W1593" s="13">
        <f>IF(L1593="","",IF(L1593&gt;pLateDays,1,0))</f>
        <v/>
      </c>
      <c r="X1593" s="13">
        <f>IF(Q1593&gt;=pHighCutoff,1,0)</f>
        <v/>
      </c>
      <c r="Y1593" s="13">
        <f>IF(M1593="Returned",1,0)</f>
        <v/>
      </c>
    </row>
    <row r="1594">
      <c r="A1594" s="13" t="inlineStr">
        <is>
          <t>HC-101592</t>
        </is>
      </c>
      <c r="B1594" s="18" t="n">
        <v>45422</v>
      </c>
      <c r="C1594" s="13" t="inlineStr">
        <is>
          <t>South</t>
        </is>
      </c>
      <c r="D1594" s="13" t="inlineStr">
        <is>
          <t>Online</t>
        </is>
      </c>
      <c r="E1594" s="13" t="inlineStr">
        <is>
          <t>Furniture</t>
        </is>
      </c>
      <c r="F1594" s="13" t="inlineStr">
        <is>
          <t>Oak Desk</t>
        </is>
      </c>
      <c r="G1594" s="13" t="inlineStr">
        <is>
          <t>Home Office</t>
        </is>
      </c>
      <c r="H1594" s="13" t="n">
        <v>1</v>
      </c>
      <c r="I1594" s="14" t="n">
        <v>867.86</v>
      </c>
      <c r="J1594" s="15" t="n">
        <v>0.07000000000000001</v>
      </c>
      <c r="K1594" s="14" t="n">
        <v>538.0700000000001</v>
      </c>
      <c r="L1594" s="13" t="n">
        <v>5</v>
      </c>
      <c r="M1594" s="13" t="inlineStr">
        <is>
          <t>Cancelled</t>
        </is>
      </c>
      <c r="N1594" s="13" t="inlineStr">
        <is>
          <t>A. Shah</t>
        </is>
      </c>
      <c r="O1594" s="13" t="inlineStr">
        <is>
          <t>No</t>
        </is>
      </c>
      <c r="P1594" s="14">
        <f>H1594*I1594</f>
        <v/>
      </c>
      <c r="Q1594" s="14">
        <f>P1594*(1-J1594)</f>
        <v/>
      </c>
      <c r="R1594" s="14">
        <f>H1594*K1594</f>
        <v/>
      </c>
      <c r="S1594" s="15">
        <f>IF(Q1594=0,"",(Q1594-R1594)/Q1594)</f>
        <v/>
      </c>
      <c r="T1594" s="13">
        <f>YEAR(B1594)</f>
        <v/>
      </c>
      <c r="U1594" s="13">
        <f>YEAR(B1594)&amp;"-Q"&amp;ROUNDUP(MONTH(B1594)/3,0)</f>
        <v/>
      </c>
      <c r="V1594" s="13">
        <f>TEXT(B1594,"YYYY-MM")</f>
        <v/>
      </c>
      <c r="W1594" s="13">
        <f>IF(L1594="","",IF(L1594&gt;pLateDays,1,0))</f>
        <v/>
      </c>
      <c r="X1594" s="13">
        <f>IF(Q1594&gt;=pHighCutoff,1,0)</f>
        <v/>
      </c>
      <c r="Y1594" s="13">
        <f>IF(M1594="Returned",1,0)</f>
        <v/>
      </c>
    </row>
    <row r="1595">
      <c r="A1595" s="13" t="inlineStr">
        <is>
          <t>HC-101593</t>
        </is>
      </c>
      <c r="B1595" s="18" t="n">
        <v>45601</v>
      </c>
      <c r="C1595" s="13" t="inlineStr">
        <is>
          <t>East</t>
        </is>
      </c>
      <c r="D1595" s="13" t="inlineStr">
        <is>
          <t>Online</t>
        </is>
      </c>
      <c r="E1595" s="13" t="inlineStr">
        <is>
          <t>Furniture</t>
        </is>
      </c>
      <c r="F1595" s="13" t="inlineStr">
        <is>
          <t>Walnut Shelf</t>
        </is>
      </c>
      <c r="G1595" s="13" t="inlineStr">
        <is>
          <t>Consumer</t>
        </is>
      </c>
      <c r="H1595" s="13" t="n">
        <v>2</v>
      </c>
      <c r="I1595" s="14" t="n">
        <v>189.96</v>
      </c>
      <c r="J1595" s="15" t="n">
        <v>0.07000000000000001</v>
      </c>
      <c r="K1595" s="14" t="n">
        <v>104.48</v>
      </c>
      <c r="L1595" s="13" t="n">
        <v>11</v>
      </c>
      <c r="M1595" s="13" t="inlineStr">
        <is>
          <t>Completed</t>
        </is>
      </c>
      <c r="N1595" s="13" t="inlineStr">
        <is>
          <t>J. Patel</t>
        </is>
      </c>
      <c r="O1595" s="13" t="inlineStr">
        <is>
          <t>No</t>
        </is>
      </c>
      <c r="P1595" s="14">
        <f>H1595*I1595</f>
        <v/>
      </c>
      <c r="Q1595" s="14">
        <f>P1595*(1-J1595)</f>
        <v/>
      </c>
      <c r="R1595" s="14">
        <f>H1595*K1595</f>
        <v/>
      </c>
      <c r="S1595" s="15">
        <f>IF(Q1595=0,"",(Q1595-R1595)/Q1595)</f>
        <v/>
      </c>
      <c r="T1595" s="13">
        <f>YEAR(B1595)</f>
        <v/>
      </c>
      <c r="U1595" s="13">
        <f>YEAR(B1595)&amp;"-Q"&amp;ROUNDUP(MONTH(B1595)/3,0)</f>
        <v/>
      </c>
      <c r="V1595" s="13">
        <f>TEXT(B1595,"YYYY-MM")</f>
        <v/>
      </c>
      <c r="W1595" s="13">
        <f>IF(L1595="","",IF(L1595&gt;pLateDays,1,0))</f>
        <v/>
      </c>
      <c r="X1595" s="13">
        <f>IF(Q1595&gt;=pHighCutoff,1,0)</f>
        <v/>
      </c>
      <c r="Y1595" s="13">
        <f>IF(M1595="Returned",1,0)</f>
        <v/>
      </c>
    </row>
    <row r="1596">
      <c r="A1596" s="13" t="inlineStr">
        <is>
          <t>HC-101594</t>
        </is>
      </c>
      <c r="B1596" s="18" t="n">
        <v>45412</v>
      </c>
      <c r="C1596" s="13" t="inlineStr">
        <is>
          <t>North</t>
        </is>
      </c>
      <c r="D1596" s="13" t="inlineStr">
        <is>
          <t>Wholesale</t>
        </is>
      </c>
      <c r="E1596" s="13" t="inlineStr">
        <is>
          <t>Lighting</t>
        </is>
      </c>
      <c r="F1596" s="13" t="inlineStr">
        <is>
          <t>Brass Sconce</t>
        </is>
      </c>
      <c r="G1596" s="13" t="inlineStr">
        <is>
          <t>Unknown</t>
        </is>
      </c>
      <c r="H1596" s="13" t="n">
        <v>12</v>
      </c>
      <c r="I1596" s="14" t="n">
        <v>145.02</v>
      </c>
      <c r="J1596" s="15" t="n">
        <v>0.16</v>
      </c>
      <c r="K1596" s="14" t="n">
        <v>66.70999999999999</v>
      </c>
      <c r="L1596" s="13" t="n">
        <v>4</v>
      </c>
      <c r="M1596" s="13" t="inlineStr">
        <is>
          <t>Completed</t>
        </is>
      </c>
      <c r="N1596" s="13" t="inlineStr">
        <is>
          <t>R. Ibarra</t>
        </is>
      </c>
      <c r="O1596" s="13" t="inlineStr">
        <is>
          <t>No</t>
        </is>
      </c>
      <c r="P1596" s="14">
        <f>H1596*I1596</f>
        <v/>
      </c>
      <c r="Q1596" s="14">
        <f>P1596*(1-J1596)</f>
        <v/>
      </c>
      <c r="R1596" s="14">
        <f>H1596*K1596</f>
        <v/>
      </c>
      <c r="S1596" s="15">
        <f>IF(Q1596=0,"",(Q1596-R1596)/Q1596)</f>
        <v/>
      </c>
      <c r="T1596" s="13">
        <f>YEAR(B1596)</f>
        <v/>
      </c>
      <c r="U1596" s="13">
        <f>YEAR(B1596)&amp;"-Q"&amp;ROUNDUP(MONTH(B1596)/3,0)</f>
        <v/>
      </c>
      <c r="V1596" s="13">
        <f>TEXT(B1596,"YYYY-MM")</f>
        <v/>
      </c>
      <c r="W1596" s="13">
        <f>IF(L1596="","",IF(L1596&gt;pLateDays,1,0))</f>
        <v/>
      </c>
      <c r="X1596" s="13">
        <f>IF(Q1596&gt;=pHighCutoff,1,0)</f>
        <v/>
      </c>
      <c r="Y1596" s="13">
        <f>IF(M1596="Returned",1,0)</f>
        <v/>
      </c>
    </row>
    <row r="1597">
      <c r="A1597" s="13" t="inlineStr">
        <is>
          <t>HC-101595</t>
        </is>
      </c>
      <c r="B1597" s="18" t="n">
        <v>45756</v>
      </c>
      <c r="C1597" s="13" t="inlineStr">
        <is>
          <t>North</t>
        </is>
      </c>
      <c r="D1597" s="13" t="inlineStr">
        <is>
          <t>Online</t>
        </is>
      </c>
      <c r="E1597" s="13" t="inlineStr">
        <is>
          <t>Furniture</t>
        </is>
      </c>
      <c r="F1597" s="13" t="inlineStr">
        <is>
          <t>Linen Sofa</t>
        </is>
      </c>
      <c r="G1597" s="13" t="inlineStr">
        <is>
          <t>Consumer</t>
        </is>
      </c>
      <c r="H1597" s="13" t="n">
        <v>2</v>
      </c>
      <c r="I1597" s="14" t="n">
        <v>1300.2</v>
      </c>
      <c r="J1597" s="15" t="n">
        <v>0.08</v>
      </c>
      <c r="K1597" s="14" t="n">
        <v>858.13</v>
      </c>
      <c r="L1597" s="13" t="n">
        <v>5</v>
      </c>
      <c r="M1597" s="13" t="inlineStr">
        <is>
          <t>Completed</t>
        </is>
      </c>
      <c r="N1597" s="13" t="inlineStr">
        <is>
          <t>A. Shah</t>
        </is>
      </c>
      <c r="O1597" s="13" t="inlineStr">
        <is>
          <t>No</t>
        </is>
      </c>
      <c r="P1597" s="14">
        <f>H1597*I1597</f>
        <v/>
      </c>
      <c r="Q1597" s="14">
        <f>P1597*(1-J1597)</f>
        <v/>
      </c>
      <c r="R1597" s="14">
        <f>H1597*K1597</f>
        <v/>
      </c>
      <c r="S1597" s="15">
        <f>IF(Q1597=0,"",(Q1597-R1597)/Q1597)</f>
        <v/>
      </c>
      <c r="T1597" s="13">
        <f>YEAR(B1597)</f>
        <v/>
      </c>
      <c r="U1597" s="13">
        <f>YEAR(B1597)&amp;"-Q"&amp;ROUNDUP(MONTH(B1597)/3,0)</f>
        <v/>
      </c>
      <c r="V1597" s="13">
        <f>TEXT(B1597,"YYYY-MM")</f>
        <v/>
      </c>
      <c r="W1597" s="13">
        <f>IF(L1597="","",IF(L1597&gt;pLateDays,1,0))</f>
        <v/>
      </c>
      <c r="X1597" s="13">
        <f>IF(Q1597&gt;=pHighCutoff,1,0)</f>
        <v/>
      </c>
      <c r="Y1597" s="13">
        <f>IF(M1597="Returned",1,0)</f>
        <v/>
      </c>
    </row>
    <row r="1598">
      <c r="A1598" s="13" t="inlineStr">
        <is>
          <t>HC-101596</t>
        </is>
      </c>
      <c r="B1598" s="18" t="n">
        <v>45295</v>
      </c>
      <c r="C1598" s="13" t="inlineStr">
        <is>
          <t>South</t>
        </is>
      </c>
      <c r="D1598" s="13" t="inlineStr">
        <is>
          <t>Online</t>
        </is>
      </c>
      <c r="E1598" s="13" t="inlineStr">
        <is>
          <t>Kitchen</t>
        </is>
      </c>
      <c r="F1598" s="13" t="inlineStr">
        <is>
          <t>Ceramic Set</t>
        </is>
      </c>
      <c r="G1598" s="13" t="inlineStr">
        <is>
          <t>Unknown</t>
        </is>
      </c>
      <c r="H1598" s="13" t="n">
        <v>2</v>
      </c>
      <c r="I1598" s="14" t="n">
        <v>79.56</v>
      </c>
      <c r="J1598" s="15" t="n">
        <v>0.13</v>
      </c>
      <c r="K1598" s="14" t="n">
        <v>30.23</v>
      </c>
      <c r="L1598" s="13" t="n">
        <v>7</v>
      </c>
      <c r="M1598" s="13" t="inlineStr">
        <is>
          <t>Returned</t>
        </is>
      </c>
      <c r="N1598" s="13" t="inlineStr">
        <is>
          <t>P. Rossi</t>
        </is>
      </c>
      <c r="O1598" s="13" t="inlineStr">
        <is>
          <t>No</t>
        </is>
      </c>
      <c r="P1598" s="14">
        <f>H1598*I1598</f>
        <v/>
      </c>
      <c r="Q1598" s="14">
        <f>P1598*(1-J1598)</f>
        <v/>
      </c>
      <c r="R1598" s="14">
        <f>H1598*K1598</f>
        <v/>
      </c>
      <c r="S1598" s="15">
        <f>IF(Q1598=0,"",(Q1598-R1598)/Q1598)</f>
        <v/>
      </c>
      <c r="T1598" s="13">
        <f>YEAR(B1598)</f>
        <v/>
      </c>
      <c r="U1598" s="13">
        <f>YEAR(B1598)&amp;"-Q"&amp;ROUNDUP(MONTH(B1598)/3,0)</f>
        <v/>
      </c>
      <c r="V1598" s="13">
        <f>TEXT(B1598,"YYYY-MM")</f>
        <v/>
      </c>
      <c r="W1598" s="13">
        <f>IF(L1598="","",IF(L1598&gt;pLateDays,1,0))</f>
        <v/>
      </c>
      <c r="X1598" s="13">
        <f>IF(Q1598&gt;=pHighCutoff,1,0)</f>
        <v/>
      </c>
      <c r="Y1598" s="13">
        <f>IF(M1598="Returned",1,0)</f>
        <v/>
      </c>
    </row>
    <row r="1599">
      <c r="A1599" s="13" t="inlineStr">
        <is>
          <t>HC-101597</t>
        </is>
      </c>
      <c r="B1599" s="18" t="n">
        <v>45420</v>
      </c>
      <c r="C1599" s="13" t="inlineStr">
        <is>
          <t>East</t>
        </is>
      </c>
      <c r="D1599" s="13" t="inlineStr">
        <is>
          <t>Wholesale</t>
        </is>
      </c>
      <c r="E1599" s="13" t="inlineStr">
        <is>
          <t>Lighting</t>
        </is>
      </c>
      <c r="F1599" s="13" t="inlineStr">
        <is>
          <t>Pendant Light</t>
        </is>
      </c>
      <c r="G1599" s="13" t="inlineStr">
        <is>
          <t>Consumer</t>
        </is>
      </c>
      <c r="H1599" s="13" t="n">
        <v>18</v>
      </c>
      <c r="I1599" s="14" t="n">
        <v>167.37</v>
      </c>
      <c r="J1599" s="15" t="n">
        <v>0.22</v>
      </c>
      <c r="K1599" s="14" t="n">
        <v>83.68000000000001</v>
      </c>
      <c r="L1599" s="13" t="n">
        <v>9</v>
      </c>
      <c r="M1599" s="13" t="inlineStr">
        <is>
          <t>Completed</t>
        </is>
      </c>
      <c r="N1599" s="13" t="inlineStr">
        <is>
          <t>P. Rossi</t>
        </is>
      </c>
      <c r="O1599" s="13" t="inlineStr">
        <is>
          <t>No</t>
        </is>
      </c>
      <c r="P1599" s="14">
        <f>H1599*I1599</f>
        <v/>
      </c>
      <c r="Q1599" s="14">
        <f>P1599*(1-J1599)</f>
        <v/>
      </c>
      <c r="R1599" s="14">
        <f>H1599*K1599</f>
        <v/>
      </c>
      <c r="S1599" s="15">
        <f>IF(Q1599=0,"",(Q1599-R1599)/Q1599)</f>
        <v/>
      </c>
      <c r="T1599" s="13">
        <f>YEAR(B1599)</f>
        <v/>
      </c>
      <c r="U1599" s="13">
        <f>YEAR(B1599)&amp;"-Q"&amp;ROUNDUP(MONTH(B1599)/3,0)</f>
        <v/>
      </c>
      <c r="V1599" s="13">
        <f>TEXT(B1599,"YYYY-MM")</f>
        <v/>
      </c>
      <c r="W1599" s="13">
        <f>IF(L1599="","",IF(L1599&gt;pLateDays,1,0))</f>
        <v/>
      </c>
      <c r="X1599" s="13">
        <f>IF(Q1599&gt;=pHighCutoff,1,0)</f>
        <v/>
      </c>
      <c r="Y1599" s="13">
        <f>IF(M1599="Returned",1,0)</f>
        <v/>
      </c>
    </row>
    <row r="1600">
      <c r="A1600" s="13" t="inlineStr">
        <is>
          <t>HC-101598</t>
        </is>
      </c>
      <c r="B1600" s="18" t="n">
        <v>45784</v>
      </c>
      <c r="C1600" s="13" t="inlineStr">
        <is>
          <t>West</t>
        </is>
      </c>
      <c r="D1600" s="13" t="inlineStr">
        <is>
          <t>Store</t>
        </is>
      </c>
      <c r="E1600" s="13" t="inlineStr">
        <is>
          <t>Lighting</t>
        </is>
      </c>
      <c r="F1600" s="13" t="inlineStr">
        <is>
          <t>Pendant Light</t>
        </is>
      </c>
      <c r="G1600" s="13" t="inlineStr">
        <is>
          <t>Consumer</t>
        </is>
      </c>
      <c r="H1600" s="13" t="n">
        <v>4</v>
      </c>
      <c r="I1600" s="14" t="n">
        <v>182.33</v>
      </c>
      <c r="J1600" s="15" t="n">
        <v>0.09</v>
      </c>
      <c r="K1600" s="14" t="n">
        <v>91.17</v>
      </c>
      <c r="L1600" s="13" t="n">
        <v>7</v>
      </c>
      <c r="M1600" s="13" t="inlineStr">
        <is>
          <t>Completed</t>
        </is>
      </c>
      <c r="N1600" s="13" t="inlineStr">
        <is>
          <t>A. Shah</t>
        </is>
      </c>
      <c r="O1600" s="13" t="inlineStr">
        <is>
          <t>No</t>
        </is>
      </c>
      <c r="P1600" s="14">
        <f>H1600*I1600</f>
        <v/>
      </c>
      <c r="Q1600" s="14">
        <f>P1600*(1-J1600)</f>
        <v/>
      </c>
      <c r="R1600" s="14">
        <f>H1600*K1600</f>
        <v/>
      </c>
      <c r="S1600" s="15">
        <f>IF(Q1600=0,"",(Q1600-R1600)/Q1600)</f>
        <v/>
      </c>
      <c r="T1600" s="13">
        <f>YEAR(B1600)</f>
        <v/>
      </c>
      <c r="U1600" s="13">
        <f>YEAR(B1600)&amp;"-Q"&amp;ROUNDUP(MONTH(B1600)/3,0)</f>
        <v/>
      </c>
      <c r="V1600" s="13">
        <f>TEXT(B1600,"YYYY-MM")</f>
        <v/>
      </c>
      <c r="W1600" s="13">
        <f>IF(L1600="","",IF(L1600&gt;pLateDays,1,0))</f>
        <v/>
      </c>
      <c r="X1600" s="13">
        <f>IF(Q1600&gt;=pHighCutoff,1,0)</f>
        <v/>
      </c>
      <c r="Y1600" s="13">
        <f>IF(M1600="Returned",1,0)</f>
        <v/>
      </c>
    </row>
    <row r="1601">
      <c r="A1601" s="13" t="inlineStr">
        <is>
          <t>HC-101599</t>
        </is>
      </c>
      <c r="B1601" s="18" t="n">
        <v>45597</v>
      </c>
      <c r="C1601" s="13" t="inlineStr">
        <is>
          <t>West</t>
        </is>
      </c>
      <c r="D1601" s="13" t="inlineStr">
        <is>
          <t>Store</t>
        </is>
      </c>
      <c r="E1601" s="13" t="inlineStr">
        <is>
          <t>Textiles</t>
        </is>
      </c>
      <c r="F1601" s="13" t="inlineStr">
        <is>
          <t>Linen Curtain</t>
        </is>
      </c>
      <c r="G1601" s="13" t="inlineStr">
        <is>
          <t>Consumer</t>
        </is>
      </c>
      <c r="H1601" s="13" t="n">
        <v>5</v>
      </c>
      <c r="I1601" s="14" t="n">
        <v>96.11</v>
      </c>
      <c r="J1601" s="15" t="n">
        <v>0.11</v>
      </c>
      <c r="K1601" s="14" t="n">
        <v>43.25</v>
      </c>
      <c r="L1601" s="13" t="n">
        <v>6</v>
      </c>
      <c r="M1601" s="13" t="inlineStr">
        <is>
          <t>Completed</t>
        </is>
      </c>
      <c r="N1601" s="13" t="inlineStr">
        <is>
          <t>R. Ibarra</t>
        </is>
      </c>
      <c r="O1601" s="13" t="inlineStr">
        <is>
          <t>No</t>
        </is>
      </c>
      <c r="P1601" s="14">
        <f>H1601*I1601</f>
        <v/>
      </c>
      <c r="Q1601" s="14">
        <f>P1601*(1-J1601)</f>
        <v/>
      </c>
      <c r="R1601" s="14">
        <f>H1601*K1601</f>
        <v/>
      </c>
      <c r="S1601" s="15">
        <f>IF(Q1601=0,"",(Q1601-R1601)/Q1601)</f>
        <v/>
      </c>
      <c r="T1601" s="13">
        <f>YEAR(B1601)</f>
        <v/>
      </c>
      <c r="U1601" s="13">
        <f>YEAR(B1601)&amp;"-Q"&amp;ROUNDUP(MONTH(B1601)/3,0)</f>
        <v/>
      </c>
      <c r="V1601" s="13">
        <f>TEXT(B1601,"YYYY-MM")</f>
        <v/>
      </c>
      <c r="W1601" s="13">
        <f>IF(L1601="","",IF(L1601&gt;pLateDays,1,0))</f>
        <v/>
      </c>
      <c r="X1601" s="13">
        <f>IF(Q1601&gt;=pHighCutoff,1,0)</f>
        <v/>
      </c>
      <c r="Y1601" s="13">
        <f>IF(M1601="Returned",1,0)</f>
        <v/>
      </c>
    </row>
    <row r="1602">
      <c r="A1602" s="13" t="inlineStr">
        <is>
          <t>EDGE-DUP</t>
        </is>
      </c>
      <c r="B1602" s="18" t="n">
        <v>45324</v>
      </c>
      <c r="C1602" s="13" t="inlineStr">
        <is>
          <t>South</t>
        </is>
      </c>
      <c r="D1602" s="13" t="inlineStr">
        <is>
          <t>Store</t>
        </is>
      </c>
      <c r="E1602" s="13" t="inlineStr">
        <is>
          <t>Lighting</t>
        </is>
      </c>
      <c r="F1602" s="13" t="inlineStr">
        <is>
          <t>Arc Lamp</t>
        </is>
      </c>
      <c r="G1602" s="13" t="inlineStr">
        <is>
          <t>Consumer</t>
        </is>
      </c>
      <c r="H1602" s="13" t="n">
        <v>3</v>
      </c>
      <c r="I1602" s="14" t="n">
        <v>180</v>
      </c>
      <c r="J1602" s="15" t="n">
        <v>0.05</v>
      </c>
      <c r="K1602" s="14" t="n">
        <v>148.8</v>
      </c>
      <c r="L1602" s="13" t="n">
        <v>4</v>
      </c>
      <c r="M1602" s="13" t="inlineStr">
        <is>
          <t>Completed</t>
        </is>
      </c>
      <c r="N1602" s="13" t="inlineStr">
        <is>
          <t>A. Shah</t>
        </is>
      </c>
      <c r="O1602" s="13" t="inlineStr">
        <is>
          <t>No</t>
        </is>
      </c>
      <c r="P1602" s="14">
        <f>H1602*I1602</f>
        <v/>
      </c>
      <c r="Q1602" s="14">
        <f>P1602*(1-J1602)</f>
        <v/>
      </c>
      <c r="R1602" s="14">
        <f>H1602*K1602</f>
        <v/>
      </c>
      <c r="S1602" s="15">
        <f>IF(Q1602=0,"",(Q1602-R1602)/Q1602)</f>
        <v/>
      </c>
      <c r="T1602" s="13">
        <f>YEAR(B1602)</f>
        <v/>
      </c>
      <c r="U1602" s="13">
        <f>YEAR(B1602)&amp;"-Q"&amp;ROUNDUP(MONTH(B1602)/3,0)</f>
        <v/>
      </c>
      <c r="V1602" s="13">
        <f>TEXT(B1602,"YYYY-MM")</f>
        <v/>
      </c>
      <c r="W1602" s="13">
        <f>IF(L1602="","",IF(L1602&gt;pLateDays,1,0))</f>
        <v/>
      </c>
      <c r="X1602" s="13">
        <f>IF(Q1602&gt;=pHighCutoff,1,0)</f>
        <v/>
      </c>
      <c r="Y1602" s="13">
        <f>IF(M1602="Returned",1,0)</f>
        <v/>
      </c>
    </row>
    <row r="1603">
      <c r="A1603" s="13" t="inlineStr">
        <is>
          <t>EDGE-WORD</t>
        </is>
      </c>
      <c r="B1603" s="18" t="n">
        <v>45386</v>
      </c>
      <c r="C1603" s="13" t="inlineStr">
        <is>
          <t>North</t>
        </is>
      </c>
      <c r="D1603" s="13" t="inlineStr">
        <is>
          <t>Store</t>
        </is>
      </c>
      <c r="E1603" s="13" t="inlineStr">
        <is>
          <t>Lighting</t>
        </is>
      </c>
      <c r="F1603" s="13" t="inlineStr">
        <is>
          <t>Arc Lamp</t>
        </is>
      </c>
      <c r="G1603" s="13" t="inlineStr">
        <is>
          <t>Consumer</t>
        </is>
      </c>
      <c r="H1603" s="13" t="n">
        <v>5</v>
      </c>
      <c r="I1603" s="14" t="n">
        <v>240</v>
      </c>
      <c r="J1603" s="15" t="n">
        <v>0.05</v>
      </c>
      <c r="K1603" s="14" t="n">
        <v>148.8</v>
      </c>
      <c r="L1603" s="13" t="n">
        <v>4</v>
      </c>
      <c r="M1603" s="13" t="inlineStr">
        <is>
          <t>Completed</t>
        </is>
      </c>
      <c r="N1603" s="13" t="inlineStr">
        <is>
          <t>A. Shah</t>
        </is>
      </c>
      <c r="O1603" s="13" t="inlineStr">
        <is>
          <t>No</t>
        </is>
      </c>
      <c r="P1603" s="14">
        <f>H1603*I1603</f>
        <v/>
      </c>
      <c r="Q1603" s="14">
        <f>P1603*(1-J1603)</f>
        <v/>
      </c>
      <c r="R1603" s="14">
        <f>H1603*K1603</f>
        <v/>
      </c>
      <c r="S1603" s="15">
        <f>IF(Q1603=0,"",(Q1603-R1603)/Q1603)</f>
        <v/>
      </c>
      <c r="T1603" s="13">
        <f>YEAR(B1603)</f>
        <v/>
      </c>
      <c r="U1603" s="13">
        <f>YEAR(B1603)&amp;"-Q"&amp;ROUNDUP(MONTH(B1603)/3,0)</f>
        <v/>
      </c>
      <c r="V1603" s="13">
        <f>TEXT(B1603,"YYYY-MM")</f>
        <v/>
      </c>
      <c r="W1603" s="13">
        <f>IF(L1603="","",IF(L1603&gt;pLateDays,1,0))</f>
        <v/>
      </c>
      <c r="X1603" s="13">
        <f>IF(Q1603&gt;=pHighCutoff,1,0)</f>
        <v/>
      </c>
      <c r="Y1603" s="13">
        <f>IF(M1603="Returned",1,0)</f>
        <v/>
      </c>
    </row>
    <row r="1604">
      <c r="A1604" s="13" t="inlineStr">
        <is>
          <t>EDGE-CURRENCY</t>
        </is>
      </c>
      <c r="B1604" s="18" t="n">
        <v>45417</v>
      </c>
      <c r="C1604" s="13" t="inlineStr">
        <is>
          <t>North</t>
        </is>
      </c>
      <c r="D1604" s="13" t="inlineStr">
        <is>
          <t>Store</t>
        </is>
      </c>
      <c r="E1604" s="13" t="inlineStr">
        <is>
          <t>Furniture</t>
        </is>
      </c>
      <c r="F1604" s="13" t="inlineStr">
        <is>
          <t>Linen Sofa</t>
        </is>
      </c>
      <c r="G1604" s="13" t="inlineStr">
        <is>
          <t>Consumer</t>
        </is>
      </c>
      <c r="H1604" s="13" t="n">
        <v>1</v>
      </c>
      <c r="I1604" s="14" t="n">
        <v>1250.5</v>
      </c>
      <c r="J1604" s="15" t="n">
        <v>0.05</v>
      </c>
      <c r="K1604" s="14" t="n">
        <v>700</v>
      </c>
      <c r="L1604" s="13" t="n">
        <v>4</v>
      </c>
      <c r="M1604" s="13" t="inlineStr">
        <is>
          <t>Completed</t>
        </is>
      </c>
      <c r="N1604" s="13" t="inlineStr">
        <is>
          <t>A. Shah</t>
        </is>
      </c>
      <c r="O1604" s="13" t="inlineStr">
        <is>
          <t>No</t>
        </is>
      </c>
      <c r="P1604" s="14">
        <f>H1604*I1604</f>
        <v/>
      </c>
      <c r="Q1604" s="14">
        <f>P1604*(1-J1604)</f>
        <v/>
      </c>
      <c r="R1604" s="14">
        <f>H1604*K1604</f>
        <v/>
      </c>
      <c r="S1604" s="15">
        <f>IF(Q1604=0,"",(Q1604-R1604)/Q1604)</f>
        <v/>
      </c>
      <c r="T1604" s="13">
        <f>YEAR(B1604)</f>
        <v/>
      </c>
      <c r="U1604" s="13">
        <f>YEAR(B1604)&amp;"-Q"&amp;ROUNDUP(MONTH(B1604)/3,0)</f>
        <v/>
      </c>
      <c r="V1604" s="13">
        <f>TEXT(B1604,"YYYY-MM")</f>
        <v/>
      </c>
      <c r="W1604" s="13">
        <f>IF(L1604="","",IF(L1604&gt;pLateDays,1,0))</f>
        <v/>
      </c>
      <c r="X1604" s="13">
        <f>IF(Q1604&gt;=pHighCutoff,1,0)</f>
        <v/>
      </c>
      <c r="Y1604" s="13">
        <f>IF(M1604="Returned",1,0)</f>
        <v/>
      </c>
    </row>
    <row r="1605">
      <c r="A1605" s="13" t="inlineStr">
        <is>
          <t>EDGE-NEGQ</t>
        </is>
      </c>
      <c r="B1605" s="18" t="n">
        <v>45449</v>
      </c>
      <c r="C1605" s="13" t="inlineStr">
        <is>
          <t>North</t>
        </is>
      </c>
      <c r="D1605" s="13" t="inlineStr">
        <is>
          <t>Store</t>
        </is>
      </c>
      <c r="E1605" s="13" t="inlineStr">
        <is>
          <t>Lighting</t>
        </is>
      </c>
      <c r="F1605" s="13" t="inlineStr">
        <is>
          <t>Arc Lamp</t>
        </is>
      </c>
      <c r="G1605" s="13" t="inlineStr">
        <is>
          <t>Consumer</t>
        </is>
      </c>
      <c r="H1605" s="13" t="n">
        <v>3</v>
      </c>
      <c r="I1605" s="14" t="n">
        <v>310</v>
      </c>
      <c r="J1605" s="15" t="n">
        <v>0.05</v>
      </c>
      <c r="K1605" s="14" t="n">
        <v>148.8</v>
      </c>
      <c r="L1605" s="13" t="n">
        <v>4</v>
      </c>
      <c r="M1605" s="13" t="inlineStr">
        <is>
          <t>Completed</t>
        </is>
      </c>
      <c r="N1605" s="13" t="inlineStr">
        <is>
          <t>A. Shah</t>
        </is>
      </c>
      <c r="O1605" s="13" t="inlineStr">
        <is>
          <t>Yes</t>
        </is>
      </c>
      <c r="P1605" s="14">
        <f>H1605*I1605</f>
        <v/>
      </c>
      <c r="Q1605" s="14">
        <f>P1605*(1-J1605)</f>
        <v/>
      </c>
      <c r="R1605" s="14">
        <f>H1605*K1605</f>
        <v/>
      </c>
      <c r="S1605" s="15">
        <f>IF(Q1605=0,"",(Q1605-R1605)/Q1605)</f>
        <v/>
      </c>
      <c r="T1605" s="13">
        <f>YEAR(B1605)</f>
        <v/>
      </c>
      <c r="U1605" s="13">
        <f>YEAR(B1605)&amp;"-Q"&amp;ROUNDUP(MONTH(B1605)/3,0)</f>
        <v/>
      </c>
      <c r="V1605" s="13">
        <f>TEXT(B1605,"YYYY-MM")</f>
        <v/>
      </c>
      <c r="W1605" s="13">
        <f>IF(L1605="","",IF(L1605&gt;pLateDays,1,0))</f>
        <v/>
      </c>
      <c r="X1605" s="13">
        <f>IF(Q1605&gt;=pHighCutoff,1,0)</f>
        <v/>
      </c>
      <c r="Y1605" s="13">
        <f>IF(M1605="Returned",1,0)</f>
        <v/>
      </c>
    </row>
    <row r="1606">
      <c r="A1606" s="13" t="inlineStr">
        <is>
          <t>EDGE-CANCEL</t>
        </is>
      </c>
      <c r="B1606" s="18" t="n">
        <v>45480</v>
      </c>
      <c r="C1606" s="13" t="inlineStr">
        <is>
          <t>North</t>
        </is>
      </c>
      <c r="D1606" s="13" t="inlineStr">
        <is>
          <t>Store</t>
        </is>
      </c>
      <c r="E1606" s="13" t="inlineStr">
        <is>
          <t>Lighting</t>
        </is>
      </c>
      <c r="F1606" s="13" t="inlineStr">
        <is>
          <t>Arc Lamp</t>
        </is>
      </c>
      <c r="G1606" s="13" t="inlineStr">
        <is>
          <t>Consumer</t>
        </is>
      </c>
      <c r="H1606" s="13" t="n">
        <v>2</v>
      </c>
      <c r="I1606" s="14" t="n">
        <v>310</v>
      </c>
      <c r="J1606" s="15" t="n">
        <v>0.05</v>
      </c>
      <c r="K1606" s="14" t="n">
        <v>148.8</v>
      </c>
      <c r="L1606" s="13" t="n">
        <v>4</v>
      </c>
      <c r="M1606" s="13" t="inlineStr">
        <is>
          <t>Cancelled</t>
        </is>
      </c>
      <c r="N1606" s="13" t="inlineStr">
        <is>
          <t>A. Shah</t>
        </is>
      </c>
      <c r="O1606" s="13" t="inlineStr">
        <is>
          <t>No</t>
        </is>
      </c>
      <c r="P1606" s="14">
        <f>H1606*I1606</f>
        <v/>
      </c>
      <c r="Q1606" s="14">
        <f>P1606*(1-J1606)</f>
        <v/>
      </c>
      <c r="R1606" s="14">
        <f>H1606*K1606</f>
        <v/>
      </c>
      <c r="S1606" s="15">
        <f>IF(Q1606=0,"",(Q1606-R1606)/Q1606)</f>
        <v/>
      </c>
      <c r="T1606" s="13">
        <f>YEAR(B1606)</f>
        <v/>
      </c>
      <c r="U1606" s="13">
        <f>YEAR(B1606)&amp;"-Q"&amp;ROUNDUP(MONTH(B1606)/3,0)</f>
        <v/>
      </c>
      <c r="V1606" s="13">
        <f>TEXT(B1606,"YYYY-MM")</f>
        <v/>
      </c>
      <c r="W1606" s="13">
        <f>IF(L1606="","",IF(L1606&gt;pLateDays,1,0))</f>
        <v/>
      </c>
      <c r="X1606" s="13">
        <f>IF(Q1606&gt;=pHighCutoff,1,0)</f>
        <v/>
      </c>
      <c r="Y1606" s="13">
        <f>IF(M1606="Returned",1,0)</f>
        <v/>
      </c>
    </row>
    <row r="1607">
      <c r="A1607" s="13" t="inlineStr">
        <is>
          <t>EDGE-COMPLETE</t>
        </is>
      </c>
      <c r="B1607" s="18" t="n">
        <v>45481</v>
      </c>
      <c r="C1607" s="13" t="inlineStr">
        <is>
          <t>North</t>
        </is>
      </c>
      <c r="D1607" s="13" t="inlineStr">
        <is>
          <t>Store</t>
        </is>
      </c>
      <c r="E1607" s="13" t="inlineStr">
        <is>
          <t>Lighting</t>
        </is>
      </c>
      <c r="F1607" s="13" t="inlineStr">
        <is>
          <t>Arc Lamp</t>
        </is>
      </c>
      <c r="G1607" s="13" t="inlineStr">
        <is>
          <t>Consumer</t>
        </is>
      </c>
      <c r="H1607" s="13" t="n">
        <v>2</v>
      </c>
      <c r="I1607" s="14" t="n">
        <v>310</v>
      </c>
      <c r="J1607" s="15" t="n">
        <v>0.05</v>
      </c>
      <c r="K1607" s="14" t="n">
        <v>148.8</v>
      </c>
      <c r="L1607" s="13" t="n">
        <v>4</v>
      </c>
      <c r="M1607" s="13" t="inlineStr">
        <is>
          <t>Completed</t>
        </is>
      </c>
      <c r="N1607" s="13" t="inlineStr">
        <is>
          <t>A. Shah</t>
        </is>
      </c>
      <c r="O1607" s="13" t="inlineStr">
        <is>
          <t>No</t>
        </is>
      </c>
      <c r="P1607" s="14">
        <f>H1607*I1607</f>
        <v/>
      </c>
      <c r="Q1607" s="14">
        <f>P1607*(1-J1607)</f>
        <v/>
      </c>
      <c r="R1607" s="14">
        <f>H1607*K1607</f>
        <v/>
      </c>
      <c r="S1607" s="15">
        <f>IF(Q1607=0,"",(Q1607-R1607)/Q1607)</f>
        <v/>
      </c>
      <c r="T1607" s="13">
        <f>YEAR(B1607)</f>
        <v/>
      </c>
      <c r="U1607" s="13">
        <f>YEAR(B1607)&amp;"-Q"&amp;ROUNDUP(MONTH(B1607)/3,0)</f>
        <v/>
      </c>
      <c r="V1607" s="13">
        <f>TEXT(B1607,"YYYY-MM")</f>
        <v/>
      </c>
      <c r="W1607" s="13">
        <f>IF(L1607="","",IF(L1607&gt;pLateDays,1,0))</f>
        <v/>
      </c>
      <c r="X1607" s="13">
        <f>IF(Q1607&gt;=pHighCutoff,1,0)</f>
        <v/>
      </c>
      <c r="Y1607" s="13">
        <f>IF(M1607="Returned",1,0)</f>
        <v/>
      </c>
    </row>
    <row r="1608">
      <c r="A1608" s="13" t="inlineStr">
        <is>
          <t>EDGE-REGION</t>
        </is>
      </c>
      <c r="B1608" s="18" t="n">
        <v>45519</v>
      </c>
      <c r="C1608" s="13" t="inlineStr">
        <is>
          <t>North</t>
        </is>
      </c>
      <c r="D1608" s="13" t="inlineStr">
        <is>
          <t>Store</t>
        </is>
      </c>
      <c r="E1608" s="13" t="inlineStr">
        <is>
          <t>Lighting</t>
        </is>
      </c>
      <c r="F1608" s="13" t="inlineStr">
        <is>
          <t>Arc Lamp</t>
        </is>
      </c>
      <c r="G1608" s="13" t="inlineStr">
        <is>
          <t>Consumer</t>
        </is>
      </c>
      <c r="H1608" s="13" t="n">
        <v>2</v>
      </c>
      <c r="I1608" s="14" t="n">
        <v>310</v>
      </c>
      <c r="J1608" s="15" t="n">
        <v>0.05</v>
      </c>
      <c r="K1608" s="14" t="n">
        <v>148.8</v>
      </c>
      <c r="L1608" s="13" t="n">
        <v>4</v>
      </c>
      <c r="M1608" s="13" t="inlineStr">
        <is>
          <t>Completed</t>
        </is>
      </c>
      <c r="N1608" s="13" t="inlineStr">
        <is>
          <t>A. Shah</t>
        </is>
      </c>
      <c r="O1608" s="13" t="inlineStr">
        <is>
          <t>No</t>
        </is>
      </c>
      <c r="P1608" s="14">
        <f>H1608*I1608</f>
        <v/>
      </c>
      <c r="Q1608" s="14">
        <f>P1608*(1-J1608)</f>
        <v/>
      </c>
      <c r="R1608" s="14">
        <f>H1608*K1608</f>
        <v/>
      </c>
      <c r="S1608" s="15">
        <f>IF(Q1608=0,"",(Q1608-R1608)/Q1608)</f>
        <v/>
      </c>
      <c r="T1608" s="13">
        <f>YEAR(B1608)</f>
        <v/>
      </c>
      <c r="U1608" s="13">
        <f>YEAR(B1608)&amp;"-Q"&amp;ROUNDUP(MONTH(B1608)/3,0)</f>
        <v/>
      </c>
      <c r="V1608" s="13">
        <f>TEXT(B1608,"YYYY-MM")</f>
        <v/>
      </c>
      <c r="W1608" s="13">
        <f>IF(L1608="","",IF(L1608&gt;pLateDays,1,0))</f>
        <v/>
      </c>
      <c r="X1608" s="13">
        <f>IF(Q1608&gt;=pHighCutoff,1,0)</f>
        <v/>
      </c>
      <c r="Y1608" s="13">
        <f>IF(M1608="Returned",1,0)</f>
        <v/>
      </c>
    </row>
    <row r="1609">
      <c r="A1609" s="13" t="inlineStr">
        <is>
          <t>EDGE-CONF</t>
        </is>
      </c>
      <c r="B1609" s="18" t="n">
        <v>45355</v>
      </c>
      <c r="C1609" s="13" t="inlineStr">
        <is>
          <t>West</t>
        </is>
      </c>
      <c r="D1609" s="13" t="inlineStr">
        <is>
          <t>Store</t>
        </is>
      </c>
      <c r="E1609" s="13" t="inlineStr">
        <is>
          <t>Lighting</t>
        </is>
      </c>
      <c r="F1609" s="13" t="inlineStr">
        <is>
          <t>Arc Lamp</t>
        </is>
      </c>
      <c r="G1609" s="13" t="inlineStr">
        <is>
          <t>Consumer</t>
        </is>
      </c>
      <c r="H1609" s="13" t="n">
        <v>2</v>
      </c>
      <c r="I1609" s="14" t="n">
        <v>400</v>
      </c>
      <c r="J1609" s="15" t="n">
        <v>0.05</v>
      </c>
      <c r="K1609" s="14" t="n">
        <v>120</v>
      </c>
      <c r="L1609" s="13" t="n">
        <v>4</v>
      </c>
      <c r="M1609" s="13" t="inlineStr">
        <is>
          <t>Completed</t>
        </is>
      </c>
      <c r="N1609" s="13" t="inlineStr">
        <is>
          <t>A. Shah</t>
        </is>
      </c>
      <c r="O1609" s="13" t="inlineStr">
        <is>
          <t>No</t>
        </is>
      </c>
      <c r="P1609" s="14">
        <f>H1609*I1609</f>
        <v/>
      </c>
      <c r="Q1609" s="14">
        <f>P1609*(1-J1609)</f>
        <v/>
      </c>
      <c r="R1609" s="14">
        <f>H1609*K1609</f>
        <v/>
      </c>
      <c r="S1609" s="15">
        <f>IF(Q1609=0,"",(Q1609-R1609)/Q1609)</f>
        <v/>
      </c>
      <c r="T1609" s="13">
        <f>YEAR(B1609)</f>
        <v/>
      </c>
      <c r="U1609" s="13">
        <f>YEAR(B1609)&amp;"-Q"&amp;ROUNDUP(MONTH(B1609)/3,0)</f>
        <v/>
      </c>
      <c r="V1609" s="13">
        <f>TEXT(B1609,"YYYY-MM")</f>
        <v/>
      </c>
      <c r="W1609" s="13">
        <f>IF(L1609="","",IF(L1609&gt;pLateDays,1,0))</f>
        <v/>
      </c>
      <c r="X1609" s="13">
        <f>IF(Q1609&gt;=pHighCutoff,1,0)</f>
        <v/>
      </c>
      <c r="Y1609" s="13">
        <f>IF(M1609="Returned",1,0)</f>
        <v/>
      </c>
    </row>
    <row r="1610">
      <c r="A1610" s="13" t="inlineStr">
        <is>
          <t>EDGE-PCT</t>
        </is>
      </c>
      <c r="B1610" s="18" t="n">
        <v>45544</v>
      </c>
      <c r="C1610" s="13" t="inlineStr">
        <is>
          <t>North</t>
        </is>
      </c>
      <c r="D1610" s="13" t="inlineStr">
        <is>
          <t>Store</t>
        </is>
      </c>
      <c r="E1610" s="13" t="inlineStr">
        <is>
          <t>Lighting</t>
        </is>
      </c>
      <c r="F1610" s="13" t="inlineStr">
        <is>
          <t>Arc Lamp</t>
        </is>
      </c>
      <c r="G1610" s="13" t="inlineStr">
        <is>
          <t>Consumer</t>
        </is>
      </c>
      <c r="H1610" s="13" t="n">
        <v>2</v>
      </c>
      <c r="I1610" s="14" t="n">
        <v>310</v>
      </c>
      <c r="J1610" s="15" t="n">
        <v>0.2</v>
      </c>
      <c r="K1610" s="14" t="n">
        <v>148.8</v>
      </c>
      <c r="L1610" s="13" t="n">
        <v>4</v>
      </c>
      <c r="M1610" s="13" t="inlineStr">
        <is>
          <t>Completed</t>
        </is>
      </c>
      <c r="N1610" s="13" t="inlineStr">
        <is>
          <t>A. Shah</t>
        </is>
      </c>
      <c r="O1610" s="13" t="inlineStr">
        <is>
          <t>No</t>
        </is>
      </c>
      <c r="P1610" s="14">
        <f>H1610*I1610</f>
        <v/>
      </c>
      <c r="Q1610" s="14">
        <f>P1610*(1-J1610)</f>
        <v/>
      </c>
      <c r="R1610" s="14">
        <f>H1610*K1610</f>
        <v/>
      </c>
      <c r="S1610" s="15">
        <f>IF(Q1610=0,"",(Q1610-R1610)/Q1610)</f>
        <v/>
      </c>
      <c r="T1610" s="13">
        <f>YEAR(B1610)</f>
        <v/>
      </c>
      <c r="U1610" s="13">
        <f>YEAR(B1610)&amp;"-Q"&amp;ROUNDUP(MONTH(B1610)/3,0)</f>
        <v/>
      </c>
      <c r="V1610" s="13">
        <f>TEXT(B1610,"YYYY-MM")</f>
        <v/>
      </c>
      <c r="W1610" s="13">
        <f>IF(L1610="","",IF(L1610&gt;pLateDays,1,0))</f>
        <v/>
      </c>
      <c r="X1610" s="13">
        <f>IF(Q1610&gt;=pHighCutoff,1,0)</f>
        <v/>
      </c>
      <c r="Y1610" s="13">
        <f>IF(M1610="Returned",1,0)</f>
        <v/>
      </c>
    </row>
    <row r="1611">
      <c r="A1611" s="13" t="inlineStr">
        <is>
          <t>EDGE-LEAP</t>
        </is>
      </c>
      <c r="B1611" s="18" t="n">
        <v>45351</v>
      </c>
      <c r="C1611" s="13" t="inlineStr">
        <is>
          <t>North</t>
        </is>
      </c>
      <c r="D1611" s="13" t="inlineStr">
        <is>
          <t>Store</t>
        </is>
      </c>
      <c r="E1611" s="13" t="inlineStr">
        <is>
          <t>Lighting</t>
        </is>
      </c>
      <c r="F1611" s="13" t="inlineStr">
        <is>
          <t>Arc Lamp</t>
        </is>
      </c>
      <c r="G1611" s="13" t="inlineStr">
        <is>
          <t>Consumer</t>
        </is>
      </c>
      <c r="H1611" s="13" t="n">
        <v>1</v>
      </c>
      <c r="I1611" s="14" t="n">
        <v>310</v>
      </c>
      <c r="J1611" s="15" t="n">
        <v>0.05</v>
      </c>
      <c r="K1611" s="14" t="n">
        <v>148.8</v>
      </c>
      <c r="L1611" s="13" t="n">
        <v>4</v>
      </c>
      <c r="M1611" s="13" t="inlineStr">
        <is>
          <t>Completed</t>
        </is>
      </c>
      <c r="N1611" s="13" t="inlineStr">
        <is>
          <t>A. Shah</t>
        </is>
      </c>
      <c r="O1611" s="13" t="inlineStr">
        <is>
          <t>No</t>
        </is>
      </c>
      <c r="P1611" s="14">
        <f>H1611*I1611</f>
        <v/>
      </c>
      <c r="Q1611" s="14">
        <f>P1611*(1-J1611)</f>
        <v/>
      </c>
      <c r="R1611" s="14">
        <f>H1611*K1611</f>
        <v/>
      </c>
      <c r="S1611" s="15">
        <f>IF(Q1611=0,"",(Q1611-R1611)/Q1611)</f>
        <v/>
      </c>
      <c r="T1611" s="13">
        <f>YEAR(B1611)</f>
        <v/>
      </c>
      <c r="U1611" s="13">
        <f>YEAR(B1611)&amp;"-Q"&amp;ROUNDUP(MONTH(B1611)/3,0)</f>
        <v/>
      </c>
      <c r="V1611" s="13">
        <f>TEXT(B1611,"YYYY-MM")</f>
        <v/>
      </c>
      <c r="W1611" s="13">
        <f>IF(L1611="","",IF(L1611&gt;pLateDays,1,0))</f>
        <v/>
      </c>
      <c r="X1611" s="13">
        <f>IF(Q1611&gt;=pHighCutoff,1,0)</f>
        <v/>
      </c>
      <c r="Y1611" s="13">
        <f>IF(M1611="Returned",1,0)</f>
        <v/>
      </c>
    </row>
    <row r="1612">
      <c r="A1612" s="13" t="inlineStr">
        <is>
          <t>EDGE-SEG</t>
        </is>
      </c>
      <c r="B1612" s="18" t="n">
        <v>45575</v>
      </c>
      <c r="C1612" s="13" t="inlineStr">
        <is>
          <t>North</t>
        </is>
      </c>
      <c r="D1612" s="13" t="inlineStr">
        <is>
          <t>Store</t>
        </is>
      </c>
      <c r="E1612" s="13" t="inlineStr">
        <is>
          <t>Lighting</t>
        </is>
      </c>
      <c r="F1612" s="13" t="inlineStr">
        <is>
          <t>Arc Lamp</t>
        </is>
      </c>
      <c r="G1612" s="13" t="inlineStr">
        <is>
          <t>Unknown</t>
        </is>
      </c>
      <c r="H1612" s="13" t="n">
        <v>2</v>
      </c>
      <c r="I1612" s="14" t="n">
        <v>310</v>
      </c>
      <c r="J1612" s="15" t="n">
        <v>0.05</v>
      </c>
      <c r="K1612" s="14" t="n">
        <v>148.8</v>
      </c>
      <c r="L1612" s="13" t="n">
        <v>4</v>
      </c>
      <c r="M1612" s="13" t="inlineStr">
        <is>
          <t>Completed</t>
        </is>
      </c>
      <c r="N1612" s="13" t="inlineStr">
        <is>
          <t>A. Shah</t>
        </is>
      </c>
      <c r="O1612" s="13" t="inlineStr">
        <is>
          <t>No</t>
        </is>
      </c>
      <c r="P1612" s="14">
        <f>H1612*I1612</f>
        <v/>
      </c>
      <c r="Q1612" s="14">
        <f>P1612*(1-J1612)</f>
        <v/>
      </c>
      <c r="R1612" s="14">
        <f>H1612*K1612</f>
        <v/>
      </c>
      <c r="S1612" s="15">
        <f>IF(Q1612=0,"",(Q1612-R1612)/Q1612)</f>
        <v/>
      </c>
      <c r="T1612" s="13">
        <f>YEAR(B1612)</f>
        <v/>
      </c>
      <c r="U1612" s="13">
        <f>YEAR(B1612)&amp;"-Q"&amp;ROUNDUP(MONTH(B1612)/3,0)</f>
        <v/>
      </c>
      <c r="V1612" s="13">
        <f>TEXT(B1612,"YYYY-MM")</f>
        <v/>
      </c>
      <c r="W1612" s="13">
        <f>IF(L1612="","",IF(L1612&gt;pLateDays,1,0))</f>
        <v/>
      </c>
      <c r="X1612" s="13">
        <f>IF(Q1612&gt;=pHighCutoff,1,0)</f>
        <v/>
      </c>
      <c r="Y1612" s="13">
        <f>IF(M1612="Returned",1,0)</f>
        <v/>
      </c>
    </row>
    <row r="1613">
      <c r="A1613" s="13" t="inlineStr">
        <is>
          <t>EDGE-SHIP</t>
        </is>
      </c>
      <c r="B1613" s="18" t="n">
        <v>45607</v>
      </c>
      <c r="C1613" s="13" t="inlineStr">
        <is>
          <t>North</t>
        </is>
      </c>
      <c r="D1613" s="13" t="inlineStr">
        <is>
          <t>Store</t>
        </is>
      </c>
      <c r="E1613" s="13" t="inlineStr">
        <is>
          <t>Lighting</t>
        </is>
      </c>
      <c r="F1613" s="13" t="inlineStr">
        <is>
          <t>Arc Lamp</t>
        </is>
      </c>
      <c r="G1613" s="13" t="inlineStr">
        <is>
          <t>Consumer</t>
        </is>
      </c>
      <c r="H1613" s="13" t="n">
        <v>2</v>
      </c>
      <c r="I1613" s="14" t="n">
        <v>310</v>
      </c>
      <c r="J1613" s="15" t="n">
        <v>0.05</v>
      </c>
      <c r="K1613" s="14" t="n">
        <v>148.8</v>
      </c>
      <c r="L1613" s="13" t="n"/>
      <c r="M1613" s="13" t="inlineStr">
        <is>
          <t>Completed</t>
        </is>
      </c>
      <c r="N1613" s="13" t="inlineStr">
        <is>
          <t>A. Shah</t>
        </is>
      </c>
      <c r="O1613" s="13" t="inlineStr">
        <is>
          <t>No</t>
        </is>
      </c>
      <c r="P1613" s="14">
        <f>H1613*I1613</f>
        <v/>
      </c>
      <c r="Q1613" s="14">
        <f>P1613*(1-J1613)</f>
        <v/>
      </c>
      <c r="R1613" s="14">
        <f>H1613*K1613</f>
        <v/>
      </c>
      <c r="S1613" s="15">
        <f>IF(Q1613=0,"",(Q1613-R1613)/Q1613)</f>
        <v/>
      </c>
      <c r="T1613" s="13">
        <f>YEAR(B1613)</f>
        <v/>
      </c>
      <c r="U1613" s="13">
        <f>YEAR(B1613)&amp;"-Q"&amp;ROUNDUP(MONTH(B1613)/3,0)</f>
        <v/>
      </c>
      <c r="V1613" s="13">
        <f>TEXT(B1613,"YYYY-MM")</f>
        <v/>
      </c>
      <c r="W1613" s="13">
        <f>IF(L1613="","",IF(L1613&gt;pLateDays,1,0))</f>
        <v/>
      </c>
      <c r="X1613" s="13">
        <f>IF(Q1613&gt;=pHighCutoff,1,0)</f>
        <v/>
      </c>
      <c r="Y1613" s="13">
        <f>IF(M1613="Returned",1,0)</f>
        <v/>
      </c>
    </row>
    <row r="1614">
      <c r="A1614" s="13" t="inlineStr">
        <is>
          <t>EDGE-SHIPNEG</t>
        </is>
      </c>
      <c r="B1614" s="18" t="n">
        <v>45608</v>
      </c>
      <c r="C1614" s="13" t="inlineStr">
        <is>
          <t>North</t>
        </is>
      </c>
      <c r="D1614" s="13" t="inlineStr">
        <is>
          <t>Store</t>
        </is>
      </c>
      <c r="E1614" s="13" t="inlineStr">
        <is>
          <t>Lighting</t>
        </is>
      </c>
      <c r="F1614" s="13" t="inlineStr">
        <is>
          <t>Arc Lamp</t>
        </is>
      </c>
      <c r="G1614" s="13" t="inlineStr">
        <is>
          <t>Consumer</t>
        </is>
      </c>
      <c r="H1614" s="13" t="n">
        <v>2</v>
      </c>
      <c r="I1614" s="14" t="n">
        <v>310</v>
      </c>
      <c r="J1614" s="15" t="n">
        <v>0.05</v>
      </c>
      <c r="K1614" s="14" t="n">
        <v>148.8</v>
      </c>
      <c r="L1614" s="13" t="n"/>
      <c r="M1614" s="13" t="inlineStr">
        <is>
          <t>Completed</t>
        </is>
      </c>
      <c r="N1614" s="13" t="inlineStr">
        <is>
          <t>A. Shah</t>
        </is>
      </c>
      <c r="O1614" s="13" t="inlineStr">
        <is>
          <t>No</t>
        </is>
      </c>
      <c r="P1614" s="14">
        <f>H1614*I1614</f>
        <v/>
      </c>
      <c r="Q1614" s="14">
        <f>P1614*(1-J1614)</f>
        <v/>
      </c>
      <c r="R1614" s="14">
        <f>H1614*K1614</f>
        <v/>
      </c>
      <c r="S1614" s="15">
        <f>IF(Q1614=0,"",(Q1614-R1614)/Q1614)</f>
        <v/>
      </c>
      <c r="T1614" s="13">
        <f>YEAR(B1614)</f>
        <v/>
      </c>
      <c r="U1614" s="13">
        <f>YEAR(B1614)&amp;"-Q"&amp;ROUNDUP(MONTH(B1614)/3,0)</f>
        <v/>
      </c>
      <c r="V1614" s="13">
        <f>TEXT(B1614,"YYYY-MM")</f>
        <v/>
      </c>
      <c r="W1614" s="13">
        <f>IF(L1614="","",IF(L1614&gt;pLateDays,1,0))</f>
        <v/>
      </c>
      <c r="X1614" s="13">
        <f>IF(Q1614&gt;=pHighCutoff,1,0)</f>
        <v/>
      </c>
      <c r="Y1614" s="13">
        <f>IF(M1614="Returned",1,0)</f>
        <v/>
      </c>
    </row>
    <row r="1615">
      <c r="A1615" s="13" t="inlineStr">
        <is>
          <t>EDGE-OLD</t>
        </is>
      </c>
      <c r="B1615" s="18" t="n">
        <v>45261</v>
      </c>
      <c r="C1615" s="13" t="inlineStr">
        <is>
          <t>East</t>
        </is>
      </c>
      <c r="D1615" s="13" t="inlineStr">
        <is>
          <t>Store</t>
        </is>
      </c>
      <c r="E1615" s="13" t="inlineStr">
        <is>
          <t>Lighting</t>
        </is>
      </c>
      <c r="F1615" s="13" t="inlineStr">
        <is>
          <t>Arc Lamp</t>
        </is>
      </c>
      <c r="G1615" s="13" t="inlineStr">
        <is>
          <t>Consumer</t>
        </is>
      </c>
      <c r="H1615" s="13" t="n">
        <v>2</v>
      </c>
      <c r="I1615" s="14" t="n">
        <v>310</v>
      </c>
      <c r="J1615" s="15" t="n">
        <v>0.05</v>
      </c>
      <c r="K1615" s="14" t="n">
        <v>148.8</v>
      </c>
      <c r="L1615" s="13" t="n">
        <v>4</v>
      </c>
      <c r="M1615" s="13" t="inlineStr">
        <is>
          <t>Completed</t>
        </is>
      </c>
      <c r="N1615" s="13" t="inlineStr">
        <is>
          <t>A. Shah</t>
        </is>
      </c>
      <c r="O1615" s="13" t="inlineStr">
        <is>
          <t>No</t>
        </is>
      </c>
      <c r="P1615" s="14">
        <f>H1615*I1615</f>
        <v/>
      </c>
      <c r="Q1615" s="14">
        <f>P1615*(1-J1615)</f>
        <v/>
      </c>
      <c r="R1615" s="14">
        <f>H1615*K1615</f>
        <v/>
      </c>
      <c r="S1615" s="15">
        <f>IF(Q1615=0,"",(Q1615-R1615)/Q1615)</f>
        <v/>
      </c>
      <c r="T1615" s="13">
        <f>YEAR(B1615)</f>
        <v/>
      </c>
      <c r="U1615" s="13">
        <f>YEAR(B1615)&amp;"-Q"&amp;ROUNDUP(MONTH(B1615)/3,0)</f>
        <v/>
      </c>
      <c r="V1615" s="13">
        <f>TEXT(B1615,"YYYY-MM")</f>
        <v/>
      </c>
      <c r="W1615" s="13">
        <f>IF(L1615="","",IF(L1615&gt;pLateDays,1,0))</f>
        <v/>
      </c>
      <c r="X1615" s="13">
        <f>IF(Q1615&gt;=pHighCutoff,1,0)</f>
        <v/>
      </c>
      <c r="Y1615" s="13">
        <f>IF(M1615="Returned",1,0)</f>
        <v/>
      </c>
    </row>
    <row r="1616">
      <c r="A1616" s="13" t="inlineStr">
        <is>
          <t>EDGE-FUTURE</t>
        </is>
      </c>
      <c r="B1616" s="18" t="n">
        <v>45945</v>
      </c>
      <c r="C1616" s="13" t="inlineStr">
        <is>
          <t>West</t>
        </is>
      </c>
      <c r="D1616" s="13" t="inlineStr">
        <is>
          <t>Store</t>
        </is>
      </c>
      <c r="E1616" s="13" t="inlineStr">
        <is>
          <t>Lighting</t>
        </is>
      </c>
      <c r="F1616" s="13" t="inlineStr">
        <is>
          <t>Arc Lamp</t>
        </is>
      </c>
      <c r="G1616" s="13" t="inlineStr">
        <is>
          <t>Consumer</t>
        </is>
      </c>
      <c r="H1616" s="13" t="n">
        <v>2</v>
      </c>
      <c r="I1616" s="14" t="n">
        <v>310</v>
      </c>
      <c r="J1616" s="15" t="n">
        <v>0.05</v>
      </c>
      <c r="K1616" s="14" t="n">
        <v>148.8</v>
      </c>
      <c r="L1616" s="13" t="n">
        <v>4</v>
      </c>
      <c r="M1616" s="13" t="inlineStr">
        <is>
          <t>Completed</t>
        </is>
      </c>
      <c r="N1616" s="13" t="inlineStr">
        <is>
          <t>A. Shah</t>
        </is>
      </c>
      <c r="O1616" s="13" t="inlineStr">
        <is>
          <t>No</t>
        </is>
      </c>
      <c r="P1616" s="14">
        <f>H1616*I1616</f>
        <v/>
      </c>
      <c r="Q1616" s="14">
        <f>P1616*(1-J1616)</f>
        <v/>
      </c>
      <c r="R1616" s="14">
        <f>H1616*K1616</f>
        <v/>
      </c>
      <c r="S1616" s="15">
        <f>IF(Q1616=0,"",(Q1616-R1616)/Q1616)</f>
        <v/>
      </c>
      <c r="T1616" s="13">
        <f>YEAR(B1616)</f>
        <v/>
      </c>
      <c r="U1616" s="13">
        <f>YEAR(B1616)&amp;"-Q"&amp;ROUNDUP(MONTH(B1616)/3,0)</f>
        <v/>
      </c>
      <c r="V1616" s="13">
        <f>TEXT(B1616,"YYYY-MM")</f>
        <v/>
      </c>
      <c r="W1616" s="13">
        <f>IF(L1616="","",IF(L1616&gt;pLateDays,1,0))</f>
        <v/>
      </c>
      <c r="X1616" s="13">
        <f>IF(Q1616&gt;=pHighCutoff,1,0)</f>
        <v/>
      </c>
      <c r="Y1616" s="13">
        <f>IF(M1616="Returned",1,0)</f>
        <v/>
      </c>
    </row>
    <row r="1617">
      <c r="A1617" s="13" t="inlineStr">
        <is>
          <t>EDGE-SPACE</t>
        </is>
      </c>
      <c r="B1617" s="18" t="n">
        <v>45638</v>
      </c>
      <c r="C1617" s="13" t="inlineStr">
        <is>
          <t>West</t>
        </is>
      </c>
      <c r="D1617" s="13" t="inlineStr">
        <is>
          <t>Store</t>
        </is>
      </c>
      <c r="E1617" s="13" t="inlineStr">
        <is>
          <t>Lighting</t>
        </is>
      </c>
      <c r="F1617" s="13" t="inlineStr">
        <is>
          <t>Arc Lamp</t>
        </is>
      </c>
      <c r="G1617" s="13" t="inlineStr">
        <is>
          <t>Consumer</t>
        </is>
      </c>
      <c r="H1617" s="13" t="n">
        <v>2</v>
      </c>
      <c r="I1617" s="14" t="n">
        <v>310</v>
      </c>
      <c r="J1617" s="15" t="n">
        <v>0.05</v>
      </c>
      <c r="K1617" s="14" t="n">
        <v>148.8</v>
      </c>
      <c r="L1617" s="13" t="n">
        <v>4</v>
      </c>
      <c r="M1617" s="13" t="inlineStr">
        <is>
          <t>Completed</t>
        </is>
      </c>
      <c r="N1617" s="13" t="inlineStr">
        <is>
          <t>A. Shah</t>
        </is>
      </c>
      <c r="O1617" s="13" t="inlineStr">
        <is>
          <t>No</t>
        </is>
      </c>
      <c r="P1617" s="14">
        <f>H1617*I1617</f>
        <v/>
      </c>
      <c r="Q1617" s="14">
        <f>P1617*(1-J1617)</f>
        <v/>
      </c>
      <c r="R1617" s="14">
        <f>H1617*K1617</f>
        <v/>
      </c>
      <c r="S1617" s="15">
        <f>IF(Q1617=0,"",(Q1617-R1617)/Q1617)</f>
        <v/>
      </c>
      <c r="T1617" s="13">
        <f>YEAR(B1617)</f>
        <v/>
      </c>
      <c r="U1617" s="13">
        <f>YEAR(B1617)&amp;"-Q"&amp;ROUNDUP(MONTH(B1617)/3,0)</f>
        <v/>
      </c>
      <c r="V1617" s="13">
        <f>TEXT(B1617,"YYYY-MM")</f>
        <v/>
      </c>
      <c r="W1617" s="13">
        <f>IF(L1617="","",IF(L1617&gt;pLateDays,1,0))</f>
        <v/>
      </c>
      <c r="X1617" s="13">
        <f>IF(Q1617&gt;=pHighCutoff,1,0)</f>
        <v/>
      </c>
      <c r="Y1617" s="13">
        <f>IF(M1617="Returned",1,0)</f>
        <v/>
      </c>
    </row>
    <row r="1618">
      <c r="A1618" s="13" t="inlineStr">
        <is>
          <t>EDGE-RETURN</t>
        </is>
      </c>
      <c r="B1618" s="18" t="n">
        <v>45675</v>
      </c>
      <c r="C1618" s="13" t="inlineStr">
        <is>
          <t>North</t>
        </is>
      </c>
      <c r="D1618" s="13" t="inlineStr">
        <is>
          <t>Store</t>
        </is>
      </c>
      <c r="E1618" s="13" t="inlineStr">
        <is>
          <t>Textiles</t>
        </is>
      </c>
      <c r="F1618" s="13" t="inlineStr">
        <is>
          <t>Wool Throw</t>
        </is>
      </c>
      <c r="G1618" s="13" t="inlineStr">
        <is>
          <t>Consumer</t>
        </is>
      </c>
      <c r="H1618" s="13" t="n">
        <v>2</v>
      </c>
      <c r="I1618" s="14" t="n">
        <v>310</v>
      </c>
      <c r="J1618" s="15" t="n">
        <v>0.05</v>
      </c>
      <c r="K1618" s="14" t="n">
        <v>148.8</v>
      </c>
      <c r="L1618" s="13" t="n">
        <v>4</v>
      </c>
      <c r="M1618" s="13" t="inlineStr">
        <is>
          <t>Returned</t>
        </is>
      </c>
      <c r="N1618" s="13" t="inlineStr">
        <is>
          <t>A. Shah</t>
        </is>
      </c>
      <c r="O1618" s="13" t="inlineStr">
        <is>
          <t>No</t>
        </is>
      </c>
      <c r="P1618" s="14">
        <f>H1618*I1618</f>
        <v/>
      </c>
      <c r="Q1618" s="14">
        <f>P1618*(1-J1618)</f>
        <v/>
      </c>
      <c r="R1618" s="14">
        <f>H1618*K1618</f>
        <v/>
      </c>
      <c r="S1618" s="15">
        <f>IF(Q1618=0,"",(Q1618-R1618)/Q1618)</f>
        <v/>
      </c>
      <c r="T1618" s="13">
        <f>YEAR(B1618)</f>
        <v/>
      </c>
      <c r="U1618" s="13">
        <f>YEAR(B1618)&amp;"-Q"&amp;ROUNDUP(MONTH(B1618)/3,0)</f>
        <v/>
      </c>
      <c r="V1618" s="13">
        <f>TEXT(B1618,"YYYY-MM")</f>
        <v/>
      </c>
      <c r="W1618" s="13">
        <f>IF(L1618="","",IF(L1618&gt;pLateDays,1,0))</f>
        <v/>
      </c>
      <c r="X1618" s="13">
        <f>IF(Q1618&gt;=pHighCutoff,1,0)</f>
        <v/>
      </c>
      <c r="Y1618" s="13">
        <f>IF(M1618="Returned",1,0)</f>
        <v/>
      </c>
    </row>
    <row r="1619">
      <c r="A1619" s="13" t="inlineStr">
        <is>
          <t>EDGE-CLEARANCE</t>
        </is>
      </c>
      <c r="B1619" s="18" t="n">
        <v>45702</v>
      </c>
      <c r="C1619" s="13" t="inlineStr">
        <is>
          <t>East</t>
        </is>
      </c>
      <c r="D1619" s="13" t="inlineStr">
        <is>
          <t>Store</t>
        </is>
      </c>
      <c r="E1619" s="13" t="inlineStr">
        <is>
          <t>Furniture</t>
        </is>
      </c>
      <c r="F1619" s="13" t="inlineStr">
        <is>
          <t>Lounge Chair</t>
        </is>
      </c>
      <c r="G1619" s="13" t="inlineStr">
        <is>
          <t>Consumer</t>
        </is>
      </c>
      <c r="H1619" s="13" t="n">
        <v>1</v>
      </c>
      <c r="I1619" s="14" t="n">
        <v>200</v>
      </c>
      <c r="J1619" s="15" t="n">
        <v>0.15</v>
      </c>
      <c r="K1619" s="14" t="n">
        <v>190</v>
      </c>
      <c r="L1619" s="13" t="n">
        <v>4</v>
      </c>
      <c r="M1619" s="13" t="inlineStr">
        <is>
          <t>Completed</t>
        </is>
      </c>
      <c r="N1619" s="13" t="inlineStr">
        <is>
          <t>A. Shah</t>
        </is>
      </c>
      <c r="O1619" s="13" t="inlineStr">
        <is>
          <t>No</t>
        </is>
      </c>
      <c r="P1619" s="14">
        <f>H1619*I1619</f>
        <v/>
      </c>
      <c r="Q1619" s="14">
        <f>P1619*(1-J1619)</f>
        <v/>
      </c>
      <c r="R1619" s="14">
        <f>H1619*K1619</f>
        <v/>
      </c>
      <c r="S1619" s="15">
        <f>IF(Q1619=0,"",(Q1619-R1619)/Q1619)</f>
        <v/>
      </c>
      <c r="T1619" s="13">
        <f>YEAR(B1619)</f>
        <v/>
      </c>
      <c r="U1619" s="13">
        <f>YEAR(B1619)&amp;"-Q"&amp;ROUNDUP(MONTH(B1619)/3,0)</f>
        <v/>
      </c>
      <c r="V1619" s="13">
        <f>TEXT(B1619,"YYYY-MM")</f>
        <v/>
      </c>
      <c r="W1619" s="13">
        <f>IF(L1619="","",IF(L1619&gt;pLateDays,1,0))</f>
        <v/>
      </c>
      <c r="X1619" s="13">
        <f>IF(Q1619&gt;=pHighCutoff,1,0)</f>
        <v/>
      </c>
      <c r="Y1619" s="13">
        <f>IF(M1619="Returned",1,0)</f>
        <v/>
      </c>
    </row>
  </sheetData>
  <autoFilter ref="A1:Y1619"/>
  <conditionalFormatting sqref="S2:S1619">
    <cfRule type="cellIs" priority="1" operator="lessThan" dxfId="0">
      <formula>pLowMargin</formula>
    </cfRule>
  </conditionalFormatting>
  <conditionalFormatting sqref="X2:X1619">
    <cfRule type="cellIs" priority="2" operator="equal" dxfId="1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0893E"/>
    <outlinePr summaryBelow="1" summaryRight="1"/>
    <pageSetUpPr/>
  </sheetPr>
  <dimension ref="A1:E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9" t="inlineStr">
        <is>
          <t>Chart source — every number is a formula against CleanData and the dashboard parameters.</t>
        </is>
      </c>
    </row>
    <row r="3">
      <c r="A3" s="20" t="inlineStr">
        <is>
          <t>Region</t>
        </is>
      </c>
      <c r="B3" s="20" t="inlineStr">
        <is>
          <t>NetRevenue</t>
        </is>
      </c>
      <c r="C3" s="20" t="inlineStr">
        <is>
          <t>Orders</t>
        </is>
      </c>
      <c r="D3" s="20" t="inlineStr">
        <is>
          <t>AvgMargin</t>
        </is>
      </c>
      <c r="E3" s="20" t="inlineStr">
        <is>
          <t>TotalCost</t>
        </is>
      </c>
    </row>
    <row r="4">
      <c r="A4" t="inlineStr">
        <is>
          <t>North</t>
        </is>
      </c>
      <c r="B4" s="21">
        <f>SUMIFS(CleanData[NetRevenue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4)</f>
        <v/>
      </c>
      <c r="C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4)</f>
        <v/>
      </c>
      <c r="D4" s="22">
        <f>IFERROR(AVERAGEIFS(CleanData[Margin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4),NA())</f>
        <v/>
      </c>
      <c r="E4" s="21">
        <f>SUMIFS(CleanData[TotalCost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4)</f>
        <v/>
      </c>
    </row>
    <row r="5">
      <c r="A5" t="inlineStr">
        <is>
          <t>South</t>
        </is>
      </c>
      <c r="B5" s="21">
        <f>SUMIFS(CleanData[NetRevenue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5)</f>
        <v/>
      </c>
      <c r="C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5)</f>
        <v/>
      </c>
      <c r="D5" s="22">
        <f>IFERROR(AVERAGEIFS(CleanData[Margin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5),NA())</f>
        <v/>
      </c>
      <c r="E5" s="21">
        <f>SUMIFS(CleanData[TotalCost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5)</f>
        <v/>
      </c>
    </row>
    <row r="6">
      <c r="A6" t="inlineStr">
        <is>
          <t>East</t>
        </is>
      </c>
      <c r="B6" s="21">
        <f>SUMIFS(CleanData[NetRevenue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6)</f>
        <v/>
      </c>
      <c r="C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6)</f>
        <v/>
      </c>
      <c r="D6" s="22">
        <f>IFERROR(AVERAGEIFS(CleanData[Margin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6),NA())</f>
        <v/>
      </c>
      <c r="E6" s="21">
        <f>SUMIFS(CleanData[TotalCost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6)</f>
        <v/>
      </c>
    </row>
    <row r="7">
      <c r="A7" t="inlineStr">
        <is>
          <t>West</t>
        </is>
      </c>
      <c r="B7" s="21">
        <f>SUMIFS(CleanData[NetRevenue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7)</f>
        <v/>
      </c>
      <c r="C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7)</f>
        <v/>
      </c>
      <c r="D7" s="22">
        <f>IFERROR(AVERAGEIFS(CleanData[Margin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7),NA())</f>
        <v/>
      </c>
      <c r="E7" s="21">
        <f>SUMIFS(CleanData[TotalCost],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Region],A7)</f>
        <v/>
      </c>
    </row>
    <row r="9">
      <c r="A9" s="20" t="inlineStr">
        <is>
          <t>Channel</t>
        </is>
      </c>
      <c r="B9" s="20" t="inlineStr">
        <is>
          <t>Orders</t>
        </is>
      </c>
      <c r="C9" s="20" t="inlineStr">
        <is>
          <t>NetRevenue</t>
        </is>
      </c>
    </row>
    <row r="10">
      <c r="A10" t="inlineStr">
        <is>
          <t>Store</t>
        </is>
      </c>
      <c r="B10">
        <f>COUNTIFS(CleanData[OrderDate],"&gt;="&amp;pStart,CleanData[OrderDate],"&lt;="&amp;pEnd,CleanData[Region],IF(pRegion="All","&lt;&gt;",pRegion),CleanData[Category],IF(pCategory="All","&lt;&gt;",pCategory),CleanData[Status],IF(pIncludeCancelled="Yes","&lt;&gt;","&lt;&gt;Cancelled"),CleanData[Channel],A10)</f>
        <v/>
      </c>
      <c r="C10" s="21">
        <f>SUMIFS(CleanData[NetRevenue],CleanData[OrderDate],"&gt;="&amp;pStart,CleanData[OrderDate],"&lt;="&amp;pEnd,CleanData[Region],IF(pRegion="All","&lt;&gt;",pRegion),CleanData[Category],IF(pCategory="All","&lt;&gt;",pCategory),CleanData[Status],IF(pIncludeCancelled="Yes","&lt;&gt;","&lt;&gt;Cancelled"),CleanData[Channel],A10)</f>
        <v/>
      </c>
    </row>
    <row r="11">
      <c r="A11" t="inlineStr">
        <is>
          <t>Online</t>
        </is>
      </c>
      <c r="B11">
        <f>COUNTIFS(CleanData[OrderDate],"&gt;="&amp;pStart,CleanData[OrderDate],"&lt;="&amp;pEnd,CleanData[Region],IF(pRegion="All","&lt;&gt;",pRegion),CleanData[Category],IF(pCategory="All","&lt;&gt;",pCategory),CleanData[Status],IF(pIncludeCancelled="Yes","&lt;&gt;","&lt;&gt;Cancelled"),CleanData[Channel],A11)</f>
        <v/>
      </c>
      <c r="C11" s="21">
        <f>SUMIFS(CleanData[NetRevenue],CleanData[OrderDate],"&gt;="&amp;pStart,CleanData[OrderDate],"&lt;="&amp;pEnd,CleanData[Region],IF(pRegion="All","&lt;&gt;",pRegion),CleanData[Category],IF(pCategory="All","&lt;&gt;",pCategory),CleanData[Status],IF(pIncludeCancelled="Yes","&lt;&gt;","&lt;&gt;Cancelled"),CleanData[Channel],A11)</f>
        <v/>
      </c>
    </row>
    <row r="12">
      <c r="A12" t="inlineStr">
        <is>
          <t>Wholesale</t>
        </is>
      </c>
      <c r="B12">
        <f>COUNTIFS(CleanData[OrderDate],"&gt;="&amp;pStart,CleanData[OrderDate],"&lt;="&amp;pEnd,CleanData[Region],IF(pRegion="All","&lt;&gt;",pRegion),CleanData[Category],IF(pCategory="All","&lt;&gt;",pCategory),CleanData[Status],IF(pIncludeCancelled="Yes","&lt;&gt;","&lt;&gt;Cancelled"),CleanData[Channel],A12)</f>
        <v/>
      </c>
      <c r="C12" s="21">
        <f>SUMIFS(CleanData[NetRevenue],CleanData[OrderDate],"&gt;="&amp;pStart,CleanData[OrderDate],"&lt;="&amp;pEnd,CleanData[Region],IF(pRegion="All","&lt;&gt;",pRegion),CleanData[Category],IF(pCategory="All","&lt;&gt;",pCategory),CleanData[Status],IF(pIncludeCancelled="Yes","&lt;&gt;","&lt;&gt;Cancelled"),CleanData[Channel],A12)</f>
        <v/>
      </c>
    </row>
    <row r="14">
      <c r="A14" s="20" t="inlineStr">
        <is>
          <t>YearMonth</t>
        </is>
      </c>
      <c r="B14" s="20" t="inlineStr">
        <is>
          <t>NetRevenue</t>
        </is>
      </c>
      <c r="C14" s="20" t="inlineStr">
        <is>
          <t>Orders</t>
        </is>
      </c>
    </row>
    <row r="15">
      <c r="A15" t="inlineStr">
        <is>
          <t>2024-01</t>
        </is>
      </c>
      <c r="B15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15)</f>
        <v/>
      </c>
      <c r="C15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15)</f>
        <v/>
      </c>
    </row>
    <row r="16">
      <c r="A16" t="inlineStr">
        <is>
          <t>2024-02</t>
        </is>
      </c>
      <c r="B16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16)</f>
        <v/>
      </c>
      <c r="C16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16)</f>
        <v/>
      </c>
    </row>
    <row r="17">
      <c r="A17" t="inlineStr">
        <is>
          <t>2024-03</t>
        </is>
      </c>
      <c r="B17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17)</f>
        <v/>
      </c>
      <c r="C17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17)</f>
        <v/>
      </c>
    </row>
    <row r="18">
      <c r="A18" t="inlineStr">
        <is>
          <t>2024-04</t>
        </is>
      </c>
      <c r="B18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18)</f>
        <v/>
      </c>
      <c r="C18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18)</f>
        <v/>
      </c>
    </row>
    <row r="19">
      <c r="A19" t="inlineStr">
        <is>
          <t>2024-05</t>
        </is>
      </c>
      <c r="B19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19)</f>
        <v/>
      </c>
      <c r="C19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19)</f>
        <v/>
      </c>
    </row>
    <row r="20">
      <c r="A20" t="inlineStr">
        <is>
          <t>2024-06</t>
        </is>
      </c>
      <c r="B20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20)</f>
        <v/>
      </c>
      <c r="C20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20)</f>
        <v/>
      </c>
    </row>
    <row r="21">
      <c r="A21" t="inlineStr">
        <is>
          <t>2024-07</t>
        </is>
      </c>
      <c r="B21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21)</f>
        <v/>
      </c>
      <c r="C21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21)</f>
        <v/>
      </c>
    </row>
    <row r="22">
      <c r="A22" t="inlineStr">
        <is>
          <t>2024-08</t>
        </is>
      </c>
      <c r="B22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22)</f>
        <v/>
      </c>
      <c r="C22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22)</f>
        <v/>
      </c>
    </row>
    <row r="23">
      <c r="A23" t="inlineStr">
        <is>
          <t>2024-09</t>
        </is>
      </c>
      <c r="B23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23)</f>
        <v/>
      </c>
      <c r="C23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23)</f>
        <v/>
      </c>
    </row>
    <row r="24">
      <c r="A24" t="inlineStr">
        <is>
          <t>2024-10</t>
        </is>
      </c>
      <c r="B24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24)</f>
        <v/>
      </c>
      <c r="C24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24)</f>
        <v/>
      </c>
    </row>
    <row r="25">
      <c r="A25" t="inlineStr">
        <is>
          <t>2024-11</t>
        </is>
      </c>
      <c r="B25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25)</f>
        <v/>
      </c>
      <c r="C25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25)</f>
        <v/>
      </c>
    </row>
    <row r="26">
      <c r="A26" t="inlineStr">
        <is>
          <t>2024-12</t>
        </is>
      </c>
      <c r="B26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26)</f>
        <v/>
      </c>
      <c r="C26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26)</f>
        <v/>
      </c>
    </row>
    <row r="27">
      <c r="A27" t="inlineStr">
        <is>
          <t>2025-01</t>
        </is>
      </c>
      <c r="B27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27)</f>
        <v/>
      </c>
      <c r="C27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27)</f>
        <v/>
      </c>
    </row>
    <row r="28">
      <c r="A28" t="inlineStr">
        <is>
          <t>2025-02</t>
        </is>
      </c>
      <c r="B28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28)</f>
        <v/>
      </c>
      <c r="C28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28)</f>
        <v/>
      </c>
    </row>
    <row r="29">
      <c r="A29" t="inlineStr">
        <is>
          <t>2025-03</t>
        </is>
      </c>
      <c r="B29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29)</f>
        <v/>
      </c>
      <c r="C29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29)</f>
        <v/>
      </c>
    </row>
    <row r="30">
      <c r="A30" t="inlineStr">
        <is>
          <t>2025-04</t>
        </is>
      </c>
      <c r="B30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30)</f>
        <v/>
      </c>
      <c r="C30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30)</f>
        <v/>
      </c>
    </row>
    <row r="31">
      <c r="A31" t="inlineStr">
        <is>
          <t>2025-05</t>
        </is>
      </c>
      <c r="B31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31)</f>
        <v/>
      </c>
      <c r="C31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31)</f>
        <v/>
      </c>
    </row>
    <row r="32">
      <c r="A32" t="inlineStr">
        <is>
          <t>2025-06</t>
        </is>
      </c>
      <c r="B32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32)</f>
        <v/>
      </c>
      <c r="C32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32)</f>
        <v/>
      </c>
    </row>
    <row r="33">
      <c r="A33" t="inlineStr">
        <is>
          <t>2025-07</t>
        </is>
      </c>
      <c r="B33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33)</f>
        <v/>
      </c>
      <c r="C33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33)</f>
        <v/>
      </c>
    </row>
    <row r="34">
      <c r="A34" t="inlineStr">
        <is>
          <t>2025-08</t>
        </is>
      </c>
      <c r="B34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34)</f>
        <v/>
      </c>
      <c r="C34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34)</f>
        <v/>
      </c>
    </row>
    <row r="35">
      <c r="A35" t="inlineStr">
        <is>
          <t>2025-09</t>
        </is>
      </c>
      <c r="B35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35)</f>
        <v/>
      </c>
      <c r="C35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YearMonth],A35)</f>
        <v/>
      </c>
    </row>
    <row r="37">
      <c r="A37" s="20" t="inlineStr">
        <is>
          <t>Category</t>
        </is>
      </c>
      <c r="B37" s="20" t="inlineStr">
        <is>
          <t>North</t>
        </is>
      </c>
      <c r="C37" s="20" t="inlineStr">
        <is>
          <t>South</t>
        </is>
      </c>
      <c r="D37" s="20" t="inlineStr">
        <is>
          <t>East</t>
        </is>
      </c>
      <c r="E37" s="20" t="inlineStr">
        <is>
          <t>West</t>
        </is>
      </c>
    </row>
    <row r="38">
      <c r="A38" t="inlineStr">
        <is>
          <t>Furniture</t>
        </is>
      </c>
      <c r="B38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38,CleanData[Region],B$37)</f>
        <v/>
      </c>
      <c r="C38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38,CleanData[Region],C$37)</f>
        <v/>
      </c>
      <c r="D38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38,CleanData[Region],D$37)</f>
        <v/>
      </c>
      <c r="E38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38,CleanData[Region],E$37)</f>
        <v/>
      </c>
    </row>
    <row r="39">
      <c r="A39" t="inlineStr">
        <is>
          <t>Lighting</t>
        </is>
      </c>
      <c r="B39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39,CleanData[Region],B$37)</f>
        <v/>
      </c>
      <c r="C39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39,CleanData[Region],C$37)</f>
        <v/>
      </c>
      <c r="D39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39,CleanData[Region],D$37)</f>
        <v/>
      </c>
      <c r="E39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39,CleanData[Region],E$37)</f>
        <v/>
      </c>
    </row>
    <row r="40">
      <c r="A40" t="inlineStr">
        <is>
          <t>Textiles</t>
        </is>
      </c>
      <c r="B40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40,CleanData[Region],B$37)</f>
        <v/>
      </c>
      <c r="C40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40,CleanData[Region],C$37)</f>
        <v/>
      </c>
      <c r="D40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40,CleanData[Region],D$37)</f>
        <v/>
      </c>
      <c r="E40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40,CleanData[Region],E$37)</f>
        <v/>
      </c>
    </row>
    <row r="41">
      <c r="A41" t="inlineStr">
        <is>
          <t>Kitchen</t>
        </is>
      </c>
      <c r="B41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41,CleanData[Region],B$37)</f>
        <v/>
      </c>
      <c r="C41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41,CleanData[Region],C$37)</f>
        <v/>
      </c>
      <c r="D41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41,CleanData[Region],D$37)</f>
        <v/>
      </c>
      <c r="E41" s="21">
        <f>SUMIFS(CleanData[NetRevenue],CleanData[OrderDate],"&gt;="&amp;pStart,CleanData[OrderDate],"&lt;="&amp;pEnd,CleanData[Channel],IF(pChannel="All","&lt;&gt;",pChannel),CleanData[Status],IF(pIncludeCancelled="Yes","&lt;&gt;","&lt;&gt;Cancelled"),CleanData[Category],A41,CleanData[Region],E$37)</f>
        <v/>
      </c>
    </row>
    <row r="43">
      <c r="A43" s="20" t="inlineStr">
        <is>
          <t>Quarter</t>
        </is>
      </c>
      <c r="B43" s="20" t="inlineStr">
        <is>
          <t>NetRevenue</t>
        </is>
      </c>
    </row>
    <row r="44">
      <c r="A44" t="inlineStr">
        <is>
          <t>2024-Q1</t>
        </is>
      </c>
      <c r="B44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44)</f>
        <v/>
      </c>
    </row>
    <row r="45">
      <c r="A45" t="inlineStr">
        <is>
          <t>2024-Q2</t>
        </is>
      </c>
      <c r="B45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45)</f>
        <v/>
      </c>
    </row>
    <row r="46">
      <c r="A46" t="inlineStr">
        <is>
          <t>2024-Q3</t>
        </is>
      </c>
      <c r="B46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46)</f>
        <v/>
      </c>
    </row>
    <row r="47">
      <c r="A47" t="inlineStr">
        <is>
          <t>2024-Q4</t>
        </is>
      </c>
      <c r="B47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47)</f>
        <v/>
      </c>
    </row>
    <row r="48">
      <c r="A48" t="inlineStr">
        <is>
          <t>2025-Q1</t>
        </is>
      </c>
      <c r="B48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48)</f>
        <v/>
      </c>
    </row>
    <row r="49">
      <c r="A49" t="inlineStr">
        <is>
          <t>2025-Q2</t>
        </is>
      </c>
      <c r="B49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49)</f>
        <v/>
      </c>
    </row>
    <row r="50">
      <c r="A50" t="inlineStr">
        <is>
          <t>2025-Q3</t>
        </is>
      </c>
      <c r="B50" s="2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Quarter],A50)</f>
        <v/>
      </c>
    </row>
    <row r="52">
      <c r="A52" s="20" t="inlineStr">
        <is>
          <t>Status</t>
        </is>
      </c>
      <c r="B52" s="20" t="inlineStr">
        <is>
          <t>Orders</t>
        </is>
      </c>
    </row>
    <row r="53">
      <c r="A53" t="inlineStr">
        <is>
          <t>Completed</t>
        </is>
      </c>
      <c r="B53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A53)</f>
        <v/>
      </c>
    </row>
    <row r="54">
      <c r="A54" t="inlineStr">
        <is>
          <t>Returned</t>
        </is>
      </c>
      <c r="B54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A54)</f>
        <v/>
      </c>
    </row>
    <row r="55">
      <c r="A55" t="inlineStr">
        <is>
          <t>Cancelled</t>
        </is>
      </c>
      <c r="B55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A55)</f>
        <v/>
      </c>
    </row>
    <row r="57">
      <c r="A57" s="20" t="inlineStr">
        <is>
          <t>Category</t>
        </is>
      </c>
      <c r="B57" s="20" t="inlineStr">
        <is>
          <t>ReturnRate</t>
        </is>
      </c>
      <c r="C57" s="20" t="inlineStr">
        <is>
          <t>Returned</t>
        </is>
      </c>
      <c r="D57" s="20" t="inlineStr">
        <is>
          <t>ReturnBase</t>
        </is>
      </c>
    </row>
    <row r="58">
      <c r="A58" t="inlineStr">
        <is>
          <t>Furniture</t>
        </is>
      </c>
      <c r="B58" s="22">
        <f>IF(D58=0,NA(),C58/D58)</f>
        <v/>
      </c>
      <c r="C58">
        <f>COUNTIFS(CleanData[OrderDate],"&gt;="&amp;pStart,CleanData[OrderDate],"&lt;="&amp;pEnd,CleanData[Region],IF(pRegion="All","&lt;&gt;",pRegion),CleanData[Channel],IF(pChannel="All","&lt;&gt;",pChannel),CleanData[Category],A58,CleanData[Status],"Returned")</f>
        <v/>
      </c>
      <c r="D58">
        <f>COUNTIFS(CleanData[OrderDate],"&gt;="&amp;pStart,CleanData[OrderDate],"&lt;="&amp;pEnd,CleanData[Region],IF(pRegion="All","&lt;&gt;",pRegion),CleanData[Channel],IF(pChannel="All","&lt;&gt;",pChannel),CleanData[Category],A58,CleanData[Status],"&lt;&gt;Cancelled")</f>
        <v/>
      </c>
    </row>
    <row r="59">
      <c r="A59" t="inlineStr">
        <is>
          <t>Lighting</t>
        </is>
      </c>
      <c r="B59" s="22">
        <f>IF(D59=0,NA(),C59/D59)</f>
        <v/>
      </c>
      <c r="C59">
        <f>COUNTIFS(CleanData[OrderDate],"&gt;="&amp;pStart,CleanData[OrderDate],"&lt;="&amp;pEnd,CleanData[Region],IF(pRegion="All","&lt;&gt;",pRegion),CleanData[Channel],IF(pChannel="All","&lt;&gt;",pChannel),CleanData[Category],A59,CleanData[Status],"Returned")</f>
        <v/>
      </c>
      <c r="D59">
        <f>COUNTIFS(CleanData[OrderDate],"&gt;="&amp;pStart,CleanData[OrderDate],"&lt;="&amp;pEnd,CleanData[Region],IF(pRegion="All","&lt;&gt;",pRegion),CleanData[Channel],IF(pChannel="All","&lt;&gt;",pChannel),CleanData[Category],A59,CleanData[Status],"&lt;&gt;Cancelled")</f>
        <v/>
      </c>
    </row>
    <row r="60">
      <c r="A60" t="inlineStr">
        <is>
          <t>Textiles</t>
        </is>
      </c>
      <c r="B60" s="22">
        <f>IF(D60=0,NA(),C60/D60)</f>
        <v/>
      </c>
      <c r="C60">
        <f>COUNTIFS(CleanData[OrderDate],"&gt;="&amp;pStart,CleanData[OrderDate],"&lt;="&amp;pEnd,CleanData[Region],IF(pRegion="All","&lt;&gt;",pRegion),CleanData[Channel],IF(pChannel="All","&lt;&gt;",pChannel),CleanData[Category],A60,CleanData[Status],"Returned")</f>
        <v/>
      </c>
      <c r="D60">
        <f>COUNTIFS(CleanData[OrderDate],"&gt;="&amp;pStart,CleanData[OrderDate],"&lt;="&amp;pEnd,CleanData[Region],IF(pRegion="All","&lt;&gt;",pRegion),CleanData[Channel],IF(pChannel="All","&lt;&gt;",pChannel),CleanData[Category],A60,CleanData[Status],"&lt;&gt;Cancelled")</f>
        <v/>
      </c>
    </row>
    <row r="61">
      <c r="A61" t="inlineStr">
        <is>
          <t>Kitchen</t>
        </is>
      </c>
      <c r="B61" s="22">
        <f>IF(D61=0,NA(),C61/D61)</f>
        <v/>
      </c>
      <c r="C61">
        <f>COUNTIFS(CleanData[OrderDate],"&gt;="&amp;pStart,CleanData[OrderDate],"&lt;="&amp;pEnd,CleanData[Region],IF(pRegion="All","&lt;&gt;",pRegion),CleanData[Channel],IF(pChannel="All","&lt;&gt;",pChannel),CleanData[Category],A61,CleanData[Status],"Returned")</f>
        <v/>
      </c>
      <c r="D61">
        <f>COUNTIFS(CleanData[OrderDate],"&gt;="&amp;pStart,CleanData[OrderDate],"&lt;="&amp;pEnd,CleanData[Region],IF(pRegion="All","&lt;&gt;",pRegion),CleanData[Channel],IF(pChannel="All","&lt;&gt;",pChannel),CleanData[Category],A61,CleanData[Status],"&lt;&gt;Cancelled")</f>
        <v/>
      </c>
    </row>
    <row r="63">
      <c r="A63" s="20" t="inlineStr">
        <is>
          <t>YearMonth</t>
        </is>
      </c>
      <c r="B63" s="20" t="inlineStr">
        <is>
          <t>North</t>
        </is>
      </c>
      <c r="C63" s="20" t="inlineStr">
        <is>
          <t>South</t>
        </is>
      </c>
      <c r="D63" s="20" t="inlineStr">
        <is>
          <t>East</t>
        </is>
      </c>
      <c r="E63" s="20" t="inlineStr">
        <is>
          <t>West</t>
        </is>
      </c>
    </row>
    <row r="64">
      <c r="A64" t="inlineStr">
        <is>
          <t>2024-01</t>
        </is>
      </c>
      <c r="B6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64,CleanData[Region],B$63)</f>
        <v/>
      </c>
      <c r="C6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64,CleanData[Region],C$63)</f>
        <v/>
      </c>
      <c r="D6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64,CleanData[Region],D$63)</f>
        <v/>
      </c>
      <c r="E6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64,CleanData[Region],E$63)</f>
        <v/>
      </c>
    </row>
    <row r="65">
      <c r="A65" t="inlineStr">
        <is>
          <t>2024-02</t>
        </is>
      </c>
      <c r="B6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65,CleanData[Region],B$63)</f>
        <v/>
      </c>
      <c r="C6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65,CleanData[Region],C$63)</f>
        <v/>
      </c>
      <c r="D6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65,CleanData[Region],D$63)</f>
        <v/>
      </c>
      <c r="E6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65,CleanData[Region],E$63)</f>
        <v/>
      </c>
    </row>
    <row r="66">
      <c r="A66" t="inlineStr">
        <is>
          <t>2024-03</t>
        </is>
      </c>
      <c r="B6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66,CleanData[Region],B$63)</f>
        <v/>
      </c>
      <c r="C6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66,CleanData[Region],C$63)</f>
        <v/>
      </c>
      <c r="D6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66,CleanData[Region],D$63)</f>
        <v/>
      </c>
      <c r="E6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66,CleanData[Region],E$63)</f>
        <v/>
      </c>
    </row>
    <row r="67">
      <c r="A67" t="inlineStr">
        <is>
          <t>2024-04</t>
        </is>
      </c>
      <c r="B6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67,CleanData[Region],B$63)</f>
        <v/>
      </c>
      <c r="C6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67,CleanData[Region],C$63)</f>
        <v/>
      </c>
      <c r="D6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67,CleanData[Region],D$63)</f>
        <v/>
      </c>
      <c r="E6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67,CleanData[Region],E$63)</f>
        <v/>
      </c>
    </row>
    <row r="68">
      <c r="A68" t="inlineStr">
        <is>
          <t>2024-05</t>
        </is>
      </c>
      <c r="B6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68,CleanData[Region],B$63)</f>
        <v/>
      </c>
      <c r="C6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68,CleanData[Region],C$63)</f>
        <v/>
      </c>
      <c r="D6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68,CleanData[Region],D$63)</f>
        <v/>
      </c>
      <c r="E6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68,CleanData[Region],E$63)</f>
        <v/>
      </c>
    </row>
    <row r="69">
      <c r="A69" t="inlineStr">
        <is>
          <t>2024-06</t>
        </is>
      </c>
      <c r="B6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69,CleanData[Region],B$63)</f>
        <v/>
      </c>
      <c r="C6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69,CleanData[Region],C$63)</f>
        <v/>
      </c>
      <c r="D6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69,CleanData[Region],D$63)</f>
        <v/>
      </c>
      <c r="E6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69,CleanData[Region],E$63)</f>
        <v/>
      </c>
    </row>
    <row r="70">
      <c r="A70" t="inlineStr">
        <is>
          <t>2024-07</t>
        </is>
      </c>
      <c r="B7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70,CleanData[Region],B$63)</f>
        <v/>
      </c>
      <c r="C7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70,CleanData[Region],C$63)</f>
        <v/>
      </c>
      <c r="D7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70,CleanData[Region],D$63)</f>
        <v/>
      </c>
      <c r="E7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70,CleanData[Region],E$63)</f>
        <v/>
      </c>
    </row>
    <row r="71">
      <c r="A71" t="inlineStr">
        <is>
          <t>2024-08</t>
        </is>
      </c>
      <c r="B7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71,CleanData[Region],B$63)</f>
        <v/>
      </c>
      <c r="C7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71,CleanData[Region],C$63)</f>
        <v/>
      </c>
      <c r="D7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71,CleanData[Region],D$63)</f>
        <v/>
      </c>
      <c r="E7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71,CleanData[Region],E$63)</f>
        <v/>
      </c>
    </row>
    <row r="72">
      <c r="A72" t="inlineStr">
        <is>
          <t>2024-09</t>
        </is>
      </c>
      <c r="B7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72,CleanData[Region],B$63)</f>
        <v/>
      </c>
      <c r="C7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72,CleanData[Region],C$63)</f>
        <v/>
      </c>
      <c r="D7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72,CleanData[Region],D$63)</f>
        <v/>
      </c>
      <c r="E7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72,CleanData[Region],E$63)</f>
        <v/>
      </c>
    </row>
    <row r="73">
      <c r="A73" t="inlineStr">
        <is>
          <t>2024-10</t>
        </is>
      </c>
      <c r="B7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73,CleanData[Region],B$63)</f>
        <v/>
      </c>
      <c r="C7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73,CleanData[Region],C$63)</f>
        <v/>
      </c>
      <c r="D7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73,CleanData[Region],D$63)</f>
        <v/>
      </c>
      <c r="E7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73,CleanData[Region],E$63)</f>
        <v/>
      </c>
    </row>
    <row r="74">
      <c r="A74" t="inlineStr">
        <is>
          <t>2024-11</t>
        </is>
      </c>
      <c r="B7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74,CleanData[Region],B$63)</f>
        <v/>
      </c>
      <c r="C7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74,CleanData[Region],C$63)</f>
        <v/>
      </c>
      <c r="D7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74,CleanData[Region],D$63)</f>
        <v/>
      </c>
      <c r="E7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74,CleanData[Region],E$63)</f>
        <v/>
      </c>
    </row>
    <row r="75">
      <c r="A75" t="inlineStr">
        <is>
          <t>2024-12</t>
        </is>
      </c>
      <c r="B7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75,CleanData[Region],B$63)</f>
        <v/>
      </c>
      <c r="C7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75,CleanData[Region],C$63)</f>
        <v/>
      </c>
      <c r="D7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75,CleanData[Region],D$63)</f>
        <v/>
      </c>
      <c r="E75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75,CleanData[Region],E$63)</f>
        <v/>
      </c>
    </row>
    <row r="76">
      <c r="A76" t="inlineStr">
        <is>
          <t>2025-01</t>
        </is>
      </c>
      <c r="B7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76,CleanData[Region],B$63)</f>
        <v/>
      </c>
      <c r="C7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76,CleanData[Region],C$63)</f>
        <v/>
      </c>
      <c r="D7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76,CleanData[Region],D$63)</f>
        <v/>
      </c>
      <c r="E76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76,CleanData[Region],E$63)</f>
        <v/>
      </c>
    </row>
    <row r="77">
      <c r="A77" t="inlineStr">
        <is>
          <t>2025-02</t>
        </is>
      </c>
      <c r="B7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77,CleanData[Region],B$63)</f>
        <v/>
      </c>
      <c r="C7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77,CleanData[Region],C$63)</f>
        <v/>
      </c>
      <c r="D7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77,CleanData[Region],D$63)</f>
        <v/>
      </c>
      <c r="E77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77,CleanData[Region],E$63)</f>
        <v/>
      </c>
    </row>
    <row r="78">
      <c r="A78" t="inlineStr">
        <is>
          <t>2025-03</t>
        </is>
      </c>
      <c r="B7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78,CleanData[Region],B$63)</f>
        <v/>
      </c>
      <c r="C7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78,CleanData[Region],C$63)</f>
        <v/>
      </c>
      <c r="D7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78,CleanData[Region],D$63)</f>
        <v/>
      </c>
      <c r="E78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78,CleanData[Region],E$63)</f>
        <v/>
      </c>
    </row>
    <row r="79">
      <c r="A79" t="inlineStr">
        <is>
          <t>2025-04</t>
        </is>
      </c>
      <c r="B7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79,CleanData[Region],B$63)</f>
        <v/>
      </c>
      <c r="C7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79,CleanData[Region],C$63)</f>
        <v/>
      </c>
      <c r="D7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79,CleanData[Region],D$63)</f>
        <v/>
      </c>
      <c r="E79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79,CleanData[Region],E$63)</f>
        <v/>
      </c>
    </row>
    <row r="80">
      <c r="A80" t="inlineStr">
        <is>
          <t>2025-05</t>
        </is>
      </c>
      <c r="B8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80,CleanData[Region],B$63)</f>
        <v/>
      </c>
      <c r="C8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80,CleanData[Region],C$63)</f>
        <v/>
      </c>
      <c r="D8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80,CleanData[Region],D$63)</f>
        <v/>
      </c>
      <c r="E80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80,CleanData[Region],E$63)</f>
        <v/>
      </c>
    </row>
    <row r="81">
      <c r="A81" t="inlineStr">
        <is>
          <t>2025-06</t>
        </is>
      </c>
      <c r="B8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81,CleanData[Region],B$63)</f>
        <v/>
      </c>
      <c r="C8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81,CleanData[Region],C$63)</f>
        <v/>
      </c>
      <c r="D8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81,CleanData[Region],D$63)</f>
        <v/>
      </c>
      <c r="E81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81,CleanData[Region],E$63)</f>
        <v/>
      </c>
    </row>
    <row r="82">
      <c r="A82" t="inlineStr">
        <is>
          <t>2025-07</t>
        </is>
      </c>
      <c r="B8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82,CleanData[Region],B$63)</f>
        <v/>
      </c>
      <c r="C8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82,CleanData[Region],C$63)</f>
        <v/>
      </c>
      <c r="D8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82,CleanData[Region],D$63)</f>
        <v/>
      </c>
      <c r="E82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82,CleanData[Region],E$63)</f>
        <v/>
      </c>
    </row>
    <row r="83">
      <c r="A83" t="inlineStr">
        <is>
          <t>2025-08</t>
        </is>
      </c>
      <c r="B8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83,CleanData[Region],B$63)</f>
        <v/>
      </c>
      <c r="C8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83,CleanData[Region],C$63)</f>
        <v/>
      </c>
      <c r="D8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83,CleanData[Region],D$63)</f>
        <v/>
      </c>
      <c r="E83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83,CleanData[Region],E$63)</f>
        <v/>
      </c>
    </row>
    <row r="84">
      <c r="A84" t="inlineStr">
        <is>
          <t>2025-09</t>
        </is>
      </c>
      <c r="B8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84,CleanData[Region],B$63)</f>
        <v/>
      </c>
      <c r="C8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84,CleanData[Region],C$63)</f>
        <v/>
      </c>
      <c r="D8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84,CleanData[Region],D$63)</f>
        <v/>
      </c>
      <c r="E84">
        <f>COUNTIFS(CleanData[OrderDate],"&gt;="&amp;pStart,CleanData[OrderDate],"&lt;="&amp;pEnd,CleanData[Channel],IF(pChannel="All","&lt;&gt;",pChannel),CleanData[Category],IF(pCategory="All","&lt;&gt;",pCategory),CleanData[Status],IF(pIncludeCancelled="Yes","&lt;&gt;","&lt;&gt;Cancelled"),CleanData[YearMonth],$A84,CleanData[Region],E$63)</f>
        <v/>
      </c>
    </row>
    <row r="86">
      <c r="A86" s="20" t="inlineStr">
        <is>
          <t>Region</t>
        </is>
      </c>
      <c r="B86" s="20" t="inlineStr">
        <is>
          <t>Store</t>
        </is>
      </c>
      <c r="C86" s="20" t="inlineStr">
        <is>
          <t>Online</t>
        </is>
      </c>
      <c r="D86" s="20" t="inlineStr">
        <is>
          <t>Wholesale</t>
        </is>
      </c>
    </row>
    <row r="87">
      <c r="A87" t="inlineStr">
        <is>
          <t>North</t>
        </is>
      </c>
      <c r="B87" s="21">
        <f>IF((COUNTIFS(CleanData[OrderDate],"&gt;="&amp;pStart,CleanData[OrderDate],"&lt;="&amp;pEnd,CleanData[Category],IF(pCategory="All","&lt;&gt;",pCategory),CleanData[Status],IF(pIncludeCancelled="Yes","&lt;&gt;","&lt;&gt;Cancelled"),CleanData[Region],$A87,CleanData[Channel],B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87,CleanData[Channel],B$86))/(COUNTIFS(CleanData[OrderDate],"&gt;="&amp;pStart,CleanData[OrderDate],"&lt;="&amp;pEnd,CleanData[Category],IF(pCategory="All","&lt;&gt;",pCategory),CleanData[Status],IF(pIncludeCancelled="Yes","&lt;&gt;","&lt;&gt;Cancelled"),CleanData[Region],$A87,CleanData[Channel],B$86)))</f>
        <v/>
      </c>
      <c r="C87" s="21">
        <f>IF((COUNTIFS(CleanData[OrderDate],"&gt;="&amp;pStart,CleanData[OrderDate],"&lt;="&amp;pEnd,CleanData[Category],IF(pCategory="All","&lt;&gt;",pCategory),CleanData[Status],IF(pIncludeCancelled="Yes","&lt;&gt;","&lt;&gt;Cancelled"),CleanData[Region],$A87,CleanData[Channel],C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87,CleanData[Channel],C$86))/(COUNTIFS(CleanData[OrderDate],"&gt;="&amp;pStart,CleanData[OrderDate],"&lt;="&amp;pEnd,CleanData[Category],IF(pCategory="All","&lt;&gt;",pCategory),CleanData[Status],IF(pIncludeCancelled="Yes","&lt;&gt;","&lt;&gt;Cancelled"),CleanData[Region],$A87,CleanData[Channel],C$86)))</f>
        <v/>
      </c>
      <c r="D87" s="21">
        <f>IF((COUNTIFS(CleanData[OrderDate],"&gt;="&amp;pStart,CleanData[OrderDate],"&lt;="&amp;pEnd,CleanData[Category],IF(pCategory="All","&lt;&gt;",pCategory),CleanData[Status],IF(pIncludeCancelled="Yes","&lt;&gt;","&lt;&gt;Cancelled"),CleanData[Region],$A87,CleanData[Channel],D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87,CleanData[Channel],D$86))/(COUNTIFS(CleanData[OrderDate],"&gt;="&amp;pStart,CleanData[OrderDate],"&lt;="&amp;pEnd,CleanData[Category],IF(pCategory="All","&lt;&gt;",pCategory),CleanData[Status],IF(pIncludeCancelled="Yes","&lt;&gt;","&lt;&gt;Cancelled"),CleanData[Region],$A87,CleanData[Channel],D$86)))</f>
        <v/>
      </c>
    </row>
    <row r="88">
      <c r="A88" t="inlineStr">
        <is>
          <t>South</t>
        </is>
      </c>
      <c r="B88" s="21">
        <f>IF((COUNTIFS(CleanData[OrderDate],"&gt;="&amp;pStart,CleanData[OrderDate],"&lt;="&amp;pEnd,CleanData[Category],IF(pCategory="All","&lt;&gt;",pCategory),CleanData[Status],IF(pIncludeCancelled="Yes","&lt;&gt;","&lt;&gt;Cancelled"),CleanData[Region],$A88,CleanData[Channel],B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88,CleanData[Channel],B$86))/(COUNTIFS(CleanData[OrderDate],"&gt;="&amp;pStart,CleanData[OrderDate],"&lt;="&amp;pEnd,CleanData[Category],IF(pCategory="All","&lt;&gt;",pCategory),CleanData[Status],IF(pIncludeCancelled="Yes","&lt;&gt;","&lt;&gt;Cancelled"),CleanData[Region],$A88,CleanData[Channel],B$86)))</f>
        <v/>
      </c>
      <c r="C88" s="21">
        <f>IF((COUNTIFS(CleanData[OrderDate],"&gt;="&amp;pStart,CleanData[OrderDate],"&lt;="&amp;pEnd,CleanData[Category],IF(pCategory="All","&lt;&gt;",pCategory),CleanData[Status],IF(pIncludeCancelled="Yes","&lt;&gt;","&lt;&gt;Cancelled"),CleanData[Region],$A88,CleanData[Channel],C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88,CleanData[Channel],C$86))/(COUNTIFS(CleanData[OrderDate],"&gt;="&amp;pStart,CleanData[OrderDate],"&lt;="&amp;pEnd,CleanData[Category],IF(pCategory="All","&lt;&gt;",pCategory),CleanData[Status],IF(pIncludeCancelled="Yes","&lt;&gt;","&lt;&gt;Cancelled"),CleanData[Region],$A88,CleanData[Channel],C$86)))</f>
        <v/>
      </c>
      <c r="D88" s="21">
        <f>IF((COUNTIFS(CleanData[OrderDate],"&gt;="&amp;pStart,CleanData[OrderDate],"&lt;="&amp;pEnd,CleanData[Category],IF(pCategory="All","&lt;&gt;",pCategory),CleanData[Status],IF(pIncludeCancelled="Yes","&lt;&gt;","&lt;&gt;Cancelled"),CleanData[Region],$A88,CleanData[Channel],D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88,CleanData[Channel],D$86))/(COUNTIFS(CleanData[OrderDate],"&gt;="&amp;pStart,CleanData[OrderDate],"&lt;="&amp;pEnd,CleanData[Category],IF(pCategory="All","&lt;&gt;",pCategory),CleanData[Status],IF(pIncludeCancelled="Yes","&lt;&gt;","&lt;&gt;Cancelled"),CleanData[Region],$A88,CleanData[Channel],D$86)))</f>
        <v/>
      </c>
    </row>
    <row r="89">
      <c r="A89" t="inlineStr">
        <is>
          <t>East</t>
        </is>
      </c>
      <c r="B89" s="21">
        <f>IF((COUNTIFS(CleanData[OrderDate],"&gt;="&amp;pStart,CleanData[OrderDate],"&lt;="&amp;pEnd,CleanData[Category],IF(pCategory="All","&lt;&gt;",pCategory),CleanData[Status],IF(pIncludeCancelled="Yes","&lt;&gt;","&lt;&gt;Cancelled"),CleanData[Region],$A89,CleanData[Channel],B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89,CleanData[Channel],B$86))/(COUNTIFS(CleanData[OrderDate],"&gt;="&amp;pStart,CleanData[OrderDate],"&lt;="&amp;pEnd,CleanData[Category],IF(pCategory="All","&lt;&gt;",pCategory),CleanData[Status],IF(pIncludeCancelled="Yes","&lt;&gt;","&lt;&gt;Cancelled"),CleanData[Region],$A89,CleanData[Channel],B$86)))</f>
        <v/>
      </c>
      <c r="C89" s="21">
        <f>IF((COUNTIFS(CleanData[OrderDate],"&gt;="&amp;pStart,CleanData[OrderDate],"&lt;="&amp;pEnd,CleanData[Category],IF(pCategory="All","&lt;&gt;",pCategory),CleanData[Status],IF(pIncludeCancelled="Yes","&lt;&gt;","&lt;&gt;Cancelled"),CleanData[Region],$A89,CleanData[Channel],C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89,CleanData[Channel],C$86))/(COUNTIFS(CleanData[OrderDate],"&gt;="&amp;pStart,CleanData[OrderDate],"&lt;="&amp;pEnd,CleanData[Category],IF(pCategory="All","&lt;&gt;",pCategory),CleanData[Status],IF(pIncludeCancelled="Yes","&lt;&gt;","&lt;&gt;Cancelled"),CleanData[Region],$A89,CleanData[Channel],C$86)))</f>
        <v/>
      </c>
      <c r="D89" s="21">
        <f>IF((COUNTIFS(CleanData[OrderDate],"&gt;="&amp;pStart,CleanData[OrderDate],"&lt;="&amp;pEnd,CleanData[Category],IF(pCategory="All","&lt;&gt;",pCategory),CleanData[Status],IF(pIncludeCancelled="Yes","&lt;&gt;","&lt;&gt;Cancelled"),CleanData[Region],$A89,CleanData[Channel],D$86))=0,NA(),(SUMIFS(CleanData[NetRevenue],CleanData[OrderDate],"&gt;="&amp;pStart,CleanData[OrderDate],"&lt;="&amp;pEnd,CleanData[Category],IF(pCategory="All","&lt;&gt;",pCategory),CleanData[Status],IF(pIncludeCancelled="Yes","&lt;&gt;","&lt;&gt;Cancelled"),CleanData[Region],$A89,CleanData[Channel],D$86))/(COUNTIFS(CleanData[OrderDate],"&gt;="&amp;pStart,CleanData[OrderDate],"&lt;="&amp;pEnd,CleanData[Category],IF(pCategory="All","&lt;&gt;",pCategory),CleanData[Status],IF(pIncludeCancelled="Yes","&lt;&gt;","&lt;&gt;Cancelled"),CleanData[Region],$A89,CleanData[Channel],D$86)))</f>
        <v/>
      </c>
    </row>
    <row r="90">
      <c r="A90" t="inlineStr">
        <is>
          <t>West</t>
        </is>
      </c>
      <c r="B90" s="21">
        <f>IF((COUNTIFS(CleanData[OrderDate],"&gt;="&amp;pStart,CleanData[OrderDate],"&lt;="&amp;pEnd,CleanData[Category],IF(pCategory="All","&lt;&gt;",pCategory),CleanData[Status],IF(pIncludeCancelled="Yes","&lt;&gt;","&lt;&gt;Cancelled"),CleanData[Region],$A90,CleanData[Channel],B$86))=0,NA(),(SUMIFS(CleanData[NetRevenue],CleanData[OrderDate],"&gt;="&amp;pStart,CleanData[OrderDate],"&lt;="&amp;pEnd,CleanData[Category],IF(pCategory="All","&lt;&gt;",pCategory),CleanData[Status],IF(pIncludeCancelled="Yes","&lt;&gt;","&lt;&gt;Cancelled"),CleanData[Region],$A90,CleanData[Channel],B$86))/(COUNTIFS(CleanData[OrderDate],"&gt;="&amp;pStart,CleanData[OrderDate],"&lt;="&amp;pEnd,CleanData[Category],IF(pCategory="All","&lt;&gt;",pCategory),CleanData[Status],IF(pIncludeCancelled="Yes","&lt;&gt;","&lt;&gt;Cancelled"),CleanData[Region],$A90,CleanData[Channel],B$86)))</f>
        <v/>
      </c>
      <c r="C90" s="21">
        <f>IF((COUNTIFS(CleanData[OrderDate],"&gt;="&amp;pStart,CleanData[OrderDate],"&lt;="&amp;pEnd,CleanData[Category],IF(pCategory="All","&lt;&gt;",pCategory),CleanData[Status],IF(pIncludeCancelled="Yes","&lt;&gt;","&lt;&gt;Cancelled"),CleanData[Region],$A90,CleanData[Channel],C$86))=0,NA(),(SUMIFS(CleanData[NetRevenue],CleanData[OrderDate],"&gt;="&amp;pStart,CleanData[OrderDate],"&lt;="&amp;pEnd,CleanData[Category],IF(pCategory="All","&lt;&gt;",pCategory),CleanData[Status],IF(pIncludeCancelled="Yes","&lt;&gt;","&lt;&gt;Cancelled"),CleanData[Region],$A90,CleanData[Channel],C$86))/(COUNTIFS(CleanData[OrderDate],"&gt;="&amp;pStart,CleanData[OrderDate],"&lt;="&amp;pEnd,CleanData[Category],IF(pCategory="All","&lt;&gt;",pCategory),CleanData[Status],IF(pIncludeCancelled="Yes","&lt;&gt;","&lt;&gt;Cancelled"),CleanData[Region],$A90,CleanData[Channel],C$86)))</f>
        <v/>
      </c>
      <c r="D90" s="21">
        <f>IF((COUNTIFS(CleanData[OrderDate],"&gt;="&amp;pStart,CleanData[OrderDate],"&lt;="&amp;pEnd,CleanData[Category],IF(pCategory="All","&lt;&gt;",pCategory),CleanData[Status],IF(pIncludeCancelled="Yes","&lt;&gt;","&lt;&gt;Cancelled"),CleanData[Region],$A90,CleanData[Channel],D$86))=0,NA(),(SUMIFS(CleanData[NetRevenue],CleanData[OrderDate],"&gt;="&amp;pStart,CleanData[OrderDate],"&lt;="&amp;pEnd,CleanData[Category],IF(pCategory="All","&lt;&gt;",pCategory),CleanData[Status],IF(pIncludeCancelled="Yes","&lt;&gt;","&lt;&gt;Cancelled"),CleanData[Region],$A90,CleanData[Channel],D$86))/(COUNTIFS(CleanData[OrderDate],"&gt;="&amp;pStart,CleanData[OrderDate],"&lt;="&amp;pEnd,CleanData[Category],IF(pCategory="All","&lt;&gt;",pCategory),CleanData[Status],IF(pIncludeCancelled="Yes","&lt;&gt;","&lt;&gt;Cancelled"),CleanData[Region],$A90,CleanData[Channel],D$86)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6" customWidth="1" min="4" max="4"/>
    <col width="18" customWidth="1" min="5" max="5"/>
    <col width="20" customWidth="1" min="6" max="6"/>
    <col width="16" customWidth="1" min="7" max="7"/>
    <col width="18" customWidth="1" min="8" max="8"/>
    <col width="14" customWidth="1" min="9" max="9"/>
  </cols>
  <sheetData>
    <row r="1" ht="32" customHeight="1">
      <c r="A1" s="1" t="inlineStr">
        <is>
          <t>Analysis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Live SUMIFS summaries follow the dashboard filters. The top-10 list is a snapshot from the last pipeline run at All / All / All.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B4" s="7" t="n"/>
      <c r="C4" s="7" t="n"/>
      <c r="D4" s="7" t="n"/>
      <c r="E4" s="7" t="n"/>
      <c r="F4" s="7" t="n"/>
      <c r="G4" s="7" t="n"/>
    </row>
    <row r="5">
      <c r="B5" s="23">
        <f>Chart_Data!A4</f>
        <v/>
      </c>
      <c r="C5" s="24">
        <f>Chart_Data!B4</f>
        <v/>
      </c>
      <c r="D5" s="23">
        <f>Chart_Data!C4</f>
        <v/>
      </c>
      <c r="E5" s="24">
        <f>IF(D5=0,NA(),C5/D5)</f>
        <v/>
      </c>
      <c r="F5" s="25">
        <f>IF(C5=0,NA(),(C5-Chart_Data!E4)/C5)</f>
        <v/>
      </c>
      <c r="G5" s="25">
        <f>Chart_Data!D4</f>
        <v/>
      </c>
    </row>
    <row r="6">
      <c r="B6" s="23">
        <f>Chart_Data!A5</f>
        <v/>
      </c>
      <c r="C6" s="24">
        <f>Chart_Data!B5</f>
        <v/>
      </c>
      <c r="D6" s="23">
        <f>Chart_Data!C5</f>
        <v/>
      </c>
      <c r="E6" s="24">
        <f>IF(D6=0,NA(),C6/D6)</f>
        <v/>
      </c>
      <c r="F6" s="25">
        <f>IF(C6=0,NA(),(C6-Chart_Data!E5)/C6)</f>
        <v/>
      </c>
      <c r="G6" s="25">
        <f>Chart_Data!D5</f>
        <v/>
      </c>
    </row>
    <row r="7">
      <c r="B7" s="23">
        <f>Chart_Data!A6</f>
        <v/>
      </c>
      <c r="C7" s="24">
        <f>Chart_Data!B6</f>
        <v/>
      </c>
      <c r="D7" s="23">
        <f>Chart_Data!C6</f>
        <v/>
      </c>
      <c r="E7" s="24">
        <f>IF(D7=0,NA(),C7/D7)</f>
        <v/>
      </c>
      <c r="F7" s="25">
        <f>IF(C7=0,NA(),(C7-Chart_Data!E6)/C7)</f>
        <v/>
      </c>
      <c r="G7" s="25">
        <f>Chart_Data!D6</f>
        <v/>
      </c>
    </row>
    <row r="8">
      <c r="B8" s="23">
        <f>Chart_Data!A7</f>
        <v/>
      </c>
      <c r="C8" s="24">
        <f>Chart_Data!B7</f>
        <v/>
      </c>
      <c r="D8" s="23">
        <f>Chart_Data!C7</f>
        <v/>
      </c>
      <c r="E8" s="24">
        <f>IF(D8=0,NA(),C8/D8)</f>
        <v/>
      </c>
      <c r="F8" s="25">
        <f>IF(C8=0,NA(),(C8-Chart_Data!E7)/C8)</f>
        <v/>
      </c>
      <c r="G8" s="25">
        <f>Chart_Data!D7</f>
        <v/>
      </c>
    </row>
    <row r="11">
      <c r="B11" s="26" t="inlineStr">
        <is>
          <t>Top 10 orders by net revenue (pipeline snapshot, default filters)</t>
        </is>
      </c>
    </row>
    <row r="12">
      <c r="B12" s="27" t="n"/>
      <c r="C12" s="27" t="n"/>
      <c r="D12" s="27" t="n"/>
      <c r="E12" s="27" t="n"/>
      <c r="F12" s="27" t="n"/>
      <c r="G12" s="27" t="n"/>
      <c r="H12" s="27" t="n"/>
      <c r="I12" s="27" t="n"/>
    </row>
    <row r="13">
      <c r="B13" s="13" t="inlineStr">
        <is>
          <t>HC-100483</t>
        </is>
      </c>
      <c r="C13" s="18" t="n">
        <v>45785</v>
      </c>
      <c r="D13" s="13" t="inlineStr">
        <is>
          <t>West</t>
        </is>
      </c>
      <c r="E13" s="13" t="inlineStr">
        <is>
          <t>Furniture</t>
        </is>
      </c>
      <c r="F13" s="13" t="inlineStr">
        <is>
          <t>Linen Sofa</t>
        </is>
      </c>
      <c r="G13" s="13" t="inlineStr">
        <is>
          <t>Completed</t>
        </is>
      </c>
      <c r="H13" s="14" t="n">
        <v>29393.94960000001</v>
      </c>
      <c r="I13" s="28" t="n">
        <v>0.1951241557548294</v>
      </c>
    </row>
    <row r="14">
      <c r="B14" s="13" t="inlineStr">
        <is>
          <t>HC-100098</t>
        </is>
      </c>
      <c r="C14" s="18" t="n">
        <v>45834</v>
      </c>
      <c r="D14" s="13" t="inlineStr">
        <is>
          <t>South</t>
        </is>
      </c>
      <c r="E14" s="13" t="inlineStr">
        <is>
          <t>Furniture</t>
        </is>
      </c>
      <c r="F14" s="13" t="inlineStr">
        <is>
          <t>Linen Sofa</t>
        </is>
      </c>
      <c r="G14" s="13" t="inlineStr">
        <is>
          <t>Completed</t>
        </is>
      </c>
      <c r="H14" s="14" t="n">
        <v>28854.4113</v>
      </c>
      <c r="I14" s="28" t="n">
        <v>0.2413832404198105</v>
      </c>
    </row>
    <row r="15">
      <c r="B15" s="13" t="inlineStr">
        <is>
          <t>HC-101367</t>
        </is>
      </c>
      <c r="C15" s="18" t="n">
        <v>45656</v>
      </c>
      <c r="D15" s="13" t="inlineStr">
        <is>
          <t>East</t>
        </is>
      </c>
      <c r="E15" s="13" t="inlineStr">
        <is>
          <t>Furniture</t>
        </is>
      </c>
      <c r="F15" s="13" t="inlineStr">
        <is>
          <t>Linen Sofa</t>
        </is>
      </c>
      <c r="G15" s="13" t="inlineStr">
        <is>
          <t>Completed</t>
        </is>
      </c>
      <c r="H15" s="14" t="n">
        <v>27550.785</v>
      </c>
      <c r="I15" s="28" t="n">
        <v>0.1199963993766419</v>
      </c>
    </row>
    <row r="16">
      <c r="B16" s="13" t="inlineStr">
        <is>
          <t>HC-101139</t>
        </is>
      </c>
      <c r="C16" s="18" t="n">
        <v>45875</v>
      </c>
      <c r="D16" s="13" t="inlineStr">
        <is>
          <t>East</t>
        </is>
      </c>
      <c r="E16" s="13" t="inlineStr">
        <is>
          <t>Furniture</t>
        </is>
      </c>
      <c r="F16" s="13" t="inlineStr">
        <is>
          <t>Linen Sofa</t>
        </is>
      </c>
      <c r="G16" s="13" t="inlineStr">
        <is>
          <t>Completed</t>
        </is>
      </c>
      <c r="H16" s="14" t="n">
        <v>26399.976</v>
      </c>
      <c r="I16" s="28" t="n">
        <v>0.2048170801367393</v>
      </c>
    </row>
    <row r="17">
      <c r="B17" s="13" t="inlineStr">
        <is>
          <t>HC-100766</t>
        </is>
      </c>
      <c r="C17" s="18" t="n">
        <v>45835</v>
      </c>
      <c r="D17" s="13" t="inlineStr">
        <is>
          <t>West</t>
        </is>
      </c>
      <c r="E17" s="13" t="inlineStr">
        <is>
          <t>Furniture</t>
        </is>
      </c>
      <c r="F17" s="13" t="inlineStr">
        <is>
          <t>Linen Sofa</t>
        </is>
      </c>
      <c r="G17" s="13" t="inlineStr">
        <is>
          <t>Completed</t>
        </is>
      </c>
      <c r="H17" s="14" t="n">
        <v>25359.0896</v>
      </c>
      <c r="I17" s="28" t="n">
        <v>0.204818456889714</v>
      </c>
    </row>
    <row r="18">
      <c r="B18" s="13" t="inlineStr">
        <is>
          <t>HC-101257</t>
        </is>
      </c>
      <c r="C18" s="18" t="n">
        <v>45801</v>
      </c>
      <c r="D18" s="13" t="inlineStr">
        <is>
          <t>West</t>
        </is>
      </c>
      <c r="E18" s="13" t="inlineStr">
        <is>
          <t>Furniture</t>
        </is>
      </c>
      <c r="F18" s="13" t="inlineStr">
        <is>
          <t>Linen Sofa</t>
        </is>
      </c>
      <c r="G18" s="13" t="inlineStr">
        <is>
          <t>Completed</t>
        </is>
      </c>
      <c r="H18" s="14" t="n">
        <v>24770.5354</v>
      </c>
      <c r="I18" s="28" t="n">
        <v>0.1951195370609553</v>
      </c>
    </row>
    <row r="19">
      <c r="B19" s="13" t="inlineStr">
        <is>
          <t>HC-100479</t>
        </is>
      </c>
      <c r="C19" s="18" t="n">
        <v>45849</v>
      </c>
      <c r="D19" s="13" t="inlineStr">
        <is>
          <t>West</t>
        </is>
      </c>
      <c r="E19" s="13" t="inlineStr">
        <is>
          <t>Furniture</t>
        </is>
      </c>
      <c r="F19" s="13" t="inlineStr">
        <is>
          <t>Linen Sofa</t>
        </is>
      </c>
      <c r="G19" s="13" t="inlineStr">
        <is>
          <t>Completed</t>
        </is>
      </c>
      <c r="H19" s="14" t="n">
        <v>23947.7392</v>
      </c>
      <c r="I19" s="28" t="n">
        <v>0.1951281981557575</v>
      </c>
    </row>
    <row r="20">
      <c r="B20" s="13" t="inlineStr">
        <is>
          <t>HC-100845</t>
        </is>
      </c>
      <c r="C20" s="18" t="n">
        <v>45374</v>
      </c>
      <c r="D20" s="13" t="inlineStr">
        <is>
          <t>South</t>
        </is>
      </c>
      <c r="E20" s="13" t="inlineStr">
        <is>
          <t>Furniture</t>
        </is>
      </c>
      <c r="F20" s="13" t="inlineStr">
        <is>
          <t>Linen Sofa</t>
        </is>
      </c>
      <c r="G20" s="13" t="inlineStr">
        <is>
          <t>Completed</t>
        </is>
      </c>
      <c r="H20" s="14" t="n">
        <v>23405.2416</v>
      </c>
      <c r="I20" s="28" t="n">
        <v>0.04348092693903232</v>
      </c>
    </row>
    <row r="21">
      <c r="B21" s="13" t="inlineStr">
        <is>
          <t>HC-101568</t>
        </is>
      </c>
      <c r="C21" s="18" t="n">
        <v>45703</v>
      </c>
      <c r="D21" s="13" t="inlineStr">
        <is>
          <t>North</t>
        </is>
      </c>
      <c r="E21" s="13" t="inlineStr">
        <is>
          <t>Furniture</t>
        </is>
      </c>
      <c r="F21" s="13" t="inlineStr">
        <is>
          <t>Linen Sofa</t>
        </is>
      </c>
      <c r="G21" s="13" t="inlineStr">
        <is>
          <t>Completed</t>
        </is>
      </c>
      <c r="H21" s="14" t="n">
        <v>23215.8528</v>
      </c>
      <c r="I21" s="28" t="n">
        <v>0.02941321199279817</v>
      </c>
    </row>
    <row r="22">
      <c r="B22" s="13" t="inlineStr">
        <is>
          <t>HC-100799</t>
        </is>
      </c>
      <c r="C22" s="18" t="n">
        <v>45806</v>
      </c>
      <c r="D22" s="13" t="inlineStr">
        <is>
          <t>West</t>
        </is>
      </c>
      <c r="E22" s="13" t="inlineStr">
        <is>
          <t>Furniture</t>
        </is>
      </c>
      <c r="F22" s="13" t="inlineStr">
        <is>
          <t>Oak Desk</t>
        </is>
      </c>
      <c r="G22" s="13" t="inlineStr">
        <is>
          <t>Completed</t>
        </is>
      </c>
      <c r="H22" s="14" t="n">
        <v>23155.3175</v>
      </c>
      <c r="I22" s="28" t="n">
        <v>0.270595188340648</v>
      </c>
    </row>
    <row r="24">
      <c r="B24" s="6" t="inlineStr">
        <is>
          <t>Weighted margin is (net revenue - cost) / net revenue. Unweighted margin is the average of order-level margins. A region can look healthier on one definition than the other when a few large wholesale tickets dominate.</t>
        </is>
      </c>
    </row>
    <row r="25"/>
    <row r="26"/>
  </sheetData>
  <mergeCells count="3">
    <mergeCell ref="B24:I26"/>
    <mergeCell ref="A2:H2"/>
    <mergeCell ref="A1:H1"/>
  </mergeCells>
  <conditionalFormatting sqref="G5:G8">
    <cfRule type="cellIs" priority="1" operator="lessThan" dxfId="0">
      <formula>pLowMargin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6F64"/>
    <outlinePr summaryBelow="1" summaryRight="1"/>
    <pageSetUpPr fitToPage="1"/>
  </sheetPr>
  <dimension ref="A1:P9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" t="inlineStr">
        <is>
          <t>Harbor &amp; Co.  ·  Sales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Excel pipeline dashboard. Change the controls, then let Excel calculate. Comparison charts ignore the filter that would collapse them.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18" customHeight="1">
      <c r="B4" s="29" t="n"/>
      <c r="D4" s="29" t="n"/>
      <c r="F4" s="29" t="n"/>
      <c r="H4" s="29" t="n"/>
      <c r="J4" s="29" t="n"/>
      <c r="L4" s="29" t="n"/>
    </row>
    <row r="5" ht="24" customHeight="1">
      <c r="C5" s="30" t="inlineStr">
        <is>
          <t>All</t>
        </is>
      </c>
      <c r="D5" s="31" t="n"/>
      <c r="E5" s="30" t="inlineStr">
        <is>
          <t>All</t>
        </is>
      </c>
      <c r="F5" s="31" t="n"/>
      <c r="G5" s="30" t="inlineStr">
        <is>
          <t>All</t>
        </is>
      </c>
      <c r="H5" s="31" t="n"/>
      <c r="I5" s="30" t="inlineStr">
        <is>
          <t>No</t>
        </is>
      </c>
      <c r="J5" s="31" t="n"/>
      <c r="K5" s="32" t="n">
        <v>45292</v>
      </c>
      <c r="L5" s="31" t="n"/>
      <c r="M5" s="32" t="n">
        <v>45930</v>
      </c>
      <c r="N5" s="31" t="n"/>
    </row>
    <row r="6" ht="28" customHeight="1">
      <c r="A6" s="33" t="inlineStr">
        <is>
          <t>Shipment lateness and the low-margin floor live on Parameters. The high-value cutoff is calculated for this saved window; rerun the pipeline after changing dates if you need a new percentile.</t>
        </is>
      </c>
    </row>
    <row r="8" ht="18" customHeight="1">
      <c r="A8" s="34" t="inlineStr">
        <is>
          <t>Net revenue</t>
        </is>
      </c>
      <c r="B8" s="35" t="n"/>
      <c r="C8" s="29" t="inlineStr">
        <is>
          <t>Orders</t>
        </is>
      </c>
      <c r="D8" s="36" t="n"/>
      <c r="E8" s="34" t="inlineStr">
        <is>
          <t>Average order value</t>
        </is>
      </c>
      <c r="F8" s="35" t="n"/>
      <c r="G8" s="37" t="inlineStr">
        <is>
          <t>Gross margin</t>
        </is>
      </c>
      <c r="H8" s="38" t="n"/>
      <c r="I8" s="34" t="inlineStr">
        <is>
          <t>Return rate</t>
        </is>
      </c>
      <c r="J8" s="35" t="n"/>
      <c r="K8" s="29" t="inlineStr">
        <is>
          <t>On-time fulfillment</t>
        </is>
      </c>
      <c r="L8" s="36" t="n"/>
      <c r="M8" s="37" t="inlineStr">
        <is>
          <t>High-value orders</t>
        </is>
      </c>
      <c r="N8" s="38" t="n"/>
      <c r="O8" s="39" t="inlineStr">
        <is>
          <t>Low-margin orders</t>
        </is>
      </c>
      <c r="P8" s="40" t="n"/>
    </row>
    <row r="9" ht="36" customHeight="1">
      <c r="A9" s="41">
        <f>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)</f>
        <v/>
      </c>
      <c r="B9" s="35" t="n"/>
      <c r="C9" s="42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)</f>
        <v/>
      </c>
      <c r="D9" s="36" t="n"/>
      <c r="E9" s="41">
        <f>IF(C9=0,NA(),A9/C9)</f>
        <v/>
      </c>
      <c r="F9" s="35" t="n"/>
      <c r="G9" s="43">
        <f>IF(A9=0,NA(),(A9-SUMIFS(CleanData[TotalCost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))/A9)</f>
        <v/>
      </c>
      <c r="H9" s="38" t="n"/>
      <c r="I9" s="44">
        <f>IF(COUNTIFS(CleanData[OrderDate],"&gt;="&amp;pStart,CleanData[OrderDate],"&lt;="&amp;pEnd,CleanData[Region],IF(pRegion="All","&lt;&gt;",pRegion),CleanData[Channel],IF(pChannel="All","&lt;&gt;",pChannel),CleanData[Category],IF(pCategory="All","&lt;&gt;",pCategory),CleanData[Status],"&lt;&gt;Cancelled")=0,NA(),COUNTIFS(CleanData[OrderDate],"&gt;="&amp;pStart,CleanData[OrderDate],"&lt;="&amp;pEnd,CleanData[Region],IF(pRegion="All","&lt;&gt;",pRegion),CleanData[Channel],IF(pChannel="All","&lt;&gt;",pChannel),CleanData[Category],IF(pCategory="All","&lt;&gt;",pCategory),CleanData[Status],"Returned")/COUNTIFS(CleanData[OrderDate],"&gt;="&amp;pStart,CleanData[OrderDate],"&lt;="&amp;pEnd,CleanData[Region],IF(pRegion="All","&lt;&gt;",pRegion),CleanData[Channel],IF(pChannel="All","&lt;&gt;",pChannel),CleanData[Category],IF(pCategory="All","&lt;&gt;",pCategory),CleanData[Status],"&lt;&gt;Cancelled"))</f>
        <v/>
      </c>
      <c r="J9" s="35" t="n"/>
      <c r="K9" s="45">
        <f>IF(COUNTIFS(CleanData[OrderDate],"&gt;="&amp;pStart,CleanData[OrderDate],"&lt;="&amp;pEnd,CleanData[Region],IF(pRegion="All","&lt;&gt;",pRegion),CleanData[Channel],IF(pChannel="All","&lt;&gt;",pChannel),CleanData[Category],IF(pCategory="All","&lt;&gt;",pCategory),CleanData[ShipDays],"&gt;="&amp;0,CleanData[Status],"&lt;&gt;Cancelled")=0,NA(),COUNTIFS(CleanData[OrderDate],"&gt;="&amp;pStart,CleanData[OrderDate],"&lt;="&amp;pEnd,CleanData[Region],IF(pRegion="All","&lt;&gt;",pRegion),CleanData[Channel],IF(pChannel="All","&lt;&gt;",pChannel),CleanData[Category],IF(pCategory="All","&lt;&gt;",pCategory),CleanData[LateFlag],0,CleanData[Status],"&lt;&gt;Cancelled")/COUNTIFS(CleanData[OrderDate],"&gt;="&amp;pStart,CleanData[OrderDate],"&lt;="&amp;pEnd,CleanData[Region],IF(pRegion="All","&lt;&gt;",pRegion),CleanData[Channel],IF(pChannel="All","&lt;&gt;",pChannel),CleanData[Category],IF(pCategory="All","&lt;&gt;",pCategory),CleanData[ShipDays],"&gt;="&amp;0,CleanData[Status],"&lt;&gt;Cancelled"))</f>
        <v/>
      </c>
      <c r="L9" s="36" t="n"/>
      <c r="M9" s="46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HighValueFlag],1)</f>
        <v/>
      </c>
      <c r="N9" s="38" t="n"/>
      <c r="O9" s="47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Margin],"&lt;"&amp;pLowMargin)</f>
        <v/>
      </c>
      <c r="P9" s="40" t="n"/>
    </row>
  </sheetData>
  <mergeCells count="31">
    <mergeCell ref="F4:G4"/>
    <mergeCell ref="C5:D5"/>
    <mergeCell ref="K9:L9"/>
    <mergeCell ref="E5:F5"/>
    <mergeCell ref="K5:L5"/>
    <mergeCell ref="M9:N9"/>
    <mergeCell ref="M5:N5"/>
    <mergeCell ref="H4:I4"/>
    <mergeCell ref="O9:P9"/>
    <mergeCell ref="G8:H8"/>
    <mergeCell ref="E8:F8"/>
    <mergeCell ref="C9:D9"/>
    <mergeCell ref="E9:F9"/>
    <mergeCell ref="J4:K4"/>
    <mergeCell ref="L4:M4"/>
    <mergeCell ref="K8:L8"/>
    <mergeCell ref="A1:P1"/>
    <mergeCell ref="G5:H5"/>
    <mergeCell ref="A6:P6"/>
    <mergeCell ref="I5:J5"/>
    <mergeCell ref="D4:E4"/>
    <mergeCell ref="I8:J8"/>
    <mergeCell ref="A8:B8"/>
    <mergeCell ref="M8:N8"/>
    <mergeCell ref="C8:D8"/>
    <mergeCell ref="O8:P8"/>
    <mergeCell ref="I9:J9"/>
    <mergeCell ref="A9:B9"/>
    <mergeCell ref="G9:H9"/>
    <mergeCell ref="B4:C4"/>
    <mergeCell ref="A2:P2"/>
  </mergeCells>
  <dataValidations count="4">
    <dataValidation sqref="C5" showDropDown="0" showInputMessage="0" showErrorMessage="0" allowBlank="0" errorTitle="Filter" error="Choose a listed value" promptTitle="Dashboard filter" prompt="Select a filter" type="list">
      <formula1>=lstRegion</formula1>
    </dataValidation>
    <dataValidation sqref="E5" showDropDown="0" showInputMessage="0" showErrorMessage="0" allowBlank="0" errorTitle="Filter" error="Choose a listed value" promptTitle="Dashboard filter" prompt="Select a filter" type="list">
      <formula1>=lstChannel</formula1>
    </dataValidation>
    <dataValidation sqref="G5" showDropDown="0" showInputMessage="0" showErrorMessage="0" allowBlank="0" errorTitle="Filter" error="Choose a listed value" promptTitle="Dashboard filter" prompt="Select a filter" type="list">
      <formula1>=lstCategory</formula1>
    </dataValidation>
    <dataValidation sqref="I5" showDropDown="0" showInputMessage="0" showErrorMessage="0" allowBlank="0" errorTitle="Filter" error="Choose a listed value" promptTitle="Dashboard filter" prompt="Select a filter" type="list">
      <formula1>=lstYesNo</formula1>
    </dataValidation>
  </dataValidations>
  <pageMargins left="0.75" right="0.75" top="1" bottom="1" header="0.5" footer="0.5"/>
  <pageSetup orientation="landscape" paperSize="3" fitToHeight="4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Insights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Written from the latest pipeline run at the default filters.</t>
        </is>
      </c>
      <c r="B2" s="4" t="n"/>
      <c r="C2" s="4" t="n"/>
      <c r="D2" s="4" t="n"/>
      <c r="E2" s="4" t="n"/>
      <c r="F2" s="4" t="n"/>
    </row>
    <row r="4" ht="320" customHeight="1">
      <c r="B4" s="48" t="inlineStr">
        <is>
          <t xml:space="preserve"># Key insights
Harbor &amp; Co. recorded $2,220,660 of in-scope net revenue across 1,558 orders from 2024-01-01 to 2025-09-30. Average order value was $1,425 and weighted gross margin was 29.4%.
West is the largest region at $732,437 (487 orders). East is the smallest at $425,069. South leads weighted margin at 31.3%; East is lowest at 26.1%.
Furniture contributes the most category revenue ($1,698,590). Textiles has the highest return rate at 13.5%. Overall return rate is 7.1% (111 returns out of 1,558 non-cancelled orders).
Wholesale is the largest channel by net revenue ($1,286,845). The strongest month is 2024-11 at $220,964; the softest month inside the window is 2024-02 at $40,088.
On-time fulfillment (shipped within 7 days, cancelled orders excluded) is 75.5%. 156 orders meet or exceed the 90% net-revenue cutoff of $3,065. 21 in-scope orders sit below the 15.0% margin floor. The largest single order is HC-100483 (West, Linen Sofa) at $29,394.
The extract started with 1,649 rows and finished with 1,618 analysis-ready orders. Exact duplicate rows removed: 26. Order-ID conflicts resolved by keeping the higher net revenue: 1. Rows rejected for invalid region, date, quantity, or price: 4. Negative quantities corrected: 1. Blank segments imputed to Unknown: 77. Implausible ship days cleared: 1.
## Actions suggested by the numbers
- Review fulfillment in the region with the weakest margin (East) before adding promotional discount.
- Textiles returns are high enough to justify a quality or sizing check before the next peak season.
- Hold cancelled orders out of sales KPIs (the workbook default). Turn the dashboard switch to Yes only when the question is about demand originally written, not demand kept.
- Treat orders at or above $3,065 as a named follow-up list; there are 156 of them in the current window.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mergeCells count="3">
    <mergeCell ref="A2:F2"/>
    <mergeCell ref="A1:F1"/>
    <mergeCell ref="B4:F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20" customWidth="1" min="3" max="3"/>
    <col width="28" customWidth="1" min="4" max="4"/>
    <col width="14" customWidth="1" min="5" max="5"/>
    <col width="78" customWidth="1" min="6" max="6"/>
  </cols>
  <sheetData>
    <row r="1" ht="32" customHeight="1">
      <c r="A1" s="1" t="inlineStr">
        <is>
          <t>QA tests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Status formulas compare Excel calculations with the values locked by the pipeline. Open in Excel and calculate.</t>
        </is>
      </c>
      <c r="B2" s="4" t="n"/>
      <c r="C2" s="4" t="n"/>
      <c r="D2" s="4" t="n"/>
      <c r="E2" s="4" t="n"/>
      <c r="F2" s="4" t="n"/>
    </row>
    <row r="4">
      <c r="B4" s="7" t="n"/>
      <c r="C4" s="7" t="n"/>
      <c r="D4" s="7" t="n"/>
      <c r="E4" s="7" t="n"/>
      <c r="F4" s="7" t="n"/>
    </row>
    <row r="5" ht="32" customHeight="1">
      <c r="B5" s="49" t="inlineStr">
        <is>
          <t>Raw rows</t>
        </is>
      </c>
      <c r="C5" s="49" t="n">
        <v>1649</v>
      </c>
      <c r="D5" s="49">
        <f>COUNTA(RawData[OrderID])</f>
        <v/>
      </c>
      <c r="E5" s="49">
        <f>IF(ABS(C5-D5)&lt;0.05,"PASS","FAIL")</f>
        <v/>
      </c>
      <c r="F5" s="49" t="inlineStr">
        <is>
          <t>Every source row, including duplicates and edge cases.</t>
        </is>
      </c>
    </row>
    <row r="6" ht="32" customHeight="1">
      <c r="B6" s="49" t="inlineStr">
        <is>
          <t>Clean rows</t>
        </is>
      </c>
      <c r="C6" s="49" t="n">
        <v>1618</v>
      </c>
      <c r="D6" s="49">
        <f>COUNTA(CleanData[OrderID])</f>
        <v/>
      </c>
      <c r="E6" s="49">
        <f>IF(ABS(C6-D6)&lt;0.05,"PASS","FAIL")</f>
        <v/>
      </c>
      <c r="F6" s="49" t="inlineStr">
        <is>
          <t>One row per surviving OrderID.</t>
        </is>
      </c>
    </row>
    <row r="7" ht="32" customHeight="1">
      <c r="B7" s="49" t="inlineStr">
        <is>
          <t>Rejected rows</t>
        </is>
      </c>
      <c r="C7" s="49" t="n">
        <v>31</v>
      </c>
      <c r="D7" s="49">
        <f>COUNTA(RejectedData[OrderID])</f>
        <v/>
      </c>
      <c r="E7" s="49">
        <f>IF(ABS(C7-D7)&lt;0.05,"PASS","FAIL")</f>
        <v/>
      </c>
      <c r="F7" s="49" t="inlineStr">
        <is>
          <t>Duplicates, invalid rows, and OrderID conflicts.</t>
        </is>
      </c>
    </row>
    <row r="8" ht="32" customHeight="1">
      <c r="B8" s="49" t="inlineStr">
        <is>
          <t>Row balance</t>
        </is>
      </c>
      <c r="C8" s="49" t="n">
        <v>1649</v>
      </c>
      <c r="D8" s="49">
        <f>COUNTA(CleanData[OrderID])+COUNTA(RejectedData[OrderID])</f>
        <v/>
      </c>
      <c r="E8" s="49">
        <f>IF(ABS(C8-D8)&lt;0.05,"PASS","FAIL")</f>
        <v/>
      </c>
      <c r="F8" s="49" t="inlineStr">
        <is>
          <t>Raw count must equal clean plus rejected.</t>
        </is>
      </c>
    </row>
    <row r="9" ht="32" customHeight="1">
      <c r="B9" s="49" t="inlineStr">
        <is>
          <t>Net revenue</t>
        </is>
      </c>
      <c r="C9" s="50" t="n">
        <v>2220659.79</v>
      </c>
      <c r="D9" s="49">
        <f>ROUND(SUMIFS(CleanData[NetRevenue],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),2)</f>
        <v/>
      </c>
      <c r="E9" s="49">
        <f>IF(ABS(C9-D9)&lt;0.05,"PASS","FAIL")</f>
        <v/>
      </c>
      <c r="F9" s="49" t="inlineStr">
        <is>
          <t>Default filters, cancelled excluded.</t>
        </is>
      </c>
    </row>
    <row r="10" ht="32" customHeight="1">
      <c r="B10" s="49" t="inlineStr">
        <is>
          <t>Orders</t>
        </is>
      </c>
      <c r="C10" s="49" t="n">
        <v>1558</v>
      </c>
      <c r="D10" s="49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)</f>
        <v/>
      </c>
      <c r="E10" s="49">
        <f>IF(ABS(C10-D10)&lt;0.05,"PASS","FAIL")</f>
        <v/>
      </c>
      <c r="F10" s="49" t="inlineStr">
        <is>
          <t>Default filters, cancelled excluded.</t>
        </is>
      </c>
    </row>
    <row r="11" ht="32" customHeight="1">
      <c r="B11" s="49" t="inlineStr">
        <is>
          <t>North net revenue</t>
        </is>
      </c>
      <c r="C11" s="50" t="n">
        <v>611412.62</v>
      </c>
      <c r="D11" s="49">
        <f>ROUND(Chart_Data!B4,2)</f>
        <v/>
      </c>
      <c r="E11" s="49">
        <f>IF(ABS(C11-D11)&lt;0.05,"PASS","FAIL")</f>
        <v/>
      </c>
      <c r="F11" s="49" t="inlineStr">
        <is>
          <t>Region chart ignores the region dropdown and honors the other filters.</t>
        </is>
      </c>
    </row>
    <row r="12" ht="32" customHeight="1">
      <c r="B12" s="49" t="inlineStr">
        <is>
          <t>High-value cutoff</t>
        </is>
      </c>
      <c r="C12" s="50" t="n">
        <v>3064.63</v>
      </c>
      <c r="D12" s="49">
        <f>ROUND(pHighCutoff,2)</f>
        <v/>
      </c>
      <c r="E12" s="49">
        <f>IF(ABS(C12-D12)&lt;0.05,"PASS","FAIL")</f>
        <v/>
      </c>
      <c r="F12" s="49" t="inlineStr">
        <is>
          <t>Percentile cutoff stored at pipeline run time.</t>
        </is>
      </c>
    </row>
    <row r="13" ht="32" customHeight="1">
      <c r="B13" s="49" t="inlineStr">
        <is>
          <t>High-value orders</t>
        </is>
      </c>
      <c r="C13" s="49" t="n">
        <v>156</v>
      </c>
      <c r="D13" s="49">
        <f>COUNTIFS(CleanData[OrderDate],"&gt;="&amp;pStart,CleanData[OrderDate],"&lt;="&amp;pEnd,CleanData[Region],IF(pRegion="All","&lt;&gt;",pRegion),CleanData[Channel],IF(pChannel="All","&lt;&gt;",pChannel),CleanData[Category],IF(pCategory="All","&lt;&gt;",pCategory),CleanData[Status],IF(pIncludeCancelled="Yes","&lt;&gt;","&lt;&gt;Cancelled"),CleanData[HighValueFlag],1)</f>
        <v/>
      </c>
      <c r="E13" s="49">
        <f>IF(ABS(C13-D13)&lt;0.05,"PASS","FAIL")</f>
        <v/>
      </c>
      <c r="F13" s="49" t="inlineStr">
        <is>
          <t>Uses the stored cutoff.</t>
        </is>
      </c>
    </row>
    <row r="14" ht="32" customHeight="1">
      <c r="B14" s="49" t="inlineStr">
        <is>
          <t>Dashboard region default</t>
        </is>
      </c>
      <c r="C14" s="49" t="inlineStr">
        <is>
          <t>All</t>
        </is>
      </c>
      <c r="D14" s="49">
        <f>pRegion</f>
        <v/>
      </c>
      <c r="E14" s="49">
        <f>IF(C14=D14,"PASS","FAIL")</f>
        <v/>
      </c>
      <c r="F14" s="49" t="inlineStr">
        <is>
          <t>Named range points at the dashboard control.</t>
        </is>
      </c>
    </row>
    <row r="15" ht="32" customHeight="1">
      <c r="B15" s="49" t="inlineStr">
        <is>
          <t>Include cancelled default</t>
        </is>
      </c>
      <c r="C15" s="49" t="inlineStr">
        <is>
          <t>No</t>
        </is>
      </c>
      <c r="D15" s="49">
        <f>pIncludeCancelled</f>
        <v/>
      </c>
      <c r="E15" s="49">
        <f>IF(C15=D15,"PASS","FAIL")</f>
        <v/>
      </c>
      <c r="F15" s="49" t="inlineStr">
        <is>
          <t>Sales KPIs exclude cancelled orders until this switch is Yes.</t>
        </is>
      </c>
    </row>
  </sheetData>
  <mergeCells count="2">
    <mergeCell ref="A2:F2"/>
    <mergeCell ref="A1:F1"/>
  </mergeCells>
  <conditionalFormatting sqref="E5:E15">
    <cfRule type="expression" priority="1" dxfId="2">
      <formula>E5="PASS"</formula>
    </cfRule>
    <cfRule type="expression" priority="2" dxfId="0">
      <formula>E5="FAIL"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33B32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7" t="inlineStr">
        <is>
          <t>OrderID</t>
        </is>
      </c>
      <c r="B1" s="7" t="inlineStr">
        <is>
          <t>Reason</t>
        </is>
      </c>
      <c r="C1" s="7" t="inlineStr">
        <is>
          <t>Detail</t>
        </is>
      </c>
      <c r="D1" s="7" t="inlineStr">
        <is>
          <t>OrderDate</t>
        </is>
      </c>
      <c r="E1" s="7" t="inlineStr">
        <is>
          <t>Region</t>
        </is>
      </c>
      <c r="F1" s="7" t="inlineStr">
        <is>
          <t>Status</t>
        </is>
      </c>
      <c r="G1" s="7" t="inlineStr">
        <is>
          <t>SourceRow</t>
        </is>
      </c>
    </row>
    <row r="2">
      <c r="A2" s="13" t="inlineStr">
        <is>
          <t>HC-100112</t>
        </is>
      </c>
      <c r="B2" s="13" t="inlineStr">
        <is>
          <t>exact_duplicate</t>
        </is>
      </c>
      <c r="C2" s="13" t="inlineStr">
        <is>
          <t>exact_duplicate</t>
        </is>
      </c>
      <c r="D2" s="13" t="inlineStr">
        <is>
          <t>11/15/2024</t>
        </is>
      </c>
      <c r="E2" s="13" t="inlineStr">
        <is>
          <t>Sout</t>
        </is>
      </c>
      <c r="F2" s="13" t="inlineStr">
        <is>
          <t>Completed</t>
        </is>
      </c>
      <c r="G2" s="13" t="n">
        <v>1602</v>
      </c>
    </row>
    <row r="3">
      <c r="A3" s="13" t="inlineStr">
        <is>
          <t>HC-100049</t>
        </is>
      </c>
      <c r="B3" s="13" t="inlineStr">
        <is>
          <t>exact_duplicate</t>
        </is>
      </c>
      <c r="C3" s="13" t="inlineStr">
        <is>
          <t>exact_duplicate</t>
        </is>
      </c>
      <c r="D3" s="13" t="inlineStr">
        <is>
          <t>22-Aug-24</t>
        </is>
      </c>
      <c r="E3" s="13" t="inlineStr">
        <is>
          <t>South</t>
        </is>
      </c>
      <c r="F3" s="13" t="inlineStr">
        <is>
          <t>Completed</t>
        </is>
      </c>
      <c r="G3" s="13" t="n">
        <v>1603</v>
      </c>
    </row>
    <row r="4">
      <c r="A4" s="13" t="inlineStr">
        <is>
          <t>HC-101167</t>
        </is>
      </c>
      <c r="B4" s="13" t="inlineStr">
        <is>
          <t>exact_duplicate</t>
        </is>
      </c>
      <c r="C4" s="13" t="inlineStr">
        <is>
          <t>exact_duplicate</t>
        </is>
      </c>
      <c r="D4" s="13" t="inlineStr">
        <is>
          <t>29.04.2025</t>
        </is>
      </c>
      <c r="E4" s="13" t="inlineStr">
        <is>
          <t>south</t>
        </is>
      </c>
      <c r="F4" s="13" t="inlineStr">
        <is>
          <t>Canceled</t>
        </is>
      </c>
      <c r="G4" s="13" t="n">
        <v>1604</v>
      </c>
    </row>
    <row r="5">
      <c r="A5" s="13" t="inlineStr">
        <is>
          <t>HC-101111</t>
        </is>
      </c>
      <c r="B5" s="13" t="inlineStr">
        <is>
          <t>exact_duplicate</t>
        </is>
      </c>
      <c r="C5" s="13" t="inlineStr">
        <is>
          <t>exact_duplicate</t>
        </is>
      </c>
      <c r="D5" s="13" t="inlineStr">
        <is>
          <t>08.01.2025</t>
        </is>
      </c>
      <c r="E5" s="13" t="inlineStr">
        <is>
          <t>East</t>
        </is>
      </c>
      <c r="F5" s="13" t="inlineStr">
        <is>
          <t>Completed</t>
        </is>
      </c>
      <c r="G5" s="13" t="n">
        <v>1605</v>
      </c>
    </row>
    <row r="6">
      <c r="A6" s="13" t="inlineStr">
        <is>
          <t>HC-101006</t>
        </is>
      </c>
      <c r="B6" s="13" t="inlineStr">
        <is>
          <t>exact_duplicate</t>
        </is>
      </c>
      <c r="C6" s="13" t="inlineStr">
        <is>
          <t>exact_duplicate</t>
        </is>
      </c>
      <c r="D6" s="13" t="inlineStr">
        <is>
          <t>2025/06/11</t>
        </is>
      </c>
      <c r="E6" s="13" t="inlineStr">
        <is>
          <t>East</t>
        </is>
      </c>
      <c r="F6" s="13" t="inlineStr">
        <is>
          <t>Cancelled</t>
        </is>
      </c>
      <c r="G6" s="13" t="n">
        <v>1606</v>
      </c>
    </row>
    <row r="7">
      <c r="A7" s="13" t="inlineStr">
        <is>
          <t>HC-100294</t>
        </is>
      </c>
      <c r="B7" s="13" t="inlineStr">
        <is>
          <t>exact_duplicate</t>
        </is>
      </c>
      <c r="C7" s="13" t="inlineStr">
        <is>
          <t>exact_duplicate</t>
        </is>
      </c>
      <c r="D7" s="13" t="inlineStr">
        <is>
          <t>2024/05/29</t>
        </is>
      </c>
      <c r="E7" s="13" t="inlineStr">
        <is>
          <t>North</t>
        </is>
      </c>
      <c r="F7" s="13" t="inlineStr">
        <is>
          <t>Completed</t>
        </is>
      </c>
      <c r="G7" s="13" t="n">
        <v>1607</v>
      </c>
    </row>
    <row r="8">
      <c r="A8" s="13" t="inlineStr">
        <is>
          <t>HC-101226</t>
        </is>
      </c>
      <c r="B8" s="13" t="inlineStr">
        <is>
          <t>exact_duplicate</t>
        </is>
      </c>
      <c r="C8" s="13" t="inlineStr">
        <is>
          <t>exact_duplicate</t>
        </is>
      </c>
      <c r="D8" s="13" t="inlineStr">
        <is>
          <t>2024/08/19</t>
        </is>
      </c>
      <c r="E8" s="13" t="inlineStr">
        <is>
          <t>North</t>
        </is>
      </c>
      <c r="F8" s="13" t="inlineStr">
        <is>
          <t>Completed</t>
        </is>
      </c>
      <c r="G8" s="13" t="n">
        <v>1608</v>
      </c>
    </row>
    <row r="9">
      <c r="A9" s="13" t="inlineStr">
        <is>
          <t>HC-100099</t>
        </is>
      </c>
      <c r="B9" s="13" t="inlineStr">
        <is>
          <t>exact_duplicate</t>
        </is>
      </c>
      <c r="C9" s="13" t="inlineStr">
        <is>
          <t>exact_duplicate</t>
        </is>
      </c>
      <c r="D9" s="13" t="inlineStr">
        <is>
          <t>02.06.2024</t>
        </is>
      </c>
      <c r="E9" s="13" t="inlineStr">
        <is>
          <t>South</t>
        </is>
      </c>
      <c r="F9" s="13" t="inlineStr">
        <is>
          <t>Completed</t>
        </is>
      </c>
      <c r="G9" s="13" t="n">
        <v>1609</v>
      </c>
    </row>
    <row r="10">
      <c r="A10" s="13" t="inlineStr">
        <is>
          <t>HC-101428</t>
        </is>
      </c>
      <c r="B10" s="13" t="inlineStr">
        <is>
          <t>exact_duplicate</t>
        </is>
      </c>
      <c r="C10" s="13" t="inlineStr">
        <is>
          <t>exact_duplicate</t>
        </is>
      </c>
      <c r="D10" s="13" t="inlineStr">
        <is>
          <t>05/06/2024</t>
        </is>
      </c>
      <c r="E10" s="13" t="inlineStr">
        <is>
          <t>West</t>
        </is>
      </c>
      <c r="F10" s="13" t="inlineStr">
        <is>
          <t>Completed</t>
        </is>
      </c>
      <c r="G10" s="13" t="n">
        <v>1610</v>
      </c>
    </row>
    <row r="11">
      <c r="A11" s="13" t="inlineStr">
        <is>
          <t>HC-101016</t>
        </is>
      </c>
      <c r="B11" s="13" t="inlineStr">
        <is>
          <t>exact_duplicate</t>
        </is>
      </c>
      <c r="C11" s="13" t="inlineStr">
        <is>
          <t>exact_duplicate</t>
        </is>
      </c>
      <c r="D11" s="13" t="inlineStr">
        <is>
          <t>07/23/2024</t>
        </is>
      </c>
      <c r="E11" s="13" t="inlineStr">
        <is>
          <t>South</t>
        </is>
      </c>
      <c r="F11" s="13" t="inlineStr">
        <is>
          <t>Cancelled</t>
        </is>
      </c>
      <c r="G11" s="13" t="n">
        <v>1611</v>
      </c>
    </row>
    <row r="12">
      <c r="A12" s="13" t="inlineStr">
        <is>
          <t>HC-100872</t>
        </is>
      </c>
      <c r="B12" s="13" t="inlineStr">
        <is>
          <t>exact_duplicate</t>
        </is>
      </c>
      <c r="C12" s="13" t="inlineStr">
        <is>
          <t>exact_duplicate</t>
        </is>
      </c>
      <c r="D12" s="13" t="inlineStr">
        <is>
          <t>08/22/2024</t>
        </is>
      </c>
      <c r="E12" s="13" t="inlineStr">
        <is>
          <t>North</t>
        </is>
      </c>
      <c r="F12" s="13" t="inlineStr">
        <is>
          <t>Compleated</t>
        </is>
      </c>
      <c r="G12" s="13" t="n">
        <v>1612</v>
      </c>
    </row>
    <row r="13">
      <c r="A13" s="13" t="inlineStr">
        <is>
          <t>HC-100858</t>
        </is>
      </c>
      <c r="B13" s="13" t="inlineStr">
        <is>
          <t>exact_duplicate</t>
        </is>
      </c>
      <c r="C13" s="13" t="inlineStr">
        <is>
          <t>exact_duplicate</t>
        </is>
      </c>
      <c r="D13" s="13" t="inlineStr">
        <is>
          <t>2024/04/18</t>
        </is>
      </c>
      <c r="E13" s="13" t="inlineStr">
        <is>
          <t>South</t>
        </is>
      </c>
      <c r="F13" s="13" t="inlineStr">
        <is>
          <t>Completed</t>
        </is>
      </c>
      <c r="G13" s="13" t="n">
        <v>1613</v>
      </c>
    </row>
    <row r="14">
      <c r="A14" s="13" t="inlineStr">
        <is>
          <t>HC-100702</t>
        </is>
      </c>
      <c r="B14" s="13" t="inlineStr">
        <is>
          <t>exact_duplicate</t>
        </is>
      </c>
      <c r="C14" s="13" t="inlineStr">
        <is>
          <t>exact_duplicate</t>
        </is>
      </c>
      <c r="D14" s="13" t="inlineStr">
        <is>
          <t>2024/02/10</t>
        </is>
      </c>
      <c r="E14" s="13" t="inlineStr">
        <is>
          <t>West</t>
        </is>
      </c>
      <c r="F14" s="13" t="inlineStr">
        <is>
          <t>Completed</t>
        </is>
      </c>
      <c r="G14" s="13" t="n">
        <v>1614</v>
      </c>
    </row>
    <row r="15">
      <c r="A15" s="13" t="inlineStr">
        <is>
          <t>HC-100493</t>
        </is>
      </c>
      <c r="B15" s="13" t="inlineStr">
        <is>
          <t>exact_duplicate</t>
        </is>
      </c>
      <c r="C15" s="13" t="inlineStr">
        <is>
          <t>exact_duplicate</t>
        </is>
      </c>
      <c r="D15" s="13" t="inlineStr">
        <is>
          <t>12-Jun-24</t>
        </is>
      </c>
      <c r="E15" s="13" t="inlineStr">
        <is>
          <t>west</t>
        </is>
      </c>
      <c r="F15" s="13" t="inlineStr">
        <is>
          <t>Completed</t>
        </is>
      </c>
      <c r="G15" s="13" t="n">
        <v>1615</v>
      </c>
    </row>
    <row r="16">
      <c r="A16" s="13" t="inlineStr">
        <is>
          <t>HC-100746</t>
        </is>
      </c>
      <c r="B16" s="13" t="inlineStr">
        <is>
          <t>exact_duplicate</t>
        </is>
      </c>
      <c r="C16" s="13" t="inlineStr">
        <is>
          <t>exact_duplicate</t>
        </is>
      </c>
      <c r="D16" s="13" t="inlineStr">
        <is>
          <t>2024/12/24</t>
        </is>
      </c>
      <c r="E16" s="13" t="inlineStr">
        <is>
          <t>South</t>
        </is>
      </c>
      <c r="F16" s="13" t="inlineStr">
        <is>
          <t>Cancelled</t>
        </is>
      </c>
      <c r="G16" s="13" t="n">
        <v>1616</v>
      </c>
    </row>
    <row r="17">
      <c r="A17" s="13" t="inlineStr">
        <is>
          <t>HC-101235</t>
        </is>
      </c>
      <c r="B17" s="13" t="inlineStr">
        <is>
          <t>exact_duplicate</t>
        </is>
      </c>
      <c r="C17" s="13" t="inlineStr">
        <is>
          <t>exact_duplicate</t>
        </is>
      </c>
      <c r="D17" s="13" t="inlineStr">
        <is>
          <t>01.02.2024</t>
        </is>
      </c>
      <c r="E17" s="13" t="inlineStr">
        <is>
          <t>North</t>
        </is>
      </c>
      <c r="F17" s="13" t="inlineStr">
        <is>
          <t>Completed</t>
        </is>
      </c>
      <c r="G17" s="13" t="n">
        <v>1617</v>
      </c>
    </row>
    <row r="18">
      <c r="A18" s="13" t="inlineStr">
        <is>
          <t>HC-101099</t>
        </is>
      </c>
      <c r="B18" s="13" t="inlineStr">
        <is>
          <t>exact_duplicate</t>
        </is>
      </c>
      <c r="C18" s="13" t="inlineStr">
        <is>
          <t>exact_duplicate</t>
        </is>
      </c>
      <c r="D18" s="13" t="inlineStr">
        <is>
          <t>09.07.2024</t>
        </is>
      </c>
      <c r="E18" s="13" t="inlineStr">
        <is>
          <t>West</t>
        </is>
      </c>
      <c r="F18" s="13" t="inlineStr">
        <is>
          <t>COMPLETED</t>
        </is>
      </c>
      <c r="G18" s="13" t="n">
        <v>1618</v>
      </c>
    </row>
    <row r="19">
      <c r="A19" s="13" t="inlineStr">
        <is>
          <t>HC-101360</t>
        </is>
      </c>
      <c r="B19" s="13" t="inlineStr">
        <is>
          <t>exact_duplicate</t>
        </is>
      </c>
      <c r="C19" s="13" t="inlineStr">
        <is>
          <t>exact_duplicate</t>
        </is>
      </c>
      <c r="D19" s="13" t="inlineStr">
        <is>
          <t>02/21/2024</t>
        </is>
      </c>
      <c r="E19" s="13" t="inlineStr">
        <is>
          <t>South</t>
        </is>
      </c>
      <c r="F19" s="13" t="inlineStr">
        <is>
          <t>Completed</t>
        </is>
      </c>
      <c r="G19" s="13" t="n">
        <v>1619</v>
      </c>
    </row>
    <row r="20">
      <c r="A20" s="13" t="inlineStr">
        <is>
          <t>HC-100139</t>
        </is>
      </c>
      <c r="B20" s="13" t="inlineStr">
        <is>
          <t>exact_duplicate</t>
        </is>
      </c>
      <c r="C20" s="13" t="inlineStr">
        <is>
          <t>exact_duplicate</t>
        </is>
      </c>
      <c r="D20" s="13" t="inlineStr">
        <is>
          <t>30.06.2025</t>
        </is>
      </c>
      <c r="E20" s="13" t="inlineStr">
        <is>
          <t>South</t>
        </is>
      </c>
      <c r="F20" s="13" t="inlineStr">
        <is>
          <t>Completed</t>
        </is>
      </c>
      <c r="G20" s="13" t="n">
        <v>1620</v>
      </c>
    </row>
    <row r="21">
      <c r="A21" s="13" t="inlineStr">
        <is>
          <t>HC-100570</t>
        </is>
      </c>
      <c r="B21" s="13" t="inlineStr">
        <is>
          <t>exact_duplicate</t>
        </is>
      </c>
      <c r="C21" s="13" t="inlineStr">
        <is>
          <t>exact_duplicate</t>
        </is>
      </c>
      <c r="D21" s="13" t="inlineStr">
        <is>
          <t>2025/01/04</t>
        </is>
      </c>
      <c r="E21" s="13" t="inlineStr">
        <is>
          <t xml:space="preserve"> North </t>
        </is>
      </c>
      <c r="F21" s="13" t="inlineStr">
        <is>
          <t>Completed</t>
        </is>
      </c>
      <c r="G21" s="13" t="n">
        <v>1621</v>
      </c>
    </row>
    <row r="22">
      <c r="A22" s="13" t="inlineStr">
        <is>
          <t>HC-101423</t>
        </is>
      </c>
      <c r="B22" s="13" t="inlineStr">
        <is>
          <t>exact_duplicate</t>
        </is>
      </c>
      <c r="C22" s="13" t="inlineStr">
        <is>
          <t>exact_duplicate</t>
        </is>
      </c>
      <c r="D22" s="13" t="inlineStr">
        <is>
          <t>24.04.2025</t>
        </is>
      </c>
      <c r="E22" s="13" t="inlineStr">
        <is>
          <t>East</t>
        </is>
      </c>
      <c r="F22" s="13" t="inlineStr">
        <is>
          <t>Completed</t>
        </is>
      </c>
      <c r="G22" s="13" t="n">
        <v>1622</v>
      </c>
    </row>
    <row r="23">
      <c r="A23" s="13" t="inlineStr">
        <is>
          <t>HC-100583</t>
        </is>
      </c>
      <c r="B23" s="13" t="inlineStr">
        <is>
          <t>exact_duplicate</t>
        </is>
      </c>
      <c r="C23" s="13" t="inlineStr">
        <is>
          <t>exact_duplicate</t>
        </is>
      </c>
      <c r="D23" s="13" t="inlineStr">
        <is>
          <t>16.06.2024</t>
        </is>
      </c>
      <c r="E23" s="13" t="inlineStr">
        <is>
          <t>West</t>
        </is>
      </c>
      <c r="F23" s="13" t="inlineStr">
        <is>
          <t>Completed</t>
        </is>
      </c>
      <c r="G23" s="13" t="n">
        <v>1623</v>
      </c>
    </row>
    <row r="24">
      <c r="A24" s="13" t="inlineStr">
        <is>
          <t>HC-101280</t>
        </is>
      </c>
      <c r="B24" s="13" t="inlineStr">
        <is>
          <t>exact_duplicate</t>
        </is>
      </c>
      <c r="C24" s="13" t="inlineStr">
        <is>
          <t>exact_duplicate</t>
        </is>
      </c>
      <c r="D24" s="13" t="inlineStr">
        <is>
          <t>02/11/2024</t>
        </is>
      </c>
      <c r="E24" s="13" t="inlineStr">
        <is>
          <t>North</t>
        </is>
      </c>
      <c r="F24" s="13" t="inlineStr">
        <is>
          <t>Completed</t>
        </is>
      </c>
      <c r="G24" s="13" t="n">
        <v>1624</v>
      </c>
    </row>
    <row r="25">
      <c r="A25" s="13" t="inlineStr">
        <is>
          <t>HC-101386</t>
        </is>
      </c>
      <c r="B25" s="13" t="inlineStr">
        <is>
          <t>exact_duplicate</t>
        </is>
      </c>
      <c r="C25" s="13" t="inlineStr">
        <is>
          <t>exact_duplicate</t>
        </is>
      </c>
      <c r="D25" s="13" t="inlineStr">
        <is>
          <t>2024/05/25</t>
        </is>
      </c>
      <c r="E25" s="13" t="inlineStr">
        <is>
          <t>South</t>
        </is>
      </c>
      <c r="F25" s="13" t="inlineStr">
        <is>
          <t>Completed</t>
        </is>
      </c>
      <c r="G25" s="13" t="n">
        <v>1625</v>
      </c>
    </row>
    <row r="26">
      <c r="A26" s="13" t="inlineStr">
        <is>
          <t>HC-100011</t>
        </is>
      </c>
      <c r="B26" s="13" t="inlineStr">
        <is>
          <t>exact_duplicate</t>
        </is>
      </c>
      <c r="C26" s="13" t="inlineStr">
        <is>
          <t>exact_duplicate</t>
        </is>
      </c>
      <c r="D26" s="13" t="inlineStr">
        <is>
          <t>05.09.2025</t>
        </is>
      </c>
      <c r="E26" s="13" t="inlineStr">
        <is>
          <t>West</t>
        </is>
      </c>
      <c r="F26" s="13" t="inlineStr">
        <is>
          <t>Completed</t>
        </is>
      </c>
      <c r="G26" s="13" t="n">
        <v>1626</v>
      </c>
    </row>
    <row r="27">
      <c r="A27" s="13" t="inlineStr">
        <is>
          <t>EDGE-DUP</t>
        </is>
      </c>
      <c r="B27" s="13" t="inlineStr">
        <is>
          <t>exact_duplicate</t>
        </is>
      </c>
      <c r="C27" s="13" t="inlineStr">
        <is>
          <t>exact_duplicate</t>
        </is>
      </c>
      <c r="D27" s="13" t="inlineStr">
        <is>
          <t>02/02/2024</t>
        </is>
      </c>
      <c r="E27" s="13" t="inlineStr">
        <is>
          <t>South</t>
        </is>
      </c>
      <c r="F27" s="13" t="inlineStr">
        <is>
          <t>Completed</t>
        </is>
      </c>
      <c r="G27" s="13" t="n">
        <v>1628</v>
      </c>
    </row>
    <row r="28">
      <c r="A28" s="13" t="inlineStr">
        <is>
          <t>EDGE-BADREG</t>
        </is>
      </c>
      <c r="B28" s="13" t="inlineStr">
        <is>
          <t>unknown_region</t>
        </is>
      </c>
      <c r="C28" s="13" t="inlineStr">
        <is>
          <t>unknown_region</t>
        </is>
      </c>
      <c r="D28" s="13" t="inlineStr">
        <is>
          <t>01/20/2024</t>
        </is>
      </c>
      <c r="E28" s="13" t="inlineStr">
        <is>
          <t>Atlantis</t>
        </is>
      </c>
      <c r="F28" s="13" t="inlineStr">
        <is>
          <t>Completed</t>
        </is>
      </c>
      <c r="G28" s="13" t="n">
        <v>1632</v>
      </c>
    </row>
    <row r="29">
      <c r="A29" s="13" t="inlineStr">
        <is>
          <t>EDGE-BADDATE</t>
        </is>
      </c>
      <c r="B29" s="13" t="inlineStr">
        <is>
          <t>bad_date</t>
        </is>
      </c>
      <c r="C29" s="13" t="inlineStr">
        <is>
          <t>bad_date</t>
        </is>
      </c>
      <c r="D29" s="13" t="inlineStr">
        <is>
          <t>yesterday</t>
        </is>
      </c>
      <c r="E29" s="13" t="inlineStr">
        <is>
          <t>North</t>
        </is>
      </c>
      <c r="F29" s="13" t="inlineStr">
        <is>
          <t>Completed</t>
        </is>
      </c>
      <c r="G29" s="13" t="n">
        <v>1633</v>
      </c>
    </row>
    <row r="30">
      <c r="A30" s="13" t="inlineStr">
        <is>
          <t>EDGE-ZERO</t>
        </is>
      </c>
      <c r="B30" s="13" t="inlineStr">
        <is>
          <t>zero_qty</t>
        </is>
      </c>
      <c r="C30" s="13" t="inlineStr">
        <is>
          <t>zero_qty</t>
        </is>
      </c>
      <c r="D30" s="13" t="inlineStr">
        <is>
          <t>08/01/2024</t>
        </is>
      </c>
      <c r="E30" s="13" t="inlineStr">
        <is>
          <t>North</t>
        </is>
      </c>
      <c r="F30" s="13" t="inlineStr">
        <is>
          <t>Completed</t>
        </is>
      </c>
      <c r="G30" s="13" t="n">
        <v>1637</v>
      </c>
    </row>
    <row r="31">
      <c r="A31" s="13" t="inlineStr">
        <is>
          <t>EDGE-PRICE</t>
        </is>
      </c>
      <c r="B31" s="13" t="inlineStr">
        <is>
          <t>bad_price</t>
        </is>
      </c>
      <c r="C31" s="13" t="inlineStr">
        <is>
          <t>bad_price</t>
        </is>
      </c>
      <c r="D31" s="13" t="inlineStr">
        <is>
          <t>12/01/2024</t>
        </is>
      </c>
      <c r="E31" s="13" t="inlineStr">
        <is>
          <t>North</t>
        </is>
      </c>
      <c r="F31" s="13" t="inlineStr">
        <is>
          <t>Completed</t>
        </is>
      </c>
      <c r="G31" s="13" t="n">
        <v>1645</v>
      </c>
    </row>
    <row r="32">
      <c r="A32" s="13" t="inlineStr">
        <is>
          <t>EDGE-CONF</t>
        </is>
      </c>
      <c r="B32" s="13" t="inlineStr">
        <is>
          <t>order_id_conflict</t>
        </is>
      </c>
      <c r="C32" s="13" t="inlineStr">
        <is>
          <t>A higher net-revenue row with the same OrderID was kept</t>
        </is>
      </c>
      <c r="D32" s="13" t="inlineStr">
        <is>
          <t>2024-03-03</t>
        </is>
      </c>
      <c r="E32" s="13" t="inlineStr">
        <is>
          <t>North</t>
        </is>
      </c>
      <c r="F32" s="13" t="inlineStr">
        <is>
          <t>Completed</t>
        </is>
      </c>
      <c r="G32" s="13" t="inlineStr"/>
    </row>
  </sheetData>
  <autoFilter ref="A1:G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48" customWidth="1" min="3" max="3"/>
    <col width="78" customWidth="1" min="4" max="4"/>
  </cols>
  <sheetData>
    <row r="1" ht="32" customHeight="1">
      <c r="A1" s="1" t="inlineStr">
        <is>
          <t>Data dictionary</t>
        </is>
      </c>
      <c r="B1" s="2" t="n"/>
      <c r="C1" s="2" t="n"/>
      <c r="D1" s="2" t="n"/>
    </row>
    <row r="2" ht="20" customHeight="1">
      <c r="A2" s="3" t="inlineStr">
        <is>
          <t>Field definitions for the cleaned orders table.</t>
        </is>
      </c>
      <c r="B2" s="4" t="n"/>
      <c r="C2" s="4" t="n"/>
      <c r="D2" s="4" t="n"/>
    </row>
    <row r="4">
      <c r="B4" s="7" t="n"/>
      <c r="C4" s="7" t="n"/>
      <c r="D4" s="7" t="n"/>
    </row>
    <row r="5" ht="28" customHeight="1">
      <c r="B5" s="49" t="inlineStr">
        <is>
          <t>OrderID</t>
        </is>
      </c>
      <c r="C5" s="49" t="inlineStr">
        <is>
          <t>Order identifier</t>
        </is>
      </c>
      <c r="D5" s="49" t="inlineStr">
        <is>
          <t>Conflicts keep the higher net-revenue row.</t>
        </is>
      </c>
    </row>
    <row r="6" ht="28" customHeight="1">
      <c r="B6" s="49" t="inlineStr">
        <is>
          <t>OrderDate</t>
        </is>
      </c>
      <c r="C6" s="49" t="inlineStr">
        <is>
          <t>Order date</t>
        </is>
      </c>
      <c r="D6" s="49" t="inlineStr">
        <is>
          <t>Parsed from mixed raw formats, then stored as a real date.</t>
        </is>
      </c>
    </row>
    <row r="7" ht="28" customHeight="1">
      <c r="B7" s="49" t="inlineStr">
        <is>
          <t>Region</t>
        </is>
      </c>
      <c r="C7" s="49" t="inlineStr">
        <is>
          <t>Sales region</t>
        </is>
      </c>
      <c r="D7" s="49" t="inlineStr">
        <is>
          <t>North, South, East, West after alias cleanup.</t>
        </is>
      </c>
    </row>
    <row r="8" ht="28" customHeight="1">
      <c r="B8" s="49" t="inlineStr">
        <is>
          <t>Channel</t>
        </is>
      </c>
      <c r="C8" s="49" t="inlineStr">
        <is>
          <t>Route to customer</t>
        </is>
      </c>
      <c r="D8" s="49" t="inlineStr">
        <is>
          <t>Store, Online, or Wholesale.</t>
        </is>
      </c>
    </row>
    <row r="9" ht="28" customHeight="1">
      <c r="B9" s="49" t="inlineStr">
        <is>
          <t>Category</t>
        </is>
      </c>
      <c r="C9" s="49" t="inlineStr">
        <is>
          <t>Merchandise family</t>
        </is>
      </c>
      <c r="D9" s="49" t="inlineStr">
        <is>
          <t>Furniture, Lighting, Textiles, Kitchen.</t>
        </is>
      </c>
    </row>
    <row r="10" ht="28" customHeight="1">
      <c r="B10" s="49" t="inlineStr">
        <is>
          <t>Product</t>
        </is>
      </c>
      <c r="C10" s="49" t="inlineStr">
        <is>
          <t>SKU name</t>
        </is>
      </c>
      <c r="D10" s="49" t="inlineStr">
        <is>
          <t>Free text from the catalog.</t>
        </is>
      </c>
    </row>
    <row r="11" ht="28" customHeight="1">
      <c r="B11" s="49" t="inlineStr">
        <is>
          <t>Segment</t>
        </is>
      </c>
      <c r="C11" s="49" t="inlineStr">
        <is>
          <t>Customer segment</t>
        </is>
      </c>
      <c r="D11" s="49" t="inlineStr">
        <is>
          <t>Blank source values become Unknown.</t>
        </is>
      </c>
    </row>
    <row r="12" ht="28" customHeight="1">
      <c r="B12" s="49" t="inlineStr">
        <is>
          <t>Quantity</t>
        </is>
      </c>
      <c r="C12" s="49" t="inlineStr">
        <is>
          <t>Units</t>
        </is>
      </c>
      <c r="D12" s="49" t="inlineStr">
        <is>
          <t>Negative quantities are flipped and flagged. Zero quantities are rejected.</t>
        </is>
      </c>
    </row>
    <row r="13" ht="28" customHeight="1">
      <c r="B13" s="49" t="inlineStr">
        <is>
          <t>UnitPrice</t>
        </is>
      </c>
      <c r="C13" s="49" t="inlineStr">
        <is>
          <t>Selling price per unit</t>
        </is>
      </c>
      <c r="D13" s="49" t="inlineStr">
        <is>
          <t>Currency text and spelled numbers are parsed in the transform.</t>
        </is>
      </c>
    </row>
    <row r="14" ht="28" customHeight="1">
      <c r="B14" s="49" t="inlineStr">
        <is>
          <t>Discount</t>
        </is>
      </c>
      <c r="C14" s="49" t="inlineStr">
        <is>
          <t>Discount fraction</t>
        </is>
      </c>
      <c r="D14" s="49" t="inlineStr">
        <is>
          <t>20% and 0.20 both become 0.20. Values between 1 and 100 are treated as percents.</t>
        </is>
      </c>
    </row>
    <row r="15" ht="28" customHeight="1">
      <c r="B15" s="49" t="inlineStr">
        <is>
          <t>UnitCost</t>
        </is>
      </c>
      <c r="C15" s="49" t="inlineStr">
        <is>
          <t>Cost per unit</t>
        </is>
      </c>
      <c r="D15" s="49" t="inlineStr">
        <is>
          <t>Must be zero or positive.</t>
        </is>
      </c>
    </row>
    <row r="16" ht="28" customHeight="1">
      <c r="B16" s="49" t="inlineStr">
        <is>
          <t>ShipDays</t>
        </is>
      </c>
      <c r="C16" s="49" t="inlineStr">
        <is>
          <t>Days from order to ship</t>
        </is>
      </c>
      <c r="D16" s="49" t="inlineStr">
        <is>
          <t>Blank, N/A, negative, or above 120 days are cleared and excluded from on-time rate.</t>
        </is>
      </c>
    </row>
    <row r="17" ht="28" customHeight="1">
      <c r="B17" s="49" t="inlineStr">
        <is>
          <t>Status</t>
        </is>
      </c>
      <c r="C17" s="49" t="inlineStr">
        <is>
          <t>Order outcome</t>
        </is>
      </c>
      <c r="D17" s="49" t="inlineStr">
        <is>
          <t>Completed, Returned, Cancelled.</t>
        </is>
      </c>
    </row>
    <row r="18" ht="28" customHeight="1">
      <c r="B18" s="49" t="inlineStr">
        <is>
          <t>GrossRevenue</t>
        </is>
      </c>
      <c r="C18" s="49" t="inlineStr">
        <is>
          <t>Quantity x unit price</t>
        </is>
      </c>
      <c r="D18" s="49" t="inlineStr">
        <is>
          <t>Excel formula on Cleaned_Data.</t>
        </is>
      </c>
    </row>
    <row r="19" ht="28" customHeight="1">
      <c r="B19" s="49" t="inlineStr">
        <is>
          <t>NetRevenue</t>
        </is>
      </c>
      <c r="C19" s="49" t="inlineStr">
        <is>
          <t>Gross x (1 - discount)</t>
        </is>
      </c>
      <c r="D19" s="49" t="inlineStr">
        <is>
          <t>Excel formula. This is the sales KPI numerator.</t>
        </is>
      </c>
    </row>
    <row r="20" ht="28" customHeight="1">
      <c r="B20" s="49" t="inlineStr">
        <is>
          <t>TotalCost</t>
        </is>
      </c>
      <c r="C20" s="49" t="inlineStr">
        <is>
          <t>Quantity x unit cost</t>
        </is>
      </c>
      <c r="D20" s="49" t="inlineStr">
        <is>
          <t>Excel formula.</t>
        </is>
      </c>
    </row>
    <row r="21" ht="28" customHeight="1">
      <c r="B21" s="49" t="inlineStr">
        <is>
          <t>Margin</t>
        </is>
      </c>
      <c r="C21" s="49" t="inlineStr">
        <is>
          <t>(Net - cost) / net</t>
        </is>
      </c>
      <c r="D21" s="49" t="inlineStr">
        <is>
          <t>Blank when net revenue is zero. This is an unweighted order margin.</t>
        </is>
      </c>
    </row>
    <row r="22" ht="28" customHeight="1">
      <c r="B22" s="49" t="inlineStr">
        <is>
          <t>LateFlag</t>
        </is>
      </c>
      <c r="C22" s="49" t="inlineStr">
        <is>
          <t>1 when ShipDays exceeds the parameter</t>
        </is>
      </c>
      <c r="D22" s="49" t="inlineStr">
        <is>
          <t>Blank when ship days are missing.</t>
        </is>
      </c>
    </row>
    <row r="23" ht="28" customHeight="1">
      <c r="B23" s="49" t="inlineStr">
        <is>
          <t>HighValueFlag</t>
        </is>
      </c>
      <c r="C23" s="49" t="inlineStr">
        <is>
          <t>1 when net revenue &gt;= cutoff</t>
        </is>
      </c>
      <c r="D23" s="49" t="inlineStr">
        <is>
          <t>Cutoff is the pipeline percentile, not a live percentile of the filtered view.</t>
        </is>
      </c>
    </row>
    <row r="24" ht="28" customHeight="1">
      <c r="B24" s="49" t="inlineStr">
        <is>
          <t>ReturnFlag</t>
        </is>
      </c>
      <c r="C24" s="49" t="inlineStr">
        <is>
          <t>1 when status is Returned</t>
        </is>
      </c>
      <c r="D24" s="49" t="inlineStr">
        <is>
          <t>Used for audit, not for the return-rate denominator.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2" max="2"/>
    <col width="18" customWidth="1" min="3" max="3"/>
  </cols>
  <sheetData>
    <row r="1" ht="32" customHeight="1">
      <c r="A1" s="1" t="inlineStr">
        <is>
          <t>Cleaning log</t>
        </is>
      </c>
      <c r="B1" s="2" t="n"/>
      <c r="C1" s="2" t="n"/>
      <c r="D1" s="2" t="n"/>
    </row>
    <row r="2" ht="20" customHeight="1">
      <c r="A2" s="3" t="inlineStr">
        <is>
          <t>Counts from the transform that produced this workbook.</t>
        </is>
      </c>
      <c r="B2" s="4" t="n"/>
      <c r="C2" s="4" t="n"/>
      <c r="D2" s="4" t="n"/>
    </row>
    <row r="4">
      <c r="B4" s="20" t="inlineStr">
        <is>
          <t>Metric</t>
        </is>
      </c>
      <c r="C4" s="20" t="inlineStr">
        <is>
          <t>Value</t>
        </is>
      </c>
    </row>
    <row r="5">
      <c r="B5" s="13" t="inlineStr">
        <is>
          <t>Raw rows</t>
        </is>
      </c>
      <c r="C5" s="13" t="n">
        <v>1649</v>
      </c>
    </row>
    <row r="6">
      <c r="B6" s="13" t="inlineStr">
        <is>
          <t>Clean rows</t>
        </is>
      </c>
      <c r="C6" s="13" t="n">
        <v>1618</v>
      </c>
    </row>
    <row r="7">
      <c r="B7" s="13" t="inlineStr">
        <is>
          <t>Rejected rows</t>
        </is>
      </c>
      <c r="C7" s="13" t="n">
        <v>31</v>
      </c>
    </row>
    <row r="8">
      <c r="B8" s="13" t="inlineStr">
        <is>
          <t>Exact duplicates</t>
        </is>
      </c>
      <c r="C8" s="13" t="n">
        <v>26</v>
      </c>
    </row>
    <row r="9">
      <c r="B9" s="13" t="inlineStr">
        <is>
          <t>Row balance holds</t>
        </is>
      </c>
      <c r="C9" s="13" t="inlineStr">
        <is>
          <t>Yes</t>
        </is>
      </c>
    </row>
    <row r="10">
      <c r="B10" s="13" t="inlineStr">
        <is>
          <t>Rejected: bad_date</t>
        </is>
      </c>
      <c r="C10" s="13" t="n">
        <v>1</v>
      </c>
    </row>
    <row r="11">
      <c r="B11" s="13" t="inlineStr">
        <is>
          <t>Rejected: bad_price</t>
        </is>
      </c>
      <c r="C11" s="13" t="n">
        <v>1</v>
      </c>
    </row>
    <row r="12">
      <c r="B12" s="13" t="inlineStr">
        <is>
          <t>Rejected: exact_duplicate</t>
        </is>
      </c>
      <c r="C12" s="13" t="n">
        <v>26</v>
      </c>
    </row>
    <row r="13">
      <c r="B13" s="13" t="inlineStr">
        <is>
          <t>Rejected: order_id_conflict</t>
        </is>
      </c>
      <c r="C13" s="13" t="n">
        <v>1</v>
      </c>
    </row>
    <row r="14">
      <c r="B14" s="13" t="inlineStr">
        <is>
          <t>Rejected: unknown_region</t>
        </is>
      </c>
      <c r="C14" s="13" t="n">
        <v>1</v>
      </c>
    </row>
    <row r="15">
      <c r="B15" s="13" t="inlineStr">
        <is>
          <t>Rejected: zero_qty</t>
        </is>
      </c>
      <c r="C15" s="13" t="n">
        <v>1</v>
      </c>
    </row>
    <row r="16">
      <c r="B16" s="13" t="inlineStr">
        <is>
          <t>Adjustment: blank_segment_imputed</t>
        </is>
      </c>
      <c r="C16" s="13" t="n">
        <v>77</v>
      </c>
    </row>
    <row r="17">
      <c r="B17" s="13" t="inlineStr">
        <is>
          <t>Adjustment: discount_percent_scaled</t>
        </is>
      </c>
      <c r="C17" s="13" t="n">
        <v>0</v>
      </c>
    </row>
    <row r="18">
      <c r="B18" s="13" t="inlineStr">
        <is>
          <t>Adjustment: negative_qty_corrected</t>
        </is>
      </c>
      <c r="C18" s="13" t="n">
        <v>1</v>
      </c>
    </row>
    <row r="19">
      <c r="B19" s="13" t="inlineStr">
        <is>
          <t>Adjustment: order_id_conflict</t>
        </is>
      </c>
      <c r="C19" s="13" t="n">
        <v>1</v>
      </c>
    </row>
    <row r="20">
      <c r="B20" s="13" t="inlineStr">
        <is>
          <t>Adjustment: ship_days_cleared</t>
        </is>
      </c>
      <c r="C20" s="13" t="n">
        <v>1</v>
      </c>
    </row>
    <row r="21">
      <c r="B21" s="13" t="inlineStr">
        <is>
          <t>Adjustment: unknown_segment_imputed</t>
        </is>
      </c>
      <c r="C21" s="13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2026-10-01T09:34:40Z</dcterms:created>
  <dcterms:modified xsi:type="dcterms:W3CDTF">2026-10-01T09:34:41Z</dcterms:modified>
</cp:coreProperties>
</file>